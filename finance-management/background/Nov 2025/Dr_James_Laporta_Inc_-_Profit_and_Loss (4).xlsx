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<sst xmlns="http://schemas.openxmlformats.org/spreadsheetml/2006/main" count="58" uniqueCount="58">
  <si>
    <t>Profit and Loss</t>
  </si>
  <si>
    <t>Dr James Laporta Inc</t>
  </si>
  <si>
    <t>For the month ended 30 November 2025</t>
  </si>
  <si>
    <t>Account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</si>
  <si>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</si>
  <si>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</si>
  <si>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</si>
  <si>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</si>
  <si>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</si>
  <si>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</si>
  <si>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</si>
  <si>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</si>
  <si>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</si>
  <si>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Year to date</t>
  </si>
  <si>
    <t>Trading Income</t>
  </si>
  <si>
    <t>Interest Income</t>
  </si>
  <si>
    <t>Sales</t>
  </si>
  <si>
    <t>Total Trading Income</t>
  </si>
  <si>
    <t>Cost of Sales</t>
  </si>
  <si>
    <t>Cost of Goods Sold</t>
  </si>
  <si>
    <t>Total Cost of Sales</t>
  </si>
  <si>
    <t>Gross Profit</t>
  </si>
  <si>
    <t>Operating Expenses</t>
  </si>
  <si>
    <t>Advertising</t>
  </si>
  <si>
    <t>Bank Fees</t>
  </si>
  <si>
    <t>Cleaning &amp; Office Expenses</t>
  </si>
  <si>
    <t>Consulting, Accounting &amp; Administrative Fees</t>
  </si>
  <si>
    <t>Depreciation</t>
  </si>
  <si>
    <t>Insurance</t>
  </si>
  <si>
    <t>MGNT - Accounting and other related services</t>
  </si>
  <si>
    <t>MGNT - Equipment rental</t>
  </si>
  <si>
    <t>MGNT - Patients / Surgery management</t>
  </si>
  <si>
    <t>MGNT - Practice Management</t>
  </si>
  <si>
    <t>MGNT - Rental</t>
  </si>
  <si>
    <t>Minor Assets</t>
  </si>
  <si>
    <t>Motor Vehicle Expense - Fuel</t>
  </si>
  <si>
    <t>Motor Vehicle Expenses</t>
  </si>
  <si>
    <t>Payroll - Employee PAYE and UIF</t>
  </si>
  <si>
    <t>Payroll - Employer UIF and SDL</t>
  </si>
  <si>
    <t>Payroll - Wages and Salaries</t>
  </si>
  <si>
    <t>Postage, Freight &amp; Courier</t>
  </si>
  <si>
    <t>Printing &amp; Stationery</t>
  </si>
  <si>
    <t>Repairs and Maintenance</t>
  </si>
  <si>
    <t>SANC - Management</t>
  </si>
  <si>
    <t>Security</t>
  </si>
  <si>
    <t>Staff Clothing</t>
  </si>
  <si>
    <t>Staff Training &amp; Conferences</t>
  </si>
  <si>
    <t>Staff Welfare</t>
  </si>
  <si>
    <t>Subscriptions</t>
  </si>
  <si>
    <t>Telephone &amp; Internet</t>
  </si>
  <si>
    <t>TOT - Administration costs</t>
  </si>
  <si>
    <t>TOT - Data capture</t>
  </si>
  <si>
    <t>TOT - Medical patients records</t>
  </si>
  <si>
    <t>Travel - International</t>
  </si>
  <si>
    <t>Travel - National</t>
  </si>
  <si>
    <t>Utilities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</si>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</sst>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(#,##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5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2.83203125" customWidth="1"/>
    <col min="2" max="2" width="11" customWidth="1"/>
    <col min="3" max="4" width="10.66015625" customWidth="1"/>
    <col min="5" max="5" width="11.16015625" customWidth="1"/>
    <col min="6" max="6" width="10.16015625" customWidth="1"/>
    <col min="7" max="7" width="10.66015625" customWidth="1"/>
    <col min="8" max="8" width="11.5" customWidth="1"/>
    <col min="9" max="9" width="11" customWidth="1"/>
    <col min="10" max="10" width="11.33203125" customWidth="1"/>
    <col min="11" max="11" width="14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</row>
    <row r="6" ht="13.35" customHeight="true"/>
    <row r="7" ht="12.1" customHeight="true" customFormat="true" s="5">
      <c r="A7" s="8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ht="10.95" customHeight="true" customFormat="true" s="9">
      <c r="A8" s="10" t="s">
        <v>15</v>
      </c>
      <c r="B8" s="11">
        <v>749.6300</v>
      </c>
      <c r="C8" s="11">
        <v>2033.4900</v>
      </c>
      <c r="D8" s="11">
        <v>249.6100</v>
      </c>
      <c r="E8" s="11">
        <v>1033.9000</v>
      </c>
      <c r="F8" s="11">
        <v>1079.7600</v>
      </c>
      <c r="G8" s="11">
        <v>2521.6300</v>
      </c>
      <c r="H8" s="11">
        <v>2816.0200</v>
      </c>
      <c r="I8" s="11">
        <v>2758.9300</v>
      </c>
      <c r="J8" s="11">
        <v>3079.4500</v>
      </c>
      <c r="K8" s="11">
        <v>16322.4200</v>
      </c>
    </row>
    <row r="9" ht="10.95" customHeight="true" customFormat="true" s="9">
      <c r="A9" s="12" t="s">
        <v>16</v>
      </c>
      <c r="B9" s="13">
        <v>1092297.5100</v>
      </c>
      <c r="C9" s="13">
        <v>1700808.7100</v>
      </c>
      <c r="D9" s="13">
        <v>1506601.2500</v>
      </c>
      <c r="E9" s="13">
        <v>1457440.1800</v>
      </c>
      <c r="F9" s="13">
        <v>1756178.4300</v>
      </c>
      <c r="G9" s="13">
        <v>1600736.8100</v>
      </c>
      <c r="H9" s="13">
        <v>2363910.6900</v>
      </c>
      <c r="I9" s="13">
        <v>2257106.5300</v>
      </c>
      <c r="J9" s="13">
        <v>2345295.3300</v>
      </c>
      <c r="K9" s="13">
        <v>16080375.4400</v>
      </c>
    </row>
    <row r="10" ht="10.95" customHeight="true" customFormat="true" s="9">
      <c r="A10" s="14" t="s">
        <v>17</v>
      </c>
      <c r="B10" s="15">
        <f ca="1">SUM(B8:B9)</f>
        <v>0</v>
      </c>
      <c r="C10" s="15">
        <f ca="1">SUM(C8:C9)</f>
        <v>0</v>
      </c>
      <c r="D10" s="15">
        <f ca="1">SUM(D8:D9)</f>
        <v>0</v>
      </c>
      <c r="E10" s="15">
        <f ca="1">SUM(E8:E9)</f>
        <v>0</v>
      </c>
      <c r="F10" s="15">
        <f ca="1">SUM(F8:F9)</f>
        <v>0</v>
      </c>
      <c r="G10" s="15">
        <f ca="1">SUM(G8:G9)</f>
        <v>0</v>
      </c>
      <c r="H10" s="15">
        <f ca="1">SUM(H8:H9)</f>
        <v>0</v>
      </c>
      <c r="I10" s="15">
        <f ca="1">SUM(I8:I9)</f>
        <v>0</v>
      </c>
      <c r="J10" s="15">
        <f ca="1">SUM(J8:J9)</f>
        <v>0</v>
      </c>
      <c r="K10" s="15">
        <f ca="1">SUM(K8:K9)</f>
        <v>0</v>
      </c>
    </row>
    <row r="11" ht="13.35" customHeight="true"/>
    <row r="12" ht="12.1" customHeight="true" customFormat="true" s="5">
      <c r="A12" s="8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10.95" customHeight="true" customFormat="true" s="9">
      <c r="A13" s="10" t="s">
        <v>19</v>
      </c>
      <c r="B13" s="11">
        <v>418076.0900</v>
      </c>
      <c r="C13" s="11">
        <v>576951.2500</v>
      </c>
      <c r="D13" s="11">
        <v>919714.7700</v>
      </c>
      <c r="E13" s="11">
        <v>1003861.1500</v>
      </c>
      <c r="F13" s="11">
        <v>771216.2500</v>
      </c>
      <c r="G13" s="11">
        <v>957081.1600</v>
      </c>
      <c r="H13" s="11">
        <v>1337865.4200</v>
      </c>
      <c r="I13" s="11">
        <v>876007.6000</v>
      </c>
      <c r="J13" s="11">
        <v>150446.6900</v>
      </c>
      <c r="K13" s="11">
        <v>7011220.3800</v>
      </c>
    </row>
    <row r="14" ht="10.95" customHeight="true" customFormat="true" s="9">
      <c r="A14" s="14" t="s">
        <v>20</v>
      </c>
      <c r="B14" s="15">
        <f ca="1">B13</f>
        <v>0</v>
      </c>
      <c r="C14" s="15">
        <f ca="1">C13</f>
        <v>0</v>
      </c>
      <c r="D14" s="15">
        <f ca="1">D13</f>
        <v>0</v>
      </c>
      <c r="E14" s="15">
        <f ca="1">E13</f>
        <v>0</v>
      </c>
      <c r="F14" s="15">
        <f ca="1">F13</f>
        <v>0</v>
      </c>
      <c r="G14" s="15">
        <f ca="1">G13</f>
        <v>0</v>
      </c>
      <c r="H14" s="15">
        <f ca="1">H13</f>
        <v>0</v>
      </c>
      <c r="I14" s="15">
        <f ca="1">I13</f>
        <v>0</v>
      </c>
      <c r="J14" s="15">
        <f ca="1">J13</f>
        <v>0</v>
      </c>
      <c r="K14" s="15">
        <f ca="1">K13</f>
        <v>0</v>
      </c>
    </row>
    <row r="15" ht="13.35" customHeight="true"/>
    <row r="16" ht="10.95" customHeight="true" customFormat="true" s="9">
      <c r="A16" s="16" t="s">
        <v>21</v>
      </c>
      <c r="B16" s="17">
        <f ca="1">(B10 - B14)</f>
        <v>0</v>
      </c>
      <c r="C16" s="17">
        <f ca="1">(C10 - C14)</f>
        <v>0</v>
      </c>
      <c r="D16" s="17">
        <f ca="1">(D10 - D14)</f>
        <v>0</v>
      </c>
      <c r="E16" s="17">
        <f ca="1">(E10 - E14)</f>
        <v>0</v>
      </c>
      <c r="F16" s="17">
        <f ca="1">(F10 - F14)</f>
        <v>0</v>
      </c>
      <c r="G16" s="17">
        <f ca="1">(G10 - G14)</f>
        <v>0</v>
      </c>
      <c r="H16" s="17">
        <f ca="1">(H10 - H14)</f>
        <v>0</v>
      </c>
      <c r="I16" s="17">
        <f ca="1">(I10 - I14)</f>
        <v>0</v>
      </c>
      <c r="J16" s="17">
        <f ca="1">(J10 - J14)</f>
        <v>0</v>
      </c>
      <c r="K16" s="17">
        <f ca="1">(K10 - K14)</f>
        <v>0</v>
      </c>
    </row>
    <row r="17" ht="13.35" customHeight="true"/>
    <row r="18" ht="12.1" customHeight="true" customFormat="true" s="5">
      <c r="A18" s="8" t="s">
        <v>22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ht="10.95" customHeight="true" customFormat="true" s="9">
      <c r="A19" s="10" t="s">
        <v>23</v>
      </c>
      <c r="B19" s="11">
        <v>125000.0000</v>
      </c>
      <c r="C19" s="11">
        <v>125000.0000</v>
      </c>
      <c r="D19" s="11">
        <v>125000.0000</v>
      </c>
      <c r="E19" s="11">
        <v>125000.0000</v>
      </c>
      <c r="F19" s="11">
        <v>125000.0000</v>
      </c>
      <c r="G19" s="11">
        <v>125000.0000</v>
      </c>
      <c r="H19" s="11">
        <v>125000.0000</v>
      </c>
      <c r="I19" s="11">
        <v>125000.0000</v>
      </c>
      <c r="J19" s="11">
        <v>125000.0000</v>
      </c>
      <c r="K19" s="11">
        <v>1125000.0000</v>
      </c>
    </row>
    <row r="20" ht="10.95" customHeight="true" customFormat="true" s="9">
      <c r="A20" s="12" t="s">
        <v>24</v>
      </c>
      <c r="B20" s="13">
        <v>24925.8600</v>
      </c>
      <c r="C20" s="13">
        <v>17946.5700</v>
      </c>
      <c r="D20" s="13">
        <v>23125.8200</v>
      </c>
      <c r="E20" s="13">
        <v>13750.9900</v>
      </c>
      <c r="F20" s="13">
        <v>22209.2700</v>
      </c>
      <c r="G20" s="13">
        <v>29420.8700</v>
      </c>
      <c r="H20" s="13">
        <v>25394.7600</v>
      </c>
      <c r="I20" s="13">
        <v>40612.1900</v>
      </c>
      <c r="J20" s="13">
        <v>35453.5900</v>
      </c>
      <c r="K20" s="13">
        <v>232839.9200</v>
      </c>
    </row>
    <row r="21" ht="10.95" customHeight="true" customFormat="true" s="9">
      <c r="A21" s="12" t="s">
        <v>25</v>
      </c>
      <c r="B21" s="13">
        <v>18934.8700</v>
      </c>
      <c r="C21" s="13">
        <v>25543.6500</v>
      </c>
      <c r="D21" s="13">
        <v>23416.3100</v>
      </c>
      <c r="E21" s="13">
        <v>36128.4200</v>
      </c>
      <c r="F21" s="13">
        <v>17464.2500</v>
      </c>
      <c r="G21" s="13">
        <v>7346.1100</v>
      </c>
      <c r="H21" s="13">
        <v>15429.6600</v>
      </c>
      <c r="I21" s="13">
        <v>21968.1400</v>
      </c>
      <c r="J21" s="13">
        <v>31499.6300</v>
      </c>
      <c r="K21" s="13">
        <v>197731.0400</v>
      </c>
    </row>
    <row r="22" ht="10.95" customHeight="true" customFormat="true" s="9">
      <c r="A22" s="12" t="s">
        <v>26</v>
      </c>
      <c r="B22" s="13">
        <v>125000.0000</v>
      </c>
      <c r="C22" s="13">
        <v>132438.3200</v>
      </c>
      <c r="D22" s="13">
        <v>139348.0900</v>
      </c>
      <c r="E22" s="13">
        <v>165384.6200</v>
      </c>
      <c r="F22" s="13">
        <v>0</v>
      </c>
      <c r="G22" s="13">
        <v>4400.0000</v>
      </c>
      <c r="H22" s="13">
        <v>5400.0000</v>
      </c>
      <c r="I22" s="13">
        <v>8100.0000</v>
      </c>
      <c r="J22" s="13">
        <v>0</v>
      </c>
      <c r="K22" s="13">
        <v>580071.0300</v>
      </c>
    </row>
    <row r="23" ht="10.95" customHeight="true" customFormat="true" s="9">
      <c r="A23" s="12" t="s">
        <v>27</v>
      </c>
      <c r="B23" s="13">
        <v>26979.1900</v>
      </c>
      <c r="C23" s="13">
        <v>27018.3400</v>
      </c>
      <c r="D23" s="13">
        <v>26979.1800</v>
      </c>
      <c r="E23" s="13">
        <v>27018.3300</v>
      </c>
      <c r="F23" s="13">
        <v>27018.2900</v>
      </c>
      <c r="G23" s="13">
        <v>26979.2200</v>
      </c>
      <c r="H23" s="13">
        <v>27018.3200</v>
      </c>
      <c r="I23" s="13">
        <v>26979.1800</v>
      </c>
      <c r="J23" s="13">
        <v>27018.3200</v>
      </c>
      <c r="K23" s="13">
        <v>243008.3700</v>
      </c>
    </row>
    <row r="24" ht="10.95" customHeight="true" customFormat="true" s="9">
      <c r="A24" s="12" t="s">
        <v>28</v>
      </c>
      <c r="B24" s="13">
        <v>34962.8100</v>
      </c>
      <c r="C24" s="13">
        <v>34962.8100</v>
      </c>
      <c r="D24" s="13">
        <v>34962.8100</v>
      </c>
      <c r="E24" s="13">
        <v>51236.8700</v>
      </c>
      <c r="F24" s="13">
        <v>18688.7500</v>
      </c>
      <c r="G24" s="13">
        <v>18682.6600</v>
      </c>
      <c r="H24" s="13">
        <v>18682.6600</v>
      </c>
      <c r="I24" s="13">
        <v>18682.6600</v>
      </c>
      <c r="J24" s="13">
        <v>18682.6600</v>
      </c>
      <c r="K24" s="13">
        <v>249544.6900</v>
      </c>
    </row>
    <row r="25" ht="10.95" customHeight="true" customFormat="true" s="9">
      <c r="A25" s="12" t="s">
        <v>29</v>
      </c>
      <c r="B25" s="13">
        <v>29636.0900</v>
      </c>
      <c r="C25" s="13">
        <v>0</v>
      </c>
      <c r="D25" s="13">
        <v>19735.8400</v>
      </c>
      <c r="E25" s="13">
        <v>0</v>
      </c>
      <c r="F25" s="13">
        <v>0</v>
      </c>
      <c r="G25" s="13">
        <v>23050.6100</v>
      </c>
      <c r="H25" s="13">
        <v>34040.3100</v>
      </c>
      <c r="I25" s="13">
        <v>32502.3300</v>
      </c>
      <c r="J25" s="13">
        <v>33772.2500</v>
      </c>
      <c r="K25" s="13">
        <v>172737.4300</v>
      </c>
    </row>
    <row r="26" ht="10.95" customHeight="true" customFormat="true" s="9">
      <c r="A26" s="12" t="s">
        <v>30</v>
      </c>
      <c r="B26" s="13">
        <v>10000.0000</v>
      </c>
      <c r="C26" s="13">
        <v>0</v>
      </c>
      <c r="D26" s="13">
        <v>10000.0000</v>
      </c>
      <c r="E26" s="13">
        <v>0</v>
      </c>
      <c r="F26" s="13">
        <v>0</v>
      </c>
      <c r="G26" s="13">
        <v>30000.0000</v>
      </c>
      <c r="H26" s="13">
        <v>30000.0000</v>
      </c>
      <c r="I26" s="13">
        <v>30000.0000</v>
      </c>
      <c r="J26" s="13">
        <v>30000.0000</v>
      </c>
      <c r="K26" s="13">
        <v>140000.0000</v>
      </c>
    </row>
    <row r="27" ht="10.95" customHeight="true" customFormat="true" s="9">
      <c r="A27" s="12" t="s">
        <v>31</v>
      </c>
      <c r="B27" s="13">
        <v>29636.0900</v>
      </c>
      <c r="C27" s="13">
        <v>0</v>
      </c>
      <c r="D27" s="13">
        <v>40445.3600</v>
      </c>
      <c r="E27" s="13">
        <v>0</v>
      </c>
      <c r="F27" s="13">
        <v>0</v>
      </c>
      <c r="G27" s="13">
        <v>72033.1600</v>
      </c>
      <c r="H27" s="13">
        <v>106375.9800</v>
      </c>
      <c r="I27" s="13">
        <v>101569.7900</v>
      </c>
      <c r="J27" s="13">
        <v>105538.2900</v>
      </c>
      <c r="K27" s="13">
        <v>455598.6700</v>
      </c>
    </row>
    <row r="28" ht="10.95" customHeight="true" customFormat="true" s="9">
      <c r="A28" s="12" t="s">
        <v>32</v>
      </c>
      <c r="B28" s="13">
        <v>29636.0900</v>
      </c>
      <c r="C28" s="13">
        <v>0</v>
      </c>
      <c r="D28" s="13">
        <v>67030.9100</v>
      </c>
      <c r="E28" s="13">
        <v>0</v>
      </c>
      <c r="F28" s="13">
        <v>0</v>
      </c>
      <c r="G28" s="13">
        <v>108049.7300</v>
      </c>
      <c r="H28" s="13">
        <v>159563.9700</v>
      </c>
      <c r="I28" s="13">
        <v>152354.6900</v>
      </c>
      <c r="J28" s="13">
        <v>158307.4300</v>
      </c>
      <c r="K28" s="13">
        <v>674942.8200</v>
      </c>
    </row>
    <row r="29" ht="10.95" customHeight="true" customFormat="true" s="9">
      <c r="A29" s="12" t="s">
        <v>33</v>
      </c>
      <c r="B29" s="13">
        <v>29636.0900</v>
      </c>
      <c r="C29" s="13">
        <v>0</v>
      </c>
      <c r="D29" s="13">
        <v>21373.8100</v>
      </c>
      <c r="E29" s="13">
        <v>0</v>
      </c>
      <c r="F29" s="13">
        <v>0</v>
      </c>
      <c r="G29" s="13">
        <v>36016.5800</v>
      </c>
      <c r="H29" s="13">
        <v>53187.9900</v>
      </c>
      <c r="I29" s="13">
        <v>50784.9000</v>
      </c>
      <c r="J29" s="13">
        <v>52769.1400</v>
      </c>
      <c r="K29" s="13">
        <v>243768.5100</v>
      </c>
    </row>
    <row r="30" ht="10.95" customHeight="true" customFormat="true" s="9">
      <c r="A30" s="12" t="s">
        <v>34</v>
      </c>
      <c r="B30" s="13">
        <v>5925.0000</v>
      </c>
      <c r="C30" s="13">
        <v>10777.5800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11755.0800</v>
      </c>
      <c r="J30" s="13">
        <v>6486.9500</v>
      </c>
      <c r="K30" s="13">
        <v>34944.6100</v>
      </c>
    </row>
    <row r="31" ht="10.95" customHeight="true" customFormat="true" s="9">
      <c r="A31" s="12" t="s">
        <v>35</v>
      </c>
      <c r="B31" s="13">
        <v>2547.9200</v>
      </c>
      <c r="C31" s="13">
        <v>7839.2100</v>
      </c>
      <c r="D31" s="13">
        <v>9886.4000</v>
      </c>
      <c r="E31" s="13">
        <v>3224.2400</v>
      </c>
      <c r="F31" s="13">
        <v>9912.6100</v>
      </c>
      <c r="G31" s="13">
        <v>4707.2000</v>
      </c>
      <c r="H31" s="13">
        <v>6822.7500</v>
      </c>
      <c r="I31" s="13">
        <v>6272.3000</v>
      </c>
      <c r="J31" s="13">
        <v>11317.9900</v>
      </c>
      <c r="K31" s="13">
        <v>62530.6200</v>
      </c>
    </row>
    <row r="32" ht="10.95" customHeight="true" customFormat="true" s="9">
      <c r="A32" s="12" t="s">
        <v>36</v>
      </c>
      <c r="B32" s="13">
        <v>686.0800</v>
      </c>
      <c r="C32" s="13">
        <v>4040.6900</v>
      </c>
      <c r="D32" s="13">
        <v>33.0500</v>
      </c>
      <c r="E32" s="13">
        <v>54.6200</v>
      </c>
      <c r="F32" s="13">
        <v>11741.8800</v>
      </c>
      <c r="G32" s="13">
        <v>16191.8300</v>
      </c>
      <c r="H32" s="13">
        <v>0</v>
      </c>
      <c r="I32" s="13">
        <v>19629.7600</v>
      </c>
      <c r="J32" s="13">
        <v>128.3600</v>
      </c>
      <c r="K32" s="13">
        <v>52506.2700</v>
      </c>
    </row>
    <row r="33" ht="10.95" customHeight="true" customFormat="true" s="9">
      <c r="A33" s="12" t="s">
        <v>37</v>
      </c>
      <c r="B33" s="13">
        <v>0</v>
      </c>
      <c r="C33" s="13">
        <v>0</v>
      </c>
      <c r="D33" s="13">
        <v>0</v>
      </c>
      <c r="E33" s="13">
        <v>0</v>
      </c>
      <c r="F33" s="13">
        <v>23440.9300</v>
      </c>
      <c r="G33" s="13">
        <v>21636.9300</v>
      </c>
      <c r="H33" s="13">
        <v>21634.3300</v>
      </c>
      <c r="I33" s="13">
        <v>21541.4200</v>
      </c>
      <c r="J33" s="13">
        <v>17766.2000</v>
      </c>
      <c r="K33" s="13">
        <v>106019.8100</v>
      </c>
    </row>
    <row r="34" ht="10.95" customHeight="true" customFormat="true" s="9">
      <c r="A34" s="12" t="s">
        <v>38</v>
      </c>
      <c r="B34" s="13">
        <v>0</v>
      </c>
      <c r="C34" s="13">
        <v>0</v>
      </c>
      <c r="D34" s="13">
        <v>0</v>
      </c>
      <c r="E34" s="13">
        <v>0</v>
      </c>
      <c r="F34" s="13">
        <v>983.7900</v>
      </c>
      <c r="G34" s="13">
        <v>939.7900</v>
      </c>
      <c r="H34" s="13">
        <v>939.7900</v>
      </c>
      <c r="I34" s="13">
        <v>939.7900</v>
      </c>
      <c r="J34" s="13">
        <v>842.9900</v>
      </c>
      <c r="K34" s="13">
        <v>4646.1500</v>
      </c>
    </row>
    <row r="35" ht="10.95" customHeight="true" customFormat="true" s="9">
      <c r="A35" s="12" t="s">
        <v>39</v>
      </c>
      <c r="B35" s="13">
        <v>0</v>
      </c>
      <c r="C35" s="13">
        <v>0</v>
      </c>
      <c r="D35" s="13">
        <v>0</v>
      </c>
      <c r="E35" s="13">
        <v>95000.0000</v>
      </c>
      <c r="F35" s="13">
        <v>57226.0900</v>
      </c>
      <c r="G35" s="13">
        <v>54630.0700</v>
      </c>
      <c r="H35" s="13">
        <v>54632.6700</v>
      </c>
      <c r="I35" s="13">
        <v>54725.5800</v>
      </c>
      <c r="J35" s="13">
        <v>48820.7600</v>
      </c>
      <c r="K35" s="13">
        <v>365035.1700</v>
      </c>
    </row>
    <row r="36" ht="10.95" customHeight="true" customFormat="true" s="9">
      <c r="A36" s="12" t="s">
        <v>40</v>
      </c>
      <c r="B36" s="13">
        <v>1608.7000</v>
      </c>
      <c r="C36" s="13">
        <v>3496.8300</v>
      </c>
      <c r="D36" s="13">
        <v>1910.7000</v>
      </c>
      <c r="E36" s="13">
        <v>3217.3900</v>
      </c>
      <c r="F36" s="13">
        <v>4840.0000</v>
      </c>
      <c r="G36" s="13">
        <v>0</v>
      </c>
      <c r="H36" s="13">
        <v>5608.7000</v>
      </c>
      <c r="I36" s="13">
        <v>21687.5400</v>
      </c>
      <c r="J36" s="13">
        <v>761.4700</v>
      </c>
      <c r="K36" s="13">
        <v>43131.3300</v>
      </c>
    </row>
    <row r="37" ht="10.95" customHeight="true" customFormat="true" s="9">
      <c r="A37" s="12" t="s">
        <v>41</v>
      </c>
      <c r="B37" s="13">
        <v>2030.6100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2030.6100</v>
      </c>
    </row>
    <row r="38" ht="10.95" customHeight="true" customFormat="true" s="9">
      <c r="A38" s="12" t="s">
        <v>42</v>
      </c>
      <c r="B38" s="13">
        <v>485.2200</v>
      </c>
      <c r="C38" s="13">
        <v>0</v>
      </c>
      <c r="D38" s="13">
        <v>2137.7000</v>
      </c>
      <c r="E38" s="13">
        <v>0</v>
      </c>
      <c r="F38" s="13">
        <v>0</v>
      </c>
      <c r="G38" s="13">
        <v>107.8300</v>
      </c>
      <c r="H38" s="13">
        <v>1850.0000</v>
      </c>
      <c r="I38" s="13">
        <v>185.1300</v>
      </c>
      <c r="J38" s="13">
        <v>1089.1300</v>
      </c>
      <c r="K38" s="13">
        <v>5855.0100</v>
      </c>
    </row>
    <row r="39" ht="10.95" customHeight="true" customFormat="true" s="9">
      <c r="A39" s="12" t="s">
        <v>43</v>
      </c>
      <c r="B39" s="13">
        <v>1215250.0000</v>
      </c>
      <c r="C39" s="13">
        <v>1426875.0000</v>
      </c>
      <c r="D39" s="13">
        <v>1337850.0000</v>
      </c>
      <c r="E39" s="13">
        <v>1198600.0000</v>
      </c>
      <c r="F39" s="13">
        <v>1363525.0000</v>
      </c>
      <c r="G39" s="13">
        <v>1242000.0000</v>
      </c>
      <c r="H39" s="13">
        <v>1182125.0000</v>
      </c>
      <c r="I39" s="13">
        <v>1203325.0000</v>
      </c>
      <c r="J39" s="13">
        <v>1206220.0500</v>
      </c>
      <c r="K39" s="13">
        <v>11375770.0500</v>
      </c>
    </row>
    <row r="40" ht="10.95" customHeight="true" customFormat="true" s="9">
      <c r="A40" s="12" t="s">
        <v>44</v>
      </c>
      <c r="B40" s="13">
        <v>514.0800</v>
      </c>
      <c r="C40" s="13">
        <v>514.0800</v>
      </c>
      <c r="D40" s="13">
        <v>514.0800</v>
      </c>
      <c r="E40" s="13">
        <v>514.0800</v>
      </c>
      <c r="F40" s="13">
        <v>451.4700</v>
      </c>
      <c r="G40" s="13">
        <v>451.4700</v>
      </c>
      <c r="H40" s="13">
        <v>451.4700</v>
      </c>
      <c r="I40" s="13">
        <v>451.4700</v>
      </c>
      <c r="J40" s="13">
        <v>451.4700</v>
      </c>
      <c r="K40" s="13">
        <v>4313.6700</v>
      </c>
    </row>
    <row r="41" ht="10.95" customHeight="true" customFormat="true" s="9">
      <c r="A41" s="12" t="s">
        <v>45</v>
      </c>
      <c r="B41" s="13">
        <v>0</v>
      </c>
      <c r="C41" s="13">
        <v>6486.9500</v>
      </c>
      <c r="D41" s="13">
        <v>8.7000</v>
      </c>
      <c r="E41" s="13">
        <v>4839.1300</v>
      </c>
      <c r="F41" s="13">
        <v>2839.1300</v>
      </c>
      <c r="G41" s="13">
        <v>4134.7800</v>
      </c>
      <c r="H41" s="13">
        <v>0</v>
      </c>
      <c r="I41" s="13">
        <v>0</v>
      </c>
      <c r="J41" s="13">
        <v>7373.9100</v>
      </c>
      <c r="K41" s="13">
        <v>25682.6000</v>
      </c>
    </row>
    <row r="42" ht="10.95" customHeight="true" customFormat="true" s="9">
      <c r="A42" s="12" t="s">
        <v>46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2819.1300</v>
      </c>
      <c r="K42" s="13">
        <v>2819.1300</v>
      </c>
    </row>
    <row r="43" ht="10.95" customHeight="true" customFormat="true" s="9">
      <c r="A43" s="12" t="s">
        <v>47</v>
      </c>
      <c r="B43" s="13">
        <v>6035.0900</v>
      </c>
      <c r="C43" s="13">
        <v>11568.8400</v>
      </c>
      <c r="D43" s="13">
        <v>13628.7300</v>
      </c>
      <c r="E43" s="13">
        <v>11530.7000</v>
      </c>
      <c r="F43" s="13">
        <v>7358.7300</v>
      </c>
      <c r="G43" s="13">
        <v>7772.3900</v>
      </c>
      <c r="H43" s="13">
        <v>9912.7800</v>
      </c>
      <c r="I43" s="13">
        <v>17270.7800</v>
      </c>
      <c r="J43" s="13">
        <v>13492.9300</v>
      </c>
      <c r="K43" s="13">
        <v>98570.9700</v>
      </c>
    </row>
    <row r="44" ht="10.95" customHeight="true" customFormat="true" s="9">
      <c r="A44" s="12" t="s">
        <v>48</v>
      </c>
      <c r="B44" s="13">
        <v>3594.0900</v>
      </c>
      <c r="C44" s="13">
        <v>5824.9800</v>
      </c>
      <c r="D44" s="13">
        <v>3463.4700</v>
      </c>
      <c r="E44" s="13">
        <v>3942.0900</v>
      </c>
      <c r="F44" s="13">
        <v>4791.4500</v>
      </c>
      <c r="G44" s="13">
        <v>7171.7300</v>
      </c>
      <c r="H44" s="13">
        <v>4788.3400</v>
      </c>
      <c r="I44" s="13">
        <v>3841.4500</v>
      </c>
      <c r="J44" s="13">
        <v>10952.1900</v>
      </c>
      <c r="K44" s="13">
        <v>48369.7900</v>
      </c>
    </row>
    <row r="45" ht="10.95" customHeight="true" customFormat="true" s="9">
      <c r="A45" s="12" t="s">
        <v>49</v>
      </c>
      <c r="B45" s="13">
        <v>8642.3000</v>
      </c>
      <c r="C45" s="13">
        <v>4988.0400</v>
      </c>
      <c r="D45" s="13">
        <v>7053.5600</v>
      </c>
      <c r="E45" s="13">
        <v>5288.1100</v>
      </c>
      <c r="F45" s="13">
        <v>5578.7400</v>
      </c>
      <c r="G45" s="13">
        <v>7295.0100</v>
      </c>
      <c r="H45" s="13">
        <v>4414.0500</v>
      </c>
      <c r="I45" s="13">
        <v>5209.0000</v>
      </c>
      <c r="J45" s="13">
        <v>4357.6900</v>
      </c>
      <c r="K45" s="13">
        <v>52826.5000</v>
      </c>
    </row>
    <row r="46" ht="10.95" customHeight="true" customFormat="true" s="9">
      <c r="A46" s="12" t="s">
        <v>50</v>
      </c>
      <c r="B46" s="13">
        <v>0</v>
      </c>
      <c r="C46" s="13">
        <v>0</v>
      </c>
      <c r="D46" s="13">
        <v>7533.0100</v>
      </c>
      <c r="E46" s="13">
        <v>7287.2000</v>
      </c>
      <c r="F46" s="13">
        <v>8780.8900</v>
      </c>
      <c r="G46" s="13">
        <v>8003.6800</v>
      </c>
      <c r="H46" s="13">
        <v>11819.5500</v>
      </c>
      <c r="I46" s="13">
        <v>11285.5300</v>
      </c>
      <c r="J46" s="13">
        <v>11726.4800</v>
      </c>
      <c r="K46" s="13">
        <v>66436.3400</v>
      </c>
    </row>
    <row r="47" ht="10.95" customHeight="true" customFormat="true" s="9">
      <c r="A47" s="12" t="s">
        <v>51</v>
      </c>
      <c r="B47" s="13">
        <v>0</v>
      </c>
      <c r="C47" s="13">
        <v>0</v>
      </c>
      <c r="D47" s="13">
        <v>18079.2200</v>
      </c>
      <c r="E47" s="13">
        <v>17489.2800</v>
      </c>
      <c r="F47" s="13">
        <v>21074.1400</v>
      </c>
      <c r="G47" s="13">
        <v>19208.8400</v>
      </c>
      <c r="H47" s="13">
        <v>28366.9300</v>
      </c>
      <c r="I47" s="13">
        <v>27085.2800</v>
      </c>
      <c r="J47" s="13">
        <v>28143.5400</v>
      </c>
      <c r="K47" s="13">
        <v>159447.2300</v>
      </c>
    </row>
    <row r="48" ht="10.95" customHeight="true" customFormat="true" s="9">
      <c r="A48" s="12" t="s">
        <v>52</v>
      </c>
      <c r="B48" s="13">
        <v>0</v>
      </c>
      <c r="C48" s="13">
        <v>0</v>
      </c>
      <c r="D48" s="13">
        <v>12052.8100</v>
      </c>
      <c r="E48" s="13">
        <v>11659.5200</v>
      </c>
      <c r="F48" s="13">
        <v>14049.4300</v>
      </c>
      <c r="G48" s="13">
        <v>12805.8900</v>
      </c>
      <c r="H48" s="13">
        <v>18911.2900</v>
      </c>
      <c r="I48" s="13">
        <v>18056.8500</v>
      </c>
      <c r="J48" s="13">
        <v>18762.3600</v>
      </c>
      <c r="K48" s="13">
        <v>106298.1500</v>
      </c>
    </row>
    <row r="49" ht="10.95" customHeight="true" customFormat="true" s="9">
      <c r="A49" s="12" t="s">
        <v>53</v>
      </c>
      <c r="B49" s="13">
        <v>206514.5100</v>
      </c>
      <c r="C49" s="13">
        <v>145637.6300</v>
      </c>
      <c r="D49" s="13">
        <v>157986.5600</v>
      </c>
      <c r="E49" s="13">
        <v>153591.6400</v>
      </c>
      <c r="F49" s="13">
        <v>121106.4700</v>
      </c>
      <c r="G49" s="13">
        <v>135958.6800</v>
      </c>
      <c r="H49" s="13">
        <v>66424.6100</v>
      </c>
      <c r="I49" s="13">
        <v>42561.5200</v>
      </c>
      <c r="J49" s="13">
        <v>0</v>
      </c>
      <c r="K49" s="13">
        <v>1029781.6200</v>
      </c>
    </row>
    <row r="50" ht="10.95" customHeight="true" customFormat="true" s="9">
      <c r="A50" s="12" t="s">
        <v>54</v>
      </c>
      <c r="B50" s="13">
        <v>13580.0200</v>
      </c>
      <c r="C50" s="13">
        <v>54920.9000</v>
      </c>
      <c r="D50" s="13">
        <v>33644.1800</v>
      </c>
      <c r="E50" s="13">
        <v>7949.6000</v>
      </c>
      <c r="F50" s="13">
        <v>6940.0600</v>
      </c>
      <c r="G50" s="13">
        <v>5126.1300</v>
      </c>
      <c r="H50" s="13">
        <v>7506.0900</v>
      </c>
      <c r="I50" s="13">
        <v>6635.6900</v>
      </c>
      <c r="J50" s="13">
        <v>1545.2200</v>
      </c>
      <c r="K50" s="13">
        <v>137847.8900</v>
      </c>
    </row>
    <row r="51" ht="10.95" customHeight="true" customFormat="true" s="9">
      <c r="A51" s="12" t="s">
        <v>55</v>
      </c>
      <c r="B51" s="13">
        <v>4347.8300</v>
      </c>
      <c r="C51" s="13">
        <v>0</v>
      </c>
      <c r="D51" s="13">
        <v>4347.8300</v>
      </c>
      <c r="E51" s="13">
        <v>0</v>
      </c>
      <c r="F51" s="13">
        <v>5217.3900</v>
      </c>
      <c r="G51" s="13">
        <v>0</v>
      </c>
      <c r="H51" s="13">
        <v>0</v>
      </c>
      <c r="I51" s="13">
        <v>0</v>
      </c>
      <c r="J51" s="13">
        <v>0</v>
      </c>
      <c r="K51" s="13">
        <v>13913.0500</v>
      </c>
    </row>
    <row r="52" ht="10.95" customHeight="true" customFormat="true" s="9">
      <c r="A52" s="14" t="s">
        <v>56</v>
      </c>
      <c r="B52" s="15">
        <f ca="1">SUM(B19:B51)</f>
        <v>0</v>
      </c>
      <c r="C52" s="15">
        <f ca="1">SUM(C19:C51)</f>
        <v>0</v>
      </c>
      <c r="D52" s="15">
        <f ca="1">SUM(D19:D51)</f>
        <v>0</v>
      </c>
      <c r="E52" s="15">
        <f ca="1">SUM(E19:E51)</f>
        <v>0</v>
      </c>
      <c r="F52" s="15">
        <f ca="1">SUM(F19:F51)</f>
        <v>0</v>
      </c>
      <c r="G52" s="15">
        <f ca="1">SUM(G19:G51)</f>
        <v>0</v>
      </c>
      <c r="H52" s="15">
        <f ca="1">SUM(H19:H51)</f>
        <v>0</v>
      </c>
      <c r="I52" s="15">
        <f ca="1">SUM(I19:I51)</f>
        <v>0</v>
      </c>
      <c r="J52" s="15">
        <f ca="1">SUM(J19:J51)</f>
        <v>0</v>
      </c>
      <c r="K52" s="15">
        <f ca="1">SUM(K19:K51)</f>
        <v>0</v>
      </c>
    </row>
    <row r="53" ht="13.35" customHeight="true"/>
    <row r="54" ht="10.95" customHeight="true" customFormat="true" s="9">
      <c r="A54" s="16" t="s">
        <v>57</v>
      </c>
      <c r="B54" s="17">
        <f ca="1">((B16 + 0) - B52)</f>
        <v>0</v>
      </c>
      <c r="C54" s="17">
        <f ca="1">((C16 + 0) - C52)</f>
        <v>0</v>
      </c>
      <c r="D54" s="17">
        <f ca="1">((D16 + 0) - D52)</f>
        <v>0</v>
      </c>
      <c r="E54" s="17">
        <f ca="1">((E16 + 0) - E52)</f>
        <v>0</v>
      </c>
      <c r="F54" s="17">
        <f ca="1">((F16 + 0) - F52)</f>
        <v>0</v>
      </c>
      <c r="G54" s="17">
        <f ca="1">((G16 + 0) - G52)</f>
        <v>0</v>
      </c>
      <c r="H54" s="17">
        <f ca="1">((H16 + 0) - H52)</f>
        <v>0</v>
      </c>
      <c r="I54" s="17">
        <f ca="1">((I16 + 0) - I52)</f>
        <v>0</v>
      </c>
      <c r="J54" s="17">
        <f ca="1">((J16 + 0) - J52)</f>
        <v>0</v>
      </c>
      <c r="K54" s="17">
        <f ca="1">((K16 + 0) - K52)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