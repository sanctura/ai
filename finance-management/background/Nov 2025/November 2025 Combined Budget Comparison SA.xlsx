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Monthly Reports\Nov 2025\"/>
    </mc:Choice>
  </mc:AlternateContent>
  <xr:revisionPtr revIDLastSave="0" documentId="13_ncr:1_{A647F9E7-2BA1-4829-8369-46F3FD09956D}" xr6:coauthVersionLast="47" xr6:coauthVersionMax="47" xr10:uidLastSave="{00000000-0000-0000-0000-000000000000}"/>
  <bookViews>
    <workbookView xWindow="-108" yWindow="-108" windowWidth="23256" windowHeight="12456" activeTab="1" xr2:uid="{32D4DED2-44E1-4AB5-AA88-895C310056B4}"/>
  </bookViews>
  <sheets>
    <sheet name="SA P &amp; L" sheetId="7" r:id="rId1"/>
    <sheet name="Combined" sheetId="1" r:id="rId2"/>
    <sheet name="SA V2" sheetId="6" r:id="rId3"/>
    <sheet name="UK P &amp; L" sheetId="10" r:id="rId4"/>
    <sheet name="UK V4" sheetId="8" r:id="rId5"/>
  </sheets>
  <externalReferences>
    <externalReference r:id="rId6"/>
    <externalReference r:id="rId7"/>
    <externalReference r:id="rId8"/>
  </externalReferences>
  <definedNames>
    <definedName name="_xlnm._FilterDatabase" localSheetId="2" hidden="1">'SA V2'!$C$184:$E$190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2" i="10" l="1"/>
  <c r="N18" i="10"/>
  <c r="N21" i="10" s="1"/>
  <c r="N25" i="10" s="1"/>
  <c r="M18" i="10"/>
  <c r="O17" i="10"/>
  <c r="O15" i="10"/>
  <c r="O14" i="10"/>
  <c r="O13" i="10"/>
  <c r="O12" i="10"/>
  <c r="O11" i="10"/>
  <c r="O10" i="10"/>
  <c r="O9" i="10"/>
  <c r="O8" i="10"/>
  <c r="O7" i="10"/>
  <c r="E25" i="10"/>
  <c r="B25" i="10"/>
  <c r="E22" i="10"/>
  <c r="B22" i="10"/>
  <c r="E26" i="10"/>
  <c r="B26" i="10"/>
  <c r="E24" i="10"/>
  <c r="B24" i="10"/>
  <c r="E23" i="10"/>
  <c r="B23" i="10"/>
  <c r="E69" i="10"/>
  <c r="B69" i="10"/>
  <c r="F25" i="10"/>
  <c r="F24" i="10"/>
  <c r="F23" i="10"/>
  <c r="F22" i="10"/>
  <c r="F14" i="10"/>
  <c r="F17" i="10" s="1"/>
  <c r="F8" i="10"/>
  <c r="F11" i="10" s="1"/>
  <c r="C25" i="10"/>
  <c r="C24" i="10"/>
  <c r="C23" i="10"/>
  <c r="C22" i="10"/>
  <c r="C14" i="10"/>
  <c r="C17" i="10" s="1"/>
  <c r="C8" i="10"/>
  <c r="C11" i="10" s="1"/>
  <c r="J26" i="1"/>
  <c r="J27" i="1"/>
  <c r="J46" i="1"/>
  <c r="J43" i="1"/>
  <c r="J42" i="1"/>
  <c r="J39" i="1"/>
  <c r="J37" i="1"/>
  <c r="J35" i="1"/>
  <c r="J34" i="1"/>
  <c r="J33" i="1"/>
  <c r="J32" i="1"/>
  <c r="J31" i="1"/>
  <c r="J30" i="1"/>
  <c r="J29" i="1"/>
  <c r="J28" i="1"/>
  <c r="J25" i="1"/>
  <c r="J24" i="1"/>
  <c r="J23" i="1"/>
  <c r="J22" i="1"/>
  <c r="J21" i="1"/>
  <c r="J20" i="1"/>
  <c r="J19" i="1"/>
  <c r="D13" i="1"/>
  <c r="C27" i="1"/>
  <c r="C42" i="1"/>
  <c r="C33" i="1"/>
  <c r="C46" i="1"/>
  <c r="D38" i="1"/>
  <c r="C38" i="1"/>
  <c r="C37" i="1"/>
  <c r="C35" i="1"/>
  <c r="C34" i="1"/>
  <c r="C32" i="1"/>
  <c r="C31" i="1"/>
  <c r="C30" i="1"/>
  <c r="C29" i="1"/>
  <c r="C28" i="1"/>
  <c r="C26" i="1"/>
  <c r="C25" i="1"/>
  <c r="C24" i="1"/>
  <c r="C23" i="1"/>
  <c r="C22" i="1"/>
  <c r="C21" i="1"/>
  <c r="C19" i="1"/>
  <c r="B27" i="1"/>
  <c r="B46" i="1"/>
  <c r="D37" i="1"/>
  <c r="B43" i="1"/>
  <c r="B42" i="1"/>
  <c r="B39" i="1"/>
  <c r="B37" i="1"/>
  <c r="B35" i="1"/>
  <c r="B34" i="1"/>
  <c r="B33" i="1"/>
  <c r="B32" i="1"/>
  <c r="B31" i="1"/>
  <c r="B30" i="1"/>
  <c r="B29" i="1"/>
  <c r="F31" i="1"/>
  <c r="F32" i="1"/>
  <c r="F33" i="1"/>
  <c r="F34" i="1"/>
  <c r="F35" i="1"/>
  <c r="F36" i="1"/>
  <c r="F23" i="1"/>
  <c r="F24" i="1"/>
  <c r="F25" i="1"/>
  <c r="F26" i="1"/>
  <c r="F27" i="1"/>
  <c r="F28" i="1"/>
  <c r="F29" i="1"/>
  <c r="F30" i="1"/>
  <c r="F22" i="1"/>
  <c r="B28" i="1"/>
  <c r="B25" i="1"/>
  <c r="B24" i="1"/>
  <c r="B23" i="1"/>
  <c r="B22" i="1"/>
  <c r="B21" i="1"/>
  <c r="B20" i="1"/>
  <c r="B19" i="1"/>
  <c r="J13" i="1"/>
  <c r="J8" i="1"/>
  <c r="J9" i="1"/>
  <c r="C13" i="1"/>
  <c r="B13" i="1"/>
  <c r="C8" i="1"/>
  <c r="C9" i="1"/>
  <c r="D9" i="1"/>
  <c r="B9" i="1"/>
  <c r="B8" i="1"/>
  <c r="N10" i="7"/>
  <c r="O10" i="7"/>
  <c r="P10" i="7"/>
  <c r="P16" i="7" s="1"/>
  <c r="P54" i="7" s="1"/>
  <c r="Q10" i="7"/>
  <c r="Q16" i="7" s="1"/>
  <c r="Q54" i="7" s="1"/>
  <c r="R10" i="7"/>
  <c r="S10" i="7"/>
  <c r="T10" i="7"/>
  <c r="T16" i="7" s="1"/>
  <c r="T54" i="7" s="1"/>
  <c r="U10" i="7"/>
  <c r="V10" i="7"/>
  <c r="W10" i="7"/>
  <c r="N14" i="7"/>
  <c r="N16" i="7" s="1"/>
  <c r="O14" i="7"/>
  <c r="O16" i="7" s="1"/>
  <c r="P14" i="7"/>
  <c r="Q14" i="7"/>
  <c r="R14" i="7"/>
  <c r="S14" i="7"/>
  <c r="T14" i="7"/>
  <c r="U14" i="7"/>
  <c r="V14" i="7"/>
  <c r="W14" i="7"/>
  <c r="N52" i="7"/>
  <c r="O52" i="7"/>
  <c r="P52" i="7"/>
  <c r="Q52" i="7"/>
  <c r="R52" i="7"/>
  <c r="S52" i="7"/>
  <c r="T52" i="7"/>
  <c r="U52" i="7"/>
  <c r="V52" i="7"/>
  <c r="W52" i="7"/>
  <c r="B11" i="7"/>
  <c r="C11" i="7"/>
  <c r="C17" i="7" s="1"/>
  <c r="D11" i="7"/>
  <c r="D17" i="7" s="1"/>
  <c r="E11" i="7"/>
  <c r="E17" i="7" s="1"/>
  <c r="F11" i="7"/>
  <c r="G11" i="7"/>
  <c r="H11" i="7"/>
  <c r="H17" i="7" s="1"/>
  <c r="H50" i="7" s="1"/>
  <c r="I11" i="7"/>
  <c r="I17" i="7" s="1"/>
  <c r="I50" i="7" s="1"/>
  <c r="J11" i="7"/>
  <c r="K11" i="7"/>
  <c r="B15" i="7"/>
  <c r="C15" i="7"/>
  <c r="D15" i="7"/>
  <c r="E15" i="7"/>
  <c r="F15" i="7"/>
  <c r="G15" i="7"/>
  <c r="H15" i="7"/>
  <c r="I15" i="7"/>
  <c r="J15" i="7"/>
  <c r="K15" i="7"/>
  <c r="B48" i="7"/>
  <c r="C48" i="7"/>
  <c r="D48" i="7"/>
  <c r="E48" i="7"/>
  <c r="F48" i="7"/>
  <c r="G48" i="7"/>
  <c r="H48" i="7"/>
  <c r="I48" i="7"/>
  <c r="J48" i="7"/>
  <c r="K48" i="7"/>
  <c r="Q56" i="7" s="1"/>
  <c r="K35" i="1"/>
  <c r="K36" i="1"/>
  <c r="K24" i="1"/>
  <c r="K25" i="1"/>
  <c r="K26" i="1"/>
  <c r="K27" i="1"/>
  <c r="K28" i="1"/>
  <c r="K29" i="1"/>
  <c r="K30" i="1"/>
  <c r="K31" i="1"/>
  <c r="K32" i="1"/>
  <c r="K33" i="1"/>
  <c r="K34" i="1"/>
  <c r="K23" i="1"/>
  <c r="K22" i="1"/>
  <c r="K21" i="1"/>
  <c r="K20" i="1"/>
  <c r="K19" i="1"/>
  <c r="K37" i="1"/>
  <c r="N43" i="1"/>
  <c r="K43" i="1"/>
  <c r="K46" i="1"/>
  <c r="F46" i="1"/>
  <c r="F43" i="1"/>
  <c r="F42" i="1"/>
  <c r="F37" i="1"/>
  <c r="F20" i="1"/>
  <c r="F21" i="1"/>
  <c r="F19" i="1"/>
  <c r="N13" i="1"/>
  <c r="K13" i="1"/>
  <c r="F13" i="1"/>
  <c r="K9" i="1"/>
  <c r="F9" i="1"/>
  <c r="E11" i="10"/>
  <c r="E17" i="10"/>
  <c r="E33" i="10"/>
  <c r="B11" i="10"/>
  <c r="B17" i="10"/>
  <c r="B33" i="10"/>
  <c r="BH386" i="8"/>
  <c r="BF386" i="8"/>
  <c r="BE386" i="8"/>
  <c r="BD386" i="8"/>
  <c r="BC386" i="8"/>
  <c r="BB386" i="8"/>
  <c r="AW386" i="8"/>
  <c r="AV386" i="8"/>
  <c r="AT386" i="8"/>
  <c r="AK386" i="8"/>
  <c r="AJ386" i="8"/>
  <c r="AI386" i="8"/>
  <c r="AH386" i="8"/>
  <c r="AG386" i="8"/>
  <c r="Y386" i="8"/>
  <c r="X386" i="8"/>
  <c r="W386" i="8"/>
  <c r="V386" i="8"/>
  <c r="U386" i="8"/>
  <c r="M386" i="8"/>
  <c r="L386" i="8"/>
  <c r="J386" i="8"/>
  <c r="J385" i="8"/>
  <c r="K382" i="8"/>
  <c r="L379" i="8" s="1"/>
  <c r="L382" i="8" s="1"/>
  <c r="M379" i="8" s="1"/>
  <c r="M382" i="8" s="1"/>
  <c r="N379" i="8" s="1"/>
  <c r="N382" i="8" s="1"/>
  <c r="O379" i="8" s="1"/>
  <c r="O382" i="8" s="1"/>
  <c r="P379" i="8" s="1"/>
  <c r="P382" i="8" s="1"/>
  <c r="Q379" i="8" s="1"/>
  <c r="Q382" i="8" s="1"/>
  <c r="R379" i="8" s="1"/>
  <c r="R382" i="8" s="1"/>
  <c r="S379" i="8" s="1"/>
  <c r="S382" i="8" s="1"/>
  <c r="T379" i="8" s="1"/>
  <c r="T382" i="8" s="1"/>
  <c r="U379" i="8" s="1"/>
  <c r="U382" i="8" s="1"/>
  <c r="V379" i="8" s="1"/>
  <c r="V382" i="8" s="1"/>
  <c r="W379" i="8" s="1"/>
  <c r="W382" i="8" s="1"/>
  <c r="X379" i="8" s="1"/>
  <c r="X382" i="8" s="1"/>
  <c r="Y379" i="8" s="1"/>
  <c r="Y382" i="8" s="1"/>
  <c r="Z379" i="8" s="1"/>
  <c r="Z382" i="8" s="1"/>
  <c r="AA379" i="8" s="1"/>
  <c r="AA382" i="8" s="1"/>
  <c r="AB379" i="8" s="1"/>
  <c r="AB382" i="8" s="1"/>
  <c r="BH381" i="8"/>
  <c r="BG381" i="8"/>
  <c r="BF381" i="8"/>
  <c r="BE381" i="8"/>
  <c r="BD381" i="8"/>
  <c r="BC381" i="8"/>
  <c r="BB381" i="8"/>
  <c r="BA381" i="8"/>
  <c r="AZ381" i="8"/>
  <c r="AY381" i="8"/>
  <c r="AX381" i="8"/>
  <c r="AW381" i="8"/>
  <c r="AV381" i="8"/>
  <c r="AU381" i="8"/>
  <c r="AT381" i="8"/>
  <c r="AS381" i="8"/>
  <c r="AR381" i="8"/>
  <c r="AQ381" i="8"/>
  <c r="AP381" i="8"/>
  <c r="AO381" i="8"/>
  <c r="AN381" i="8"/>
  <c r="AM381" i="8"/>
  <c r="AL381" i="8"/>
  <c r="AK381" i="8"/>
  <c r="AJ381" i="8"/>
  <c r="AI381" i="8"/>
  <c r="AH381" i="8"/>
  <c r="AG381" i="8"/>
  <c r="AF381" i="8"/>
  <c r="AE381" i="8"/>
  <c r="AD381" i="8"/>
  <c r="AC381" i="8"/>
  <c r="AB381" i="8"/>
  <c r="AA381" i="8"/>
  <c r="Z381" i="8"/>
  <c r="Y381" i="8"/>
  <c r="X381" i="8"/>
  <c r="W381" i="8"/>
  <c r="V381" i="8"/>
  <c r="U381" i="8"/>
  <c r="T381" i="8"/>
  <c r="S381" i="8"/>
  <c r="R381" i="8"/>
  <c r="Q381" i="8"/>
  <c r="P381" i="8"/>
  <c r="O381" i="8"/>
  <c r="N381" i="8"/>
  <c r="M381" i="8"/>
  <c r="M380" i="8"/>
  <c r="AC379" i="8"/>
  <c r="AC382" i="8" s="1"/>
  <c r="AD379" i="8" s="1"/>
  <c r="AD382" i="8" s="1"/>
  <c r="AE379" i="8" s="1"/>
  <c r="AE382" i="8" s="1"/>
  <c r="AF379" i="8" s="1"/>
  <c r="AF382" i="8" s="1"/>
  <c r="AG379" i="8" s="1"/>
  <c r="AG382" i="8" s="1"/>
  <c r="AH379" i="8" s="1"/>
  <c r="AH382" i="8" s="1"/>
  <c r="AI379" i="8" s="1"/>
  <c r="AI382" i="8" s="1"/>
  <c r="AJ379" i="8" s="1"/>
  <c r="AJ382" i="8" s="1"/>
  <c r="AK379" i="8" s="1"/>
  <c r="AK382" i="8" s="1"/>
  <c r="AL379" i="8" s="1"/>
  <c r="AL382" i="8" s="1"/>
  <c r="AM379" i="8" s="1"/>
  <c r="AM382" i="8" s="1"/>
  <c r="AN379" i="8" s="1"/>
  <c r="AN382" i="8" s="1"/>
  <c r="AO379" i="8" s="1"/>
  <c r="AO382" i="8" s="1"/>
  <c r="AP379" i="8" s="1"/>
  <c r="AP382" i="8" s="1"/>
  <c r="AQ379" i="8" s="1"/>
  <c r="AQ382" i="8" s="1"/>
  <c r="AR379" i="8" s="1"/>
  <c r="AR382" i="8" s="1"/>
  <c r="AS379" i="8" s="1"/>
  <c r="AS382" i="8" s="1"/>
  <c r="AT379" i="8" s="1"/>
  <c r="AT382" i="8" s="1"/>
  <c r="AU379" i="8" s="1"/>
  <c r="AU382" i="8" s="1"/>
  <c r="AV379" i="8" s="1"/>
  <c r="AV382" i="8" s="1"/>
  <c r="AW379" i="8" s="1"/>
  <c r="AW382" i="8" s="1"/>
  <c r="AX379" i="8" s="1"/>
  <c r="AX382" i="8" s="1"/>
  <c r="AY379" i="8" s="1"/>
  <c r="AY382" i="8" s="1"/>
  <c r="AZ379" i="8" s="1"/>
  <c r="AZ382" i="8" s="1"/>
  <c r="BA379" i="8" s="1"/>
  <c r="BA382" i="8" s="1"/>
  <c r="BB379" i="8" s="1"/>
  <c r="BB382" i="8" s="1"/>
  <c r="BC379" i="8" s="1"/>
  <c r="BC382" i="8" s="1"/>
  <c r="BD379" i="8" s="1"/>
  <c r="BD382" i="8" s="1"/>
  <c r="BE379" i="8" s="1"/>
  <c r="BE382" i="8" s="1"/>
  <c r="BF379" i="8" s="1"/>
  <c r="BF382" i="8" s="1"/>
  <c r="BG379" i="8" s="1"/>
  <c r="BG382" i="8" s="1"/>
  <c r="BH379" i="8" s="1"/>
  <c r="BH382" i="8" s="1"/>
  <c r="J379" i="8"/>
  <c r="J382" i="8" s="1"/>
  <c r="K379" i="8" s="1"/>
  <c r="M366" i="8"/>
  <c r="BH365" i="8"/>
  <c r="BG365" i="8"/>
  <c r="BG386" i="8" s="1"/>
  <c r="BF365" i="8"/>
  <c r="BE365" i="8"/>
  <c r="BD365" i="8"/>
  <c r="BC365" i="8"/>
  <c r="BB365" i="8"/>
  <c r="BA365" i="8"/>
  <c r="BA386" i="8" s="1"/>
  <c r="AZ365" i="8"/>
  <c r="AZ386" i="8" s="1"/>
  <c r="AY365" i="8"/>
  <c r="AY386" i="8" s="1"/>
  <c r="AX365" i="8"/>
  <c r="AX386" i="8" s="1"/>
  <c r="AW365" i="8"/>
  <c r="AV365" i="8"/>
  <c r="AU365" i="8"/>
  <c r="AU386" i="8" s="1"/>
  <c r="AT365" i="8"/>
  <c r="AS365" i="8"/>
  <c r="AS386" i="8" s="1"/>
  <c r="AR365" i="8"/>
  <c r="AR386" i="8" s="1"/>
  <c r="AQ365" i="8"/>
  <c r="AQ386" i="8" s="1"/>
  <c r="AP365" i="8"/>
  <c r="AP386" i="8" s="1"/>
  <c r="AO365" i="8"/>
  <c r="AO386" i="8" s="1"/>
  <c r="AN365" i="8"/>
  <c r="AN386" i="8" s="1"/>
  <c r="AM365" i="8"/>
  <c r="AM386" i="8" s="1"/>
  <c r="AL365" i="8"/>
  <c r="AL386" i="8" s="1"/>
  <c r="AK365" i="8"/>
  <c r="AJ365" i="8"/>
  <c r="AI365" i="8"/>
  <c r="AH365" i="8"/>
  <c r="AG365" i="8"/>
  <c r="AF365" i="8"/>
  <c r="AF386" i="8" s="1"/>
  <c r="AE365" i="8"/>
  <c r="AE386" i="8" s="1"/>
  <c r="AD365" i="8"/>
  <c r="AD386" i="8" s="1"/>
  <c r="AC365" i="8"/>
  <c r="AC386" i="8" s="1"/>
  <c r="AB365" i="8"/>
  <c r="AB386" i="8" s="1"/>
  <c r="AA365" i="8"/>
  <c r="AA386" i="8" s="1"/>
  <c r="Z365" i="8"/>
  <c r="Z386" i="8" s="1"/>
  <c r="Y365" i="8"/>
  <c r="X365" i="8"/>
  <c r="W365" i="8"/>
  <c r="V365" i="8"/>
  <c r="U365" i="8"/>
  <c r="T365" i="8"/>
  <c r="T386" i="8" s="1"/>
  <c r="S365" i="8"/>
  <c r="S386" i="8" s="1"/>
  <c r="R365" i="8"/>
  <c r="R386" i="8" s="1"/>
  <c r="Q365" i="8"/>
  <c r="Q386" i="8" s="1"/>
  <c r="P365" i="8"/>
  <c r="P386" i="8" s="1"/>
  <c r="O365" i="8"/>
  <c r="O386" i="8" s="1"/>
  <c r="N365" i="8"/>
  <c r="N386" i="8" s="1"/>
  <c r="M365" i="8"/>
  <c r="L365" i="8"/>
  <c r="K365" i="8"/>
  <c r="K386" i="8" s="1"/>
  <c r="J365" i="8"/>
  <c r="J364" i="8"/>
  <c r="D357" i="8"/>
  <c r="F357" i="8" s="1"/>
  <c r="G357" i="8" s="1"/>
  <c r="F356" i="8"/>
  <c r="G356" i="8" s="1"/>
  <c r="D356" i="8"/>
  <c r="D355" i="8"/>
  <c r="F355" i="8" s="1"/>
  <c r="G355" i="8" s="1"/>
  <c r="G354" i="8"/>
  <c r="G358" i="8" s="1"/>
  <c r="F354" i="8"/>
  <c r="D354" i="8"/>
  <c r="J342" i="8"/>
  <c r="D342" i="8"/>
  <c r="E338" i="8"/>
  <c r="C326" i="8"/>
  <c r="C325" i="8"/>
  <c r="C324" i="8"/>
  <c r="C323" i="8"/>
  <c r="C321" i="8"/>
  <c r="C320" i="8"/>
  <c r="B316" i="8"/>
  <c r="C314" i="8"/>
  <c r="C313" i="8"/>
  <c r="C312" i="8"/>
  <c r="C311" i="8"/>
  <c r="C310" i="8"/>
  <c r="C309" i="8"/>
  <c r="C308" i="8"/>
  <c r="C307" i="8"/>
  <c r="C306" i="8"/>
  <c r="C305" i="8"/>
  <c r="C304" i="8"/>
  <c r="C303" i="8"/>
  <c r="C302" i="8"/>
  <c r="C301" i="8"/>
  <c r="C300" i="8"/>
  <c r="C299" i="8"/>
  <c r="W298" i="8"/>
  <c r="Q298" i="8"/>
  <c r="N298" i="8"/>
  <c r="M298" i="8"/>
  <c r="L298" i="8"/>
  <c r="K298" i="8"/>
  <c r="J298" i="8"/>
  <c r="C298" i="8"/>
  <c r="C297" i="8"/>
  <c r="T289" i="8"/>
  <c r="R289" i="8"/>
  <c r="P289" i="8"/>
  <c r="J289" i="8"/>
  <c r="C289" i="8"/>
  <c r="C288" i="8"/>
  <c r="C287" i="8"/>
  <c r="S286" i="8"/>
  <c r="R286" i="8"/>
  <c r="Q286" i="8"/>
  <c r="P286" i="8"/>
  <c r="O286" i="8"/>
  <c r="N286" i="8"/>
  <c r="M286" i="8"/>
  <c r="L286" i="8"/>
  <c r="K286" i="8"/>
  <c r="J286" i="8"/>
  <c r="C286" i="8"/>
  <c r="C285" i="8"/>
  <c r="C284" i="8"/>
  <c r="S283" i="8"/>
  <c r="R283" i="8"/>
  <c r="Q283" i="8"/>
  <c r="P283" i="8"/>
  <c r="O283" i="8"/>
  <c r="N283" i="8"/>
  <c r="M283" i="8"/>
  <c r="L283" i="8"/>
  <c r="K283" i="8"/>
  <c r="J283" i="8"/>
  <c r="C283" i="8"/>
  <c r="S282" i="8"/>
  <c r="R282" i="8"/>
  <c r="Q282" i="8"/>
  <c r="P282" i="8"/>
  <c r="O282" i="8"/>
  <c r="N282" i="8"/>
  <c r="M282" i="8"/>
  <c r="L282" i="8"/>
  <c r="K282" i="8"/>
  <c r="J282" i="8"/>
  <c r="C282" i="8"/>
  <c r="C279" i="8"/>
  <c r="C278" i="8"/>
  <c r="C277" i="8"/>
  <c r="C276" i="8"/>
  <c r="C275" i="8"/>
  <c r="N274" i="8"/>
  <c r="C274" i="8"/>
  <c r="S272" i="8"/>
  <c r="C272" i="8"/>
  <c r="C271" i="8"/>
  <c r="S268" i="8"/>
  <c r="R268" i="8"/>
  <c r="Q268" i="8"/>
  <c r="M268" i="8"/>
  <c r="R267" i="8"/>
  <c r="C267" i="8"/>
  <c r="C266" i="8"/>
  <c r="C265" i="8"/>
  <c r="C264" i="8"/>
  <c r="C263" i="8"/>
  <c r="C262" i="8"/>
  <c r="C260" i="8"/>
  <c r="BE259" i="8"/>
  <c r="AX259" i="8"/>
  <c r="AK259" i="8"/>
  <c r="AB259" i="8"/>
  <c r="AA259" i="8"/>
  <c r="Z259" i="8"/>
  <c r="R259" i="8"/>
  <c r="L259" i="8"/>
  <c r="K259" i="8"/>
  <c r="BH258" i="8"/>
  <c r="BG258" i="8"/>
  <c r="BF258" i="8"/>
  <c r="BE258" i="8"/>
  <c r="BD258" i="8"/>
  <c r="BC258" i="8"/>
  <c r="BB258" i="8"/>
  <c r="BA258" i="8"/>
  <c r="AZ258" i="8"/>
  <c r="AY258" i="8"/>
  <c r="AX258" i="8"/>
  <c r="AW258" i="8"/>
  <c r="AV258" i="8"/>
  <c r="AU258" i="8"/>
  <c r="AT258" i="8"/>
  <c r="AS258" i="8"/>
  <c r="AR258" i="8"/>
  <c r="AQ258" i="8"/>
  <c r="AP258" i="8"/>
  <c r="AO258" i="8"/>
  <c r="AN258" i="8"/>
  <c r="AM258" i="8"/>
  <c r="AL258" i="8"/>
  <c r="AK258" i="8"/>
  <c r="AJ258" i="8"/>
  <c r="AI258" i="8"/>
  <c r="AH258" i="8"/>
  <c r="AG258" i="8"/>
  <c r="AF258" i="8"/>
  <c r="AE258" i="8"/>
  <c r="AD258" i="8"/>
  <c r="AC258" i="8"/>
  <c r="AB258" i="8"/>
  <c r="AA258" i="8"/>
  <c r="Z258" i="8"/>
  <c r="Y258" i="8"/>
  <c r="X258" i="8"/>
  <c r="W258" i="8"/>
  <c r="V258" i="8"/>
  <c r="U258" i="8"/>
  <c r="T258" i="8"/>
  <c r="S258" i="8"/>
  <c r="R258" i="8"/>
  <c r="Q258" i="8"/>
  <c r="P258" i="8"/>
  <c r="O258" i="8"/>
  <c r="N258" i="8"/>
  <c r="M258" i="8"/>
  <c r="L258" i="8"/>
  <c r="K258" i="8"/>
  <c r="J258" i="8"/>
  <c r="C258" i="8"/>
  <c r="C257" i="8"/>
  <c r="C255" i="8"/>
  <c r="C254" i="8"/>
  <c r="C253" i="8"/>
  <c r="C252" i="8"/>
  <c r="C251" i="8"/>
  <c r="C250" i="8"/>
  <c r="C249" i="8"/>
  <c r="C248" i="8"/>
  <c r="C247" i="8"/>
  <c r="C246" i="8"/>
  <c r="C245" i="8"/>
  <c r="C244" i="8"/>
  <c r="C243" i="8"/>
  <c r="C240" i="8"/>
  <c r="F238" i="8"/>
  <c r="E238" i="8"/>
  <c r="E230" i="8"/>
  <c r="E227" i="8"/>
  <c r="E221" i="8"/>
  <c r="J218" i="8"/>
  <c r="J309" i="8" s="1"/>
  <c r="F217" i="8"/>
  <c r="E217" i="8"/>
  <c r="E216" i="8"/>
  <c r="E215" i="8"/>
  <c r="F212" i="8"/>
  <c r="J212" i="8" s="1"/>
  <c r="J303" i="8" s="1"/>
  <c r="F211" i="8"/>
  <c r="E211" i="8"/>
  <c r="E210" i="8"/>
  <c r="F209" i="8"/>
  <c r="E209" i="8"/>
  <c r="P207" i="8"/>
  <c r="O207" i="8"/>
  <c r="O298" i="8" s="1"/>
  <c r="J201" i="8"/>
  <c r="E200" i="8"/>
  <c r="E195" i="8"/>
  <c r="J193" i="8"/>
  <c r="J284" i="8" s="1"/>
  <c r="K192" i="8"/>
  <c r="K278" i="8" s="1"/>
  <c r="J192" i="8"/>
  <c r="J278" i="8" s="1"/>
  <c r="J191" i="8"/>
  <c r="J277" i="8" s="1"/>
  <c r="E191" i="8"/>
  <c r="K180" i="8"/>
  <c r="J180" i="8"/>
  <c r="J181" i="8" s="1"/>
  <c r="J275" i="8" s="1"/>
  <c r="D180" i="8"/>
  <c r="K179" i="8"/>
  <c r="K181" i="8" s="1"/>
  <c r="K275" i="8" s="1"/>
  <c r="J179" i="8"/>
  <c r="D179" i="8"/>
  <c r="S178" i="8"/>
  <c r="S175" i="8"/>
  <c r="S274" i="8" s="1"/>
  <c r="R175" i="8"/>
  <c r="R274" i="8" s="1"/>
  <c r="Q175" i="8"/>
  <c r="Q274" i="8" s="1"/>
  <c r="P175" i="8"/>
  <c r="P274" i="8" s="1"/>
  <c r="O175" i="8"/>
  <c r="O274" i="8" s="1"/>
  <c r="N175" i="8"/>
  <c r="M175" i="8"/>
  <c r="M274" i="8" s="1"/>
  <c r="L175" i="8"/>
  <c r="L274" i="8" s="1"/>
  <c r="K173" i="8"/>
  <c r="D172" i="8"/>
  <c r="D173" i="8" s="1"/>
  <c r="D171" i="8"/>
  <c r="K170" i="8"/>
  <c r="J170" i="8"/>
  <c r="J167" i="8"/>
  <c r="J273" i="8" s="1"/>
  <c r="F167" i="8"/>
  <c r="BH158" i="8"/>
  <c r="BH259" i="8" s="1"/>
  <c r="BG158" i="8"/>
  <c r="BG259" i="8" s="1"/>
  <c r="BF158" i="8"/>
  <c r="BF259" i="8" s="1"/>
  <c r="BE158" i="8"/>
  <c r="BD158" i="8"/>
  <c r="BD259" i="8" s="1"/>
  <c r="BC158" i="8"/>
  <c r="BC259" i="8" s="1"/>
  <c r="BB158" i="8"/>
  <c r="BB259" i="8" s="1"/>
  <c r="BA158" i="8"/>
  <c r="BA259" i="8" s="1"/>
  <c r="AZ158" i="8"/>
  <c r="AZ259" i="8" s="1"/>
  <c r="AY158" i="8"/>
  <c r="AY259" i="8" s="1"/>
  <c r="AX158" i="8"/>
  <c r="AW158" i="8"/>
  <c r="AW259" i="8" s="1"/>
  <c r="AV158" i="8"/>
  <c r="AV259" i="8" s="1"/>
  <c r="AU158" i="8"/>
  <c r="AU259" i="8" s="1"/>
  <c r="AT158" i="8"/>
  <c r="AT259" i="8" s="1"/>
  <c r="AS158" i="8"/>
  <c r="AS259" i="8" s="1"/>
  <c r="AR158" i="8"/>
  <c r="AR259" i="8" s="1"/>
  <c r="AQ158" i="8"/>
  <c r="AQ259" i="8" s="1"/>
  <c r="AP158" i="8"/>
  <c r="AP259" i="8" s="1"/>
  <c r="AO158" i="8"/>
  <c r="AO259" i="8" s="1"/>
  <c r="AN158" i="8"/>
  <c r="AN259" i="8" s="1"/>
  <c r="AM158" i="8"/>
  <c r="AM259" i="8" s="1"/>
  <c r="AL158" i="8"/>
  <c r="AL259" i="8" s="1"/>
  <c r="AK158" i="8"/>
  <c r="AJ158" i="8"/>
  <c r="AJ259" i="8" s="1"/>
  <c r="AI158" i="8"/>
  <c r="AI259" i="8" s="1"/>
  <c r="AH158" i="8"/>
  <c r="AH259" i="8" s="1"/>
  <c r="AG158" i="8"/>
  <c r="AG259" i="8" s="1"/>
  <c r="AF158" i="8"/>
  <c r="AF259" i="8" s="1"/>
  <c r="AE158" i="8"/>
  <c r="AE259" i="8" s="1"/>
  <c r="AD158" i="8"/>
  <c r="AD259" i="8" s="1"/>
  <c r="AC158" i="8"/>
  <c r="AC259" i="8" s="1"/>
  <c r="AB158" i="8"/>
  <c r="AA158" i="8"/>
  <c r="Z158" i="8"/>
  <c r="Y158" i="8"/>
  <c r="Y259" i="8" s="1"/>
  <c r="X158" i="8"/>
  <c r="X259" i="8" s="1"/>
  <c r="W158" i="8"/>
  <c r="W259" i="8" s="1"/>
  <c r="V158" i="8"/>
  <c r="V259" i="8" s="1"/>
  <c r="U158" i="8"/>
  <c r="U259" i="8" s="1"/>
  <c r="T158" i="8"/>
  <c r="T259" i="8" s="1"/>
  <c r="S158" i="8"/>
  <c r="S259" i="8" s="1"/>
  <c r="R158" i="8"/>
  <c r="Q158" i="8"/>
  <c r="Q259" i="8" s="1"/>
  <c r="P158" i="8"/>
  <c r="P259" i="8" s="1"/>
  <c r="O158" i="8"/>
  <c r="O259" i="8" s="1"/>
  <c r="N158" i="8"/>
  <c r="N259" i="8" s="1"/>
  <c r="M158" i="8"/>
  <c r="M259" i="8" s="1"/>
  <c r="L158" i="8"/>
  <c r="K158" i="8"/>
  <c r="J158" i="8"/>
  <c r="J259" i="8" s="1"/>
  <c r="C158" i="8"/>
  <c r="C259" i="8" s="1"/>
  <c r="BH157" i="8"/>
  <c r="BG157" i="8"/>
  <c r="BF157" i="8"/>
  <c r="BE157" i="8"/>
  <c r="BD157" i="8"/>
  <c r="BC157" i="8"/>
  <c r="BB157" i="8"/>
  <c r="BA157" i="8"/>
  <c r="AZ157" i="8"/>
  <c r="AY157" i="8"/>
  <c r="AX157" i="8"/>
  <c r="AW157" i="8"/>
  <c r="AV157" i="8"/>
  <c r="AU157" i="8"/>
  <c r="AT157" i="8"/>
  <c r="AS157" i="8"/>
  <c r="AR157" i="8"/>
  <c r="AQ157" i="8"/>
  <c r="AP157" i="8"/>
  <c r="AO157" i="8"/>
  <c r="AN157" i="8"/>
  <c r="AM157" i="8"/>
  <c r="AL157" i="8"/>
  <c r="AK157" i="8"/>
  <c r="AJ157" i="8"/>
  <c r="AI157" i="8"/>
  <c r="AH157" i="8"/>
  <c r="AG157" i="8"/>
  <c r="AF157" i="8"/>
  <c r="AE157" i="8"/>
  <c r="AD157" i="8"/>
  <c r="AC157" i="8"/>
  <c r="AB157" i="8"/>
  <c r="AA157" i="8"/>
  <c r="Z157" i="8"/>
  <c r="Y157" i="8"/>
  <c r="X157" i="8"/>
  <c r="W157" i="8"/>
  <c r="V157" i="8"/>
  <c r="U157" i="8"/>
  <c r="T157" i="8"/>
  <c r="S157" i="8"/>
  <c r="R157" i="8"/>
  <c r="Q157" i="8"/>
  <c r="P157" i="8"/>
  <c r="O157" i="8"/>
  <c r="N157" i="8"/>
  <c r="M157" i="8"/>
  <c r="L157" i="8"/>
  <c r="K157" i="8"/>
  <c r="J157" i="8"/>
  <c r="C157" i="8"/>
  <c r="BH156" i="8"/>
  <c r="BG156" i="8"/>
  <c r="BF156" i="8"/>
  <c r="BE156" i="8"/>
  <c r="BD156" i="8"/>
  <c r="BC156" i="8"/>
  <c r="BB156" i="8"/>
  <c r="BA156" i="8"/>
  <c r="AZ156" i="8"/>
  <c r="AY156" i="8"/>
  <c r="AX156" i="8"/>
  <c r="AW156" i="8"/>
  <c r="AV156" i="8"/>
  <c r="AU156" i="8"/>
  <c r="AT156" i="8"/>
  <c r="AS156" i="8"/>
  <c r="AR156" i="8"/>
  <c r="AQ156" i="8"/>
  <c r="AP156" i="8"/>
  <c r="AO156" i="8"/>
  <c r="AN156" i="8"/>
  <c r="AM156" i="8"/>
  <c r="AL156" i="8"/>
  <c r="AK156" i="8"/>
  <c r="AJ156" i="8"/>
  <c r="AI156" i="8"/>
  <c r="AH156" i="8"/>
  <c r="AG156" i="8"/>
  <c r="AF156" i="8"/>
  <c r="AE156" i="8"/>
  <c r="AD156" i="8"/>
  <c r="AC156" i="8"/>
  <c r="AB156" i="8"/>
  <c r="AA156" i="8"/>
  <c r="Z156" i="8"/>
  <c r="Y156" i="8"/>
  <c r="X156" i="8"/>
  <c r="W156" i="8"/>
  <c r="V156" i="8"/>
  <c r="U156" i="8"/>
  <c r="T156" i="8"/>
  <c r="S156" i="8"/>
  <c r="R156" i="8"/>
  <c r="Q156" i="8"/>
  <c r="P156" i="8"/>
  <c r="O156" i="8"/>
  <c r="N156" i="8"/>
  <c r="M156" i="8"/>
  <c r="L156" i="8"/>
  <c r="K156" i="8"/>
  <c r="C156" i="8"/>
  <c r="C155" i="8"/>
  <c r="C256" i="8" s="1"/>
  <c r="R154" i="8"/>
  <c r="Q154" i="8"/>
  <c r="C154" i="8"/>
  <c r="C153" i="8"/>
  <c r="C152" i="8"/>
  <c r="C151" i="8"/>
  <c r="C150" i="8"/>
  <c r="C149" i="8"/>
  <c r="C148" i="8"/>
  <c r="C147" i="8"/>
  <c r="C146" i="8"/>
  <c r="O145" i="8"/>
  <c r="N145" i="8"/>
  <c r="C145" i="8"/>
  <c r="S144" i="8"/>
  <c r="R144" i="8"/>
  <c r="Q144" i="8"/>
  <c r="C144" i="8"/>
  <c r="C143" i="8"/>
  <c r="C142" i="8"/>
  <c r="C136" i="8"/>
  <c r="C135" i="8"/>
  <c r="S134" i="8"/>
  <c r="R134" i="8"/>
  <c r="Q134" i="8"/>
  <c r="P134" i="8"/>
  <c r="O134" i="8"/>
  <c r="N134" i="8"/>
  <c r="M134" i="8"/>
  <c r="L134" i="8"/>
  <c r="K134" i="8"/>
  <c r="J134" i="8"/>
  <c r="C134" i="8"/>
  <c r="S133" i="8"/>
  <c r="S139" i="8" s="1"/>
  <c r="R133" i="8"/>
  <c r="R139" i="8" s="1"/>
  <c r="Q133" i="8"/>
  <c r="Q139" i="8" s="1"/>
  <c r="C133" i="8"/>
  <c r="C132" i="8"/>
  <c r="S131" i="8"/>
  <c r="R131" i="8"/>
  <c r="Q131" i="8"/>
  <c r="P131" i="8"/>
  <c r="O131" i="8"/>
  <c r="N131" i="8"/>
  <c r="M131" i="8"/>
  <c r="L131" i="8"/>
  <c r="K131" i="8"/>
  <c r="J131" i="8"/>
  <c r="C131" i="8"/>
  <c r="C130" i="8"/>
  <c r="C129" i="8"/>
  <c r="C128" i="8"/>
  <c r="S127" i="8"/>
  <c r="C127" i="8"/>
  <c r="X126" i="8"/>
  <c r="W126" i="8"/>
  <c r="V126" i="8"/>
  <c r="U126" i="8"/>
  <c r="T126" i="8"/>
  <c r="S126" i="8"/>
  <c r="R126" i="8"/>
  <c r="Q126" i="8"/>
  <c r="P126" i="8"/>
  <c r="O126" i="8"/>
  <c r="N126" i="8"/>
  <c r="M126" i="8"/>
  <c r="L126" i="8"/>
  <c r="K126" i="8"/>
  <c r="J126" i="8"/>
  <c r="C126" i="8"/>
  <c r="U125" i="8"/>
  <c r="T125" i="8"/>
  <c r="S125" i="8"/>
  <c r="R125" i="8"/>
  <c r="Q125" i="8"/>
  <c r="P125" i="8"/>
  <c r="O125" i="8"/>
  <c r="N125" i="8"/>
  <c r="M125" i="8"/>
  <c r="L125" i="8"/>
  <c r="K125" i="8"/>
  <c r="J125" i="8"/>
  <c r="C125" i="8"/>
  <c r="S124" i="8"/>
  <c r="R124" i="8"/>
  <c r="Q124" i="8"/>
  <c r="P124" i="8"/>
  <c r="O124" i="8"/>
  <c r="N124" i="8"/>
  <c r="M124" i="8"/>
  <c r="L124" i="8"/>
  <c r="K124" i="8"/>
  <c r="J124" i="8"/>
  <c r="C124" i="8"/>
  <c r="S123" i="8"/>
  <c r="R123" i="8"/>
  <c r="Q123" i="8"/>
  <c r="P123" i="8"/>
  <c r="O123" i="8"/>
  <c r="N123" i="8"/>
  <c r="M123" i="8"/>
  <c r="L123" i="8"/>
  <c r="K123" i="8"/>
  <c r="J123" i="8"/>
  <c r="C123" i="8"/>
  <c r="S122" i="8"/>
  <c r="R122" i="8"/>
  <c r="Q122" i="8"/>
  <c r="P122" i="8"/>
  <c r="O122" i="8"/>
  <c r="N122" i="8"/>
  <c r="M122" i="8"/>
  <c r="L122" i="8"/>
  <c r="K122" i="8"/>
  <c r="J122" i="8"/>
  <c r="C122" i="8"/>
  <c r="P120" i="8"/>
  <c r="R101" i="8"/>
  <c r="D101" i="8"/>
  <c r="S99" i="8"/>
  <c r="R99" i="8"/>
  <c r="R255" i="8" s="1"/>
  <c r="Q99" i="8"/>
  <c r="Q255" i="8" s="1"/>
  <c r="E97" i="8"/>
  <c r="D97" i="8"/>
  <c r="S94" i="8"/>
  <c r="R94" i="8"/>
  <c r="Q94" i="8"/>
  <c r="D81" i="8"/>
  <c r="J53" i="8"/>
  <c r="J52" i="8"/>
  <c r="J50" i="8"/>
  <c r="S47" i="8"/>
  <c r="S33" i="8"/>
  <c r="R33" i="8"/>
  <c r="Q33" i="8"/>
  <c r="Q246" i="8" s="1"/>
  <c r="P33" i="8"/>
  <c r="O33" i="8"/>
  <c r="O246" i="8" s="1"/>
  <c r="N33" i="8"/>
  <c r="N246" i="8" s="1"/>
  <c r="M33" i="8"/>
  <c r="L33" i="8"/>
  <c r="K33" i="8"/>
  <c r="J33" i="8"/>
  <c r="S28" i="8"/>
  <c r="S245" i="8" s="1"/>
  <c r="R28" i="8"/>
  <c r="R245" i="8" s="1"/>
  <c r="Q28" i="8"/>
  <c r="Q245" i="8" s="1"/>
  <c r="D23" i="8"/>
  <c r="S21" i="8"/>
  <c r="R21" i="8"/>
  <c r="Q21" i="8"/>
  <c r="D16" i="8"/>
  <c r="S14" i="8"/>
  <c r="R14" i="8"/>
  <c r="K3" i="8"/>
  <c r="K50" i="8" s="1"/>
  <c r="K53" i="8" s="1"/>
  <c r="F3" i="8"/>
  <c r="G3" i="8" s="1"/>
  <c r="H3" i="8" s="1"/>
  <c r="E3" i="8"/>
  <c r="J1" i="8"/>
  <c r="O18" i="10" l="1"/>
  <c r="F27" i="10"/>
  <c r="B27" i="10"/>
  <c r="E27" i="10"/>
  <c r="C19" i="10"/>
  <c r="O54" i="7"/>
  <c r="N54" i="7"/>
  <c r="W16" i="7"/>
  <c r="W54" i="7" s="1"/>
  <c r="C50" i="7"/>
  <c r="V16" i="7"/>
  <c r="V54" i="7" s="1"/>
  <c r="D50" i="7"/>
  <c r="U16" i="7"/>
  <c r="U54" i="7" s="1"/>
  <c r="K17" i="7"/>
  <c r="K50" i="7" s="1"/>
  <c r="S16" i="7"/>
  <c r="S54" i="7" s="1"/>
  <c r="J17" i="7"/>
  <c r="J50" i="7" s="1"/>
  <c r="R16" i="7"/>
  <c r="R54" i="7" s="1"/>
  <c r="G17" i="7"/>
  <c r="G50" i="7" s="1"/>
  <c r="F17" i="7"/>
  <c r="F50" i="7" s="1"/>
  <c r="E50" i="7"/>
  <c r="B17" i="7"/>
  <c r="B50" i="7" s="1"/>
  <c r="F19" i="10"/>
  <c r="C27" i="10"/>
  <c r="E19" i="10"/>
  <c r="B19" i="10"/>
  <c r="J128" i="8"/>
  <c r="J54" i="8"/>
  <c r="Q23" i="8"/>
  <c r="Q263" i="8" s="1"/>
  <c r="Q244" i="8"/>
  <c r="Q143" i="8"/>
  <c r="P246" i="8"/>
  <c r="P145" i="8"/>
  <c r="R143" i="8"/>
  <c r="R23" i="8"/>
  <c r="R263" i="8" s="1"/>
  <c r="R244" i="8"/>
  <c r="S143" i="8"/>
  <c r="S23" i="8"/>
  <c r="S263" i="8" s="1"/>
  <c r="R246" i="8"/>
  <c r="R145" i="8"/>
  <c r="S244" i="8"/>
  <c r="K52" i="8"/>
  <c r="S145" i="8"/>
  <c r="S246" i="8"/>
  <c r="Q145" i="8"/>
  <c r="S248" i="8"/>
  <c r="S147" i="8"/>
  <c r="M246" i="8"/>
  <c r="M145" i="8"/>
  <c r="L217" i="8"/>
  <c r="L308" i="8" s="1"/>
  <c r="K217" i="8"/>
  <c r="K308" i="8" s="1"/>
  <c r="J217" i="8"/>
  <c r="J308" i="8" s="1"/>
  <c r="S255" i="8"/>
  <c r="S101" i="8"/>
  <c r="S267" i="8" s="1"/>
  <c r="S154" i="8"/>
  <c r="S243" i="8"/>
  <c r="S142" i="8"/>
  <c r="S16" i="8"/>
  <c r="S262" i="8" s="1"/>
  <c r="S254" i="8"/>
  <c r="S153" i="8"/>
  <c r="R243" i="8"/>
  <c r="R16" i="8"/>
  <c r="R262" i="8" s="1"/>
  <c r="R142" i="8"/>
  <c r="K212" i="8"/>
  <c r="K303" i="8" s="1"/>
  <c r="L212" i="8"/>
  <c r="L303" i="8" s="1"/>
  <c r="D174" i="8"/>
  <c r="J173" i="8"/>
  <c r="J209" i="8"/>
  <c r="J300" i="8" s="1"/>
  <c r="J246" i="8"/>
  <c r="J145" i="8"/>
  <c r="Q101" i="8"/>
  <c r="Q267" i="8" s="1"/>
  <c r="J172" i="8"/>
  <c r="F197" i="8"/>
  <c r="K209" i="8"/>
  <c r="K300" i="8" s="1"/>
  <c r="K246" i="8"/>
  <c r="K145" i="8"/>
  <c r="K172" i="8"/>
  <c r="P298" i="8"/>
  <c r="L209" i="8"/>
  <c r="L300" i="8" s="1"/>
  <c r="K218" i="8"/>
  <c r="K309" i="8" s="1"/>
  <c r="F226" i="8"/>
  <c r="K193" i="8"/>
  <c r="K284" i="8" s="1"/>
  <c r="F228" i="8"/>
  <c r="K201" i="8"/>
  <c r="K289" i="8" s="1"/>
  <c r="K191" i="8"/>
  <c r="K277" i="8" s="1"/>
  <c r="K1" i="8"/>
  <c r="L3" i="8"/>
  <c r="L246" i="8"/>
  <c r="L145" i="8"/>
  <c r="Q254" i="8"/>
  <c r="Q153" i="8"/>
  <c r="G238" i="8"/>
  <c r="L211" i="8"/>
  <c r="L302" i="8" s="1"/>
  <c r="K171" i="8"/>
  <c r="J171" i="8"/>
  <c r="J211" i="8"/>
  <c r="J302" i="8" s="1"/>
  <c r="G359" i="8"/>
  <c r="G360" i="8" s="1"/>
  <c r="E340" i="8" s="1"/>
  <c r="R254" i="8"/>
  <c r="R153" i="8"/>
  <c r="K211" i="8"/>
  <c r="K302" i="8" s="1"/>
  <c r="K167" i="8"/>
  <c r="K273" i="8" s="1"/>
  <c r="J344" i="8"/>
  <c r="J345" i="8" s="1"/>
  <c r="F29" i="10" l="1"/>
  <c r="C29" i="10"/>
  <c r="B29" i="10"/>
  <c r="B35" i="10" s="1"/>
  <c r="B37" i="10" s="1"/>
  <c r="E29" i="10"/>
  <c r="E35" i="10" s="1"/>
  <c r="E37" i="10" s="1"/>
  <c r="J175" i="8"/>
  <c r="J274" i="8" s="1"/>
  <c r="K228" i="8"/>
  <c r="K319" i="8" s="1"/>
  <c r="J228" i="8"/>
  <c r="J319" i="8" s="1"/>
  <c r="L228" i="8"/>
  <c r="L319" i="8" s="1"/>
  <c r="K174" i="8"/>
  <c r="J174" i="8"/>
  <c r="K175" i="8"/>
  <c r="K274" i="8" s="1"/>
  <c r="K226" i="8"/>
  <c r="K317" i="8" s="1"/>
  <c r="J226" i="8"/>
  <c r="J317" i="8" s="1"/>
  <c r="L226" i="8"/>
  <c r="L317" i="8" s="1"/>
  <c r="K54" i="8"/>
  <c r="K128" i="8"/>
  <c r="F232" i="8"/>
  <c r="L218" i="8"/>
  <c r="L309" i="8" s="1"/>
  <c r="F229" i="8"/>
  <c r="F227" i="8"/>
  <c r="L201" i="8"/>
  <c r="L289" i="8" s="1"/>
  <c r="L180" i="8"/>
  <c r="L191" i="8"/>
  <c r="L277" i="8" s="1"/>
  <c r="L167" i="8"/>
  <c r="L273" i="8" s="1"/>
  <c r="L50" i="8"/>
  <c r="M3" i="8"/>
  <c r="M228" i="8" s="1"/>
  <c r="M319" i="8" s="1"/>
  <c r="L192" i="8"/>
  <c r="L278" i="8" s="1"/>
  <c r="L179" i="8"/>
  <c r="L181" i="8" s="1"/>
  <c r="L275" i="8" s="1"/>
  <c r="L193" i="8"/>
  <c r="L284" i="8" s="1"/>
  <c r="L1" i="8"/>
  <c r="J249" i="8"/>
  <c r="J148" i="8"/>
  <c r="M197" i="8"/>
  <c r="M285" i="8" s="1"/>
  <c r="L197" i="8"/>
  <c r="L285" i="8" s="1"/>
  <c r="K197" i="8"/>
  <c r="K285" i="8" s="1"/>
  <c r="J197" i="8"/>
  <c r="J285" i="8" s="1"/>
  <c r="H238" i="8"/>
  <c r="M226" i="8" l="1"/>
  <c r="M317" i="8" s="1"/>
  <c r="M232" i="8"/>
  <c r="M323" i="8" s="1"/>
  <c r="L232" i="8"/>
  <c r="L323" i="8" s="1"/>
  <c r="J232" i="8"/>
  <c r="J323" i="8" s="1"/>
  <c r="K232" i="8"/>
  <c r="K323" i="8" s="1"/>
  <c r="N232" i="8"/>
  <c r="N323" i="8" s="1"/>
  <c r="N227" i="8"/>
  <c r="N318" i="8" s="1"/>
  <c r="M227" i="8"/>
  <c r="M318" i="8" s="1"/>
  <c r="K227" i="8"/>
  <c r="K318" i="8" s="1"/>
  <c r="J227" i="8"/>
  <c r="J318" i="8" s="1"/>
  <c r="L227" i="8"/>
  <c r="L318" i="8" s="1"/>
  <c r="J229" i="8"/>
  <c r="J320" i="8" s="1"/>
  <c r="L229" i="8"/>
  <c r="L320" i="8" s="1"/>
  <c r="K229" i="8"/>
  <c r="K320" i="8" s="1"/>
  <c r="M229" i="8"/>
  <c r="M320" i="8" s="1"/>
  <c r="K249" i="8"/>
  <c r="K148" i="8"/>
  <c r="L52" i="8"/>
  <c r="L53" i="8"/>
  <c r="F213" i="8"/>
  <c r="M192" i="8"/>
  <c r="M278" i="8" s="1"/>
  <c r="F230" i="8"/>
  <c r="M201" i="8"/>
  <c r="M289" i="8" s="1"/>
  <c r="M180" i="8"/>
  <c r="M218" i="8"/>
  <c r="M309" i="8" s="1"/>
  <c r="M193" i="8"/>
  <c r="M284" i="8" s="1"/>
  <c r="M179" i="8"/>
  <c r="M181" i="8" s="1"/>
  <c r="M275" i="8" s="1"/>
  <c r="M191" i="8"/>
  <c r="M277" i="8" s="1"/>
  <c r="M50" i="8"/>
  <c r="M167" i="8"/>
  <c r="M273" i="8" s="1"/>
  <c r="N3" i="8"/>
  <c r="M1" i="8"/>
  <c r="M217" i="8"/>
  <c r="M308" i="8" s="1"/>
  <c r="M211" i="8"/>
  <c r="M302" i="8" s="1"/>
  <c r="M209" i="8"/>
  <c r="M300" i="8" s="1"/>
  <c r="M212" i="8"/>
  <c r="M303" i="8" s="1"/>
  <c r="N192" i="8" l="1"/>
  <c r="N278" i="8" s="1"/>
  <c r="N180" i="8"/>
  <c r="N201" i="8"/>
  <c r="N289" i="8" s="1"/>
  <c r="N218" i="8"/>
  <c r="N309" i="8" s="1"/>
  <c r="N193" i="8"/>
  <c r="N284" i="8" s="1"/>
  <c r="N191" i="8"/>
  <c r="N277" i="8" s="1"/>
  <c r="N179" i="8"/>
  <c r="N209" i="8"/>
  <c r="N300" i="8" s="1"/>
  <c r="N50" i="8"/>
  <c r="O3" i="8"/>
  <c r="N211" i="8"/>
  <c r="N302" i="8" s="1"/>
  <c r="N167" i="8"/>
  <c r="N273" i="8" s="1"/>
  <c r="N1" i="8"/>
  <c r="N212" i="8"/>
  <c r="N303" i="8" s="1"/>
  <c r="N217" i="8"/>
  <c r="N308" i="8" s="1"/>
  <c r="N226" i="8"/>
  <c r="N317" i="8" s="1"/>
  <c r="N228" i="8"/>
  <c r="N319" i="8" s="1"/>
  <c r="N197" i="8"/>
  <c r="N285" i="8" s="1"/>
  <c r="M53" i="8"/>
  <c r="M52" i="8"/>
  <c r="L54" i="8"/>
  <c r="L128" i="8"/>
  <c r="O230" i="8"/>
  <c r="O321" i="8" s="1"/>
  <c r="N230" i="8"/>
  <c r="N321" i="8" s="1"/>
  <c r="J230" i="8"/>
  <c r="J321" i="8" s="1"/>
  <c r="L230" i="8"/>
  <c r="L321" i="8" s="1"/>
  <c r="M230" i="8"/>
  <c r="M321" i="8" s="1"/>
  <c r="K230" i="8"/>
  <c r="K321" i="8" s="1"/>
  <c r="N229" i="8"/>
  <c r="N320" i="8" s="1"/>
  <c r="J213" i="8"/>
  <c r="J304" i="8" s="1"/>
  <c r="K213" i="8"/>
  <c r="K304" i="8" s="1"/>
  <c r="N213" i="8"/>
  <c r="N304" i="8" s="1"/>
  <c r="M213" i="8"/>
  <c r="M304" i="8" s="1"/>
  <c r="O213" i="8"/>
  <c r="O304" i="8" s="1"/>
  <c r="L213" i="8"/>
  <c r="L304" i="8" s="1"/>
  <c r="N52" i="8" l="1"/>
  <c r="N53" i="8"/>
  <c r="N181" i="8"/>
  <c r="N275" i="8" s="1"/>
  <c r="M54" i="8"/>
  <c r="M128" i="8"/>
  <c r="L249" i="8"/>
  <c r="L148" i="8"/>
  <c r="O180" i="8"/>
  <c r="O218" i="8"/>
  <c r="O309" i="8" s="1"/>
  <c r="O193" i="8"/>
  <c r="O284" i="8" s="1"/>
  <c r="F231" i="8"/>
  <c r="O191" i="8"/>
  <c r="O277" i="8" s="1"/>
  <c r="O201" i="8"/>
  <c r="O289" i="8" s="1"/>
  <c r="O179" i="8"/>
  <c r="O192" i="8"/>
  <c r="O278" i="8" s="1"/>
  <c r="O50" i="8"/>
  <c r="O211" i="8"/>
  <c r="O302" i="8" s="1"/>
  <c r="O167" i="8"/>
  <c r="O273" i="8" s="1"/>
  <c r="P3" i="8"/>
  <c r="O1" i="8"/>
  <c r="O209" i="8"/>
  <c r="O300" i="8" s="1"/>
  <c r="O217" i="8"/>
  <c r="O308" i="8" s="1"/>
  <c r="O212" i="8"/>
  <c r="O303" i="8" s="1"/>
  <c r="O226" i="8"/>
  <c r="O317" i="8" s="1"/>
  <c r="O228" i="8"/>
  <c r="O319" i="8" s="1"/>
  <c r="O197" i="8"/>
  <c r="O285" i="8" s="1"/>
  <c r="O232" i="8"/>
  <c r="O323" i="8" s="1"/>
  <c r="O229" i="8"/>
  <c r="O320" i="8" s="1"/>
  <c r="O227" i="8"/>
  <c r="O318" i="8" s="1"/>
  <c r="M231" i="8" l="1"/>
  <c r="M322" i="8" s="1"/>
  <c r="L231" i="8"/>
  <c r="L322" i="8" s="1"/>
  <c r="J231" i="8"/>
  <c r="J322" i="8" s="1"/>
  <c r="N231" i="8"/>
  <c r="N322" i="8" s="1"/>
  <c r="K231" i="8"/>
  <c r="K322" i="8" s="1"/>
  <c r="O231" i="8"/>
  <c r="O322" i="8" s="1"/>
  <c r="P231" i="8"/>
  <c r="P322" i="8" s="1"/>
  <c r="O181" i="8"/>
  <c r="O275" i="8" s="1"/>
  <c r="O53" i="8"/>
  <c r="O52" i="8"/>
  <c r="M249" i="8"/>
  <c r="M148" i="8"/>
  <c r="N54" i="8"/>
  <c r="N128" i="8"/>
  <c r="P191" i="8"/>
  <c r="P277" i="8" s="1"/>
  <c r="P180" i="8"/>
  <c r="P218" i="8"/>
  <c r="P309" i="8" s="1"/>
  <c r="P179" i="8"/>
  <c r="P181" i="8" s="1"/>
  <c r="P275" i="8" s="1"/>
  <c r="F194" i="8"/>
  <c r="P192" i="8"/>
  <c r="P278" i="8" s="1"/>
  <c r="Q3" i="8"/>
  <c r="Q231" i="8" s="1"/>
  <c r="Q322" i="8" s="1"/>
  <c r="P167" i="8"/>
  <c r="P273" i="8" s="1"/>
  <c r="P50" i="8"/>
  <c r="P193" i="8"/>
  <c r="P284" i="8" s="1"/>
  <c r="P1" i="8"/>
  <c r="P209" i="8"/>
  <c r="P300" i="8" s="1"/>
  <c r="P212" i="8"/>
  <c r="P303" i="8" s="1"/>
  <c r="P211" i="8"/>
  <c r="P302" i="8" s="1"/>
  <c r="P217" i="8"/>
  <c r="P308" i="8" s="1"/>
  <c r="P197" i="8"/>
  <c r="P285" i="8" s="1"/>
  <c r="P226" i="8"/>
  <c r="P317" i="8" s="1"/>
  <c r="P228" i="8"/>
  <c r="P319" i="8" s="1"/>
  <c r="P232" i="8"/>
  <c r="P323" i="8" s="1"/>
  <c r="P227" i="8"/>
  <c r="P318" i="8" s="1"/>
  <c r="P229" i="8"/>
  <c r="P320" i="8" s="1"/>
  <c r="P213" i="8"/>
  <c r="P304" i="8" s="1"/>
  <c r="P230" i="8"/>
  <c r="P321" i="8" s="1"/>
  <c r="O54" i="8" l="1"/>
  <c r="O128" i="8"/>
  <c r="R194" i="8"/>
  <c r="R279" i="8" s="1"/>
  <c r="Q194" i="8"/>
  <c r="Q279" i="8" s="1"/>
  <c r="L194" i="8"/>
  <c r="L279" i="8" s="1"/>
  <c r="K194" i="8"/>
  <c r="K279" i="8" s="1"/>
  <c r="J194" i="8"/>
  <c r="J279" i="8" s="1"/>
  <c r="O194" i="8"/>
  <c r="O279" i="8" s="1"/>
  <c r="N194" i="8"/>
  <c r="N279" i="8" s="1"/>
  <c r="P194" i="8"/>
  <c r="P279" i="8" s="1"/>
  <c r="M194" i="8"/>
  <c r="M279" i="8" s="1"/>
  <c r="P53" i="8"/>
  <c r="P52" i="8"/>
  <c r="Q191" i="8"/>
  <c r="Q277" i="8" s="1"/>
  <c r="F219" i="8"/>
  <c r="Q179" i="8"/>
  <c r="Q181" i="8" s="1"/>
  <c r="Q275" i="8" s="1"/>
  <c r="Q192" i="8"/>
  <c r="Q278" i="8" s="1"/>
  <c r="Q218" i="8"/>
  <c r="Q309" i="8" s="1"/>
  <c r="F214" i="8"/>
  <c r="Q180" i="8"/>
  <c r="Q167" i="8"/>
  <c r="Q273" i="8" s="1"/>
  <c r="R3" i="8"/>
  <c r="Q209" i="8"/>
  <c r="Q300" i="8" s="1"/>
  <c r="Q193" i="8"/>
  <c r="Q284" i="8" s="1"/>
  <c r="Q201" i="8"/>
  <c r="Q289" i="8" s="1"/>
  <c r="Q50" i="8"/>
  <c r="Q1" i="8"/>
  <c r="Q212" i="8"/>
  <c r="Q303" i="8" s="1"/>
  <c r="Q211" i="8"/>
  <c r="Q302" i="8" s="1"/>
  <c r="Q217" i="8"/>
  <c r="Q308" i="8" s="1"/>
  <c r="Q228" i="8"/>
  <c r="Q319" i="8" s="1"/>
  <c r="Q197" i="8"/>
  <c r="Q285" i="8" s="1"/>
  <c r="Q226" i="8"/>
  <c r="Q317" i="8" s="1"/>
  <c r="Q232" i="8"/>
  <c r="Q323" i="8" s="1"/>
  <c r="Q227" i="8"/>
  <c r="Q318" i="8" s="1"/>
  <c r="Q229" i="8"/>
  <c r="Q320" i="8" s="1"/>
  <c r="Q213" i="8"/>
  <c r="Q304" i="8" s="1"/>
  <c r="Q230" i="8"/>
  <c r="Q321" i="8" s="1"/>
  <c r="N249" i="8"/>
  <c r="N148" i="8"/>
  <c r="Q53" i="8" l="1"/>
  <c r="Q52" i="8"/>
  <c r="L219" i="8"/>
  <c r="L310" i="8" s="1"/>
  <c r="K219" i="8"/>
  <c r="K310" i="8" s="1"/>
  <c r="O219" i="8"/>
  <c r="O310" i="8" s="1"/>
  <c r="N219" i="8"/>
  <c r="N310" i="8" s="1"/>
  <c r="M219" i="8"/>
  <c r="M310" i="8" s="1"/>
  <c r="J219" i="8"/>
  <c r="J310" i="8" s="1"/>
  <c r="P219" i="8"/>
  <c r="P310" i="8" s="1"/>
  <c r="R219" i="8"/>
  <c r="R310" i="8" s="1"/>
  <c r="Q219" i="8"/>
  <c r="Q310" i="8" s="1"/>
  <c r="R214" i="8"/>
  <c r="R305" i="8" s="1"/>
  <c r="Q214" i="8"/>
  <c r="Q305" i="8" s="1"/>
  <c r="O214" i="8"/>
  <c r="O305" i="8" s="1"/>
  <c r="N214" i="8"/>
  <c r="N305" i="8" s="1"/>
  <c r="P214" i="8"/>
  <c r="P305" i="8" s="1"/>
  <c r="M214" i="8"/>
  <c r="M305" i="8" s="1"/>
  <c r="L214" i="8"/>
  <c r="L305" i="8" s="1"/>
  <c r="K214" i="8"/>
  <c r="K305" i="8" s="1"/>
  <c r="J214" i="8"/>
  <c r="J305" i="8" s="1"/>
  <c r="R179" i="8"/>
  <c r="R181" i="8" s="1"/>
  <c r="R275" i="8" s="1"/>
  <c r="R191" i="8"/>
  <c r="R277" i="8" s="1"/>
  <c r="F221" i="8"/>
  <c r="F220" i="8"/>
  <c r="R192" i="8"/>
  <c r="R278" i="8" s="1"/>
  <c r="R207" i="8"/>
  <c r="R180" i="8"/>
  <c r="R8" i="8"/>
  <c r="S3" i="8"/>
  <c r="R193" i="8"/>
  <c r="R284" i="8" s="1"/>
  <c r="R218" i="8"/>
  <c r="R309" i="8" s="1"/>
  <c r="R167" i="8"/>
  <c r="R273" i="8" s="1"/>
  <c r="R50" i="8"/>
  <c r="D8" i="8"/>
  <c r="R1" i="8"/>
  <c r="R209" i="8"/>
  <c r="R300" i="8" s="1"/>
  <c r="R217" i="8"/>
  <c r="R308" i="8" s="1"/>
  <c r="R212" i="8"/>
  <c r="R303" i="8" s="1"/>
  <c r="R211" i="8"/>
  <c r="R302" i="8" s="1"/>
  <c r="R228" i="8"/>
  <c r="R319" i="8" s="1"/>
  <c r="R226" i="8"/>
  <c r="R317" i="8" s="1"/>
  <c r="R197" i="8"/>
  <c r="R285" i="8" s="1"/>
  <c r="R229" i="8"/>
  <c r="R320" i="8" s="1"/>
  <c r="R232" i="8"/>
  <c r="R323" i="8" s="1"/>
  <c r="R227" i="8"/>
  <c r="R318" i="8" s="1"/>
  <c r="R213" i="8"/>
  <c r="R304" i="8" s="1"/>
  <c r="R230" i="8"/>
  <c r="R321" i="8" s="1"/>
  <c r="R231" i="8"/>
  <c r="R322" i="8" s="1"/>
  <c r="P128" i="8"/>
  <c r="P54" i="8"/>
  <c r="O249" i="8"/>
  <c r="O148" i="8"/>
  <c r="S179" i="8" l="1"/>
  <c r="S181" i="8" s="1"/>
  <c r="S275" i="8" s="1"/>
  <c r="S218" i="8"/>
  <c r="S309" i="8" s="1"/>
  <c r="S207" i="8"/>
  <c r="S192" i="8"/>
  <c r="S278" i="8" s="1"/>
  <c r="S180" i="8"/>
  <c r="F165" i="8"/>
  <c r="S8" i="8"/>
  <c r="S193" i="8"/>
  <c r="S284" i="8" s="1"/>
  <c r="S191" i="8"/>
  <c r="S277" i="8" s="1"/>
  <c r="S167" i="8"/>
  <c r="S273" i="8" s="1"/>
  <c r="S1" i="8"/>
  <c r="T3" i="8"/>
  <c r="S201" i="8"/>
  <c r="S289" i="8" s="1"/>
  <c r="S75" i="8"/>
  <c r="S50" i="8"/>
  <c r="S211" i="8"/>
  <c r="S302" i="8" s="1"/>
  <c r="S209" i="8"/>
  <c r="S300" i="8" s="1"/>
  <c r="S212" i="8"/>
  <c r="S303" i="8" s="1"/>
  <c r="S217" i="8"/>
  <c r="S308" i="8" s="1"/>
  <c r="S197" i="8"/>
  <c r="S285" i="8" s="1"/>
  <c r="S226" i="8"/>
  <c r="S317" i="8" s="1"/>
  <c r="S228" i="8"/>
  <c r="S319" i="8" s="1"/>
  <c r="S229" i="8"/>
  <c r="S320" i="8" s="1"/>
  <c r="S227" i="8"/>
  <c r="S318" i="8" s="1"/>
  <c r="S232" i="8"/>
  <c r="S323" i="8" s="1"/>
  <c r="S230" i="8"/>
  <c r="S321" i="8" s="1"/>
  <c r="S213" i="8"/>
  <c r="S304" i="8" s="1"/>
  <c r="S231" i="8"/>
  <c r="S322" i="8" s="1"/>
  <c r="S194" i="8"/>
  <c r="S279" i="8" s="1"/>
  <c r="D75" i="8"/>
  <c r="K8" i="8"/>
  <c r="J8" i="8"/>
  <c r="L8" i="8"/>
  <c r="M8" i="8"/>
  <c r="N8" i="8"/>
  <c r="O8" i="8"/>
  <c r="P8" i="8"/>
  <c r="Q8" i="8"/>
  <c r="R53" i="8"/>
  <c r="R52" i="8"/>
  <c r="Q128" i="8"/>
  <c r="Q54" i="8"/>
  <c r="R298" i="8"/>
  <c r="P148" i="8"/>
  <c r="P249" i="8"/>
  <c r="K221" i="8"/>
  <c r="K312" i="8" s="1"/>
  <c r="J221" i="8"/>
  <c r="J312" i="8" s="1"/>
  <c r="T221" i="8"/>
  <c r="T312" i="8" s="1"/>
  <c r="N221" i="8"/>
  <c r="N312" i="8" s="1"/>
  <c r="M221" i="8"/>
  <c r="M312" i="8" s="1"/>
  <c r="L221" i="8"/>
  <c r="L312" i="8" s="1"/>
  <c r="O221" i="8"/>
  <c r="O312" i="8" s="1"/>
  <c r="R221" i="8"/>
  <c r="R312" i="8" s="1"/>
  <c r="S221" i="8"/>
  <c r="S312" i="8" s="1"/>
  <c r="P221" i="8"/>
  <c r="P312" i="8" s="1"/>
  <c r="Q221" i="8"/>
  <c r="Q312" i="8" s="1"/>
  <c r="S214" i="8"/>
  <c r="S305" i="8" s="1"/>
  <c r="S219" i="8"/>
  <c r="S310" i="8" s="1"/>
  <c r="P220" i="8"/>
  <c r="P311" i="8" s="1"/>
  <c r="O220" i="8"/>
  <c r="O311" i="8" s="1"/>
  <c r="R220" i="8"/>
  <c r="R311" i="8" s="1"/>
  <c r="Q220" i="8"/>
  <c r="Q311" i="8" s="1"/>
  <c r="M220" i="8"/>
  <c r="M311" i="8" s="1"/>
  <c r="L220" i="8"/>
  <c r="L311" i="8" s="1"/>
  <c r="K220" i="8"/>
  <c r="K311" i="8" s="1"/>
  <c r="J220" i="8"/>
  <c r="J311" i="8" s="1"/>
  <c r="N220" i="8"/>
  <c r="N311" i="8" s="1"/>
  <c r="S220" i="8"/>
  <c r="S311" i="8" s="1"/>
  <c r="T220" i="8"/>
  <c r="T311" i="8" s="1"/>
  <c r="R128" i="8" l="1"/>
  <c r="R54" i="8"/>
  <c r="K75" i="8"/>
  <c r="J75" i="8"/>
  <c r="J78" i="8" s="1"/>
  <c r="J79" i="8" s="1"/>
  <c r="L75" i="8"/>
  <c r="M75" i="8"/>
  <c r="N75" i="8"/>
  <c r="O75" i="8"/>
  <c r="P75" i="8"/>
  <c r="Q75" i="8"/>
  <c r="R75" i="8"/>
  <c r="F200" i="8"/>
  <c r="T218" i="8"/>
  <c r="T309" i="8" s="1"/>
  <c r="T207" i="8"/>
  <c r="F198" i="8"/>
  <c r="T171" i="8"/>
  <c r="F195" i="8"/>
  <c r="F223" i="8"/>
  <c r="T179" i="8"/>
  <c r="F196" i="8"/>
  <c r="T174" i="8"/>
  <c r="T172" i="8"/>
  <c r="T193" i="8"/>
  <c r="T284" i="8" s="1"/>
  <c r="T180" i="8"/>
  <c r="T8" i="8"/>
  <c r="T1" i="8"/>
  <c r="T191" i="8"/>
  <c r="T277" i="8" s="1"/>
  <c r="D43" i="8"/>
  <c r="T43" i="8"/>
  <c r="U3" i="8"/>
  <c r="T192" i="8"/>
  <c r="T278" i="8" s="1"/>
  <c r="T173" i="8"/>
  <c r="T167" i="8"/>
  <c r="T273" i="8" s="1"/>
  <c r="T209" i="8"/>
  <c r="T300" i="8" s="1"/>
  <c r="T50" i="8"/>
  <c r="T75" i="8"/>
  <c r="T170" i="8"/>
  <c r="F166" i="8"/>
  <c r="T211" i="8"/>
  <c r="T302" i="8" s="1"/>
  <c r="T212" i="8"/>
  <c r="T303" i="8" s="1"/>
  <c r="T217" i="8"/>
  <c r="T308" i="8" s="1"/>
  <c r="T226" i="8"/>
  <c r="T317" i="8" s="1"/>
  <c r="T197" i="8"/>
  <c r="T285" i="8" s="1"/>
  <c r="T228" i="8"/>
  <c r="T319" i="8" s="1"/>
  <c r="T232" i="8"/>
  <c r="T323" i="8" s="1"/>
  <c r="T229" i="8"/>
  <c r="T320" i="8" s="1"/>
  <c r="T227" i="8"/>
  <c r="T318" i="8" s="1"/>
  <c r="T213" i="8"/>
  <c r="T304" i="8" s="1"/>
  <c r="T230" i="8"/>
  <c r="T321" i="8" s="1"/>
  <c r="T231" i="8"/>
  <c r="T322" i="8" s="1"/>
  <c r="T194" i="8"/>
  <c r="T279" i="8" s="1"/>
  <c r="T219" i="8"/>
  <c r="T310" i="8" s="1"/>
  <c r="T214" i="8"/>
  <c r="T305" i="8" s="1"/>
  <c r="Q249" i="8"/>
  <c r="Q148" i="8"/>
  <c r="S52" i="8"/>
  <c r="S53" i="8"/>
  <c r="J20" i="8"/>
  <c r="J21" i="8" s="1"/>
  <c r="J27" i="8"/>
  <c r="J28" i="8" s="1"/>
  <c r="J98" i="8"/>
  <c r="J99" i="8" s="1"/>
  <c r="J13" i="8"/>
  <c r="J14" i="8" s="1"/>
  <c r="J93" i="8"/>
  <c r="J92" i="8"/>
  <c r="R165" i="8"/>
  <c r="Q165" i="8"/>
  <c r="P165" i="8"/>
  <c r="T165" i="8"/>
  <c r="S165" i="8"/>
  <c r="J165" i="8"/>
  <c r="K165" i="8"/>
  <c r="O165" i="8"/>
  <c r="N165" i="8"/>
  <c r="L165" i="8"/>
  <c r="M165" i="8"/>
  <c r="K93" i="8"/>
  <c r="L93" i="8" s="1"/>
  <c r="M93" i="8" s="1"/>
  <c r="N93" i="8" s="1"/>
  <c r="O93" i="8" s="1"/>
  <c r="P93" i="8" s="1"/>
  <c r="K98" i="8"/>
  <c r="K99" i="8" s="1"/>
  <c r="K92" i="8"/>
  <c r="L92" i="8" s="1"/>
  <c r="S298" i="8"/>
  <c r="L133" i="8" l="1"/>
  <c r="L139" i="8" s="1"/>
  <c r="L94" i="8"/>
  <c r="M92" i="8"/>
  <c r="Q271" i="8"/>
  <c r="Q184" i="8"/>
  <c r="Q186" i="8"/>
  <c r="K13" i="8"/>
  <c r="K78" i="8"/>
  <c r="K79" i="8" s="1"/>
  <c r="N166" i="8"/>
  <c r="N272" i="8" s="1"/>
  <c r="M166" i="8"/>
  <c r="M272" i="8" s="1"/>
  <c r="L166" i="8"/>
  <c r="L272" i="8" s="1"/>
  <c r="Q166" i="8"/>
  <c r="Q272" i="8" s="1"/>
  <c r="P166" i="8"/>
  <c r="P272" i="8" s="1"/>
  <c r="O166" i="8"/>
  <c r="O272" i="8" s="1"/>
  <c r="V166" i="8"/>
  <c r="V272" i="8" s="1"/>
  <c r="U166" i="8"/>
  <c r="U272" i="8" s="1"/>
  <c r="T166" i="8"/>
  <c r="T272" i="8" s="1"/>
  <c r="K166" i="8"/>
  <c r="K272" i="8" s="1"/>
  <c r="R166" i="8"/>
  <c r="R272" i="8" s="1"/>
  <c r="J166" i="8"/>
  <c r="J272" i="8" s="1"/>
  <c r="V196" i="8"/>
  <c r="V283" i="8" s="1"/>
  <c r="U196" i="8"/>
  <c r="U283" i="8" s="1"/>
  <c r="T196" i="8"/>
  <c r="T283" i="8" s="1"/>
  <c r="J43" i="8"/>
  <c r="K43" i="8"/>
  <c r="L43" i="8"/>
  <c r="M43" i="8"/>
  <c r="N43" i="8"/>
  <c r="O43" i="8"/>
  <c r="P43" i="8"/>
  <c r="Q43" i="8"/>
  <c r="R43" i="8"/>
  <c r="S43" i="8"/>
  <c r="O271" i="8"/>
  <c r="O185" i="8"/>
  <c r="O184" i="8"/>
  <c r="T77" i="8"/>
  <c r="T52" i="8"/>
  <c r="T53" i="8"/>
  <c r="T195" i="8"/>
  <c r="T282" i="8" s="1"/>
  <c r="U195" i="8"/>
  <c r="U282" i="8" s="1"/>
  <c r="K20" i="8"/>
  <c r="L271" i="8"/>
  <c r="R271" i="8"/>
  <c r="R184" i="8"/>
  <c r="R186" i="8"/>
  <c r="J271" i="8"/>
  <c r="P271" i="8"/>
  <c r="P186" i="8"/>
  <c r="P187" i="8"/>
  <c r="P184" i="8"/>
  <c r="P185" i="8"/>
  <c r="J133" i="8"/>
  <c r="J139" i="8" s="1"/>
  <c r="J94" i="8"/>
  <c r="K154" i="8"/>
  <c r="K255" i="8"/>
  <c r="K101" i="8"/>
  <c r="K267" i="8" s="1"/>
  <c r="J245" i="8"/>
  <c r="J144" i="8"/>
  <c r="V200" i="8"/>
  <c r="V288" i="8" s="1"/>
  <c r="J200" i="8"/>
  <c r="J288" i="8" s="1"/>
  <c r="U200" i="8"/>
  <c r="U288" i="8" s="1"/>
  <c r="O200" i="8"/>
  <c r="O288" i="8" s="1"/>
  <c r="N200" i="8"/>
  <c r="N288" i="8" s="1"/>
  <c r="M200" i="8"/>
  <c r="M288" i="8" s="1"/>
  <c r="L200" i="8"/>
  <c r="L288" i="8" s="1"/>
  <c r="K200" i="8"/>
  <c r="K288" i="8" s="1"/>
  <c r="S200" i="8"/>
  <c r="S288" i="8" s="1"/>
  <c r="R200" i="8"/>
  <c r="R288" i="8" s="1"/>
  <c r="Q200" i="8"/>
  <c r="Q288" i="8" s="1"/>
  <c r="P200" i="8"/>
  <c r="P288" i="8" s="1"/>
  <c r="T200" i="8"/>
  <c r="T288" i="8" s="1"/>
  <c r="M271" i="8"/>
  <c r="M184" i="8"/>
  <c r="M186" i="8"/>
  <c r="M185" i="8"/>
  <c r="M187" i="8"/>
  <c r="J244" i="8"/>
  <c r="J23" i="8"/>
  <c r="J263" i="8" s="1"/>
  <c r="J143" i="8"/>
  <c r="J252" i="8"/>
  <c r="J151" i="8"/>
  <c r="J81" i="8"/>
  <c r="J266" i="8" s="1"/>
  <c r="T271" i="8"/>
  <c r="T184" i="8"/>
  <c r="T185" i="8"/>
  <c r="T187" i="8"/>
  <c r="U201" i="8"/>
  <c r="U289" i="8" s="1"/>
  <c r="U207" i="8"/>
  <c r="U192" i="8"/>
  <c r="U278" i="8" s="1"/>
  <c r="F222" i="8"/>
  <c r="U174" i="8"/>
  <c r="U171" i="8"/>
  <c r="U172" i="8"/>
  <c r="U193" i="8"/>
  <c r="U284" i="8" s="1"/>
  <c r="U191" i="8"/>
  <c r="U277" i="8" s="1"/>
  <c r="U50" i="8"/>
  <c r="U179" i="8"/>
  <c r="U181" i="8" s="1"/>
  <c r="U275" i="8" s="1"/>
  <c r="U43" i="8"/>
  <c r="U173" i="8"/>
  <c r="V3" i="8"/>
  <c r="U1" i="8"/>
  <c r="U170" i="8"/>
  <c r="U211" i="8"/>
  <c r="U302" i="8" s="1"/>
  <c r="U8" i="8"/>
  <c r="F210" i="8"/>
  <c r="U180" i="8"/>
  <c r="U218" i="8"/>
  <c r="U309" i="8" s="1"/>
  <c r="D104" i="8"/>
  <c r="U104" i="8"/>
  <c r="U75" i="8"/>
  <c r="U217" i="8"/>
  <c r="U308" i="8" s="1"/>
  <c r="U209" i="8"/>
  <c r="U300" i="8" s="1"/>
  <c r="U167" i="8"/>
  <c r="U273" i="8" s="1"/>
  <c r="U212" i="8"/>
  <c r="U303" i="8" s="1"/>
  <c r="U197" i="8"/>
  <c r="U285" i="8" s="1"/>
  <c r="U226" i="8"/>
  <c r="U317" i="8" s="1"/>
  <c r="U228" i="8"/>
  <c r="U319" i="8" s="1"/>
  <c r="U227" i="8"/>
  <c r="U318" i="8" s="1"/>
  <c r="U229" i="8"/>
  <c r="U320" i="8" s="1"/>
  <c r="U232" i="8"/>
  <c r="U323" i="8" s="1"/>
  <c r="U230" i="8"/>
  <c r="U321" i="8" s="1"/>
  <c r="U213" i="8"/>
  <c r="U304" i="8" s="1"/>
  <c r="U231" i="8"/>
  <c r="U322" i="8" s="1"/>
  <c r="U194" i="8"/>
  <c r="U279" i="8" s="1"/>
  <c r="U214" i="8"/>
  <c r="U305" i="8" s="1"/>
  <c r="U219" i="8"/>
  <c r="U310" i="8" s="1"/>
  <c r="U220" i="8"/>
  <c r="U311" i="8" s="1"/>
  <c r="U221" i="8"/>
  <c r="U312" i="8" s="1"/>
  <c r="R249" i="8"/>
  <c r="R148" i="8"/>
  <c r="K27" i="8"/>
  <c r="S128" i="8"/>
  <c r="S54" i="8"/>
  <c r="T45" i="8"/>
  <c r="T46" i="8"/>
  <c r="N186" i="8"/>
  <c r="N271" i="8"/>
  <c r="N184" i="8"/>
  <c r="N187" i="8"/>
  <c r="N185" i="8"/>
  <c r="U165" i="8"/>
  <c r="T175" i="8"/>
  <c r="T274" i="8" s="1"/>
  <c r="T181" i="8"/>
  <c r="T275" i="8" s="1"/>
  <c r="L98" i="8"/>
  <c r="O223" i="8"/>
  <c r="O314" i="8" s="1"/>
  <c r="N223" i="8"/>
  <c r="N314" i="8" s="1"/>
  <c r="S223" i="8"/>
  <c r="S314" i="8" s="1"/>
  <c r="R223" i="8"/>
  <c r="R314" i="8" s="1"/>
  <c r="L223" i="8"/>
  <c r="L314" i="8" s="1"/>
  <c r="K223" i="8"/>
  <c r="K314" i="8" s="1"/>
  <c r="J223" i="8"/>
  <c r="J314" i="8" s="1"/>
  <c r="M223" i="8"/>
  <c r="M314" i="8" s="1"/>
  <c r="U223" i="8"/>
  <c r="U314" i="8" s="1"/>
  <c r="T223" i="8"/>
  <c r="T314" i="8" s="1"/>
  <c r="Q223" i="8"/>
  <c r="Q314" i="8" s="1"/>
  <c r="P223" i="8"/>
  <c r="P314" i="8" s="1"/>
  <c r="V223" i="8"/>
  <c r="V314" i="8" s="1"/>
  <c r="K187" i="8"/>
  <c r="K271" i="8"/>
  <c r="K186" i="8"/>
  <c r="K184" i="8"/>
  <c r="K185" i="8"/>
  <c r="T92" i="8"/>
  <c r="T19" i="8"/>
  <c r="T98" i="8"/>
  <c r="T97" i="8"/>
  <c r="T13" i="8"/>
  <c r="T20" i="8"/>
  <c r="T12" i="8"/>
  <c r="T26" i="8"/>
  <c r="T32" i="8"/>
  <c r="T33" i="8" s="1"/>
  <c r="T93" i="8"/>
  <c r="T27" i="8"/>
  <c r="T198" i="8"/>
  <c r="T286" i="8" s="1"/>
  <c r="V198" i="8"/>
  <c r="V286" i="8" s="1"/>
  <c r="U198" i="8"/>
  <c r="U286" i="8" s="1"/>
  <c r="J243" i="8"/>
  <c r="J142" i="8"/>
  <c r="J16" i="8"/>
  <c r="J262" i="8" s="1"/>
  <c r="T298" i="8"/>
  <c r="K133" i="8"/>
  <c r="K139" i="8" s="1"/>
  <c r="K94" i="8"/>
  <c r="S271" i="8"/>
  <c r="S187" i="8"/>
  <c r="S185" i="8"/>
  <c r="S184" i="8"/>
  <c r="S186" i="8"/>
  <c r="J154" i="8"/>
  <c r="J255" i="8"/>
  <c r="J101" i="8"/>
  <c r="J267" i="8" s="1"/>
  <c r="K21" i="8" l="1"/>
  <c r="L20" i="8"/>
  <c r="U52" i="8"/>
  <c r="U53" i="8"/>
  <c r="U93" i="8"/>
  <c r="U92" i="8"/>
  <c r="U97" i="8"/>
  <c r="U98" i="8"/>
  <c r="U19" i="8"/>
  <c r="U13" i="8"/>
  <c r="U20" i="8"/>
  <c r="U26" i="8"/>
  <c r="U27" i="8"/>
  <c r="U12" i="8"/>
  <c r="U32" i="8"/>
  <c r="U33" i="8" s="1"/>
  <c r="K280" i="8"/>
  <c r="N280" i="8"/>
  <c r="K14" i="8"/>
  <c r="L13" i="8"/>
  <c r="P188" i="8"/>
  <c r="P276" i="8" s="1"/>
  <c r="U175" i="8"/>
  <c r="U274" i="8" s="1"/>
  <c r="K45" i="8"/>
  <c r="Q188" i="8"/>
  <c r="Q276" i="8" s="1"/>
  <c r="Q280" i="8" s="1"/>
  <c r="J46" i="8"/>
  <c r="K46" i="8" s="1"/>
  <c r="L46" i="8" s="1"/>
  <c r="M46" i="8" s="1"/>
  <c r="N46" i="8" s="1"/>
  <c r="O46" i="8" s="1"/>
  <c r="P46" i="8" s="1"/>
  <c r="Q46" i="8" s="1"/>
  <c r="R46" i="8" s="1"/>
  <c r="J45" i="8"/>
  <c r="Q187" i="8"/>
  <c r="S148" i="8"/>
  <c r="S249" i="8"/>
  <c r="F235" i="8"/>
  <c r="V201" i="8"/>
  <c r="V289" i="8" s="1"/>
  <c r="V193" i="8"/>
  <c r="V284" i="8" s="1"/>
  <c r="V178" i="8"/>
  <c r="V181" i="8" s="1"/>
  <c r="V275" i="8" s="1"/>
  <c r="V207" i="8"/>
  <c r="V192" i="8"/>
  <c r="V278" i="8" s="1"/>
  <c r="V167" i="8"/>
  <c r="V273" i="8" s="1"/>
  <c r="V179" i="8"/>
  <c r="V172" i="8"/>
  <c r="V180" i="8"/>
  <c r="V43" i="8"/>
  <c r="V173" i="8"/>
  <c r="D112" i="8"/>
  <c r="V112" i="8" s="1"/>
  <c r="W3" i="8"/>
  <c r="V1" i="8"/>
  <c r="V50" i="8"/>
  <c r="V174" i="8"/>
  <c r="V171" i="8"/>
  <c r="V170" i="8"/>
  <c r="V211" i="8"/>
  <c r="V302" i="8" s="1"/>
  <c r="V8" i="8"/>
  <c r="V75" i="8"/>
  <c r="D36" i="8"/>
  <c r="V36" i="8"/>
  <c r="V104" i="8"/>
  <c r="V218" i="8"/>
  <c r="V309" i="8" s="1"/>
  <c r="V191" i="8"/>
  <c r="V277" i="8" s="1"/>
  <c r="V212" i="8"/>
  <c r="V303" i="8" s="1"/>
  <c r="V209" i="8"/>
  <c r="V300" i="8" s="1"/>
  <c r="V217" i="8"/>
  <c r="V308" i="8" s="1"/>
  <c r="V226" i="8"/>
  <c r="V317" i="8" s="1"/>
  <c r="V228" i="8"/>
  <c r="V319" i="8" s="1"/>
  <c r="V197" i="8"/>
  <c r="V285" i="8" s="1"/>
  <c r="V229" i="8"/>
  <c r="V320" i="8" s="1"/>
  <c r="V227" i="8"/>
  <c r="V318" i="8" s="1"/>
  <c r="V232" i="8"/>
  <c r="V323" i="8" s="1"/>
  <c r="V213" i="8"/>
  <c r="V304" i="8" s="1"/>
  <c r="V230" i="8"/>
  <c r="V321" i="8" s="1"/>
  <c r="V231" i="8"/>
  <c r="V322" i="8" s="1"/>
  <c r="V194" i="8"/>
  <c r="V279" i="8" s="1"/>
  <c r="V219" i="8"/>
  <c r="V310" i="8" s="1"/>
  <c r="V214" i="8"/>
  <c r="V305" i="8" s="1"/>
  <c r="V221" i="8"/>
  <c r="V312" i="8" s="1"/>
  <c r="V220" i="8"/>
  <c r="V311" i="8" s="1"/>
  <c r="V165" i="8"/>
  <c r="S222" i="8"/>
  <c r="S313" i="8" s="1"/>
  <c r="R222" i="8"/>
  <c r="R313" i="8" s="1"/>
  <c r="M222" i="8"/>
  <c r="M313" i="8" s="1"/>
  <c r="L222" i="8"/>
  <c r="L313" i="8" s="1"/>
  <c r="N222" i="8"/>
  <c r="N313" i="8" s="1"/>
  <c r="K222" i="8"/>
  <c r="K313" i="8" s="1"/>
  <c r="J222" i="8"/>
  <c r="J313" i="8" s="1"/>
  <c r="O222" i="8"/>
  <c r="O313" i="8" s="1"/>
  <c r="W222" i="8"/>
  <c r="W313" i="8" s="1"/>
  <c r="U222" i="8"/>
  <c r="U313" i="8" s="1"/>
  <c r="V222" i="8"/>
  <c r="V313" i="8" s="1"/>
  <c r="P222" i="8"/>
  <c r="P313" i="8" s="1"/>
  <c r="T222" i="8"/>
  <c r="T313" i="8" s="1"/>
  <c r="Q222" i="8"/>
  <c r="Q313" i="8" s="1"/>
  <c r="P280" i="8"/>
  <c r="L185" i="8"/>
  <c r="Q185" i="8"/>
  <c r="W210" i="8"/>
  <c r="W301" i="8" s="1"/>
  <c r="K210" i="8"/>
  <c r="K301" i="8" s="1"/>
  <c r="V210" i="8"/>
  <c r="V301" i="8" s="1"/>
  <c r="J210" i="8"/>
  <c r="J301" i="8" s="1"/>
  <c r="U210" i="8"/>
  <c r="U301" i="8" s="1"/>
  <c r="S210" i="8"/>
  <c r="S301" i="8" s="1"/>
  <c r="R210" i="8"/>
  <c r="R301" i="8" s="1"/>
  <c r="Q210" i="8"/>
  <c r="Q301" i="8" s="1"/>
  <c r="T210" i="8"/>
  <c r="T301" i="8" s="1"/>
  <c r="P210" i="8"/>
  <c r="P301" i="8" s="1"/>
  <c r="O210" i="8"/>
  <c r="O301" i="8" s="1"/>
  <c r="N210" i="8"/>
  <c r="N301" i="8" s="1"/>
  <c r="L210" i="8"/>
  <c r="L301" i="8" s="1"/>
  <c r="M210" i="8"/>
  <c r="M301" i="8" s="1"/>
  <c r="L78" i="8"/>
  <c r="L45" i="8"/>
  <c r="T47" i="8"/>
  <c r="T127" i="8"/>
  <c r="O187" i="8"/>
  <c r="T99" i="8"/>
  <c r="T134" i="8"/>
  <c r="T101" i="8"/>
  <c r="T267" i="8" s="1"/>
  <c r="L99" i="8"/>
  <c r="M98" i="8"/>
  <c r="J104" i="8"/>
  <c r="K104" i="8"/>
  <c r="L104" i="8"/>
  <c r="M104" i="8"/>
  <c r="N104" i="8"/>
  <c r="O104" i="8"/>
  <c r="P104" i="8"/>
  <c r="Q104" i="8"/>
  <c r="R104" i="8"/>
  <c r="S104" i="8"/>
  <c r="T104" i="8"/>
  <c r="J184" i="8"/>
  <c r="O186" i="8"/>
  <c r="T128" i="8"/>
  <c r="T54" i="8"/>
  <c r="M188" i="8"/>
  <c r="M276" i="8" s="1"/>
  <c r="J254" i="8"/>
  <c r="J153" i="8"/>
  <c r="K252" i="8"/>
  <c r="K81" i="8"/>
  <c r="K266" i="8" s="1"/>
  <c r="K151" i="8"/>
  <c r="R187" i="8"/>
  <c r="O188" i="8"/>
  <c r="O276" i="8" s="1"/>
  <c r="O280" i="8" s="1"/>
  <c r="T122" i="8"/>
  <c r="T14" i="8"/>
  <c r="T16" i="8"/>
  <c r="T262" i="8" s="1"/>
  <c r="R185" i="8"/>
  <c r="R188" i="8" s="1"/>
  <c r="R276" i="8" s="1"/>
  <c r="R280" i="8" s="1"/>
  <c r="S188" i="8"/>
  <c r="S276" i="8" s="1"/>
  <c r="S280" i="8" s="1"/>
  <c r="U77" i="8"/>
  <c r="K28" i="8"/>
  <c r="L27" i="8"/>
  <c r="U298" i="8"/>
  <c r="J185" i="8"/>
  <c r="L184" i="8"/>
  <c r="V195" i="8"/>
  <c r="V282" i="8" s="1"/>
  <c r="M133" i="8"/>
  <c r="M139" i="8" s="1"/>
  <c r="M94" i="8"/>
  <c r="N92" i="8"/>
  <c r="N188" i="8"/>
  <c r="N276" i="8" s="1"/>
  <c r="T145" i="8"/>
  <c r="T246" i="8"/>
  <c r="T28" i="8"/>
  <c r="T124" i="8"/>
  <c r="K254" i="8"/>
  <c r="K153" i="8"/>
  <c r="T21" i="8"/>
  <c r="T123" i="8"/>
  <c r="T23" i="8"/>
  <c r="T263" i="8" s="1"/>
  <c r="J187" i="8"/>
  <c r="L186" i="8"/>
  <c r="L254" i="8"/>
  <c r="L153" i="8"/>
  <c r="K188" i="8"/>
  <c r="K276" i="8" s="1"/>
  <c r="T131" i="8"/>
  <c r="T81" i="8"/>
  <c r="T266" i="8" s="1"/>
  <c r="T133" i="8"/>
  <c r="T139" i="8" s="1"/>
  <c r="T94" i="8"/>
  <c r="U271" i="8"/>
  <c r="U184" i="8"/>
  <c r="U185" i="8"/>
  <c r="U187" i="8"/>
  <c r="U186" i="8"/>
  <c r="U45" i="8"/>
  <c r="U46" i="8"/>
  <c r="T186" i="8"/>
  <c r="T188" i="8" s="1"/>
  <c r="T276" i="8" s="1"/>
  <c r="T280" i="8" s="1"/>
  <c r="J186" i="8"/>
  <c r="L187" i="8"/>
  <c r="L127" i="8" l="1"/>
  <c r="L47" i="8"/>
  <c r="K36" i="8"/>
  <c r="K39" i="8" s="1"/>
  <c r="K40" i="8" s="1"/>
  <c r="J36" i="8"/>
  <c r="J39" i="8" s="1"/>
  <c r="J40" i="8" s="1"/>
  <c r="L36" i="8"/>
  <c r="M36" i="8"/>
  <c r="N36" i="8"/>
  <c r="O36" i="8"/>
  <c r="P36" i="8"/>
  <c r="Q36" i="8"/>
  <c r="R36" i="8"/>
  <c r="S36" i="8"/>
  <c r="T36" i="8"/>
  <c r="U36" i="8"/>
  <c r="M45" i="8"/>
  <c r="M99" i="8"/>
  <c r="N98" i="8"/>
  <c r="L28" i="8"/>
  <c r="M27" i="8"/>
  <c r="V92" i="8"/>
  <c r="V97" i="8"/>
  <c r="V32" i="8"/>
  <c r="V26" i="8"/>
  <c r="V20" i="8"/>
  <c r="V19" i="8"/>
  <c r="V27" i="8"/>
  <c r="V31" i="8"/>
  <c r="V98" i="8"/>
  <c r="V12" i="8"/>
  <c r="V93" i="8"/>
  <c r="V13" i="8"/>
  <c r="U127" i="8"/>
  <c r="U47" i="8"/>
  <c r="T143" i="8"/>
  <c r="T244" i="8"/>
  <c r="N133" i="8"/>
  <c r="N139" i="8" s="1"/>
  <c r="N94" i="8"/>
  <c r="O92" i="8"/>
  <c r="V175" i="8"/>
  <c r="V274" i="8" s="1"/>
  <c r="K127" i="8"/>
  <c r="K47" i="8"/>
  <c r="M280" i="8"/>
  <c r="M254" i="8"/>
  <c r="M153" i="8"/>
  <c r="T255" i="8"/>
  <c r="T154" i="8"/>
  <c r="U246" i="8"/>
  <c r="U145" i="8"/>
  <c r="U128" i="8"/>
  <c r="U54" i="8"/>
  <c r="J107" i="8"/>
  <c r="J108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T243" i="8"/>
  <c r="T142" i="8"/>
  <c r="U188" i="8"/>
  <c r="U276" i="8" s="1"/>
  <c r="U280" i="8" s="1"/>
  <c r="J127" i="8"/>
  <c r="J47" i="8"/>
  <c r="U122" i="8"/>
  <c r="U14" i="8"/>
  <c r="U16" i="8"/>
  <c r="U262" i="8" s="1"/>
  <c r="U21" i="8"/>
  <c r="U123" i="8"/>
  <c r="U23" i="8"/>
  <c r="U263" i="8" s="1"/>
  <c r="L79" i="8"/>
  <c r="M78" i="8"/>
  <c r="V271" i="8"/>
  <c r="V77" i="8"/>
  <c r="U235" i="8"/>
  <c r="U326" i="8" s="1"/>
  <c r="T235" i="8"/>
  <c r="T326" i="8" s="1"/>
  <c r="O235" i="8"/>
  <c r="O326" i="8" s="1"/>
  <c r="N235" i="8"/>
  <c r="N326" i="8" s="1"/>
  <c r="J235" i="8"/>
  <c r="J326" i="8" s="1"/>
  <c r="X235" i="8"/>
  <c r="X326" i="8" s="1"/>
  <c r="W235" i="8"/>
  <c r="W326" i="8" s="1"/>
  <c r="V235" i="8"/>
  <c r="V326" i="8" s="1"/>
  <c r="R235" i="8"/>
  <c r="R326" i="8" s="1"/>
  <c r="S235" i="8"/>
  <c r="S326" i="8" s="1"/>
  <c r="P235" i="8"/>
  <c r="P326" i="8" s="1"/>
  <c r="M235" i="8"/>
  <c r="M326" i="8" s="1"/>
  <c r="K235" i="8"/>
  <c r="K326" i="8" s="1"/>
  <c r="Q235" i="8"/>
  <c r="Q326" i="8" s="1"/>
  <c r="L235" i="8"/>
  <c r="L326" i="8" s="1"/>
  <c r="L154" i="8"/>
  <c r="L255" i="8"/>
  <c r="L101" i="8"/>
  <c r="L267" i="8" s="1"/>
  <c r="U134" i="8"/>
  <c r="U101" i="8"/>
  <c r="U267" i="8" s="1"/>
  <c r="U99" i="8"/>
  <c r="K245" i="8"/>
  <c r="K144" i="8"/>
  <c r="V45" i="8"/>
  <c r="V46" i="8"/>
  <c r="U94" i="8"/>
  <c r="U133" i="8"/>
  <c r="U139" i="8" s="1"/>
  <c r="T148" i="8"/>
  <c r="T249" i="8"/>
  <c r="V53" i="8"/>
  <c r="V52" i="8"/>
  <c r="J188" i="8"/>
  <c r="J276" i="8" s="1"/>
  <c r="T153" i="8"/>
  <c r="T254" i="8"/>
  <c r="T245" i="8"/>
  <c r="T144" i="8"/>
  <c r="L188" i="8"/>
  <c r="L276" i="8" s="1"/>
  <c r="L280" i="8" s="1"/>
  <c r="U131" i="8"/>
  <c r="U81" i="8"/>
  <c r="U266" i="8" s="1"/>
  <c r="T147" i="8"/>
  <c r="T248" i="8"/>
  <c r="V298" i="8"/>
  <c r="L14" i="8"/>
  <c r="M13" i="8"/>
  <c r="U28" i="8"/>
  <c r="U124" i="8"/>
  <c r="L21" i="8"/>
  <c r="M20" i="8"/>
  <c r="K107" i="8"/>
  <c r="K108" i="8"/>
  <c r="L108" i="8" s="1"/>
  <c r="M108" i="8" s="1"/>
  <c r="N108" i="8" s="1"/>
  <c r="O108" i="8" s="1"/>
  <c r="P108" i="8" s="1"/>
  <c r="Q108" i="8" s="1"/>
  <c r="R108" i="8" s="1"/>
  <c r="S108" i="8" s="1"/>
  <c r="T108" i="8" s="1"/>
  <c r="U108" i="8" s="1"/>
  <c r="V108" i="8" s="1"/>
  <c r="W218" i="8"/>
  <c r="W309" i="8" s="1"/>
  <c r="W193" i="8"/>
  <c r="W284" i="8" s="1"/>
  <c r="W178" i="8"/>
  <c r="W192" i="8"/>
  <c r="W278" i="8" s="1"/>
  <c r="F233" i="8"/>
  <c r="W179" i="8"/>
  <c r="W172" i="8"/>
  <c r="W112" i="8"/>
  <c r="W180" i="8"/>
  <c r="W173" i="8"/>
  <c r="X3" i="8"/>
  <c r="W1" i="8"/>
  <c r="W75" i="8"/>
  <c r="W50" i="8"/>
  <c r="W201" i="8"/>
  <c r="W289" i="8" s="1"/>
  <c r="W174" i="8"/>
  <c r="W171" i="8"/>
  <c r="W170" i="8"/>
  <c r="D57" i="8"/>
  <c r="W57" i="8" s="1"/>
  <c r="W8" i="8"/>
  <c r="D84" i="8"/>
  <c r="W84" i="8" s="1"/>
  <c r="W43" i="8"/>
  <c r="W191" i="8"/>
  <c r="W277" i="8" s="1"/>
  <c r="W211" i="8"/>
  <c r="W302" i="8" s="1"/>
  <c r="W104" i="8"/>
  <c r="W36" i="8"/>
  <c r="W167" i="8"/>
  <c r="W273" i="8" s="1"/>
  <c r="W217" i="8"/>
  <c r="W308" i="8" s="1"/>
  <c r="W212" i="8"/>
  <c r="W303" i="8" s="1"/>
  <c r="W209" i="8"/>
  <c r="W300" i="8" s="1"/>
  <c r="W228" i="8"/>
  <c r="W319" i="8" s="1"/>
  <c r="W226" i="8"/>
  <c r="W317" i="8" s="1"/>
  <c r="W197" i="8"/>
  <c r="W285" i="8" s="1"/>
  <c r="W229" i="8"/>
  <c r="W320" i="8" s="1"/>
  <c r="W232" i="8"/>
  <c r="W323" i="8" s="1"/>
  <c r="W227" i="8"/>
  <c r="W318" i="8" s="1"/>
  <c r="W230" i="8"/>
  <c r="W321" i="8" s="1"/>
  <c r="W213" i="8"/>
  <c r="W304" i="8" s="1"/>
  <c r="W231" i="8"/>
  <c r="W322" i="8" s="1"/>
  <c r="W194" i="8"/>
  <c r="W279" i="8" s="1"/>
  <c r="W214" i="8"/>
  <c r="W305" i="8" s="1"/>
  <c r="W219" i="8"/>
  <c r="W310" i="8" s="1"/>
  <c r="W220" i="8"/>
  <c r="W311" i="8" s="1"/>
  <c r="W221" i="8"/>
  <c r="W312" i="8" s="1"/>
  <c r="W165" i="8"/>
  <c r="W195" i="8"/>
  <c r="W282" i="8" s="1"/>
  <c r="W223" i="8"/>
  <c r="W314" i="8" s="1"/>
  <c r="W166" i="8"/>
  <c r="W272" i="8" s="1"/>
  <c r="W198" i="8"/>
  <c r="W286" i="8" s="1"/>
  <c r="W196" i="8"/>
  <c r="W283" i="8" s="1"/>
  <c r="W200" i="8"/>
  <c r="W288" i="8" s="1"/>
  <c r="K243" i="8"/>
  <c r="K142" i="8"/>
  <c r="K16" i="8"/>
  <c r="K262" i="8" s="1"/>
  <c r="K244" i="8"/>
  <c r="K143" i="8"/>
  <c r="K23" i="8"/>
  <c r="K263" i="8" s="1"/>
  <c r="V128" i="8" l="1"/>
  <c r="V54" i="8"/>
  <c r="L252" i="8"/>
  <c r="L81" i="8"/>
  <c r="L266" i="8" s="1"/>
  <c r="L151" i="8"/>
  <c r="U248" i="8"/>
  <c r="U147" i="8"/>
  <c r="W181" i="8"/>
  <c r="W275" i="8" s="1"/>
  <c r="N254" i="8"/>
  <c r="N153" i="8"/>
  <c r="L243" i="8"/>
  <c r="L142" i="8"/>
  <c r="L16" i="8"/>
  <c r="L262" i="8" s="1"/>
  <c r="V14" i="8"/>
  <c r="V16" i="8"/>
  <c r="V262" i="8" s="1"/>
  <c r="V122" i="8"/>
  <c r="W271" i="8"/>
  <c r="W186" i="8"/>
  <c r="W45" i="8"/>
  <c r="W46" i="8"/>
  <c r="V187" i="8"/>
  <c r="L245" i="8"/>
  <c r="L144" i="8"/>
  <c r="V28" i="8"/>
  <c r="V124" i="8"/>
  <c r="V94" i="8"/>
  <c r="V133" i="8"/>
  <c r="V139" i="8" s="1"/>
  <c r="W52" i="8"/>
  <c r="W53" i="8"/>
  <c r="U245" i="8"/>
  <c r="U144" i="8"/>
  <c r="M14" i="8"/>
  <c r="N13" i="8"/>
  <c r="U244" i="8"/>
  <c r="U143" i="8"/>
  <c r="M28" i="8"/>
  <c r="N27" i="8"/>
  <c r="X218" i="8"/>
  <c r="X309" i="8" s="1"/>
  <c r="X207" i="8"/>
  <c r="F234" i="8"/>
  <c r="X201" i="8"/>
  <c r="X289" i="8" s="1"/>
  <c r="X179" i="8"/>
  <c r="X172" i="8"/>
  <c r="X174" i="8"/>
  <c r="X180" i="8"/>
  <c r="X104" i="8"/>
  <c r="X193" i="8"/>
  <c r="X284" i="8" s="1"/>
  <c r="X112" i="8"/>
  <c r="X50" i="8"/>
  <c r="X171" i="8"/>
  <c r="X170" i="8"/>
  <c r="X175" i="8" s="1"/>
  <c r="X274" i="8" s="1"/>
  <c r="X192" i="8"/>
  <c r="X278" i="8" s="1"/>
  <c r="X178" i="8"/>
  <c r="X181" i="8" s="1"/>
  <c r="X275" i="8" s="1"/>
  <c r="X167" i="8"/>
  <c r="X273" i="8" s="1"/>
  <c r="X75" i="8"/>
  <c r="X57" i="8"/>
  <c r="X36" i="8"/>
  <c r="X84" i="8"/>
  <c r="X1" i="8"/>
  <c r="X211" i="8"/>
  <c r="X302" i="8" s="1"/>
  <c r="X173" i="8"/>
  <c r="X191" i="8"/>
  <c r="X277" i="8" s="1"/>
  <c r="X8" i="8"/>
  <c r="Y3" i="8"/>
  <c r="X43" i="8"/>
  <c r="X209" i="8"/>
  <c r="X300" i="8" s="1"/>
  <c r="X212" i="8"/>
  <c r="X303" i="8" s="1"/>
  <c r="X217" i="8"/>
  <c r="X308" i="8" s="1"/>
  <c r="X226" i="8"/>
  <c r="X317" i="8" s="1"/>
  <c r="X228" i="8"/>
  <c r="X319" i="8" s="1"/>
  <c r="X197" i="8"/>
  <c r="X285" i="8" s="1"/>
  <c r="X229" i="8"/>
  <c r="X320" i="8" s="1"/>
  <c r="X232" i="8"/>
  <c r="X323" i="8" s="1"/>
  <c r="X227" i="8"/>
  <c r="X318" i="8" s="1"/>
  <c r="X213" i="8"/>
  <c r="X304" i="8" s="1"/>
  <c r="X230" i="8"/>
  <c r="X321" i="8" s="1"/>
  <c r="X231" i="8"/>
  <c r="X322" i="8" s="1"/>
  <c r="X194" i="8"/>
  <c r="X279" i="8" s="1"/>
  <c r="X219" i="8"/>
  <c r="X310" i="8" s="1"/>
  <c r="X214" i="8"/>
  <c r="X305" i="8" s="1"/>
  <c r="X220" i="8"/>
  <c r="X311" i="8" s="1"/>
  <c r="X221" i="8"/>
  <c r="X312" i="8" s="1"/>
  <c r="X165" i="8"/>
  <c r="X198" i="8"/>
  <c r="X286" i="8" s="1"/>
  <c r="X195" i="8"/>
  <c r="X282" i="8" s="1"/>
  <c r="X200" i="8"/>
  <c r="X288" i="8" s="1"/>
  <c r="X223" i="8"/>
  <c r="X314" i="8" s="1"/>
  <c r="X166" i="8"/>
  <c r="X272" i="8" s="1"/>
  <c r="X196" i="8"/>
  <c r="X283" i="8" s="1"/>
  <c r="X222" i="8"/>
  <c r="X313" i="8" s="1"/>
  <c r="X210" i="8"/>
  <c r="X301" i="8" s="1"/>
  <c r="U255" i="8"/>
  <c r="U154" i="8"/>
  <c r="V185" i="8"/>
  <c r="J115" i="8"/>
  <c r="J116" i="8"/>
  <c r="K116" i="8" s="1"/>
  <c r="L116" i="8" s="1"/>
  <c r="M116" i="8" s="1"/>
  <c r="N116" i="8" s="1"/>
  <c r="O116" i="8" s="1"/>
  <c r="P116" i="8" s="1"/>
  <c r="Q116" i="8" s="1"/>
  <c r="R116" i="8" s="1"/>
  <c r="S116" i="8" s="1"/>
  <c r="T116" i="8" s="1"/>
  <c r="U116" i="8" s="1"/>
  <c r="V116" i="8" s="1"/>
  <c r="W116" i="8" s="1"/>
  <c r="V125" i="8"/>
  <c r="V33" i="8"/>
  <c r="K135" i="8"/>
  <c r="K109" i="8"/>
  <c r="K155" i="8" s="1"/>
  <c r="K256" i="8" s="1"/>
  <c r="M21" i="8"/>
  <c r="N20" i="8"/>
  <c r="M79" i="8"/>
  <c r="N78" i="8"/>
  <c r="Q233" i="8"/>
  <c r="Q324" i="8" s="1"/>
  <c r="P233" i="8"/>
  <c r="P324" i="8" s="1"/>
  <c r="S233" i="8"/>
  <c r="S324" i="8" s="1"/>
  <c r="R233" i="8"/>
  <c r="R324" i="8" s="1"/>
  <c r="J233" i="8"/>
  <c r="J324" i="8" s="1"/>
  <c r="X233" i="8"/>
  <c r="X324" i="8" s="1"/>
  <c r="W233" i="8"/>
  <c r="W324" i="8" s="1"/>
  <c r="V233" i="8"/>
  <c r="V324" i="8" s="1"/>
  <c r="T233" i="8"/>
  <c r="T324" i="8" s="1"/>
  <c r="O233" i="8"/>
  <c r="O324" i="8" s="1"/>
  <c r="N233" i="8"/>
  <c r="N324" i="8" s="1"/>
  <c r="L233" i="8"/>
  <c r="L324" i="8" s="1"/>
  <c r="M233" i="8"/>
  <c r="M324" i="8" s="1"/>
  <c r="U233" i="8"/>
  <c r="U324" i="8" s="1"/>
  <c r="K233" i="8"/>
  <c r="K324" i="8" s="1"/>
  <c r="L244" i="8"/>
  <c r="L143" i="8"/>
  <c r="L23" i="8"/>
  <c r="L263" i="8" s="1"/>
  <c r="V134" i="8"/>
  <c r="V101" i="8"/>
  <c r="V267" i="8" s="1"/>
  <c r="V99" i="8"/>
  <c r="O133" i="8"/>
  <c r="O139" i="8" s="1"/>
  <c r="O94" i="8"/>
  <c r="P92" i="8"/>
  <c r="W108" i="8"/>
  <c r="W77" i="8"/>
  <c r="V131" i="8"/>
  <c r="V81" i="8"/>
  <c r="V266" i="8" s="1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V186" i="8"/>
  <c r="U243" i="8"/>
  <c r="U142" i="8"/>
  <c r="N99" i="8"/>
  <c r="O98" i="8"/>
  <c r="L39" i="8"/>
  <c r="L40" i="8" s="1"/>
  <c r="L248" i="8"/>
  <c r="L147" i="8"/>
  <c r="V127" i="8"/>
  <c r="V47" i="8"/>
  <c r="W98" i="8"/>
  <c r="W97" i="8"/>
  <c r="W27" i="8"/>
  <c r="W26" i="8"/>
  <c r="W19" i="8"/>
  <c r="W92" i="8"/>
  <c r="W13" i="8"/>
  <c r="W20" i="8"/>
  <c r="W93" i="8"/>
  <c r="W32" i="8"/>
  <c r="W31" i="8"/>
  <c r="W12" i="8"/>
  <c r="L107" i="8"/>
  <c r="V184" i="8"/>
  <c r="V188" i="8" s="1"/>
  <c r="V276" i="8" s="1"/>
  <c r="V280" i="8" s="1"/>
  <c r="J109" i="8"/>
  <c r="J155" i="8" s="1"/>
  <c r="J256" i="8" s="1"/>
  <c r="J135" i="8"/>
  <c r="K248" i="8"/>
  <c r="K147" i="8"/>
  <c r="V21" i="8"/>
  <c r="V123" i="8"/>
  <c r="V23" i="8"/>
  <c r="V263" i="8" s="1"/>
  <c r="M255" i="8"/>
  <c r="M154" i="8"/>
  <c r="M101" i="8"/>
  <c r="M267" i="8" s="1"/>
  <c r="J247" i="8"/>
  <c r="J146" i="8"/>
  <c r="W175" i="8"/>
  <c r="W274" i="8" s="1"/>
  <c r="U254" i="8"/>
  <c r="U153" i="8"/>
  <c r="J280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J248" i="8"/>
  <c r="J147" i="8"/>
  <c r="U148" i="8"/>
  <c r="U249" i="8"/>
  <c r="M127" i="8"/>
  <c r="M47" i="8"/>
  <c r="N45" i="8"/>
  <c r="K247" i="8"/>
  <c r="K146" i="8"/>
  <c r="Y207" i="8" l="1"/>
  <c r="Y201" i="8"/>
  <c r="Y289" i="8" s="1"/>
  <c r="Y192" i="8"/>
  <c r="Y278" i="8" s="1"/>
  <c r="Y173" i="8"/>
  <c r="Y174" i="8"/>
  <c r="Y193" i="8"/>
  <c r="Y284" i="8" s="1"/>
  <c r="Y172" i="8"/>
  <c r="F199" i="8"/>
  <c r="Y167" i="8"/>
  <c r="Y273" i="8" s="1"/>
  <c r="Y179" i="8"/>
  <c r="Y171" i="8"/>
  <c r="Y170" i="8"/>
  <c r="Y211" i="8"/>
  <c r="Y302" i="8" s="1"/>
  <c r="Y178" i="8"/>
  <c r="Y75" i="8"/>
  <c r="Y1" i="8"/>
  <c r="Y180" i="8"/>
  <c r="Y57" i="8"/>
  <c r="Y84" i="8"/>
  <c r="Y36" i="8"/>
  <c r="Y191" i="8"/>
  <c r="Y277" i="8" s="1"/>
  <c r="Y104" i="8"/>
  <c r="D66" i="8"/>
  <c r="Y8" i="8"/>
  <c r="Y50" i="8"/>
  <c r="Y66" i="8"/>
  <c r="Z3" i="8"/>
  <c r="Y218" i="8"/>
  <c r="Y309" i="8" s="1"/>
  <c r="Y112" i="8"/>
  <c r="Y43" i="8"/>
  <c r="Y212" i="8"/>
  <c r="Y303" i="8" s="1"/>
  <c r="Y217" i="8"/>
  <c r="Y308" i="8" s="1"/>
  <c r="Y209" i="8"/>
  <c r="Y300" i="8" s="1"/>
  <c r="Y226" i="8"/>
  <c r="Y317" i="8" s="1"/>
  <c r="Y228" i="8"/>
  <c r="Y319" i="8" s="1"/>
  <c r="Y197" i="8"/>
  <c r="Y285" i="8" s="1"/>
  <c r="Y227" i="8"/>
  <c r="Y318" i="8" s="1"/>
  <c r="Y229" i="8"/>
  <c r="Y320" i="8" s="1"/>
  <c r="Y232" i="8"/>
  <c r="Y323" i="8" s="1"/>
  <c r="Y213" i="8"/>
  <c r="Y304" i="8" s="1"/>
  <c r="Y230" i="8"/>
  <c r="Y321" i="8" s="1"/>
  <c r="Y231" i="8"/>
  <c r="Y322" i="8" s="1"/>
  <c r="Y194" i="8"/>
  <c r="Y279" i="8" s="1"/>
  <c r="Y219" i="8"/>
  <c r="Y310" i="8" s="1"/>
  <c r="Y214" i="8"/>
  <c r="Y305" i="8" s="1"/>
  <c r="Y220" i="8"/>
  <c r="Y311" i="8" s="1"/>
  <c r="Y221" i="8"/>
  <c r="Y312" i="8" s="1"/>
  <c r="Y165" i="8"/>
  <c r="Y166" i="8"/>
  <c r="Y272" i="8" s="1"/>
  <c r="Y195" i="8"/>
  <c r="Y282" i="8" s="1"/>
  <c r="Y196" i="8"/>
  <c r="Y283" i="8" s="1"/>
  <c r="Y223" i="8"/>
  <c r="Y314" i="8" s="1"/>
  <c r="Y198" i="8"/>
  <c r="Y286" i="8" s="1"/>
  <c r="Y200" i="8"/>
  <c r="Y288" i="8" s="1"/>
  <c r="Y222" i="8"/>
  <c r="Y313" i="8" s="1"/>
  <c r="Y210" i="8"/>
  <c r="Y301" i="8" s="1"/>
  <c r="Y235" i="8"/>
  <c r="Y326" i="8" s="1"/>
  <c r="W134" i="8"/>
  <c r="W101" i="8"/>
  <c r="W267" i="8" s="1"/>
  <c r="W99" i="8"/>
  <c r="Y233" i="8"/>
  <c r="Y324" i="8" s="1"/>
  <c r="X12" i="8"/>
  <c r="X92" i="8"/>
  <c r="X97" i="8"/>
  <c r="X27" i="8"/>
  <c r="X26" i="8"/>
  <c r="X20" i="8"/>
  <c r="X19" i="8"/>
  <c r="X13" i="8"/>
  <c r="X32" i="8"/>
  <c r="X93" i="8"/>
  <c r="X31" i="8"/>
  <c r="X98" i="8"/>
  <c r="X298" i="8"/>
  <c r="L135" i="8"/>
  <c r="L109" i="8"/>
  <c r="L155" i="8" s="1"/>
  <c r="L256" i="8" s="1"/>
  <c r="M107" i="8"/>
  <c r="M252" i="8"/>
  <c r="M81" i="8"/>
  <c r="M266" i="8" s="1"/>
  <c r="M151" i="8"/>
  <c r="N21" i="8"/>
  <c r="O20" i="8"/>
  <c r="N28" i="8"/>
  <c r="O27" i="8"/>
  <c r="W127" i="8"/>
  <c r="W47" i="8"/>
  <c r="M244" i="8"/>
  <c r="M143" i="8"/>
  <c r="M23" i="8"/>
  <c r="M263" i="8" s="1"/>
  <c r="X271" i="8"/>
  <c r="X187" i="8"/>
  <c r="X186" i="8"/>
  <c r="X185" i="8"/>
  <c r="X184" i="8"/>
  <c r="M245" i="8"/>
  <c r="M144" i="8"/>
  <c r="L88" i="8"/>
  <c r="M88" i="8" s="1"/>
  <c r="N88" i="8" s="1"/>
  <c r="O88" i="8" s="1"/>
  <c r="P88" i="8" s="1"/>
  <c r="Q88" i="8" s="1"/>
  <c r="R88" i="8" s="1"/>
  <c r="S88" i="8" s="1"/>
  <c r="T88" i="8" s="1"/>
  <c r="U88" i="8" s="1"/>
  <c r="V88" i="8" s="1"/>
  <c r="W88" i="8" s="1"/>
  <c r="X88" i="8" s="1"/>
  <c r="X108" i="8"/>
  <c r="W185" i="8"/>
  <c r="K88" i="8"/>
  <c r="K87" i="8"/>
  <c r="N14" i="8"/>
  <c r="O13" i="8"/>
  <c r="W187" i="8"/>
  <c r="M248" i="8"/>
  <c r="M147" i="8"/>
  <c r="J59" i="8"/>
  <c r="J60" i="8"/>
  <c r="Y234" i="8"/>
  <c r="Y325" i="8" s="1"/>
  <c r="M234" i="8"/>
  <c r="M325" i="8" s="1"/>
  <c r="X234" i="8"/>
  <c r="X325" i="8" s="1"/>
  <c r="L234" i="8"/>
  <c r="L325" i="8" s="1"/>
  <c r="W234" i="8"/>
  <c r="W325" i="8" s="1"/>
  <c r="V234" i="8"/>
  <c r="V325" i="8" s="1"/>
  <c r="J234" i="8"/>
  <c r="J325" i="8" s="1"/>
  <c r="U234" i="8"/>
  <c r="U325" i="8" s="1"/>
  <c r="T234" i="8"/>
  <c r="T325" i="8" s="1"/>
  <c r="N234" i="8"/>
  <c r="N325" i="8" s="1"/>
  <c r="K234" i="8"/>
  <c r="K325" i="8" s="1"/>
  <c r="R234" i="8"/>
  <c r="R325" i="8" s="1"/>
  <c r="Q234" i="8"/>
  <c r="Q325" i="8" s="1"/>
  <c r="S234" i="8"/>
  <c r="S325" i="8" s="1"/>
  <c r="O234" i="8"/>
  <c r="O325" i="8" s="1"/>
  <c r="P234" i="8"/>
  <c r="P325" i="8" s="1"/>
  <c r="W128" i="8"/>
  <c r="W54" i="8"/>
  <c r="V142" i="8"/>
  <c r="V243" i="8"/>
  <c r="V255" i="8"/>
  <c r="V154" i="8"/>
  <c r="N79" i="8"/>
  <c r="O78" i="8"/>
  <c r="V153" i="8"/>
  <c r="V254" i="8"/>
  <c r="W14" i="8"/>
  <c r="W16" i="8"/>
  <c r="W262" i="8" s="1"/>
  <c r="W122" i="8"/>
  <c r="J136" i="8"/>
  <c r="J117" i="8"/>
  <c r="J257" i="8" s="1"/>
  <c r="X52" i="8"/>
  <c r="X53" i="8"/>
  <c r="W125" i="8"/>
  <c r="W33" i="8"/>
  <c r="V248" i="8"/>
  <c r="V147" i="8"/>
  <c r="X116" i="8"/>
  <c r="V245" i="8"/>
  <c r="V144" i="8"/>
  <c r="V249" i="8"/>
  <c r="V148" i="8"/>
  <c r="V244" i="8"/>
  <c r="V143" i="8"/>
  <c r="W131" i="8"/>
  <c r="W81" i="8"/>
  <c r="W266" i="8" s="1"/>
  <c r="W184" i="8"/>
  <c r="W188" i="8" s="1"/>
  <c r="W276" i="8" s="1"/>
  <c r="J88" i="8"/>
  <c r="J87" i="8"/>
  <c r="M243" i="8"/>
  <c r="M16" i="8"/>
  <c r="M262" i="8" s="1"/>
  <c r="M142" i="8"/>
  <c r="W280" i="8"/>
  <c r="W133" i="8"/>
  <c r="W139" i="8" s="1"/>
  <c r="W94" i="8"/>
  <c r="L247" i="8"/>
  <c r="L146" i="8"/>
  <c r="M39" i="8"/>
  <c r="X77" i="8"/>
  <c r="K115" i="8"/>
  <c r="W21" i="8"/>
  <c r="W123" i="8"/>
  <c r="W23" i="8"/>
  <c r="W263" i="8" s="1"/>
  <c r="O99" i="8"/>
  <c r="P98" i="8"/>
  <c r="P99" i="8" s="1"/>
  <c r="P133" i="8"/>
  <c r="P139" i="8" s="1"/>
  <c r="P94" i="8"/>
  <c r="V246" i="8"/>
  <c r="V145" i="8"/>
  <c r="X45" i="8"/>
  <c r="X46" i="8"/>
  <c r="N47" i="8"/>
  <c r="N127" i="8"/>
  <c r="O45" i="8"/>
  <c r="K59" i="8"/>
  <c r="K60" i="8"/>
  <c r="L60" i="8" s="1"/>
  <c r="M60" i="8" s="1"/>
  <c r="N60" i="8" s="1"/>
  <c r="O60" i="8" s="1"/>
  <c r="P60" i="8" s="1"/>
  <c r="Q60" i="8" s="1"/>
  <c r="R60" i="8" s="1"/>
  <c r="S60" i="8" s="1"/>
  <c r="T60" i="8" s="1"/>
  <c r="U60" i="8" s="1"/>
  <c r="V60" i="8" s="1"/>
  <c r="W60" i="8" s="1"/>
  <c r="X60" i="8" s="1"/>
  <c r="W124" i="8"/>
  <c r="W28" i="8"/>
  <c r="N154" i="8"/>
  <c r="N255" i="8"/>
  <c r="N101" i="8"/>
  <c r="N267" i="8" s="1"/>
  <c r="O254" i="8"/>
  <c r="O153" i="8"/>
  <c r="K89" i="8" l="1"/>
  <c r="K132" i="8"/>
  <c r="N252" i="8"/>
  <c r="N151" i="8"/>
  <c r="N81" i="8"/>
  <c r="N266" i="8" s="1"/>
  <c r="Z192" i="8"/>
  <c r="Z278" i="8" s="1"/>
  <c r="Z180" i="8"/>
  <c r="Z207" i="8"/>
  <c r="Z174" i="8"/>
  <c r="Z170" i="8"/>
  <c r="Z167" i="8"/>
  <c r="Z273" i="8" s="1"/>
  <c r="Z191" i="8"/>
  <c r="Z277" i="8" s="1"/>
  <c r="Z178" i="8"/>
  <c r="Z172" i="8"/>
  <c r="Z75" i="8"/>
  <c r="Z201" i="8"/>
  <c r="Z289" i="8" s="1"/>
  <c r="Z193" i="8"/>
  <c r="Z284" i="8" s="1"/>
  <c r="Z57" i="8"/>
  <c r="Z1" i="8"/>
  <c r="Z36" i="8"/>
  <c r="Z171" i="8"/>
  <c r="Z84" i="8"/>
  <c r="Z218" i="8"/>
  <c r="Z309" i="8" s="1"/>
  <c r="Z50" i="8"/>
  <c r="Z173" i="8"/>
  <c r="Z66" i="8"/>
  <c r="AA3" i="8"/>
  <c r="Z179" i="8"/>
  <c r="Z104" i="8"/>
  <c r="Z112" i="8"/>
  <c r="Z8" i="8"/>
  <c r="Z43" i="8"/>
  <c r="Z212" i="8"/>
  <c r="Z303" i="8" s="1"/>
  <c r="Z211" i="8"/>
  <c r="Z302" i="8" s="1"/>
  <c r="Z209" i="8"/>
  <c r="Z300" i="8" s="1"/>
  <c r="Z217" i="8"/>
  <c r="Z308" i="8" s="1"/>
  <c r="Z197" i="8"/>
  <c r="Z285" i="8" s="1"/>
  <c r="Z228" i="8"/>
  <c r="Z319" i="8" s="1"/>
  <c r="Z226" i="8"/>
  <c r="Z317" i="8" s="1"/>
  <c r="Z227" i="8"/>
  <c r="Z318" i="8" s="1"/>
  <c r="Z232" i="8"/>
  <c r="Z323" i="8" s="1"/>
  <c r="Z229" i="8"/>
  <c r="Z320" i="8" s="1"/>
  <c r="Z230" i="8"/>
  <c r="Z321" i="8" s="1"/>
  <c r="Z213" i="8"/>
  <c r="Z304" i="8" s="1"/>
  <c r="Z231" i="8"/>
  <c r="Z322" i="8" s="1"/>
  <c r="Z194" i="8"/>
  <c r="Z279" i="8" s="1"/>
  <c r="Z219" i="8"/>
  <c r="Z310" i="8" s="1"/>
  <c r="Z214" i="8"/>
  <c r="Z305" i="8" s="1"/>
  <c r="Z220" i="8"/>
  <c r="Z311" i="8" s="1"/>
  <c r="Z221" i="8"/>
  <c r="Z312" i="8" s="1"/>
  <c r="Z165" i="8"/>
  <c r="Z198" i="8"/>
  <c r="Z286" i="8" s="1"/>
  <c r="Z195" i="8"/>
  <c r="Z282" i="8" s="1"/>
  <c r="Z223" i="8"/>
  <c r="Z314" i="8" s="1"/>
  <c r="Z196" i="8"/>
  <c r="Z283" i="8" s="1"/>
  <c r="Z166" i="8"/>
  <c r="Z272" i="8" s="1"/>
  <c r="Z200" i="8"/>
  <c r="Z288" i="8" s="1"/>
  <c r="Z222" i="8"/>
  <c r="Z313" i="8" s="1"/>
  <c r="Z210" i="8"/>
  <c r="Z301" i="8" s="1"/>
  <c r="Z235" i="8"/>
  <c r="Z326" i="8" s="1"/>
  <c r="Z233" i="8"/>
  <c r="Z324" i="8" s="1"/>
  <c r="M135" i="8"/>
  <c r="M109" i="8"/>
  <c r="M155" i="8" s="1"/>
  <c r="M256" i="8" s="1"/>
  <c r="N107" i="8"/>
  <c r="Y298" i="8"/>
  <c r="O47" i="8"/>
  <c r="O127" i="8"/>
  <c r="P45" i="8"/>
  <c r="Y175" i="8"/>
  <c r="Y274" i="8" s="1"/>
  <c r="N248" i="8"/>
  <c r="N147" i="8"/>
  <c r="X123" i="8"/>
  <c r="X21" i="8"/>
  <c r="X23" i="8"/>
  <c r="X263" i="8" s="1"/>
  <c r="Y108" i="8"/>
  <c r="Y271" i="8"/>
  <c r="K66" i="8"/>
  <c r="J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W244" i="8"/>
  <c r="W143" i="8"/>
  <c r="W254" i="8"/>
  <c r="W153" i="8"/>
  <c r="J89" i="8"/>
  <c r="J132" i="8"/>
  <c r="O28" i="8"/>
  <c r="P27" i="8"/>
  <c r="P28" i="8" s="1"/>
  <c r="K136" i="8"/>
  <c r="K117" i="8"/>
  <c r="K257" i="8" s="1"/>
  <c r="L115" i="8"/>
  <c r="X16" i="8"/>
  <c r="X262" i="8" s="1"/>
  <c r="X14" i="8"/>
  <c r="X122" i="8"/>
  <c r="J63" i="8"/>
  <c r="J61" i="8"/>
  <c r="J129" i="8"/>
  <c r="X127" i="8"/>
  <c r="X47" i="8"/>
  <c r="X54" i="8"/>
  <c r="X128" i="8"/>
  <c r="W148" i="8"/>
  <c r="W249" i="8"/>
  <c r="O14" i="8"/>
  <c r="P13" i="8"/>
  <c r="X188" i="8"/>
  <c r="X276" i="8" s="1"/>
  <c r="X280" i="8" s="1"/>
  <c r="X292" i="8" s="1"/>
  <c r="N245" i="8"/>
  <c r="N144" i="8"/>
  <c r="X124" i="8"/>
  <c r="X28" i="8"/>
  <c r="Y38" i="8"/>
  <c r="P199" i="8"/>
  <c r="P287" i="8" s="1"/>
  <c r="P290" i="8" s="1"/>
  <c r="P292" i="8" s="1"/>
  <c r="O199" i="8"/>
  <c r="O287" i="8" s="1"/>
  <c r="O290" i="8" s="1"/>
  <c r="O292" i="8" s="1"/>
  <c r="T199" i="8"/>
  <c r="T287" i="8" s="1"/>
  <c r="T290" i="8" s="1"/>
  <c r="T292" i="8" s="1"/>
  <c r="S199" i="8"/>
  <c r="S287" i="8" s="1"/>
  <c r="S290" i="8" s="1"/>
  <c r="S292" i="8" s="1"/>
  <c r="R199" i="8"/>
  <c r="R287" i="8" s="1"/>
  <c r="R290" i="8" s="1"/>
  <c r="R292" i="8" s="1"/>
  <c r="J199" i="8"/>
  <c r="J287" i="8" s="1"/>
  <c r="Z199" i="8"/>
  <c r="Z287" i="8" s="1"/>
  <c r="Y199" i="8"/>
  <c r="Y287" i="8" s="1"/>
  <c r="Y290" i="8" s="1"/>
  <c r="X199" i="8"/>
  <c r="X287" i="8" s="1"/>
  <c r="X290" i="8" s="1"/>
  <c r="W199" i="8"/>
  <c r="W287" i="8" s="1"/>
  <c r="W290" i="8" s="1"/>
  <c r="W292" i="8" s="1"/>
  <c r="M199" i="8"/>
  <c r="M287" i="8" s="1"/>
  <c r="K199" i="8"/>
  <c r="K287" i="8" s="1"/>
  <c r="K290" i="8" s="1"/>
  <c r="K292" i="8" s="1"/>
  <c r="L199" i="8"/>
  <c r="L287" i="8" s="1"/>
  <c r="L290" i="8" s="1"/>
  <c r="L292" i="8" s="1"/>
  <c r="V199" i="8"/>
  <c r="V287" i="8" s="1"/>
  <c r="V290" i="8" s="1"/>
  <c r="V292" i="8" s="1"/>
  <c r="U199" i="8"/>
  <c r="U287" i="8" s="1"/>
  <c r="U290" i="8" s="1"/>
  <c r="U292" i="8" s="1"/>
  <c r="N199" i="8"/>
  <c r="N287" i="8" s="1"/>
  <c r="N290" i="8" s="1"/>
  <c r="N292" i="8" s="1"/>
  <c r="Q199" i="8"/>
  <c r="Q287" i="8" s="1"/>
  <c r="Q290" i="8" s="1"/>
  <c r="Q292" i="8" s="1"/>
  <c r="P254" i="8"/>
  <c r="P153" i="8"/>
  <c r="Y116" i="8"/>
  <c r="O79" i="8"/>
  <c r="P78" i="8"/>
  <c r="X131" i="8"/>
  <c r="X81" i="8"/>
  <c r="X266" i="8" s="1"/>
  <c r="Z234" i="8"/>
  <c r="Z325" i="8" s="1"/>
  <c r="Y77" i="8"/>
  <c r="M40" i="8"/>
  <c r="N39" i="8"/>
  <c r="X125" i="8"/>
  <c r="X33" i="8"/>
  <c r="K63" i="8"/>
  <c r="K264" i="8" s="1"/>
  <c r="K61" i="8"/>
  <c r="K129" i="8"/>
  <c r="W145" i="8"/>
  <c r="W246" i="8"/>
  <c r="Y52" i="8"/>
  <c r="Y53" i="8"/>
  <c r="W142" i="8"/>
  <c r="W243" i="8"/>
  <c r="W255" i="8"/>
  <c r="W154" i="8"/>
  <c r="L59" i="8"/>
  <c r="N243" i="8"/>
  <c r="N16" i="8"/>
  <c r="N262" i="8" s="1"/>
  <c r="N142" i="8"/>
  <c r="O21" i="8"/>
  <c r="P20" i="8"/>
  <c r="P21" i="8" s="1"/>
  <c r="Y88" i="8"/>
  <c r="X133" i="8"/>
  <c r="X139" i="8" s="1"/>
  <c r="X94" i="8"/>
  <c r="Y181" i="8"/>
  <c r="Y275" i="8" s="1"/>
  <c r="P255" i="8"/>
  <c r="P154" i="8"/>
  <c r="P101" i="8"/>
  <c r="P267" i="8" s="1"/>
  <c r="O255" i="8"/>
  <c r="O101" i="8"/>
  <c r="O267" i="8" s="1"/>
  <c r="O154" i="8"/>
  <c r="Y92" i="8"/>
  <c r="Y27" i="8"/>
  <c r="Y13" i="8"/>
  <c r="Y93" i="8"/>
  <c r="Y97" i="8"/>
  <c r="Y26" i="8"/>
  <c r="Y20" i="8"/>
  <c r="Y19" i="8"/>
  <c r="Y32" i="8"/>
  <c r="Y12" i="8"/>
  <c r="Y98" i="8"/>
  <c r="Y31" i="8"/>
  <c r="W248" i="8"/>
  <c r="W147" i="8"/>
  <c r="W245" i="8"/>
  <c r="W144" i="8"/>
  <c r="L87" i="8"/>
  <c r="N244" i="8"/>
  <c r="N143" i="8"/>
  <c r="N23" i="8"/>
  <c r="N263" i="8" s="1"/>
  <c r="X134" i="8"/>
  <c r="X101" i="8"/>
  <c r="X267" i="8" s="1"/>
  <c r="X99" i="8"/>
  <c r="Y46" i="8"/>
  <c r="Y45" i="8"/>
  <c r="Y60" i="8"/>
  <c r="X143" i="8" l="1"/>
  <c r="X244" i="8"/>
  <c r="P245" i="8"/>
  <c r="P144" i="8"/>
  <c r="J69" i="8"/>
  <c r="J68" i="8"/>
  <c r="Z290" i="8"/>
  <c r="Y127" i="8"/>
  <c r="Y47" i="8"/>
  <c r="M290" i="8"/>
  <c r="AA180" i="8"/>
  <c r="AA170" i="8"/>
  <c r="AA193" i="8"/>
  <c r="AA284" i="8" s="1"/>
  <c r="AA167" i="8"/>
  <c r="AA273" i="8" s="1"/>
  <c r="AA191" i="8"/>
  <c r="AA277" i="8" s="1"/>
  <c r="AA173" i="8"/>
  <c r="AA75" i="8"/>
  <c r="AA192" i="8"/>
  <c r="AA278" i="8" s="1"/>
  <c r="AA174" i="8"/>
  <c r="AA201" i="8"/>
  <c r="AA289" i="8" s="1"/>
  <c r="AA207" i="8"/>
  <c r="AA84" i="8"/>
  <c r="AA1" i="8"/>
  <c r="AA36" i="8"/>
  <c r="AA172" i="8"/>
  <c r="AA218" i="8"/>
  <c r="AA309" i="8" s="1"/>
  <c r="AA171" i="8"/>
  <c r="AA50" i="8"/>
  <c r="AA66" i="8"/>
  <c r="AA57" i="8"/>
  <c r="AA8" i="8"/>
  <c r="AA43" i="8"/>
  <c r="AA104" i="8"/>
  <c r="AA178" i="8"/>
  <c r="AA112" i="8"/>
  <c r="AA179" i="8"/>
  <c r="AB3" i="8"/>
  <c r="AA212" i="8"/>
  <c r="AA303" i="8" s="1"/>
  <c r="AA209" i="8"/>
  <c r="AA300" i="8" s="1"/>
  <c r="AA211" i="8"/>
  <c r="AA302" i="8" s="1"/>
  <c r="AA217" i="8"/>
  <c r="AA308" i="8" s="1"/>
  <c r="AA226" i="8"/>
  <c r="AA317" i="8" s="1"/>
  <c r="AA197" i="8"/>
  <c r="AA285" i="8" s="1"/>
  <c r="AA228" i="8"/>
  <c r="AA319" i="8" s="1"/>
  <c r="AA232" i="8"/>
  <c r="AA323" i="8" s="1"/>
  <c r="AA227" i="8"/>
  <c r="AA318" i="8" s="1"/>
  <c r="AA229" i="8"/>
  <c r="AA320" i="8" s="1"/>
  <c r="AA213" i="8"/>
  <c r="AA304" i="8" s="1"/>
  <c r="AA230" i="8"/>
  <c r="AA321" i="8" s="1"/>
  <c r="AA231" i="8"/>
  <c r="AA322" i="8" s="1"/>
  <c r="AA194" i="8"/>
  <c r="AA279" i="8" s="1"/>
  <c r="AA214" i="8"/>
  <c r="AA305" i="8" s="1"/>
  <c r="AA219" i="8"/>
  <c r="AA310" i="8" s="1"/>
  <c r="AA220" i="8"/>
  <c r="AA311" i="8" s="1"/>
  <c r="AA221" i="8"/>
  <c r="AA312" i="8" s="1"/>
  <c r="AA165" i="8"/>
  <c r="AA166" i="8"/>
  <c r="AA272" i="8" s="1"/>
  <c r="AA196" i="8"/>
  <c r="AA283" i="8" s="1"/>
  <c r="AA200" i="8"/>
  <c r="AA288" i="8" s="1"/>
  <c r="AA223" i="8"/>
  <c r="AA314" i="8" s="1"/>
  <c r="AA198" i="8"/>
  <c r="AA286" i="8" s="1"/>
  <c r="AA195" i="8"/>
  <c r="AA282" i="8" s="1"/>
  <c r="AA210" i="8"/>
  <c r="AA301" i="8" s="1"/>
  <c r="AA222" i="8"/>
  <c r="AA313" i="8" s="1"/>
  <c r="AA235" i="8"/>
  <c r="AA326" i="8" s="1"/>
  <c r="AA233" i="8"/>
  <c r="AA324" i="8" s="1"/>
  <c r="AA234" i="8"/>
  <c r="AA325" i="8" s="1"/>
  <c r="K250" i="8"/>
  <c r="K149" i="8"/>
  <c r="Y126" i="8"/>
  <c r="X249" i="8"/>
  <c r="X148" i="8"/>
  <c r="Y187" i="8"/>
  <c r="Z181" i="8"/>
  <c r="Z275" i="8" s="1"/>
  <c r="L61" i="8"/>
  <c r="L129" i="8"/>
  <c r="L63" i="8"/>
  <c r="L264" i="8" s="1"/>
  <c r="M59" i="8"/>
  <c r="X248" i="8"/>
  <c r="X147" i="8"/>
  <c r="Y185" i="8"/>
  <c r="Z52" i="8"/>
  <c r="Z53" i="8"/>
  <c r="Z97" i="8"/>
  <c r="Z27" i="8"/>
  <c r="Z26" i="8"/>
  <c r="Z20" i="8"/>
  <c r="Z19" i="8"/>
  <c r="Z13" i="8"/>
  <c r="Z98" i="8"/>
  <c r="Z32" i="8"/>
  <c r="Z12" i="8"/>
  <c r="Z93" i="8"/>
  <c r="Z92" i="8"/>
  <c r="Z31" i="8"/>
  <c r="O244" i="8"/>
  <c r="O143" i="8"/>
  <c r="O23" i="8"/>
  <c r="O263" i="8" s="1"/>
  <c r="Z116" i="8"/>
  <c r="O243" i="8"/>
  <c r="O142" i="8"/>
  <c r="O16" i="8"/>
  <c r="O262" i="8" s="1"/>
  <c r="Z108" i="8"/>
  <c r="O245" i="8"/>
  <c r="O144" i="8"/>
  <c r="K69" i="8"/>
  <c r="L69" i="8" s="1"/>
  <c r="M69" i="8" s="1"/>
  <c r="N69" i="8" s="1"/>
  <c r="O69" i="8" s="1"/>
  <c r="P69" i="8" s="1"/>
  <c r="Q69" i="8" s="1"/>
  <c r="R69" i="8" s="1"/>
  <c r="S69" i="8" s="1"/>
  <c r="T69" i="8" s="1"/>
  <c r="U69" i="8" s="1"/>
  <c r="V69" i="8" s="1"/>
  <c r="W69" i="8" s="1"/>
  <c r="X69" i="8" s="1"/>
  <c r="Y69" i="8" s="1"/>
  <c r="Z69" i="8" s="1"/>
  <c r="K68" i="8"/>
  <c r="L68" i="8" s="1"/>
  <c r="K253" i="8"/>
  <c r="K152" i="8"/>
  <c r="L132" i="8"/>
  <c r="L89" i="8"/>
  <c r="M87" i="8"/>
  <c r="Y134" i="8"/>
  <c r="Y99" i="8"/>
  <c r="Y101" i="8"/>
  <c r="Y267" i="8" s="1"/>
  <c r="Y54" i="8"/>
  <c r="Y128" i="8"/>
  <c r="P14" i="8"/>
  <c r="Q13" i="8"/>
  <c r="Q14" i="8" s="1"/>
  <c r="Z60" i="8"/>
  <c r="Y131" i="8"/>
  <c r="Y81" i="8"/>
  <c r="Y266" i="8" s="1"/>
  <c r="N135" i="8"/>
  <c r="N109" i="8"/>
  <c r="N155" i="8" s="1"/>
  <c r="N256" i="8" s="1"/>
  <c r="O107" i="8"/>
  <c r="Z271" i="8"/>
  <c r="Z77" i="8"/>
  <c r="Y133" i="8"/>
  <c r="Y139" i="8" s="1"/>
  <c r="Y94" i="8"/>
  <c r="Y184" i="8"/>
  <c r="Y188" i="8" s="1"/>
  <c r="Y276" i="8" s="1"/>
  <c r="Y280" i="8" s="1"/>
  <c r="Y292" i="8" s="1"/>
  <c r="X255" i="8"/>
  <c r="X154" i="8"/>
  <c r="Y33" i="8"/>
  <c r="Y125" i="8"/>
  <c r="Y16" i="8"/>
  <c r="Y262" i="8" s="1"/>
  <c r="Y14" i="8"/>
  <c r="Y122" i="8"/>
  <c r="X254" i="8"/>
  <c r="X153" i="8"/>
  <c r="J290" i="8"/>
  <c r="X245" i="8"/>
  <c r="X144" i="8"/>
  <c r="J253" i="8"/>
  <c r="J152" i="8"/>
  <c r="X145" i="8"/>
  <c r="X246" i="8"/>
  <c r="P79" i="8"/>
  <c r="Q78" i="8"/>
  <c r="AA199" i="8"/>
  <c r="AA287" i="8" s="1"/>
  <c r="X142" i="8"/>
  <c r="X243" i="8"/>
  <c r="Y186" i="8"/>
  <c r="P127" i="8"/>
  <c r="P47" i="8"/>
  <c r="Q45" i="8"/>
  <c r="Z88" i="8"/>
  <c r="Z175" i="8"/>
  <c r="Z274" i="8" s="1"/>
  <c r="Y124" i="8"/>
  <c r="Y28" i="8"/>
  <c r="M247" i="8"/>
  <c r="M146" i="8"/>
  <c r="Y23" i="8"/>
  <c r="Y263" i="8" s="1"/>
  <c r="Y21" i="8"/>
  <c r="Y123" i="8"/>
  <c r="O252" i="8"/>
  <c r="O81" i="8"/>
  <c r="O266" i="8" s="1"/>
  <c r="O151" i="8"/>
  <c r="J250" i="8"/>
  <c r="J149" i="8"/>
  <c r="P244" i="8"/>
  <c r="P23" i="8"/>
  <c r="P263" i="8" s="1"/>
  <c r="P143" i="8"/>
  <c r="N40" i="8"/>
  <c r="O39" i="8"/>
  <c r="L136" i="8"/>
  <c r="L117" i="8"/>
  <c r="L257" i="8" s="1"/>
  <c r="M115" i="8"/>
  <c r="O248" i="8"/>
  <c r="O147" i="8"/>
  <c r="Z46" i="8"/>
  <c r="Z45" i="8"/>
  <c r="Z38" i="8"/>
  <c r="Z298" i="8"/>
  <c r="L130" i="8" l="1"/>
  <c r="L70" i="8"/>
  <c r="L72" i="8"/>
  <c r="L265" i="8" s="1"/>
  <c r="M68" i="8"/>
  <c r="Q79" i="8"/>
  <c r="R78" i="8"/>
  <c r="M132" i="8"/>
  <c r="M89" i="8"/>
  <c r="N87" i="8"/>
  <c r="M292" i="8"/>
  <c r="Q127" i="8"/>
  <c r="Q47" i="8"/>
  <c r="R45" i="8"/>
  <c r="Y254" i="8"/>
  <c r="Y153" i="8"/>
  <c r="L137" i="8"/>
  <c r="AA186" i="8"/>
  <c r="AA271" i="8"/>
  <c r="AA187" i="8"/>
  <c r="AA46" i="8"/>
  <c r="AA45" i="8"/>
  <c r="Z126" i="8"/>
  <c r="P248" i="8"/>
  <c r="P147" i="8"/>
  <c r="P243" i="8"/>
  <c r="P16" i="8"/>
  <c r="P262" i="8" s="1"/>
  <c r="P142" i="8"/>
  <c r="Z16" i="8"/>
  <c r="Z262" i="8" s="1"/>
  <c r="Z14" i="8"/>
  <c r="Z122" i="8"/>
  <c r="AA60" i="8"/>
  <c r="Z47" i="8"/>
  <c r="Z127" i="8"/>
  <c r="Z131" i="8"/>
  <c r="Z81" i="8"/>
  <c r="Z266" i="8" s="1"/>
  <c r="Z187" i="8"/>
  <c r="AA53" i="8"/>
  <c r="AA52" i="8"/>
  <c r="AA116" i="8"/>
  <c r="P151" i="8"/>
  <c r="P252" i="8"/>
  <c r="P81" i="8"/>
  <c r="P266" i="8" s="1"/>
  <c r="AA88" i="8"/>
  <c r="Z33" i="8"/>
  <c r="Z125" i="8"/>
  <c r="AA298" i="8"/>
  <c r="Y145" i="8"/>
  <c r="Y246" i="8"/>
  <c r="Y255" i="8"/>
  <c r="Y154" i="8"/>
  <c r="J70" i="8"/>
  <c r="J130" i="8"/>
  <c r="J137" i="8" s="1"/>
  <c r="J72" i="8"/>
  <c r="J265" i="8" s="1"/>
  <c r="O109" i="8"/>
  <c r="O155" i="8" s="1"/>
  <c r="O256" i="8" s="1"/>
  <c r="O135" i="8"/>
  <c r="P107" i="8"/>
  <c r="Z99" i="8"/>
  <c r="Z101" i="8"/>
  <c r="Z267" i="8" s="1"/>
  <c r="Z134" i="8"/>
  <c r="AA181" i="8"/>
  <c r="AA275" i="8" s="1"/>
  <c r="Y142" i="8"/>
  <c r="Y243" i="8"/>
  <c r="L253" i="8"/>
  <c r="L152" i="8"/>
  <c r="L149" i="8"/>
  <c r="L250" i="8"/>
  <c r="AA108" i="8"/>
  <c r="O40" i="8"/>
  <c r="P39" i="8"/>
  <c r="Q243" i="8"/>
  <c r="Q142" i="8"/>
  <c r="Q16" i="8"/>
  <c r="Q262" i="8" s="1"/>
  <c r="Z94" i="8"/>
  <c r="Z133" i="8"/>
  <c r="Z139" i="8" s="1"/>
  <c r="N247" i="8"/>
  <c r="N146" i="8"/>
  <c r="Z54" i="8"/>
  <c r="Z128" i="8"/>
  <c r="AA32" i="8"/>
  <c r="AA12" i="8"/>
  <c r="AA93" i="8"/>
  <c r="AA98" i="8"/>
  <c r="AA97" i="8"/>
  <c r="AA26" i="8"/>
  <c r="AA20" i="8"/>
  <c r="AA31" i="8"/>
  <c r="AA27" i="8"/>
  <c r="AA92" i="8"/>
  <c r="AA13" i="8"/>
  <c r="AA19" i="8"/>
  <c r="Y147" i="8"/>
  <c r="Y248" i="8"/>
  <c r="Y244" i="8"/>
  <c r="Y143" i="8"/>
  <c r="Y249" i="8"/>
  <c r="Y148" i="8"/>
  <c r="AA69" i="8"/>
  <c r="AA77" i="8"/>
  <c r="J292" i="8"/>
  <c r="Z185" i="8"/>
  <c r="Z21" i="8"/>
  <c r="Z23" i="8"/>
  <c r="Z263" i="8" s="1"/>
  <c r="Z123" i="8"/>
  <c r="AA290" i="8"/>
  <c r="M136" i="8"/>
  <c r="M117" i="8"/>
  <c r="M257" i="8" s="1"/>
  <c r="N115" i="8"/>
  <c r="Y245" i="8"/>
  <c r="Y144" i="8"/>
  <c r="Z184" i="8"/>
  <c r="Z188" i="8" s="1"/>
  <c r="Z276" i="8" s="1"/>
  <c r="Z280" i="8" s="1"/>
  <c r="Z292" i="8" s="1"/>
  <c r="K130" i="8"/>
  <c r="K137" i="8" s="1"/>
  <c r="K70" i="8"/>
  <c r="K72" i="8"/>
  <c r="K265" i="8" s="1"/>
  <c r="AB191" i="8"/>
  <c r="AB277" i="8" s="1"/>
  <c r="AB170" i="8"/>
  <c r="AB193" i="8"/>
  <c r="AB284" i="8" s="1"/>
  <c r="AB180" i="8"/>
  <c r="AB218" i="8"/>
  <c r="AB309" i="8" s="1"/>
  <c r="AB173" i="8"/>
  <c r="AB192" i="8"/>
  <c r="AB278" i="8" s="1"/>
  <c r="AB174" i="8"/>
  <c r="AB84" i="8"/>
  <c r="AB201" i="8"/>
  <c r="AB289" i="8" s="1"/>
  <c r="AB167" i="8"/>
  <c r="AB273" i="8" s="1"/>
  <c r="AB66" i="8"/>
  <c r="AB104" i="8"/>
  <c r="AB211" i="8"/>
  <c r="AB302" i="8" s="1"/>
  <c r="AB36" i="8"/>
  <c r="AB172" i="8"/>
  <c r="AB171" i="8"/>
  <c r="AB75" i="8"/>
  <c r="AB50" i="8"/>
  <c r="AB112" i="8"/>
  <c r="AC3" i="8"/>
  <c r="AB207" i="8"/>
  <c r="AB179" i="8"/>
  <c r="AB1" i="8"/>
  <c r="AB57" i="8"/>
  <c r="AB178" i="8"/>
  <c r="AB8" i="8"/>
  <c r="AB43" i="8"/>
  <c r="AB209" i="8"/>
  <c r="AB300" i="8" s="1"/>
  <c r="AB212" i="8"/>
  <c r="AB303" i="8" s="1"/>
  <c r="AB217" i="8"/>
  <c r="AB308" i="8" s="1"/>
  <c r="AB197" i="8"/>
  <c r="AB285" i="8" s="1"/>
  <c r="AB226" i="8"/>
  <c r="AB317" i="8" s="1"/>
  <c r="AB228" i="8"/>
  <c r="AB319" i="8" s="1"/>
  <c r="AB229" i="8"/>
  <c r="AB320" i="8" s="1"/>
  <c r="AB232" i="8"/>
  <c r="AB323" i="8" s="1"/>
  <c r="AB227" i="8"/>
  <c r="AB318" i="8" s="1"/>
  <c r="AB230" i="8"/>
  <c r="AB321" i="8" s="1"/>
  <c r="AB213" i="8"/>
  <c r="AB304" i="8" s="1"/>
  <c r="AB231" i="8"/>
  <c r="AB322" i="8" s="1"/>
  <c r="AB194" i="8"/>
  <c r="AB279" i="8" s="1"/>
  <c r="AB214" i="8"/>
  <c r="AB305" i="8" s="1"/>
  <c r="AB219" i="8"/>
  <c r="AB310" i="8" s="1"/>
  <c r="AB220" i="8"/>
  <c r="AB311" i="8" s="1"/>
  <c r="AB221" i="8"/>
  <c r="AB312" i="8" s="1"/>
  <c r="AB165" i="8"/>
  <c r="AB200" i="8"/>
  <c r="AB288" i="8" s="1"/>
  <c r="AB223" i="8"/>
  <c r="AB314" i="8" s="1"/>
  <c r="AB196" i="8"/>
  <c r="AB283" i="8" s="1"/>
  <c r="AB166" i="8"/>
  <c r="AB272" i="8" s="1"/>
  <c r="AB198" i="8"/>
  <c r="AB286" i="8" s="1"/>
  <c r="AB195" i="8"/>
  <c r="AB282" i="8" s="1"/>
  <c r="AB210" i="8"/>
  <c r="AB301" i="8" s="1"/>
  <c r="AB222" i="8"/>
  <c r="AB313" i="8" s="1"/>
  <c r="AB235" i="8"/>
  <c r="AB326" i="8" s="1"/>
  <c r="AB233" i="8"/>
  <c r="AB324" i="8" s="1"/>
  <c r="AB234" i="8"/>
  <c r="AB325" i="8" s="1"/>
  <c r="AB199" i="8"/>
  <c r="AB287" i="8" s="1"/>
  <c r="Z186" i="8"/>
  <c r="Z124" i="8"/>
  <c r="Z28" i="8"/>
  <c r="M61" i="8"/>
  <c r="M129" i="8"/>
  <c r="M63" i="8"/>
  <c r="M264" i="8" s="1"/>
  <c r="N59" i="8"/>
  <c r="AA38" i="8"/>
  <c r="AA175" i="8"/>
  <c r="AA274" i="8" s="1"/>
  <c r="N61" i="8" l="1"/>
  <c r="N129" i="8"/>
  <c r="N63" i="8"/>
  <c r="N264" i="8" s="1"/>
  <c r="O59" i="8"/>
  <c r="P40" i="8"/>
  <c r="Q39" i="8"/>
  <c r="AB53" i="8"/>
  <c r="AB52" i="8"/>
  <c r="AA122" i="8"/>
  <c r="AA14" i="8"/>
  <c r="AA16" i="8"/>
  <c r="AA262" i="8" s="1"/>
  <c r="Z154" i="8"/>
  <c r="Z255" i="8"/>
  <c r="N117" i="8"/>
  <c r="N257" i="8" s="1"/>
  <c r="N136" i="8"/>
  <c r="O115" i="8"/>
  <c r="R79" i="8"/>
  <c r="S78" i="8"/>
  <c r="AB290" i="8"/>
  <c r="AB46" i="8"/>
  <c r="AB45" i="8"/>
  <c r="Z249" i="8"/>
  <c r="Z148" i="8"/>
  <c r="Q248" i="8"/>
  <c r="Q147" i="8"/>
  <c r="AB93" i="8"/>
  <c r="AB98" i="8"/>
  <c r="AB26" i="8"/>
  <c r="AB20" i="8"/>
  <c r="AB32" i="8"/>
  <c r="AB31" i="8"/>
  <c r="AB97" i="8"/>
  <c r="AB92" i="8"/>
  <c r="AB13" i="8"/>
  <c r="AB19" i="8"/>
  <c r="AB12" i="8"/>
  <c r="AB27" i="8"/>
  <c r="AB181" i="8"/>
  <c r="AB275" i="8" s="1"/>
  <c r="AB175" i="8"/>
  <c r="AB274" i="8" s="1"/>
  <c r="J240" i="8"/>
  <c r="J140" i="8"/>
  <c r="AA54" i="8"/>
  <c r="AA128" i="8"/>
  <c r="M250" i="8"/>
  <c r="M149" i="8"/>
  <c r="L251" i="8"/>
  <c r="L260" i="8" s="1"/>
  <c r="L269" i="8" s="1"/>
  <c r="L294" i="8" s="1"/>
  <c r="L150" i="8"/>
  <c r="L159" i="8" s="1"/>
  <c r="AB88" i="8"/>
  <c r="AB116" i="8"/>
  <c r="N132" i="8"/>
  <c r="N89" i="8"/>
  <c r="O87" i="8"/>
  <c r="O247" i="8"/>
  <c r="O146" i="8"/>
  <c r="M253" i="8"/>
  <c r="M152" i="8"/>
  <c r="AA123" i="8"/>
  <c r="AA23" i="8"/>
  <c r="AA263" i="8" s="1"/>
  <c r="AA21" i="8"/>
  <c r="R127" i="8"/>
  <c r="R47" i="8"/>
  <c r="Z147" i="8"/>
  <c r="Z248" i="8"/>
  <c r="AA131" i="8"/>
  <c r="AA81" i="8"/>
  <c r="AA266" i="8" s="1"/>
  <c r="AA47" i="8"/>
  <c r="AA127" i="8"/>
  <c r="AB60" i="8"/>
  <c r="Z254" i="8"/>
  <c r="Z153" i="8"/>
  <c r="Z246" i="8"/>
  <c r="Z145" i="8"/>
  <c r="Z243" i="8"/>
  <c r="Z142" i="8"/>
  <c r="AA185" i="8"/>
  <c r="AA33" i="8"/>
  <c r="AA125" i="8"/>
  <c r="AB69" i="8"/>
  <c r="K251" i="8"/>
  <c r="K260" i="8" s="1"/>
  <c r="K269" i="8" s="1"/>
  <c r="K294" i="8" s="1"/>
  <c r="K150" i="8"/>
  <c r="K159" i="8" s="1"/>
  <c r="Z244" i="8"/>
  <c r="Z143" i="8"/>
  <c r="AA28" i="8"/>
  <c r="AA124" i="8"/>
  <c r="AC191" i="8"/>
  <c r="AC277" i="8" s="1"/>
  <c r="AC174" i="8"/>
  <c r="AC193" i="8"/>
  <c r="AC284" i="8" s="1"/>
  <c r="AC180" i="8"/>
  <c r="AC218" i="8"/>
  <c r="AC309" i="8" s="1"/>
  <c r="AC173" i="8"/>
  <c r="F215" i="8"/>
  <c r="AC201" i="8"/>
  <c r="AC289" i="8" s="1"/>
  <c r="AC167" i="8"/>
  <c r="AC273" i="8" s="1"/>
  <c r="AC8" i="8"/>
  <c r="AC66" i="8"/>
  <c r="AC84" i="8"/>
  <c r="AC36" i="8"/>
  <c r="AC104" i="8"/>
  <c r="AC172" i="8"/>
  <c r="AC50" i="8"/>
  <c r="AC171" i="8"/>
  <c r="AC75" i="8"/>
  <c r="AC112" i="8"/>
  <c r="AC170" i="8"/>
  <c r="AC57" i="8"/>
  <c r="AC192" i="8"/>
  <c r="AC278" i="8" s="1"/>
  <c r="AD3" i="8"/>
  <c r="AC178" i="8"/>
  <c r="AC179" i="8"/>
  <c r="AC43" i="8"/>
  <c r="AC207" i="8"/>
  <c r="AC1" i="8"/>
  <c r="AC211" i="8"/>
  <c r="AC302" i="8" s="1"/>
  <c r="AC212" i="8"/>
  <c r="AC303" i="8" s="1"/>
  <c r="AC217" i="8"/>
  <c r="AC308" i="8" s="1"/>
  <c r="AC209" i="8"/>
  <c r="AC300" i="8" s="1"/>
  <c r="AC228" i="8"/>
  <c r="AC319" i="8" s="1"/>
  <c r="AC226" i="8"/>
  <c r="AC317" i="8" s="1"/>
  <c r="AC197" i="8"/>
  <c r="AC285" i="8" s="1"/>
  <c r="AC229" i="8"/>
  <c r="AC320" i="8" s="1"/>
  <c r="AC227" i="8"/>
  <c r="AC318" i="8" s="1"/>
  <c r="AC232" i="8"/>
  <c r="AC323" i="8" s="1"/>
  <c r="AC213" i="8"/>
  <c r="AC304" i="8" s="1"/>
  <c r="AC230" i="8"/>
  <c r="AC321" i="8" s="1"/>
  <c r="AC231" i="8"/>
  <c r="AC322" i="8" s="1"/>
  <c r="AC194" i="8"/>
  <c r="AC279" i="8" s="1"/>
  <c r="AC219" i="8"/>
  <c r="AC310" i="8" s="1"/>
  <c r="AC214" i="8"/>
  <c r="AC305" i="8" s="1"/>
  <c r="AC221" i="8"/>
  <c r="AC312" i="8" s="1"/>
  <c r="AC220" i="8"/>
  <c r="AC311" i="8" s="1"/>
  <c r="AC165" i="8"/>
  <c r="AC195" i="8"/>
  <c r="AC282" i="8" s="1"/>
  <c r="AC166" i="8"/>
  <c r="AC272" i="8" s="1"/>
  <c r="AC223" i="8"/>
  <c r="AC314" i="8" s="1"/>
  <c r="AC200" i="8"/>
  <c r="AC288" i="8" s="1"/>
  <c r="AC198" i="8"/>
  <c r="AC286" i="8" s="1"/>
  <c r="AC196" i="8"/>
  <c r="AC283" i="8" s="1"/>
  <c r="AC210" i="8"/>
  <c r="AC301" i="8" s="1"/>
  <c r="AC222" i="8"/>
  <c r="AC313" i="8" s="1"/>
  <c r="AC235" i="8"/>
  <c r="AC326" i="8" s="1"/>
  <c r="AC233" i="8"/>
  <c r="AC324" i="8" s="1"/>
  <c r="AC234" i="8"/>
  <c r="AC325" i="8" s="1"/>
  <c r="AC199" i="8"/>
  <c r="AC287" i="8" s="1"/>
  <c r="L240" i="8"/>
  <c r="L140" i="8"/>
  <c r="AB77" i="8"/>
  <c r="P135" i="8"/>
  <c r="P109" i="8"/>
  <c r="P155" i="8" s="1"/>
  <c r="P256" i="8" s="1"/>
  <c r="Q107" i="8"/>
  <c r="Z245" i="8"/>
  <c r="Z144" i="8"/>
  <c r="Q252" i="8"/>
  <c r="Q81" i="8"/>
  <c r="Q266" i="8" s="1"/>
  <c r="Q151" i="8"/>
  <c r="AB38" i="8"/>
  <c r="AA94" i="8"/>
  <c r="AA133" i="8"/>
  <c r="AA139" i="8" s="1"/>
  <c r="M130" i="8"/>
  <c r="M137" i="8" s="1"/>
  <c r="M70" i="8"/>
  <c r="M72" i="8"/>
  <c r="M265" i="8" s="1"/>
  <c r="N68" i="8"/>
  <c r="AB108" i="8"/>
  <c r="J251" i="8"/>
  <c r="J150" i="8"/>
  <c r="J159" i="8" s="1"/>
  <c r="AA126" i="8"/>
  <c r="AB271" i="8"/>
  <c r="AB298" i="8"/>
  <c r="K240" i="8"/>
  <c r="K140" i="8"/>
  <c r="AA101" i="8"/>
  <c r="AA267" i="8" s="1"/>
  <c r="AA99" i="8"/>
  <c r="AA134" i="8"/>
  <c r="AA184" i="8"/>
  <c r="M240" i="8" l="1"/>
  <c r="M140" i="8"/>
  <c r="AC298" i="8"/>
  <c r="S79" i="8"/>
  <c r="T78" i="8"/>
  <c r="AC290" i="8"/>
  <c r="O136" i="8"/>
  <c r="O117" i="8"/>
  <c r="O257" i="8" s="1"/>
  <c r="P115" i="8"/>
  <c r="N130" i="8"/>
  <c r="N72" i="8"/>
  <c r="N265" i="8" s="1"/>
  <c r="N70" i="8"/>
  <c r="O68" i="8"/>
  <c r="AC93" i="8"/>
  <c r="AC98" i="8"/>
  <c r="AC31" i="8"/>
  <c r="AC26" i="8"/>
  <c r="AC20" i="8"/>
  <c r="AC32" i="8"/>
  <c r="AC92" i="8"/>
  <c r="AC27" i="8"/>
  <c r="AC12" i="8"/>
  <c r="AC97" i="8"/>
  <c r="AC13" i="8"/>
  <c r="AC19" i="8"/>
  <c r="M159" i="8"/>
  <c r="O129" i="8"/>
  <c r="O61" i="8"/>
  <c r="O63" i="8"/>
  <c r="O264" i="8" s="1"/>
  <c r="P59" i="8"/>
  <c r="AB126" i="8"/>
  <c r="M251" i="8"/>
  <c r="M260" i="8" s="1"/>
  <c r="M150" i="8"/>
  <c r="AC60" i="8"/>
  <c r="AA144" i="8"/>
  <c r="AA245" i="8"/>
  <c r="AB16" i="8"/>
  <c r="AB262" i="8" s="1"/>
  <c r="AB122" i="8"/>
  <c r="AB14" i="8"/>
  <c r="AB127" i="8"/>
  <c r="AB47" i="8"/>
  <c r="AA255" i="8"/>
  <c r="AA154" i="8"/>
  <c r="AC53" i="8"/>
  <c r="AC52" i="8"/>
  <c r="R248" i="8"/>
  <c r="R147" i="8"/>
  <c r="AC46" i="8"/>
  <c r="AC45" i="8"/>
  <c r="AA246" i="8"/>
  <c r="AA145" i="8"/>
  <c r="R81" i="8"/>
  <c r="R266" i="8" s="1"/>
  <c r="R252" i="8"/>
  <c r="R151" i="8"/>
  <c r="AC271" i="8"/>
  <c r="AC175" i="8"/>
  <c r="AC274" i="8" s="1"/>
  <c r="AB123" i="8"/>
  <c r="AB23" i="8"/>
  <c r="AB263" i="8" s="1"/>
  <c r="AB21" i="8"/>
  <c r="N137" i="8"/>
  <c r="AA243" i="8"/>
  <c r="AA142" i="8"/>
  <c r="AB54" i="8"/>
  <c r="AB128" i="8"/>
  <c r="J260" i="8"/>
  <c r="AC108" i="8"/>
  <c r="AA244" i="8"/>
  <c r="AA143" i="8"/>
  <c r="AC38" i="8"/>
  <c r="AC181" i="8"/>
  <c r="AC275" i="8" s="1"/>
  <c r="Q40" i="8"/>
  <c r="R39" i="8"/>
  <c r="AC69" i="8"/>
  <c r="AA248" i="8"/>
  <c r="AA147" i="8"/>
  <c r="AB187" i="8"/>
  <c r="AB184" i="8"/>
  <c r="AB188" i="8" s="1"/>
  <c r="AB276" i="8" s="1"/>
  <c r="AB280" i="8" s="1"/>
  <c r="AB292" i="8" s="1"/>
  <c r="Q135" i="8"/>
  <c r="Q109" i="8"/>
  <c r="Q155" i="8" s="1"/>
  <c r="Q256" i="8" s="1"/>
  <c r="R107" i="8"/>
  <c r="AC116" i="8"/>
  <c r="Y215" i="8"/>
  <c r="Y306" i="8" s="1"/>
  <c r="M215" i="8"/>
  <c r="M306" i="8" s="1"/>
  <c r="X215" i="8"/>
  <c r="X306" i="8" s="1"/>
  <c r="L215" i="8"/>
  <c r="L306" i="8" s="1"/>
  <c r="T215" i="8"/>
  <c r="T306" i="8" s="1"/>
  <c r="S215" i="8"/>
  <c r="S306" i="8" s="1"/>
  <c r="Q215" i="8"/>
  <c r="Q306" i="8" s="1"/>
  <c r="P215" i="8"/>
  <c r="P306" i="8" s="1"/>
  <c r="O215" i="8"/>
  <c r="O306" i="8" s="1"/>
  <c r="J215" i="8"/>
  <c r="J306" i="8" s="1"/>
  <c r="AD215" i="8"/>
  <c r="AD306" i="8" s="1"/>
  <c r="AC215" i="8"/>
  <c r="AC306" i="8" s="1"/>
  <c r="AB215" i="8"/>
  <c r="AB306" i="8" s="1"/>
  <c r="W215" i="8"/>
  <c r="W306" i="8" s="1"/>
  <c r="AA215" i="8"/>
  <c r="AA306" i="8" s="1"/>
  <c r="Z215" i="8"/>
  <c r="Z306" i="8" s="1"/>
  <c r="U215" i="8"/>
  <c r="U306" i="8" s="1"/>
  <c r="V215" i="8"/>
  <c r="V306" i="8" s="1"/>
  <c r="R215" i="8"/>
  <c r="R306" i="8" s="1"/>
  <c r="N215" i="8"/>
  <c r="N306" i="8" s="1"/>
  <c r="K215" i="8"/>
  <c r="K306" i="8" s="1"/>
  <c r="O132" i="8"/>
  <c r="O89" i="8"/>
  <c r="P87" i="8"/>
  <c r="N250" i="8"/>
  <c r="N149" i="8"/>
  <c r="AA254" i="8"/>
  <c r="AA153" i="8"/>
  <c r="AB101" i="8"/>
  <c r="AB267" i="8" s="1"/>
  <c r="AB99" i="8"/>
  <c r="AB134" i="8"/>
  <c r="AB81" i="8"/>
  <c r="AB266" i="8" s="1"/>
  <c r="AB131" i="8"/>
  <c r="AB33" i="8"/>
  <c r="AB125" i="8"/>
  <c r="AB124" i="8"/>
  <c r="AB28" i="8"/>
  <c r="AC88" i="8"/>
  <c r="AD179" i="8"/>
  <c r="AD180" i="8"/>
  <c r="AD218" i="8"/>
  <c r="AD309" i="8" s="1"/>
  <c r="AD173" i="8"/>
  <c r="AD191" i="8"/>
  <c r="AD277" i="8" s="1"/>
  <c r="AD178" i="8"/>
  <c r="AD181" i="8" s="1"/>
  <c r="AD275" i="8" s="1"/>
  <c r="AD171" i="8"/>
  <c r="AD170" i="8"/>
  <c r="AD66" i="8"/>
  <c r="AD193" i="8"/>
  <c r="AD284" i="8" s="1"/>
  <c r="AD104" i="8"/>
  <c r="AD84" i="8"/>
  <c r="AD36" i="8"/>
  <c r="AD8" i="8"/>
  <c r="AE3" i="8"/>
  <c r="AD75" i="8"/>
  <c r="AD50" i="8"/>
  <c r="AD43" i="8"/>
  <c r="AD112" i="8"/>
  <c r="AD201" i="8"/>
  <c r="AD289" i="8" s="1"/>
  <c r="AD207" i="8"/>
  <c r="AD174" i="8"/>
  <c r="AD1" i="8"/>
  <c r="AD209" i="8"/>
  <c r="AD300" i="8" s="1"/>
  <c r="AD192" i="8"/>
  <c r="AD278" i="8" s="1"/>
  <c r="AD172" i="8"/>
  <c r="AD167" i="8"/>
  <c r="AD273" i="8" s="1"/>
  <c r="AD57" i="8"/>
  <c r="AD217" i="8"/>
  <c r="AD308" i="8" s="1"/>
  <c r="AD211" i="8"/>
  <c r="AD302" i="8" s="1"/>
  <c r="AD212" i="8"/>
  <c r="AD303" i="8" s="1"/>
  <c r="AD228" i="8"/>
  <c r="AD319" i="8" s="1"/>
  <c r="AD197" i="8"/>
  <c r="AD285" i="8" s="1"/>
  <c r="AD226" i="8"/>
  <c r="AD317" i="8" s="1"/>
  <c r="AD229" i="8"/>
  <c r="AD320" i="8" s="1"/>
  <c r="AD227" i="8"/>
  <c r="AD318" i="8" s="1"/>
  <c r="AD232" i="8"/>
  <c r="AD323" i="8" s="1"/>
  <c r="AD213" i="8"/>
  <c r="AD304" i="8" s="1"/>
  <c r="AD230" i="8"/>
  <c r="AD321" i="8" s="1"/>
  <c r="AD231" i="8"/>
  <c r="AD322" i="8" s="1"/>
  <c r="AD194" i="8"/>
  <c r="AD279" i="8" s="1"/>
  <c r="AD214" i="8"/>
  <c r="AD305" i="8" s="1"/>
  <c r="AD219" i="8"/>
  <c r="AD310" i="8" s="1"/>
  <c r="AD220" i="8"/>
  <c r="AD311" i="8" s="1"/>
  <c r="AD221" i="8"/>
  <c r="AD312" i="8" s="1"/>
  <c r="AD165" i="8"/>
  <c r="AD195" i="8"/>
  <c r="AD282" i="8" s="1"/>
  <c r="AD198" i="8"/>
  <c r="AD286" i="8" s="1"/>
  <c r="AD223" i="8"/>
  <c r="AD314" i="8" s="1"/>
  <c r="AD196" i="8"/>
  <c r="AD283" i="8" s="1"/>
  <c r="AD200" i="8"/>
  <c r="AD288" i="8" s="1"/>
  <c r="AD166" i="8"/>
  <c r="AD272" i="8" s="1"/>
  <c r="AD210" i="8"/>
  <c r="AD301" i="8" s="1"/>
  <c r="AD222" i="8"/>
  <c r="AD313" i="8" s="1"/>
  <c r="AD235" i="8"/>
  <c r="AD326" i="8" s="1"/>
  <c r="AD233" i="8"/>
  <c r="AD324" i="8" s="1"/>
  <c r="AD234" i="8"/>
  <c r="AD325" i="8" s="1"/>
  <c r="AD199" i="8"/>
  <c r="AD287" i="8" s="1"/>
  <c r="P247" i="8"/>
  <c r="P146" i="8"/>
  <c r="AA188" i="8"/>
  <c r="AA276" i="8" s="1"/>
  <c r="AA280" i="8" s="1"/>
  <c r="AA292" i="8" s="1"/>
  <c r="AB185" i="8"/>
  <c r="AB186" i="8"/>
  <c r="AC77" i="8"/>
  <c r="N253" i="8"/>
  <c r="N152" i="8"/>
  <c r="AA249" i="8"/>
  <c r="AA148" i="8"/>
  <c r="AB94" i="8"/>
  <c r="AB133" i="8"/>
  <c r="AB139" i="8" s="1"/>
  <c r="M269" i="8" l="1"/>
  <c r="AB243" i="8"/>
  <c r="AB142" i="8"/>
  <c r="AD53" i="8"/>
  <c r="AD52" i="8"/>
  <c r="AC47" i="8"/>
  <c r="AC127" i="8"/>
  <c r="AC99" i="8"/>
  <c r="AC101" i="8"/>
  <c r="AC267" i="8" s="1"/>
  <c r="AC134" i="8"/>
  <c r="N251" i="8"/>
  <c r="N150" i="8"/>
  <c r="N159" i="8" s="1"/>
  <c r="N240" i="8"/>
  <c r="N140" i="8"/>
  <c r="AB254" i="8"/>
  <c r="AB153" i="8"/>
  <c r="AD108" i="8"/>
  <c r="AB245" i="8"/>
  <c r="AB144" i="8"/>
  <c r="AB248" i="8"/>
  <c r="AB147" i="8"/>
  <c r="AB246" i="8"/>
  <c r="AB145" i="8"/>
  <c r="AD60" i="8"/>
  <c r="AD77" i="8"/>
  <c r="AC184" i="8"/>
  <c r="AC122" i="8"/>
  <c r="AC16" i="8"/>
  <c r="AC262" i="8" s="1"/>
  <c r="AC14" i="8"/>
  <c r="AD116" i="8"/>
  <c r="AC123" i="8"/>
  <c r="AC23" i="8"/>
  <c r="AC263" i="8" s="1"/>
  <c r="AC21" i="8"/>
  <c r="AC131" i="8"/>
  <c r="AC81" i="8"/>
  <c r="AC266" i="8" s="1"/>
  <c r="AD46" i="8"/>
  <c r="AD45" i="8"/>
  <c r="O130" i="8"/>
  <c r="O137" i="8" s="1"/>
  <c r="O72" i="8"/>
  <c r="O265" i="8" s="1"/>
  <c r="O70" i="8"/>
  <c r="P68" i="8"/>
  <c r="R40" i="8"/>
  <c r="S39" i="8"/>
  <c r="AB249" i="8"/>
  <c r="AB148" i="8"/>
  <c r="AC126" i="8"/>
  <c r="AD290" i="8"/>
  <c r="AB244" i="8"/>
  <c r="AB143" i="8"/>
  <c r="AC124" i="8"/>
  <c r="AC28" i="8"/>
  <c r="AD271" i="8"/>
  <c r="AD186" i="8"/>
  <c r="AD187" i="8"/>
  <c r="AC125" i="8"/>
  <c r="AC33" i="8"/>
  <c r="AD298" i="8"/>
  <c r="S252" i="8"/>
  <c r="S151" i="8"/>
  <c r="S81" i="8"/>
  <c r="S266" i="8" s="1"/>
  <c r="AD175" i="8"/>
  <c r="AD274" i="8" s="1"/>
  <c r="AE179" i="8"/>
  <c r="AE218" i="8"/>
  <c r="AE309" i="8" s="1"/>
  <c r="AE173" i="8"/>
  <c r="AE191" i="8"/>
  <c r="AE277" i="8" s="1"/>
  <c r="AE178" i="8"/>
  <c r="AE171" i="8"/>
  <c r="AE201" i="8"/>
  <c r="AE289" i="8" s="1"/>
  <c r="AE170" i="8"/>
  <c r="AE175" i="8" s="1"/>
  <c r="AE274" i="8" s="1"/>
  <c r="AE211" i="8"/>
  <c r="AE302" i="8" s="1"/>
  <c r="AE66" i="8"/>
  <c r="AE193" i="8"/>
  <c r="AE284" i="8" s="1"/>
  <c r="AE104" i="8"/>
  <c r="AE84" i="8"/>
  <c r="AE36" i="8"/>
  <c r="AE8" i="8"/>
  <c r="AE43" i="8"/>
  <c r="AE75" i="8"/>
  <c r="AE50" i="8"/>
  <c r="AE112" i="8"/>
  <c r="AE180" i="8"/>
  <c r="AF3" i="8"/>
  <c r="AE1" i="8"/>
  <c r="AE192" i="8"/>
  <c r="AE278" i="8" s="1"/>
  <c r="AE57" i="8"/>
  <c r="AE172" i="8"/>
  <c r="AE167" i="8"/>
  <c r="AE273" i="8" s="1"/>
  <c r="AE209" i="8"/>
  <c r="AE300" i="8" s="1"/>
  <c r="AE207" i="8"/>
  <c r="AE174" i="8"/>
  <c r="AE212" i="8"/>
  <c r="AE303" i="8" s="1"/>
  <c r="AE217" i="8"/>
  <c r="AE308" i="8" s="1"/>
  <c r="AE228" i="8"/>
  <c r="AE319" i="8" s="1"/>
  <c r="AE226" i="8"/>
  <c r="AE317" i="8" s="1"/>
  <c r="AE197" i="8"/>
  <c r="AE285" i="8" s="1"/>
  <c r="AE232" i="8"/>
  <c r="AE323" i="8" s="1"/>
  <c r="AE227" i="8"/>
  <c r="AE318" i="8" s="1"/>
  <c r="AE229" i="8"/>
  <c r="AE320" i="8" s="1"/>
  <c r="AE213" i="8"/>
  <c r="AE304" i="8" s="1"/>
  <c r="AE230" i="8"/>
  <c r="AE321" i="8" s="1"/>
  <c r="AE231" i="8"/>
  <c r="AE322" i="8" s="1"/>
  <c r="AE194" i="8"/>
  <c r="AE279" i="8" s="1"/>
  <c r="AE219" i="8"/>
  <c r="AE310" i="8" s="1"/>
  <c r="AE214" i="8"/>
  <c r="AE305" i="8" s="1"/>
  <c r="AE220" i="8"/>
  <c r="AE311" i="8" s="1"/>
  <c r="AE221" i="8"/>
  <c r="AE312" i="8" s="1"/>
  <c r="AE165" i="8"/>
  <c r="AE223" i="8"/>
  <c r="AE314" i="8" s="1"/>
  <c r="AE200" i="8"/>
  <c r="AE288" i="8" s="1"/>
  <c r="AE196" i="8"/>
  <c r="AE283" i="8" s="1"/>
  <c r="AE195" i="8"/>
  <c r="AE282" i="8" s="1"/>
  <c r="AE166" i="8"/>
  <c r="AE272" i="8" s="1"/>
  <c r="AE198" i="8"/>
  <c r="AE286" i="8" s="1"/>
  <c r="AE222" i="8"/>
  <c r="AE313" i="8" s="1"/>
  <c r="AE210" i="8"/>
  <c r="AE301" i="8" s="1"/>
  <c r="AE235" i="8"/>
  <c r="AE326" i="8" s="1"/>
  <c r="AE233" i="8"/>
  <c r="AE324" i="8" s="1"/>
  <c r="AE234" i="8"/>
  <c r="AE325" i="8" s="1"/>
  <c r="AE199" i="8"/>
  <c r="AE287" i="8" s="1"/>
  <c r="AC186" i="8"/>
  <c r="AD98" i="8"/>
  <c r="AD31" i="8"/>
  <c r="AD32" i="8"/>
  <c r="AD93" i="8"/>
  <c r="AD92" i="8"/>
  <c r="AD27" i="8"/>
  <c r="AD12" i="8"/>
  <c r="AD97" i="8"/>
  <c r="AD26" i="8"/>
  <c r="AD13" i="8"/>
  <c r="AD19" i="8"/>
  <c r="AD20" i="8"/>
  <c r="AB154" i="8"/>
  <c r="AB255" i="8"/>
  <c r="Q146" i="8"/>
  <c r="Q247" i="8"/>
  <c r="AC187" i="8"/>
  <c r="P129" i="8"/>
  <c r="P61" i="8"/>
  <c r="P63" i="8"/>
  <c r="P264" i="8" s="1"/>
  <c r="Q59" i="8"/>
  <c r="AC94" i="8"/>
  <c r="AC133" i="8"/>
  <c r="AC139" i="8" s="1"/>
  <c r="P136" i="8"/>
  <c r="P117" i="8"/>
  <c r="P257" i="8" s="1"/>
  <c r="Q115" i="8"/>
  <c r="AD88" i="8"/>
  <c r="R135" i="8"/>
  <c r="R109" i="8"/>
  <c r="R155" i="8" s="1"/>
  <c r="R256" i="8" s="1"/>
  <c r="S107" i="8"/>
  <c r="O250" i="8"/>
  <c r="O149" i="8"/>
  <c r="T79" i="8"/>
  <c r="U78" i="8"/>
  <c r="AD69" i="8"/>
  <c r="N260" i="8"/>
  <c r="N269" i="8" s="1"/>
  <c r="N294" i="8" s="1"/>
  <c r="P132" i="8"/>
  <c r="P89" i="8"/>
  <c r="Q87" i="8"/>
  <c r="O253" i="8"/>
  <c r="O152" i="8"/>
  <c r="J269" i="8"/>
  <c r="AD38" i="8"/>
  <c r="AE215" i="8"/>
  <c r="AE306" i="8" s="1"/>
  <c r="AC185" i="8"/>
  <c r="AC128" i="8"/>
  <c r="AC54" i="8"/>
  <c r="O240" i="8" l="1"/>
  <c r="O140" i="8"/>
  <c r="AE60" i="8"/>
  <c r="Q129" i="8"/>
  <c r="Q61" i="8"/>
  <c r="Q63" i="8"/>
  <c r="Q264" i="8" s="1"/>
  <c r="R59" i="8"/>
  <c r="O251" i="8"/>
  <c r="O260" i="8" s="1"/>
  <c r="O150" i="8"/>
  <c r="O159" i="8" s="1"/>
  <c r="AD99" i="8"/>
  <c r="AD101" i="8"/>
  <c r="AD267" i="8" s="1"/>
  <c r="AD134" i="8"/>
  <c r="AE77" i="8"/>
  <c r="AE181" i="8"/>
  <c r="AE275" i="8" s="1"/>
  <c r="AD131" i="8"/>
  <c r="AD81" i="8"/>
  <c r="AD266" i="8" s="1"/>
  <c r="AC244" i="8"/>
  <c r="AC143" i="8"/>
  <c r="AD23" i="8"/>
  <c r="AD263" i="8" s="1"/>
  <c r="AD21" i="8"/>
  <c r="AD123" i="8"/>
  <c r="P72" i="8"/>
  <c r="P265" i="8" s="1"/>
  <c r="P70" i="8"/>
  <c r="P130" i="8"/>
  <c r="P137" i="8" s="1"/>
  <c r="Q68" i="8"/>
  <c r="AD124" i="8"/>
  <c r="AD28" i="8"/>
  <c r="AD47" i="8"/>
  <c r="AD127" i="8"/>
  <c r="J294" i="8"/>
  <c r="S40" i="8"/>
  <c r="T39" i="8"/>
  <c r="AE69" i="8"/>
  <c r="R247" i="8"/>
  <c r="R146" i="8"/>
  <c r="AF191" i="8"/>
  <c r="AF277" i="8" s="1"/>
  <c r="AF178" i="8"/>
  <c r="AF181" i="8" s="1"/>
  <c r="AF275" i="8" s="1"/>
  <c r="AF171" i="8"/>
  <c r="AF201" i="8"/>
  <c r="AF289" i="8" s="1"/>
  <c r="AF173" i="8"/>
  <c r="AF170" i="8"/>
  <c r="AF193" i="8"/>
  <c r="AF284" i="8" s="1"/>
  <c r="AF104" i="8"/>
  <c r="AF84" i="8"/>
  <c r="AF36" i="8"/>
  <c r="AF8" i="8"/>
  <c r="AG3" i="8"/>
  <c r="AF112" i="8"/>
  <c r="AF43" i="8"/>
  <c r="AF57" i="8"/>
  <c r="AF1" i="8"/>
  <c r="AF192" i="8"/>
  <c r="AF278" i="8" s="1"/>
  <c r="AF179" i="8"/>
  <c r="AF218" i="8"/>
  <c r="AF309" i="8" s="1"/>
  <c r="AF180" i="8"/>
  <c r="AF207" i="8"/>
  <c r="AF174" i="8"/>
  <c r="AF75" i="8"/>
  <c r="AF167" i="8"/>
  <c r="AF273" i="8" s="1"/>
  <c r="AF172" i="8"/>
  <c r="AF50" i="8"/>
  <c r="AF66" i="8"/>
  <c r="AF209" i="8"/>
  <c r="AF300" i="8" s="1"/>
  <c r="AF212" i="8"/>
  <c r="AF303" i="8" s="1"/>
  <c r="AF217" i="8"/>
  <c r="AF308" i="8" s="1"/>
  <c r="AF211" i="8"/>
  <c r="AF302" i="8" s="1"/>
  <c r="AF197" i="8"/>
  <c r="AF285" i="8" s="1"/>
  <c r="AF228" i="8"/>
  <c r="AF319" i="8" s="1"/>
  <c r="AF226" i="8"/>
  <c r="AF317" i="8" s="1"/>
  <c r="AF229" i="8"/>
  <c r="AF320" i="8" s="1"/>
  <c r="AF232" i="8"/>
  <c r="AF323" i="8" s="1"/>
  <c r="AF227" i="8"/>
  <c r="AF318" i="8" s="1"/>
  <c r="AF213" i="8"/>
  <c r="AF304" i="8" s="1"/>
  <c r="AF230" i="8"/>
  <c r="AF321" i="8" s="1"/>
  <c r="AF231" i="8"/>
  <c r="AF322" i="8" s="1"/>
  <c r="AF194" i="8"/>
  <c r="AF279" i="8" s="1"/>
  <c r="AF219" i="8"/>
  <c r="AF310" i="8" s="1"/>
  <c r="AF214" i="8"/>
  <c r="AF305" i="8" s="1"/>
  <c r="AF221" i="8"/>
  <c r="AF312" i="8" s="1"/>
  <c r="AF220" i="8"/>
  <c r="AF311" i="8" s="1"/>
  <c r="AF165" i="8"/>
  <c r="AF196" i="8"/>
  <c r="AF283" i="8" s="1"/>
  <c r="AF198" i="8"/>
  <c r="AF286" i="8" s="1"/>
  <c r="AF166" i="8"/>
  <c r="AF272" i="8" s="1"/>
  <c r="AF200" i="8"/>
  <c r="AF288" i="8" s="1"/>
  <c r="AF223" i="8"/>
  <c r="AF314" i="8" s="1"/>
  <c r="AF195" i="8"/>
  <c r="AF282" i="8" s="1"/>
  <c r="AF222" i="8"/>
  <c r="AF313" i="8" s="1"/>
  <c r="AF210" i="8"/>
  <c r="AF301" i="8" s="1"/>
  <c r="AF235" i="8"/>
  <c r="AF326" i="8" s="1"/>
  <c r="AF233" i="8"/>
  <c r="AF324" i="8" s="1"/>
  <c r="AF234" i="8"/>
  <c r="AF325" i="8" s="1"/>
  <c r="AF199" i="8"/>
  <c r="AF287" i="8" s="1"/>
  <c r="AF215" i="8"/>
  <c r="AF306" i="8" s="1"/>
  <c r="AC249" i="8"/>
  <c r="AC148" i="8"/>
  <c r="AD54" i="8"/>
  <c r="AD128" i="8"/>
  <c r="P253" i="8"/>
  <c r="P152" i="8"/>
  <c r="AD94" i="8"/>
  <c r="AD133" i="8"/>
  <c r="AD139" i="8" s="1"/>
  <c r="AE298" i="8"/>
  <c r="AE45" i="8"/>
  <c r="AE46" i="8"/>
  <c r="AC246" i="8"/>
  <c r="AC145" i="8"/>
  <c r="AE31" i="8"/>
  <c r="AE27" i="8"/>
  <c r="AE93" i="8"/>
  <c r="AE92" i="8"/>
  <c r="AE12" i="8"/>
  <c r="AE98" i="8"/>
  <c r="AE20" i="8"/>
  <c r="AE26" i="8"/>
  <c r="AE32" i="8"/>
  <c r="AE19" i="8"/>
  <c r="AE13" i="8"/>
  <c r="AE97" i="8"/>
  <c r="S109" i="8"/>
  <c r="S155" i="8" s="1"/>
  <c r="S256" i="8" s="1"/>
  <c r="S135" i="8"/>
  <c r="T107" i="8"/>
  <c r="AC245" i="8"/>
  <c r="AC144" i="8"/>
  <c r="AD122" i="8"/>
  <c r="AD16" i="8"/>
  <c r="AD262" i="8" s="1"/>
  <c r="AD14" i="8"/>
  <c r="AE52" i="8"/>
  <c r="AE53" i="8"/>
  <c r="AD126" i="8"/>
  <c r="Q136" i="8"/>
  <c r="Q117" i="8"/>
  <c r="Q257" i="8" s="1"/>
  <c r="R115" i="8"/>
  <c r="AE290" i="8"/>
  <c r="AE38" i="8"/>
  <c r="AC255" i="8"/>
  <c r="AC154" i="8"/>
  <c r="T151" i="8"/>
  <c r="T252" i="8"/>
  <c r="AE108" i="8"/>
  <c r="AC248" i="8"/>
  <c r="AC147" i="8"/>
  <c r="AC254" i="8"/>
  <c r="AC153" i="8"/>
  <c r="AE271" i="8"/>
  <c r="AD185" i="8"/>
  <c r="Q132" i="8"/>
  <c r="Q89" i="8"/>
  <c r="R87" i="8"/>
  <c r="P250" i="8"/>
  <c r="P149" i="8"/>
  <c r="AE116" i="8"/>
  <c r="AC243" i="8"/>
  <c r="AC142" i="8"/>
  <c r="V78" i="8"/>
  <c r="U79" i="8"/>
  <c r="AD125" i="8"/>
  <c r="AD33" i="8"/>
  <c r="AE88" i="8"/>
  <c r="AD184" i="8"/>
  <c r="AD188" i="8" s="1"/>
  <c r="AD276" i="8" s="1"/>
  <c r="AD280" i="8" s="1"/>
  <c r="AD292" i="8" s="1"/>
  <c r="AC188" i="8"/>
  <c r="AC276" i="8" s="1"/>
  <c r="AC280" i="8" s="1"/>
  <c r="AC292" i="8" s="1"/>
  <c r="M294" i="8"/>
  <c r="P240" i="8" l="1"/>
  <c r="P140" i="8"/>
  <c r="O269" i="8"/>
  <c r="AD248" i="8"/>
  <c r="AD147" i="8"/>
  <c r="AG201" i="8"/>
  <c r="AG289" i="8" s="1"/>
  <c r="AG218" i="8"/>
  <c r="AG309" i="8" s="1"/>
  <c r="F216" i="8"/>
  <c r="AG191" i="8"/>
  <c r="AG277" i="8" s="1"/>
  <c r="AG207" i="8"/>
  <c r="AG192" i="8"/>
  <c r="AG278" i="8" s="1"/>
  <c r="AG43" i="8"/>
  <c r="AG50" i="8"/>
  <c r="AG57" i="8"/>
  <c r="AH3" i="8"/>
  <c r="AG1" i="8"/>
  <c r="AG112" i="8"/>
  <c r="AG180" i="8"/>
  <c r="AG171" i="8"/>
  <c r="AG179" i="8"/>
  <c r="AG84" i="8"/>
  <c r="AG172" i="8"/>
  <c r="AG8" i="8"/>
  <c r="AG174" i="8"/>
  <c r="AG75" i="8"/>
  <c r="AG178" i="8"/>
  <c r="AG66" i="8"/>
  <c r="AG36" i="8"/>
  <c r="AG193" i="8"/>
  <c r="AG284" i="8" s="1"/>
  <c r="AG170" i="8"/>
  <c r="AG104" i="8"/>
  <c r="AG173" i="8"/>
  <c r="AG217" i="8"/>
  <c r="AG308" i="8" s="1"/>
  <c r="AG212" i="8"/>
  <c r="AG303" i="8" s="1"/>
  <c r="AG211" i="8"/>
  <c r="AG302" i="8" s="1"/>
  <c r="AG167" i="8"/>
  <c r="AG273" i="8" s="1"/>
  <c r="AG209" i="8"/>
  <c r="AG300" i="8" s="1"/>
  <c r="AG228" i="8"/>
  <c r="AG319" i="8" s="1"/>
  <c r="AG197" i="8"/>
  <c r="AG285" i="8" s="1"/>
  <c r="AG226" i="8"/>
  <c r="AG317" i="8" s="1"/>
  <c r="AG229" i="8"/>
  <c r="AG320" i="8" s="1"/>
  <c r="AG232" i="8"/>
  <c r="AG323" i="8" s="1"/>
  <c r="AG227" i="8"/>
  <c r="AG318" i="8" s="1"/>
  <c r="AG230" i="8"/>
  <c r="AG321" i="8" s="1"/>
  <c r="AG213" i="8"/>
  <c r="AG304" i="8" s="1"/>
  <c r="AG231" i="8"/>
  <c r="AG322" i="8" s="1"/>
  <c r="AG194" i="8"/>
  <c r="AG279" i="8" s="1"/>
  <c r="AG214" i="8"/>
  <c r="AG305" i="8" s="1"/>
  <c r="AG219" i="8"/>
  <c r="AG310" i="8" s="1"/>
  <c r="AG221" i="8"/>
  <c r="AG312" i="8" s="1"/>
  <c r="AG220" i="8"/>
  <c r="AG311" i="8" s="1"/>
  <c r="AG165" i="8"/>
  <c r="AG196" i="8"/>
  <c r="AG283" i="8" s="1"/>
  <c r="AG200" i="8"/>
  <c r="AG288" i="8" s="1"/>
  <c r="AG223" i="8"/>
  <c r="AG314" i="8" s="1"/>
  <c r="AG198" i="8"/>
  <c r="AG286" i="8" s="1"/>
  <c r="AG195" i="8"/>
  <c r="AG282" i="8" s="1"/>
  <c r="AG290" i="8" s="1"/>
  <c r="AG166" i="8"/>
  <c r="AG272" i="8" s="1"/>
  <c r="AG210" i="8"/>
  <c r="AG301" i="8" s="1"/>
  <c r="AG222" i="8"/>
  <c r="AG313" i="8" s="1"/>
  <c r="AG235" i="8"/>
  <c r="AG326" i="8" s="1"/>
  <c r="AG233" i="8"/>
  <c r="AG324" i="8" s="1"/>
  <c r="AG234" i="8"/>
  <c r="AG325" i="8" s="1"/>
  <c r="AG199" i="8"/>
  <c r="AG287" i="8" s="1"/>
  <c r="AG215" i="8"/>
  <c r="AG306" i="8" s="1"/>
  <c r="AE124" i="8"/>
  <c r="AE28" i="8"/>
  <c r="Q72" i="8"/>
  <c r="Q265" i="8" s="1"/>
  <c r="Q130" i="8"/>
  <c r="Q70" i="8"/>
  <c r="R68" i="8"/>
  <c r="AE133" i="8"/>
  <c r="AE139" i="8" s="1"/>
  <c r="AE94" i="8"/>
  <c r="T40" i="8"/>
  <c r="U39" i="8"/>
  <c r="AE131" i="8"/>
  <c r="AE81" i="8"/>
  <c r="AE266" i="8" s="1"/>
  <c r="AD245" i="8"/>
  <c r="AD144" i="8"/>
  <c r="AF31" i="8"/>
  <c r="AF93" i="8"/>
  <c r="AF27" i="8"/>
  <c r="AF12" i="8"/>
  <c r="AF92" i="8"/>
  <c r="AF98" i="8"/>
  <c r="AF20" i="8"/>
  <c r="AF97" i="8"/>
  <c r="AF13" i="8"/>
  <c r="AF26" i="8"/>
  <c r="AF32" i="8"/>
  <c r="AF19" i="8"/>
  <c r="R136" i="8"/>
  <c r="R117" i="8"/>
  <c r="R257" i="8" s="1"/>
  <c r="S115" i="8"/>
  <c r="P150" i="8"/>
  <c r="P251" i="8"/>
  <c r="AF175" i="8"/>
  <c r="AF274" i="8" s="1"/>
  <c r="S247" i="8"/>
  <c r="S146" i="8"/>
  <c r="AD244" i="8"/>
  <c r="AD143" i="8"/>
  <c r="AF45" i="8"/>
  <c r="AF46" i="8"/>
  <c r="AE23" i="8"/>
  <c r="AE263" i="8" s="1"/>
  <c r="AE123" i="8"/>
  <c r="AE21" i="8"/>
  <c r="R129" i="8"/>
  <c r="R63" i="8"/>
  <c r="R264" i="8" s="1"/>
  <c r="R61" i="8"/>
  <c r="S59" i="8"/>
  <c r="Q253" i="8"/>
  <c r="Q152" i="8"/>
  <c r="AF271" i="8"/>
  <c r="AF184" i="8"/>
  <c r="AF187" i="8"/>
  <c r="AF186" i="8"/>
  <c r="AF185" i="8"/>
  <c r="Q137" i="8"/>
  <c r="U252" i="8"/>
  <c r="U151" i="8"/>
  <c r="T135" i="8"/>
  <c r="T109" i="8"/>
  <c r="T155" i="8" s="1"/>
  <c r="T256" i="8" s="1"/>
  <c r="U107" i="8"/>
  <c r="AE184" i="8"/>
  <c r="AE186" i="8"/>
  <c r="AF52" i="8"/>
  <c r="AF53" i="8"/>
  <c r="P159" i="8"/>
  <c r="AD243" i="8"/>
  <c r="AD142" i="8"/>
  <c r="AE47" i="8"/>
  <c r="AE127" i="8"/>
  <c r="AF38" i="8"/>
  <c r="AF88" i="8"/>
  <c r="AE122" i="8"/>
  <c r="AE16" i="8"/>
  <c r="AE262" i="8" s="1"/>
  <c r="AE14" i="8"/>
  <c r="AF108" i="8"/>
  <c r="AE187" i="8"/>
  <c r="AE125" i="8"/>
  <c r="AE33" i="8"/>
  <c r="AF290" i="8"/>
  <c r="AE128" i="8"/>
  <c r="AE54" i="8"/>
  <c r="AE126" i="8"/>
  <c r="AF116" i="8"/>
  <c r="P260" i="8"/>
  <c r="P269" i="8" s="1"/>
  <c r="P294" i="8" s="1"/>
  <c r="R132" i="8"/>
  <c r="R89" i="8"/>
  <c r="S87" i="8"/>
  <c r="AF77" i="8"/>
  <c r="AD246" i="8"/>
  <c r="AD145" i="8"/>
  <c r="AF298" i="8"/>
  <c r="Q250" i="8"/>
  <c r="Q149" i="8"/>
  <c r="AD153" i="8"/>
  <c r="AD254" i="8"/>
  <c r="V79" i="8"/>
  <c r="W78" i="8"/>
  <c r="AE185" i="8"/>
  <c r="AE134" i="8"/>
  <c r="AE99" i="8"/>
  <c r="AE101" i="8"/>
  <c r="AE267" i="8" s="1"/>
  <c r="AD249" i="8"/>
  <c r="AD148" i="8"/>
  <c r="AF69" i="8"/>
  <c r="AF60" i="8"/>
  <c r="AD255" i="8"/>
  <c r="AD154" i="8"/>
  <c r="Q240" i="8" l="1"/>
  <c r="Q140" i="8"/>
  <c r="AE243" i="8"/>
  <c r="AE142" i="8"/>
  <c r="AF126" i="8"/>
  <c r="U135" i="8"/>
  <c r="U109" i="8"/>
  <c r="U155" i="8" s="1"/>
  <c r="U256" i="8" s="1"/>
  <c r="V107" i="8"/>
  <c r="AF99" i="8"/>
  <c r="AF134" i="8"/>
  <c r="AF101" i="8"/>
  <c r="AF267" i="8" s="1"/>
  <c r="AG271" i="8"/>
  <c r="AG38" i="8"/>
  <c r="S132" i="8"/>
  <c r="S89" i="8"/>
  <c r="T87" i="8"/>
  <c r="R152" i="8"/>
  <c r="R253" i="8"/>
  <c r="AE246" i="8"/>
  <c r="AE145" i="8"/>
  <c r="AH201" i="8"/>
  <c r="AH289" i="8" s="1"/>
  <c r="AH218" i="8"/>
  <c r="AH309" i="8" s="1"/>
  <c r="AH193" i="8"/>
  <c r="AH284" i="8" s="1"/>
  <c r="AH178" i="8"/>
  <c r="AH181" i="8" s="1"/>
  <c r="AH275" i="8" s="1"/>
  <c r="AH167" i="8"/>
  <c r="AH273" i="8" s="1"/>
  <c r="AH172" i="8"/>
  <c r="AH191" i="8"/>
  <c r="AH277" i="8" s="1"/>
  <c r="AH207" i="8"/>
  <c r="AH192" i="8"/>
  <c r="AH278" i="8" s="1"/>
  <c r="AH171" i="8"/>
  <c r="AH43" i="8"/>
  <c r="AH57" i="8"/>
  <c r="AI3" i="8"/>
  <c r="AH1" i="8"/>
  <c r="AH112" i="8"/>
  <c r="AH50" i="8"/>
  <c r="AH66" i="8"/>
  <c r="AH174" i="8"/>
  <c r="AH180" i="8"/>
  <c r="AH104" i="8"/>
  <c r="AH179" i="8"/>
  <c r="AH75" i="8"/>
  <c r="AH84" i="8"/>
  <c r="AH209" i="8"/>
  <c r="AH300" i="8" s="1"/>
  <c r="AH36" i="8"/>
  <c r="AH8" i="8"/>
  <c r="AH173" i="8"/>
  <c r="AH170" i="8"/>
  <c r="AH175" i="8" s="1"/>
  <c r="AH274" i="8" s="1"/>
  <c r="AH211" i="8"/>
  <c r="AH302" i="8" s="1"/>
  <c r="AH212" i="8"/>
  <c r="AH303" i="8" s="1"/>
  <c r="AH217" i="8"/>
  <c r="AH308" i="8" s="1"/>
  <c r="AH226" i="8"/>
  <c r="AH317" i="8" s="1"/>
  <c r="AH228" i="8"/>
  <c r="AH319" i="8" s="1"/>
  <c r="AH197" i="8"/>
  <c r="AH285" i="8" s="1"/>
  <c r="AH229" i="8"/>
  <c r="AH320" i="8" s="1"/>
  <c r="AH227" i="8"/>
  <c r="AH318" i="8" s="1"/>
  <c r="AH232" i="8"/>
  <c r="AH323" i="8" s="1"/>
  <c r="AH230" i="8"/>
  <c r="AH321" i="8" s="1"/>
  <c r="AH213" i="8"/>
  <c r="AH304" i="8" s="1"/>
  <c r="AH231" i="8"/>
  <c r="AH322" i="8" s="1"/>
  <c r="AH194" i="8"/>
  <c r="AH279" i="8" s="1"/>
  <c r="AH219" i="8"/>
  <c r="AH310" i="8" s="1"/>
  <c r="AH214" i="8"/>
  <c r="AH305" i="8" s="1"/>
  <c r="AH221" i="8"/>
  <c r="AH312" i="8" s="1"/>
  <c r="AH220" i="8"/>
  <c r="AH311" i="8" s="1"/>
  <c r="AH165" i="8"/>
  <c r="AH198" i="8"/>
  <c r="AH286" i="8" s="1"/>
  <c r="AH196" i="8"/>
  <c r="AH283" i="8" s="1"/>
  <c r="AH166" i="8"/>
  <c r="AH272" i="8" s="1"/>
  <c r="AH195" i="8"/>
  <c r="AH282" i="8" s="1"/>
  <c r="AH223" i="8"/>
  <c r="AH314" i="8" s="1"/>
  <c r="AH200" i="8"/>
  <c r="AH288" i="8" s="1"/>
  <c r="AH210" i="8"/>
  <c r="AH301" i="8" s="1"/>
  <c r="AH222" i="8"/>
  <c r="AH313" i="8" s="1"/>
  <c r="AH235" i="8"/>
  <c r="AH326" i="8" s="1"/>
  <c r="AH233" i="8"/>
  <c r="AH324" i="8" s="1"/>
  <c r="AH234" i="8"/>
  <c r="AH325" i="8" s="1"/>
  <c r="AH199" i="8"/>
  <c r="AH287" i="8" s="1"/>
  <c r="AH215" i="8"/>
  <c r="AH306" i="8" s="1"/>
  <c r="AE244" i="8"/>
  <c r="AE143" i="8"/>
  <c r="R72" i="8"/>
  <c r="R265" i="8" s="1"/>
  <c r="R130" i="8"/>
  <c r="R137" i="8" s="1"/>
  <c r="R70" i="8"/>
  <c r="S68" i="8"/>
  <c r="AG93" i="8"/>
  <c r="AG92" i="8"/>
  <c r="AG27" i="8"/>
  <c r="AG19" i="8"/>
  <c r="AG13" i="8"/>
  <c r="AG12" i="8"/>
  <c r="AG31" i="8"/>
  <c r="AG20" i="8"/>
  <c r="AG97" i="8"/>
  <c r="AG26" i="8"/>
  <c r="AG32" i="8"/>
  <c r="AG98" i="8"/>
  <c r="AE249" i="8"/>
  <c r="AE148" i="8"/>
  <c r="AG88" i="8"/>
  <c r="AF131" i="8"/>
  <c r="AF81" i="8"/>
  <c r="AF266" i="8" s="1"/>
  <c r="W79" i="8"/>
  <c r="X78" i="8"/>
  <c r="AF128" i="8"/>
  <c r="AF54" i="8"/>
  <c r="AE245" i="8"/>
  <c r="AE144" i="8"/>
  <c r="AG108" i="8"/>
  <c r="S129" i="8"/>
  <c r="S63" i="8"/>
  <c r="S264" i="8" s="1"/>
  <c r="S61" i="8"/>
  <c r="T59" i="8"/>
  <c r="Q260" i="8"/>
  <c r="Q269" i="8" s="1"/>
  <c r="Q294" i="8" s="1"/>
  <c r="R250" i="8"/>
  <c r="R149" i="8"/>
  <c r="T247" i="8"/>
  <c r="T146" i="8"/>
  <c r="AG181" i="8"/>
  <c r="AG275" i="8" s="1"/>
  <c r="AG60" i="8"/>
  <c r="O294" i="8"/>
  <c r="Q150" i="8"/>
  <c r="Q251" i="8"/>
  <c r="AG298" i="8"/>
  <c r="AF21" i="8"/>
  <c r="AF23" i="8"/>
  <c r="AF263" i="8" s="1"/>
  <c r="AF123" i="8"/>
  <c r="AF216" i="8"/>
  <c r="AF307" i="8" s="1"/>
  <c r="T216" i="8"/>
  <c r="T307" i="8" s="1"/>
  <c r="AE216" i="8"/>
  <c r="AE307" i="8" s="1"/>
  <c r="S216" i="8"/>
  <c r="S307" i="8" s="1"/>
  <c r="X216" i="8"/>
  <c r="X307" i="8" s="1"/>
  <c r="J216" i="8"/>
  <c r="J307" i="8" s="1"/>
  <c r="W216" i="8"/>
  <c r="W307" i="8" s="1"/>
  <c r="AG216" i="8"/>
  <c r="AG307" i="8" s="1"/>
  <c r="O216" i="8"/>
  <c r="O307" i="8" s="1"/>
  <c r="AD216" i="8"/>
  <c r="AD307" i="8" s="1"/>
  <c r="N216" i="8"/>
  <c r="N307" i="8" s="1"/>
  <c r="AC216" i="8"/>
  <c r="AC307" i="8" s="1"/>
  <c r="M216" i="8"/>
  <c r="M307" i="8" s="1"/>
  <c r="Z216" i="8"/>
  <c r="Z307" i="8" s="1"/>
  <c r="Y216" i="8"/>
  <c r="Y307" i="8" s="1"/>
  <c r="V216" i="8"/>
  <c r="V307" i="8" s="1"/>
  <c r="U216" i="8"/>
  <c r="U307" i="8" s="1"/>
  <c r="P216" i="8"/>
  <c r="P307" i="8" s="1"/>
  <c r="L216" i="8"/>
  <c r="L307" i="8" s="1"/>
  <c r="K216" i="8"/>
  <c r="K307" i="8" s="1"/>
  <c r="AI216" i="8"/>
  <c r="AI307" i="8" s="1"/>
  <c r="AB216" i="8"/>
  <c r="AB307" i="8" s="1"/>
  <c r="AA216" i="8"/>
  <c r="AA307" i="8" s="1"/>
  <c r="AH216" i="8"/>
  <c r="AH307" i="8" s="1"/>
  <c r="Q216" i="8"/>
  <c r="Q307" i="8" s="1"/>
  <c r="R216" i="8"/>
  <c r="R307" i="8" s="1"/>
  <c r="AF188" i="8"/>
  <c r="AF276" i="8" s="1"/>
  <c r="AF124" i="8"/>
  <c r="AF28" i="8"/>
  <c r="AG116" i="8"/>
  <c r="Q159" i="8"/>
  <c r="U40" i="8"/>
  <c r="V39" i="8"/>
  <c r="AG69" i="8"/>
  <c r="AF94" i="8"/>
  <c r="AF133" i="8"/>
  <c r="AF139" i="8" s="1"/>
  <c r="AE153" i="8"/>
  <c r="AE254" i="8"/>
  <c r="AG77" i="8"/>
  <c r="AG52" i="8"/>
  <c r="AG53" i="8"/>
  <c r="S136" i="8"/>
  <c r="S117" i="8"/>
  <c r="S257" i="8" s="1"/>
  <c r="T115" i="8"/>
  <c r="AF125" i="8"/>
  <c r="AF33" i="8"/>
  <c r="AF47" i="8"/>
  <c r="AF127" i="8"/>
  <c r="V252" i="8"/>
  <c r="V151" i="8"/>
  <c r="AF280" i="8"/>
  <c r="AF292" i="8" s="1"/>
  <c r="AG175" i="8"/>
  <c r="AG274" i="8" s="1"/>
  <c r="AE188" i="8"/>
  <c r="AE276" i="8" s="1"/>
  <c r="AE280" i="8" s="1"/>
  <c r="AE292" i="8" s="1"/>
  <c r="AE255" i="8"/>
  <c r="AE154" i="8"/>
  <c r="AE147" i="8"/>
  <c r="AE248" i="8"/>
  <c r="AF122" i="8"/>
  <c r="AF14" i="8"/>
  <c r="AF16" i="8"/>
  <c r="AF262" i="8" s="1"/>
  <c r="AG46" i="8"/>
  <c r="AG45" i="8"/>
  <c r="R240" i="8" l="1"/>
  <c r="R140" i="8"/>
  <c r="AG127" i="8"/>
  <c r="AG47" i="8"/>
  <c r="AH52" i="8"/>
  <c r="AH53" i="8"/>
  <c r="AH116" i="8"/>
  <c r="AI218" i="8"/>
  <c r="AI309" i="8" s="1"/>
  <c r="AI193" i="8"/>
  <c r="AI284" i="8" s="1"/>
  <c r="AI178" i="8"/>
  <c r="AI181" i="8" s="1"/>
  <c r="AI275" i="8" s="1"/>
  <c r="AI207" i="8"/>
  <c r="AI201" i="8"/>
  <c r="AI289" i="8" s="1"/>
  <c r="AI172" i="8"/>
  <c r="AI192" i="8"/>
  <c r="AI278" i="8" s="1"/>
  <c r="AI112" i="8"/>
  <c r="AI171" i="8"/>
  <c r="AI179" i="8"/>
  <c r="AI174" i="8"/>
  <c r="AI57" i="8"/>
  <c r="AJ3" i="8"/>
  <c r="AI1" i="8"/>
  <c r="AI50" i="8"/>
  <c r="AI75" i="8"/>
  <c r="AI180" i="8"/>
  <c r="AI8" i="8"/>
  <c r="AI170" i="8"/>
  <c r="AI104" i="8"/>
  <c r="AI66" i="8"/>
  <c r="AI43" i="8"/>
  <c r="AI84" i="8"/>
  <c r="AI209" i="8"/>
  <c r="AI300" i="8" s="1"/>
  <c r="AI173" i="8"/>
  <c r="AI36" i="8"/>
  <c r="AI191" i="8"/>
  <c r="AI277" i="8" s="1"/>
  <c r="AI217" i="8"/>
  <c r="AI308" i="8" s="1"/>
  <c r="AI167" i="8"/>
  <c r="AI273" i="8" s="1"/>
  <c r="AI211" i="8"/>
  <c r="AI302" i="8" s="1"/>
  <c r="AI212" i="8"/>
  <c r="AI303" i="8" s="1"/>
  <c r="AI228" i="8"/>
  <c r="AI319" i="8" s="1"/>
  <c r="AI197" i="8"/>
  <c r="AI285" i="8" s="1"/>
  <c r="AI226" i="8"/>
  <c r="AI317" i="8" s="1"/>
  <c r="AI232" i="8"/>
  <c r="AI323" i="8" s="1"/>
  <c r="AI227" i="8"/>
  <c r="AI318" i="8" s="1"/>
  <c r="AI229" i="8"/>
  <c r="AI320" i="8" s="1"/>
  <c r="AI230" i="8"/>
  <c r="AI321" i="8" s="1"/>
  <c r="AI213" i="8"/>
  <c r="AI304" i="8" s="1"/>
  <c r="AI231" i="8"/>
  <c r="AI322" i="8" s="1"/>
  <c r="AI194" i="8"/>
  <c r="AI279" i="8" s="1"/>
  <c r="AI214" i="8"/>
  <c r="AI305" i="8" s="1"/>
  <c r="AI219" i="8"/>
  <c r="AI310" i="8" s="1"/>
  <c r="AI221" i="8"/>
  <c r="AI312" i="8" s="1"/>
  <c r="AI220" i="8"/>
  <c r="AI311" i="8" s="1"/>
  <c r="AI165" i="8"/>
  <c r="AI223" i="8"/>
  <c r="AI314" i="8" s="1"/>
  <c r="AI196" i="8"/>
  <c r="AI283" i="8" s="1"/>
  <c r="AI200" i="8"/>
  <c r="AI288" i="8" s="1"/>
  <c r="AI166" i="8"/>
  <c r="AI272" i="8" s="1"/>
  <c r="AI195" i="8"/>
  <c r="AI282" i="8" s="1"/>
  <c r="AI290" i="8" s="1"/>
  <c r="AI198" i="8"/>
  <c r="AI286" i="8" s="1"/>
  <c r="AI222" i="8"/>
  <c r="AI313" i="8" s="1"/>
  <c r="AI210" i="8"/>
  <c r="AI301" i="8" s="1"/>
  <c r="AI235" i="8"/>
  <c r="AI326" i="8" s="1"/>
  <c r="AI233" i="8"/>
  <c r="AI324" i="8" s="1"/>
  <c r="AI234" i="8"/>
  <c r="AI325" i="8" s="1"/>
  <c r="AI199" i="8"/>
  <c r="AI287" i="8" s="1"/>
  <c r="AI215" i="8"/>
  <c r="AI306" i="8" s="1"/>
  <c r="AH60" i="8"/>
  <c r="AG21" i="8"/>
  <c r="AG123" i="8"/>
  <c r="AG23" i="8"/>
  <c r="AG263" i="8" s="1"/>
  <c r="AH185" i="8"/>
  <c r="AH186" i="8"/>
  <c r="AH187" i="8"/>
  <c r="AH271" i="8"/>
  <c r="AH184" i="8"/>
  <c r="AH188" i="8" s="1"/>
  <c r="AH276" i="8" s="1"/>
  <c r="AH77" i="8"/>
  <c r="AG185" i="8"/>
  <c r="AH69" i="8"/>
  <c r="AG187" i="8"/>
  <c r="AF249" i="8"/>
  <c r="AF148" i="8"/>
  <c r="R251" i="8"/>
  <c r="R260" i="8" s="1"/>
  <c r="R269" i="8" s="1"/>
  <c r="R294" i="8" s="1"/>
  <c r="R150" i="8"/>
  <c r="R159" i="8" s="1"/>
  <c r="AF255" i="8"/>
  <c r="AF154" i="8"/>
  <c r="AF245" i="8"/>
  <c r="AF144" i="8"/>
  <c r="AH290" i="8"/>
  <c r="AG126" i="8"/>
  <c r="AH38" i="8"/>
  <c r="AF153" i="8"/>
  <c r="AF254" i="8"/>
  <c r="T117" i="8"/>
  <c r="T257" i="8" s="1"/>
  <c r="T136" i="8"/>
  <c r="U115" i="8"/>
  <c r="AG94" i="8"/>
  <c r="AG133" i="8"/>
  <c r="AG139" i="8" s="1"/>
  <c r="AH108" i="8"/>
  <c r="AH298" i="8"/>
  <c r="T132" i="8"/>
  <c r="T89" i="8"/>
  <c r="U87" i="8"/>
  <c r="AG184" i="8"/>
  <c r="AG188" i="8" s="1"/>
  <c r="AG276" i="8" s="1"/>
  <c r="X79" i="8"/>
  <c r="Y78" i="8"/>
  <c r="V109" i="8"/>
  <c r="V155" i="8" s="1"/>
  <c r="V256" i="8" s="1"/>
  <c r="V135" i="8"/>
  <c r="W107" i="8"/>
  <c r="W252" i="8"/>
  <c r="W151" i="8"/>
  <c r="AG125" i="8"/>
  <c r="AG33" i="8"/>
  <c r="AF147" i="8"/>
  <c r="AF248" i="8"/>
  <c r="AG280" i="8"/>
  <c r="AG292" i="8" s="1"/>
  <c r="AH88" i="8"/>
  <c r="AH45" i="8"/>
  <c r="AH46" i="8"/>
  <c r="U146" i="8"/>
  <c r="U247" i="8"/>
  <c r="S152" i="8"/>
  <c r="S253" i="8"/>
  <c r="AG128" i="8"/>
  <c r="AG54" i="8"/>
  <c r="AG28" i="8"/>
  <c r="AG124" i="8"/>
  <c r="AG131" i="8"/>
  <c r="AG81" i="8"/>
  <c r="AG266" i="8" s="1"/>
  <c r="AG134" i="8"/>
  <c r="AG99" i="8"/>
  <c r="AG101" i="8"/>
  <c r="AG267" i="8" s="1"/>
  <c r="T63" i="8"/>
  <c r="T264" i="8" s="1"/>
  <c r="T129" i="8"/>
  <c r="T61" i="8"/>
  <c r="U59" i="8"/>
  <c r="AH97" i="8"/>
  <c r="AH92" i="8"/>
  <c r="AH12" i="8"/>
  <c r="AH31" i="8"/>
  <c r="AH19" i="8"/>
  <c r="AH13" i="8"/>
  <c r="AH93" i="8"/>
  <c r="AH32" i="8"/>
  <c r="AH98" i="8"/>
  <c r="AH27" i="8"/>
  <c r="AH26" i="8"/>
  <c r="AH20" i="8"/>
  <c r="AF243" i="8"/>
  <c r="AF142" i="8"/>
  <c r="S250" i="8"/>
  <c r="S149" i="8"/>
  <c r="AG122" i="8"/>
  <c r="AG14" i="8"/>
  <c r="AG16" i="8"/>
  <c r="AG262" i="8" s="1"/>
  <c r="AF246" i="8"/>
  <c r="AF145" i="8"/>
  <c r="AG186" i="8"/>
  <c r="V40" i="8"/>
  <c r="W39" i="8"/>
  <c r="AF143" i="8"/>
  <c r="AF244" i="8"/>
  <c r="S72" i="8"/>
  <c r="S265" i="8" s="1"/>
  <c r="S70" i="8"/>
  <c r="S130" i="8"/>
  <c r="T68" i="8"/>
  <c r="S137" i="8"/>
  <c r="AI38" i="8" l="1"/>
  <c r="AG145" i="8"/>
  <c r="AG246" i="8"/>
  <c r="T253" i="8"/>
  <c r="T152" i="8"/>
  <c r="AI88" i="8"/>
  <c r="AI187" i="8"/>
  <c r="AI185" i="8"/>
  <c r="AI271" i="8"/>
  <c r="AH94" i="8"/>
  <c r="AH133" i="8"/>
  <c r="AH139" i="8" s="1"/>
  <c r="AH127" i="8"/>
  <c r="AH47" i="8"/>
  <c r="W109" i="8"/>
  <c r="W155" i="8" s="1"/>
  <c r="W256" i="8" s="1"/>
  <c r="W135" i="8"/>
  <c r="X107" i="8"/>
  <c r="AH280" i="8"/>
  <c r="AH292" i="8" s="1"/>
  <c r="AI108" i="8"/>
  <c r="AI116" i="8"/>
  <c r="U117" i="8"/>
  <c r="U257" i="8" s="1"/>
  <c r="U136" i="8"/>
  <c r="V115" i="8"/>
  <c r="U89" i="8"/>
  <c r="U132" i="8"/>
  <c r="V87" i="8"/>
  <c r="S159" i="8"/>
  <c r="AI46" i="8"/>
  <c r="AI45" i="8"/>
  <c r="AH126" i="8"/>
  <c r="AI175" i="8"/>
  <c r="AI274" i="8" s="1"/>
  <c r="AG248" i="8"/>
  <c r="AG147" i="8"/>
  <c r="AG244" i="8"/>
  <c r="AG143" i="8"/>
  <c r="AG255" i="8"/>
  <c r="AG154" i="8"/>
  <c r="S251" i="8"/>
  <c r="S150" i="8"/>
  <c r="AH81" i="8"/>
  <c r="AH266" i="8" s="1"/>
  <c r="AH131" i="8"/>
  <c r="S260" i="8"/>
  <c r="S269" i="8" s="1"/>
  <c r="S294" i="8" s="1"/>
  <c r="AH128" i="8"/>
  <c r="AH54" i="8"/>
  <c r="AH134" i="8"/>
  <c r="AH99" i="8"/>
  <c r="AH101" i="8"/>
  <c r="AH267" i="8" s="1"/>
  <c r="W40" i="8"/>
  <c r="X39" i="8"/>
  <c r="U63" i="8"/>
  <c r="U264" i="8" s="1"/>
  <c r="U129" i="8"/>
  <c r="U61" i="8"/>
  <c r="V59" i="8"/>
  <c r="AI98" i="8"/>
  <c r="AI97" i="8"/>
  <c r="AI92" i="8"/>
  <c r="AI19" i="8"/>
  <c r="AI13" i="8"/>
  <c r="AI26" i="8"/>
  <c r="AI20" i="8"/>
  <c r="AI27" i="8"/>
  <c r="AI31" i="8"/>
  <c r="AI12" i="8"/>
  <c r="AI93" i="8"/>
  <c r="AI32" i="8"/>
  <c r="T70" i="8"/>
  <c r="T72" i="8"/>
  <c r="T265" i="8" s="1"/>
  <c r="T130" i="8"/>
  <c r="T137" i="8" s="1"/>
  <c r="U68" i="8"/>
  <c r="AI60" i="8"/>
  <c r="AH21" i="8"/>
  <c r="AH23" i="8"/>
  <c r="AH263" i="8" s="1"/>
  <c r="AH123" i="8"/>
  <c r="V146" i="8"/>
  <c r="V247" i="8"/>
  <c r="AH28" i="8"/>
  <c r="AH124" i="8"/>
  <c r="T149" i="8"/>
  <c r="T250" i="8"/>
  <c r="AG148" i="8"/>
  <c r="AG249" i="8"/>
  <c r="Y79" i="8"/>
  <c r="Z78" i="8"/>
  <c r="AI53" i="8"/>
  <c r="AI52" i="8"/>
  <c r="S240" i="8"/>
  <c r="S140" i="8"/>
  <c r="AJ218" i="8"/>
  <c r="AJ309" i="8" s="1"/>
  <c r="F208" i="8"/>
  <c r="AJ207" i="8"/>
  <c r="AJ172" i="8"/>
  <c r="AJ192" i="8"/>
  <c r="AJ278" i="8" s="1"/>
  <c r="AJ179" i="8"/>
  <c r="AJ171" i="8"/>
  <c r="AJ104" i="8"/>
  <c r="AJ174" i="8"/>
  <c r="AJ178" i="8"/>
  <c r="AJ181" i="8" s="1"/>
  <c r="AJ275" i="8" s="1"/>
  <c r="AJ201" i="8"/>
  <c r="AJ289" i="8" s="1"/>
  <c r="AJ50" i="8"/>
  <c r="AJ112" i="8"/>
  <c r="AJ75" i="8"/>
  <c r="AJ180" i="8"/>
  <c r="AJ170" i="8"/>
  <c r="AJ193" i="8"/>
  <c r="AJ284" i="8" s="1"/>
  <c r="AJ191" i="8"/>
  <c r="AJ277" i="8" s="1"/>
  <c r="AJ66" i="8"/>
  <c r="AJ43" i="8"/>
  <c r="AK3" i="8"/>
  <c r="AJ8" i="8"/>
  <c r="AJ1" i="8"/>
  <c r="AJ57" i="8"/>
  <c r="AJ173" i="8"/>
  <c r="AJ36" i="8"/>
  <c r="AJ167" i="8"/>
  <c r="AJ273" i="8" s="1"/>
  <c r="AJ84" i="8"/>
  <c r="AJ217" i="8"/>
  <c r="AJ308" i="8" s="1"/>
  <c r="AJ209" i="8"/>
  <c r="AJ300" i="8" s="1"/>
  <c r="AJ212" i="8"/>
  <c r="AJ303" i="8" s="1"/>
  <c r="AJ211" i="8"/>
  <c r="AJ302" i="8" s="1"/>
  <c r="AJ226" i="8"/>
  <c r="AJ317" i="8" s="1"/>
  <c r="AJ228" i="8"/>
  <c r="AJ319" i="8" s="1"/>
  <c r="AJ197" i="8"/>
  <c r="AJ285" i="8" s="1"/>
  <c r="AJ229" i="8"/>
  <c r="AJ320" i="8" s="1"/>
  <c r="AJ227" i="8"/>
  <c r="AJ318" i="8" s="1"/>
  <c r="AJ232" i="8"/>
  <c r="AJ323" i="8" s="1"/>
  <c r="AJ213" i="8"/>
  <c r="AJ304" i="8" s="1"/>
  <c r="AJ230" i="8"/>
  <c r="AJ321" i="8" s="1"/>
  <c r="AJ231" i="8"/>
  <c r="AJ322" i="8" s="1"/>
  <c r="AJ194" i="8"/>
  <c r="AJ279" i="8" s="1"/>
  <c r="AJ219" i="8"/>
  <c r="AJ310" i="8" s="1"/>
  <c r="AJ214" i="8"/>
  <c r="AJ305" i="8" s="1"/>
  <c r="AJ221" i="8"/>
  <c r="AJ312" i="8" s="1"/>
  <c r="AJ220" i="8"/>
  <c r="AJ311" i="8" s="1"/>
  <c r="AJ165" i="8"/>
  <c r="AJ166" i="8"/>
  <c r="AJ272" i="8" s="1"/>
  <c r="AJ223" i="8"/>
  <c r="AJ314" i="8" s="1"/>
  <c r="AJ198" i="8"/>
  <c r="AJ286" i="8" s="1"/>
  <c r="AJ200" i="8"/>
  <c r="AJ288" i="8" s="1"/>
  <c r="AJ196" i="8"/>
  <c r="AJ283" i="8" s="1"/>
  <c r="AJ195" i="8"/>
  <c r="AJ282" i="8" s="1"/>
  <c r="AJ210" i="8"/>
  <c r="AJ301" i="8" s="1"/>
  <c r="AJ222" i="8"/>
  <c r="AJ313" i="8" s="1"/>
  <c r="AJ235" i="8"/>
  <c r="AJ326" i="8" s="1"/>
  <c r="AJ233" i="8"/>
  <c r="AJ324" i="8" s="1"/>
  <c r="AJ234" i="8"/>
  <c r="AJ325" i="8" s="1"/>
  <c r="AJ199" i="8"/>
  <c r="AJ287" i="8" s="1"/>
  <c r="AJ215" i="8"/>
  <c r="AJ306" i="8" s="1"/>
  <c r="AJ216" i="8"/>
  <c r="AJ307" i="8" s="1"/>
  <c r="AG142" i="8"/>
  <c r="AG243" i="8"/>
  <c r="AH33" i="8"/>
  <c r="AH125" i="8"/>
  <c r="AH122" i="8"/>
  <c r="AH14" i="8"/>
  <c r="AH16" i="8"/>
  <c r="AH262" i="8" s="1"/>
  <c r="AI69" i="8"/>
  <c r="AG245" i="8"/>
  <c r="AG144" i="8"/>
  <c r="X151" i="8"/>
  <c r="X252" i="8"/>
  <c r="AG153" i="8"/>
  <c r="AG254" i="8"/>
  <c r="AI77" i="8"/>
  <c r="AI298" i="8"/>
  <c r="T240" i="8" l="1"/>
  <c r="T140" i="8"/>
  <c r="AI21" i="8"/>
  <c r="AI123" i="8"/>
  <c r="AI23" i="8"/>
  <c r="AI263" i="8" s="1"/>
  <c r="AH148" i="8"/>
  <c r="AH249" i="8"/>
  <c r="AJ52" i="8"/>
  <c r="AJ53" i="8"/>
  <c r="AI128" i="8"/>
  <c r="AI54" i="8"/>
  <c r="AK207" i="8"/>
  <c r="AK192" i="8"/>
  <c r="AK278" i="8" s="1"/>
  <c r="AK173" i="8"/>
  <c r="AK179" i="8"/>
  <c r="AK174" i="8"/>
  <c r="AK178" i="8"/>
  <c r="AK201" i="8"/>
  <c r="AK289" i="8" s="1"/>
  <c r="AK218" i="8"/>
  <c r="AK309" i="8" s="1"/>
  <c r="AK112" i="8"/>
  <c r="AK75" i="8"/>
  <c r="AK172" i="8"/>
  <c r="AK180" i="8"/>
  <c r="AK171" i="8"/>
  <c r="AK8" i="8"/>
  <c r="AK66" i="8"/>
  <c r="AK43" i="8"/>
  <c r="AL3" i="8"/>
  <c r="AK104" i="8"/>
  <c r="AK193" i="8"/>
  <c r="AK284" i="8" s="1"/>
  <c r="AK191" i="8"/>
  <c r="AK277" i="8" s="1"/>
  <c r="AK170" i="8"/>
  <c r="AK57" i="8"/>
  <c r="AK167" i="8"/>
  <c r="AK273" i="8" s="1"/>
  <c r="AK84" i="8"/>
  <c r="AK36" i="8"/>
  <c r="AK50" i="8"/>
  <c r="AK1" i="8"/>
  <c r="AK212" i="8"/>
  <c r="AK303" i="8" s="1"/>
  <c r="AK209" i="8"/>
  <c r="AK300" i="8" s="1"/>
  <c r="AK217" i="8"/>
  <c r="AK308" i="8" s="1"/>
  <c r="AK211" i="8"/>
  <c r="AK302" i="8" s="1"/>
  <c r="AK197" i="8"/>
  <c r="AK285" i="8" s="1"/>
  <c r="AK226" i="8"/>
  <c r="AK317" i="8" s="1"/>
  <c r="AK228" i="8"/>
  <c r="AK319" i="8" s="1"/>
  <c r="AK232" i="8"/>
  <c r="AK323" i="8" s="1"/>
  <c r="AK227" i="8"/>
  <c r="AK318" i="8" s="1"/>
  <c r="AK229" i="8"/>
  <c r="AK320" i="8" s="1"/>
  <c r="AK230" i="8"/>
  <c r="AK321" i="8" s="1"/>
  <c r="AK213" i="8"/>
  <c r="AK304" i="8" s="1"/>
  <c r="AK231" i="8"/>
  <c r="AK322" i="8" s="1"/>
  <c r="AK194" i="8"/>
  <c r="AK279" i="8" s="1"/>
  <c r="AK219" i="8"/>
  <c r="AK310" i="8" s="1"/>
  <c r="AK214" i="8"/>
  <c r="AK305" i="8" s="1"/>
  <c r="AK220" i="8"/>
  <c r="AK311" i="8" s="1"/>
  <c r="AK221" i="8"/>
  <c r="AK312" i="8" s="1"/>
  <c r="AK165" i="8"/>
  <c r="AK198" i="8"/>
  <c r="AK286" i="8" s="1"/>
  <c r="AK200" i="8"/>
  <c r="AK288" i="8" s="1"/>
  <c r="AK166" i="8"/>
  <c r="AK272" i="8" s="1"/>
  <c r="AK223" i="8"/>
  <c r="AK314" i="8" s="1"/>
  <c r="AK196" i="8"/>
  <c r="AK283" i="8" s="1"/>
  <c r="AK195" i="8"/>
  <c r="AK282" i="8" s="1"/>
  <c r="AK222" i="8"/>
  <c r="AK313" i="8" s="1"/>
  <c r="AK210" i="8"/>
  <c r="AK301" i="8" s="1"/>
  <c r="AK235" i="8"/>
  <c r="AK326" i="8" s="1"/>
  <c r="AK233" i="8"/>
  <c r="AK324" i="8" s="1"/>
  <c r="AK234" i="8"/>
  <c r="AK325" i="8" s="1"/>
  <c r="AK199" i="8"/>
  <c r="AK287" i="8" s="1"/>
  <c r="AK215" i="8"/>
  <c r="AK306" i="8" s="1"/>
  <c r="AK216" i="8"/>
  <c r="AK307" i="8" s="1"/>
  <c r="AJ108" i="8"/>
  <c r="AI81" i="8"/>
  <c r="AI266" i="8" s="1"/>
  <c r="AI131" i="8"/>
  <c r="AH243" i="8"/>
  <c r="AH142" i="8"/>
  <c r="AJ69" i="8"/>
  <c r="AA78" i="8"/>
  <c r="Z79" i="8"/>
  <c r="AI33" i="8"/>
  <c r="AI125" i="8"/>
  <c r="AH254" i="8"/>
  <c r="AH153" i="8"/>
  <c r="AJ271" i="8"/>
  <c r="AJ32" i="8"/>
  <c r="AJ92" i="8"/>
  <c r="AJ27" i="8"/>
  <c r="AJ26" i="8"/>
  <c r="AJ20" i="8"/>
  <c r="AJ19" i="8"/>
  <c r="AJ13" i="8"/>
  <c r="AJ97" i="8"/>
  <c r="AJ12" i="8"/>
  <c r="AJ98" i="8"/>
  <c r="AJ93" i="8"/>
  <c r="AJ31" i="8"/>
  <c r="AJ45" i="8"/>
  <c r="AJ46" i="8"/>
  <c r="Y151" i="8"/>
  <c r="Y252" i="8"/>
  <c r="AH244" i="8"/>
  <c r="AH143" i="8"/>
  <c r="X40" i="8"/>
  <c r="Y39" i="8"/>
  <c r="AJ77" i="8"/>
  <c r="V89" i="8"/>
  <c r="V132" i="8"/>
  <c r="W87" i="8"/>
  <c r="AH144" i="8"/>
  <c r="AH245" i="8"/>
  <c r="U253" i="8"/>
  <c r="U152" i="8"/>
  <c r="V117" i="8"/>
  <c r="V257" i="8" s="1"/>
  <c r="V136" i="8"/>
  <c r="W115" i="8"/>
  <c r="AI14" i="8"/>
  <c r="AI16" i="8"/>
  <c r="AI262" i="8" s="1"/>
  <c r="AI122" i="8"/>
  <c r="AJ290" i="8"/>
  <c r="W146" i="8"/>
  <c r="W247" i="8"/>
  <c r="AI126" i="8"/>
  <c r="AG208" i="8"/>
  <c r="U208" i="8"/>
  <c r="AF208" i="8"/>
  <c r="T208" i="8"/>
  <c r="AB208" i="8"/>
  <c r="N208" i="8"/>
  <c r="AA208" i="8"/>
  <c r="M208" i="8"/>
  <c r="X208" i="8"/>
  <c r="W208" i="8"/>
  <c r="AL208" i="8"/>
  <c r="AL299" i="8" s="1"/>
  <c r="V208" i="8"/>
  <c r="AI208" i="8"/>
  <c r="L208" i="8"/>
  <c r="AH208" i="8"/>
  <c r="K208" i="8"/>
  <c r="AE208" i="8"/>
  <c r="J208" i="8"/>
  <c r="AD208" i="8"/>
  <c r="AK208" i="8"/>
  <c r="AK299" i="8" s="1"/>
  <c r="AJ208" i="8"/>
  <c r="AJ299" i="8" s="1"/>
  <c r="Y208" i="8"/>
  <c r="AC208" i="8"/>
  <c r="Z208" i="8"/>
  <c r="R208" i="8"/>
  <c r="P208" i="8"/>
  <c r="Q208" i="8"/>
  <c r="O208" i="8"/>
  <c r="S208" i="8"/>
  <c r="AJ60" i="8"/>
  <c r="T251" i="8"/>
  <c r="T260" i="8" s="1"/>
  <c r="T269" i="8" s="1"/>
  <c r="T294" i="8" s="1"/>
  <c r="T150" i="8"/>
  <c r="T159" i="8" s="1"/>
  <c r="V63" i="8"/>
  <c r="V264" i="8" s="1"/>
  <c r="V129" i="8"/>
  <c r="V61" i="8"/>
  <c r="W59" i="8"/>
  <c r="AH145" i="8"/>
  <c r="AH246" i="8"/>
  <c r="AJ88" i="8"/>
  <c r="AJ175" i="8"/>
  <c r="AJ274" i="8" s="1"/>
  <c r="AI124" i="8"/>
  <c r="AI28" i="8"/>
  <c r="AI127" i="8"/>
  <c r="AI47" i="8"/>
  <c r="AI186" i="8"/>
  <c r="AJ38" i="8"/>
  <c r="AJ116" i="8"/>
  <c r="AI133" i="8"/>
  <c r="AI139" i="8" s="1"/>
  <c r="AI94" i="8"/>
  <c r="X109" i="8"/>
  <c r="X155" i="8" s="1"/>
  <c r="X256" i="8" s="1"/>
  <c r="X135" i="8"/>
  <c r="Y107" i="8"/>
  <c r="AI99" i="8"/>
  <c r="AI134" i="8"/>
  <c r="AI101" i="8"/>
  <c r="AI267" i="8" s="1"/>
  <c r="AH248" i="8"/>
  <c r="AH147" i="8"/>
  <c r="U250" i="8"/>
  <c r="U149" i="8"/>
  <c r="AJ236" i="8"/>
  <c r="AJ298" i="8"/>
  <c r="AJ327" i="8" s="1"/>
  <c r="AJ329" i="8" s="1"/>
  <c r="U70" i="8"/>
  <c r="U130" i="8"/>
  <c r="U137" i="8" s="1"/>
  <c r="U72" i="8"/>
  <c r="U265" i="8" s="1"/>
  <c r="V68" i="8"/>
  <c r="AH255" i="8"/>
  <c r="AH154" i="8"/>
  <c r="AI184" i="8"/>
  <c r="AI188" i="8" s="1"/>
  <c r="AI276" i="8" s="1"/>
  <c r="AI280" i="8" s="1"/>
  <c r="AI292" i="8" s="1"/>
  <c r="U240" i="8" l="1"/>
  <c r="U140" i="8"/>
  <c r="T331" i="8"/>
  <c r="AI254" i="8"/>
  <c r="AI153" i="8"/>
  <c r="AH299" i="8"/>
  <c r="AH327" i="8" s="1"/>
  <c r="AH329" i="8" s="1"/>
  <c r="AH236" i="8"/>
  <c r="AJ127" i="8"/>
  <c r="AJ47" i="8"/>
  <c r="AK60" i="8"/>
  <c r="U299" i="8"/>
  <c r="U327" i="8" s="1"/>
  <c r="U329" i="8" s="1"/>
  <c r="U236" i="8"/>
  <c r="AC299" i="8"/>
  <c r="AC327" i="8" s="1"/>
  <c r="AC329" i="8" s="1"/>
  <c r="AC236" i="8"/>
  <c r="AA299" i="8"/>
  <c r="AA327" i="8" s="1"/>
  <c r="AA329" i="8" s="1"/>
  <c r="AA236" i="8"/>
  <c r="AJ33" i="8"/>
  <c r="AJ125" i="8"/>
  <c r="AJ186" i="8"/>
  <c r="AI299" i="8"/>
  <c r="AI327" i="8" s="1"/>
  <c r="AI329" i="8" s="1"/>
  <c r="AI236" i="8"/>
  <c r="V70" i="8"/>
  <c r="V130" i="8"/>
  <c r="V72" i="8"/>
  <c r="V265" i="8" s="1"/>
  <c r="W68" i="8"/>
  <c r="W63" i="8"/>
  <c r="W264" i="8" s="1"/>
  <c r="W61" i="8"/>
  <c r="W129" i="8"/>
  <c r="X59" i="8"/>
  <c r="N299" i="8"/>
  <c r="N327" i="8" s="1"/>
  <c r="N329" i="8" s="1"/>
  <c r="N331" i="8" s="1"/>
  <c r="N236" i="8"/>
  <c r="Y40" i="8"/>
  <c r="Z39" i="8"/>
  <c r="AJ16" i="8"/>
  <c r="AJ262" i="8" s="1"/>
  <c r="AJ14" i="8"/>
  <c r="AJ122" i="8"/>
  <c r="AJ187" i="8"/>
  <c r="AL207" i="8"/>
  <c r="AL192" i="8"/>
  <c r="AL278" i="8" s="1"/>
  <c r="AL201" i="8"/>
  <c r="AL289" i="8" s="1"/>
  <c r="AL180" i="8"/>
  <c r="AL179" i="8"/>
  <c r="AL174" i="8"/>
  <c r="AL170" i="8"/>
  <c r="AL175" i="8" s="1"/>
  <c r="AL274" i="8" s="1"/>
  <c r="AL178" i="8"/>
  <c r="AL181" i="8" s="1"/>
  <c r="AL275" i="8" s="1"/>
  <c r="AL218" i="8"/>
  <c r="AL309" i="8" s="1"/>
  <c r="AL172" i="8"/>
  <c r="AL75" i="8"/>
  <c r="AL191" i="8"/>
  <c r="AL277" i="8" s="1"/>
  <c r="AL211" i="8"/>
  <c r="AL302" i="8" s="1"/>
  <c r="AL66" i="8"/>
  <c r="AL43" i="8"/>
  <c r="AM3" i="8"/>
  <c r="AL8" i="8"/>
  <c r="AL173" i="8"/>
  <c r="AL167" i="8"/>
  <c r="AL273" i="8" s="1"/>
  <c r="AL112" i="8"/>
  <c r="AL104" i="8"/>
  <c r="AL57" i="8"/>
  <c r="AL193" i="8"/>
  <c r="AL284" i="8" s="1"/>
  <c r="AL1" i="8"/>
  <c r="AL36" i="8"/>
  <c r="AL84" i="8"/>
  <c r="AL50" i="8"/>
  <c r="AL171" i="8"/>
  <c r="AL212" i="8"/>
  <c r="AL303" i="8" s="1"/>
  <c r="AL217" i="8"/>
  <c r="AL308" i="8" s="1"/>
  <c r="AL209" i="8"/>
  <c r="AL300" i="8" s="1"/>
  <c r="AL226" i="8"/>
  <c r="AL317" i="8" s="1"/>
  <c r="AL228" i="8"/>
  <c r="AL319" i="8" s="1"/>
  <c r="AL197" i="8"/>
  <c r="AL285" i="8" s="1"/>
  <c r="AL227" i="8"/>
  <c r="AL318" i="8" s="1"/>
  <c r="AL232" i="8"/>
  <c r="AL323" i="8" s="1"/>
  <c r="AL229" i="8"/>
  <c r="AL320" i="8" s="1"/>
  <c r="AL230" i="8"/>
  <c r="AL321" i="8" s="1"/>
  <c r="AL213" i="8"/>
  <c r="AL304" i="8" s="1"/>
  <c r="AL231" i="8"/>
  <c r="AL322" i="8" s="1"/>
  <c r="AL194" i="8"/>
  <c r="AL279" i="8" s="1"/>
  <c r="AL214" i="8"/>
  <c r="AL305" i="8" s="1"/>
  <c r="AL219" i="8"/>
  <c r="AL310" i="8" s="1"/>
  <c r="AL220" i="8"/>
  <c r="AL311" i="8" s="1"/>
  <c r="AL221" i="8"/>
  <c r="AL312" i="8" s="1"/>
  <c r="AL165" i="8"/>
  <c r="AL196" i="8"/>
  <c r="AL283" i="8" s="1"/>
  <c r="AL200" i="8"/>
  <c r="AL288" i="8" s="1"/>
  <c r="AL195" i="8"/>
  <c r="AL282" i="8" s="1"/>
  <c r="AL198" i="8"/>
  <c r="AL286" i="8" s="1"/>
  <c r="AL223" i="8"/>
  <c r="AL314" i="8" s="1"/>
  <c r="AL166" i="8"/>
  <c r="AL272" i="8" s="1"/>
  <c r="AL222" i="8"/>
  <c r="AL313" i="8" s="1"/>
  <c r="AL210" i="8"/>
  <c r="AL301" i="8" s="1"/>
  <c r="AL235" i="8"/>
  <c r="AL326" i="8" s="1"/>
  <c r="AL233" i="8"/>
  <c r="AL324" i="8" s="1"/>
  <c r="AL234" i="8"/>
  <c r="AL325" i="8" s="1"/>
  <c r="AL199" i="8"/>
  <c r="AL287" i="8" s="1"/>
  <c r="AL215" i="8"/>
  <c r="AL306" i="8" s="1"/>
  <c r="AL216" i="8"/>
  <c r="AL307" i="8" s="1"/>
  <c r="AK271" i="8"/>
  <c r="Z299" i="8"/>
  <c r="Z327" i="8" s="1"/>
  <c r="Z329" i="8" s="1"/>
  <c r="Z236" i="8"/>
  <c r="AK175" i="8"/>
  <c r="AK274" i="8" s="1"/>
  <c r="L299" i="8"/>
  <c r="L327" i="8" s="1"/>
  <c r="L329" i="8" s="1"/>
  <c r="L331" i="8" s="1"/>
  <c r="L236" i="8"/>
  <c r="AG299" i="8"/>
  <c r="AG327" i="8" s="1"/>
  <c r="AG329" i="8" s="1"/>
  <c r="AG236" i="8"/>
  <c r="AJ185" i="8"/>
  <c r="AK108" i="8"/>
  <c r="AJ126" i="8"/>
  <c r="V149" i="8"/>
  <c r="V250" i="8"/>
  <c r="AD299" i="8"/>
  <c r="AD327" i="8" s="1"/>
  <c r="AD329" i="8" s="1"/>
  <c r="AD236" i="8"/>
  <c r="AB299" i="8"/>
  <c r="AB327" i="8" s="1"/>
  <c r="AB329" i="8" s="1"/>
  <c r="AB236" i="8"/>
  <c r="X146" i="8"/>
  <c r="X247" i="8"/>
  <c r="AJ134" i="8"/>
  <c r="AJ101" i="8"/>
  <c r="AJ267" i="8" s="1"/>
  <c r="AJ99" i="8"/>
  <c r="AK290" i="8"/>
  <c r="AK45" i="8"/>
  <c r="AK46" i="8"/>
  <c r="P299" i="8"/>
  <c r="P327" i="8" s="1"/>
  <c r="P329" i="8" s="1"/>
  <c r="P331" i="8" s="1"/>
  <c r="P236" i="8"/>
  <c r="AJ81" i="8"/>
  <c r="AJ266" i="8" s="1"/>
  <c r="AJ131" i="8"/>
  <c r="W136" i="8"/>
  <c r="W117" i="8"/>
  <c r="W257" i="8" s="1"/>
  <c r="X115" i="8"/>
  <c r="S299" i="8"/>
  <c r="S327" i="8" s="1"/>
  <c r="S329" i="8" s="1"/>
  <c r="S331" i="8" s="1"/>
  <c r="S236" i="8"/>
  <c r="W299" i="8"/>
  <c r="W327" i="8" s="1"/>
  <c r="W329" i="8" s="1"/>
  <c r="W236" i="8"/>
  <c r="AK69" i="8"/>
  <c r="AI244" i="8"/>
  <c r="AI143" i="8"/>
  <c r="K299" i="8"/>
  <c r="K327" i="8" s="1"/>
  <c r="K329" i="8" s="1"/>
  <c r="K331" i="8" s="1"/>
  <c r="K236" i="8"/>
  <c r="Z151" i="8"/>
  <c r="Z252" i="8"/>
  <c r="R299" i="8"/>
  <c r="R327" i="8" s="1"/>
  <c r="R329" i="8" s="1"/>
  <c r="R331" i="8" s="1"/>
  <c r="R236" i="8"/>
  <c r="AJ133" i="8"/>
  <c r="AJ139" i="8" s="1"/>
  <c r="AJ94" i="8"/>
  <c r="AI243" i="8"/>
  <c r="AI142" i="8"/>
  <c r="AJ54" i="8"/>
  <c r="AJ128" i="8"/>
  <c r="Y299" i="8"/>
  <c r="Y327" i="8" s="1"/>
  <c r="Y329" i="8" s="1"/>
  <c r="Y236" i="8"/>
  <c r="V299" i="8"/>
  <c r="V327" i="8" s="1"/>
  <c r="V329" i="8" s="1"/>
  <c r="V236" i="8"/>
  <c r="AJ184" i="8"/>
  <c r="AJ188" i="8" s="1"/>
  <c r="AJ276" i="8" s="1"/>
  <c r="AJ280" i="8" s="1"/>
  <c r="AJ292" i="8" s="1"/>
  <c r="AK181" i="8"/>
  <c r="AK275" i="8" s="1"/>
  <c r="U251" i="8"/>
  <c r="U260" i="8" s="1"/>
  <c r="U269" i="8" s="1"/>
  <c r="U294" i="8" s="1"/>
  <c r="U331" i="8" s="1"/>
  <c r="U150" i="8"/>
  <c r="U159" i="8" s="1"/>
  <c r="AI255" i="8"/>
  <c r="AI154" i="8"/>
  <c r="AI248" i="8"/>
  <c r="AI147" i="8"/>
  <c r="O299" i="8"/>
  <c r="O327" i="8" s="1"/>
  <c r="O329" i="8" s="1"/>
  <c r="O331" i="8" s="1"/>
  <c r="O236" i="8"/>
  <c r="J299" i="8"/>
  <c r="J236" i="8"/>
  <c r="AJ123" i="8"/>
  <c r="AJ21" i="8"/>
  <c r="AJ23" i="8"/>
  <c r="AJ263" i="8" s="1"/>
  <c r="AK53" i="8"/>
  <c r="AK52" i="8"/>
  <c r="AK26" i="8"/>
  <c r="AK20" i="8"/>
  <c r="AK19" i="8"/>
  <c r="AK92" i="8"/>
  <c r="AK27" i="8"/>
  <c r="AK13" i="8"/>
  <c r="AK97" i="8"/>
  <c r="AK32" i="8"/>
  <c r="AK12" i="8"/>
  <c r="AK98" i="8"/>
  <c r="AK31" i="8"/>
  <c r="AK93" i="8"/>
  <c r="W89" i="8"/>
  <c r="W132" i="8"/>
  <c r="X87" i="8"/>
  <c r="V137" i="8"/>
  <c r="M299" i="8"/>
  <c r="M236" i="8"/>
  <c r="AK116" i="8"/>
  <c r="Y109" i="8"/>
  <c r="Y155" i="8" s="1"/>
  <c r="Y256" i="8" s="1"/>
  <c r="Y135" i="8"/>
  <c r="Z107" i="8"/>
  <c r="AE299" i="8"/>
  <c r="AE327" i="8" s="1"/>
  <c r="AE329" i="8" s="1"/>
  <c r="AE236" i="8"/>
  <c r="T299" i="8"/>
  <c r="T327" i="8" s="1"/>
  <c r="T329" i="8" s="1"/>
  <c r="T236" i="8"/>
  <c r="AK38" i="8"/>
  <c r="AK298" i="8"/>
  <c r="AK327" i="8" s="1"/>
  <c r="AK329" i="8" s="1"/>
  <c r="AK236" i="8"/>
  <c r="AA79" i="8"/>
  <c r="AB78" i="8"/>
  <c r="AK77" i="8"/>
  <c r="V152" i="8"/>
  <c r="V253" i="8"/>
  <c r="AI245" i="8"/>
  <c r="AI144" i="8"/>
  <c r="Q236" i="8"/>
  <c r="Q299" i="8"/>
  <c r="Q327" i="8" s="1"/>
  <c r="Q329" i="8" s="1"/>
  <c r="Q331" i="8" s="1"/>
  <c r="X299" i="8"/>
  <c r="X327" i="8" s="1"/>
  <c r="X329" i="8" s="1"/>
  <c r="X236" i="8"/>
  <c r="AF299" i="8"/>
  <c r="AF327" i="8" s="1"/>
  <c r="AF329" i="8" s="1"/>
  <c r="AF236" i="8"/>
  <c r="AJ124" i="8"/>
  <c r="AJ28" i="8"/>
  <c r="AI145" i="8"/>
  <c r="AI246" i="8"/>
  <c r="AK88" i="8"/>
  <c r="AI148" i="8"/>
  <c r="AI249" i="8"/>
  <c r="U346" i="8" l="1"/>
  <c r="U367" i="8"/>
  <c r="U387" i="8" s="1"/>
  <c r="Z40" i="8"/>
  <c r="AA39" i="8"/>
  <c r="AK126" i="8"/>
  <c r="R367" i="8"/>
  <c r="R387" i="8" s="1"/>
  <c r="R346" i="8"/>
  <c r="X136" i="8"/>
  <c r="X117" i="8"/>
  <c r="X257" i="8" s="1"/>
  <c r="Y115" i="8"/>
  <c r="AK185" i="8"/>
  <c r="AJ248" i="8"/>
  <c r="AJ147" i="8"/>
  <c r="AM201" i="8"/>
  <c r="AM289" i="8" s="1"/>
  <c r="AM180" i="8"/>
  <c r="AM192" i="8"/>
  <c r="AM278" i="8" s="1"/>
  <c r="AM174" i="8"/>
  <c r="AM170" i="8"/>
  <c r="AM218" i="8"/>
  <c r="AM309" i="8" s="1"/>
  <c r="AM207" i="8"/>
  <c r="AM179" i="8"/>
  <c r="AM172" i="8"/>
  <c r="AM193" i="8"/>
  <c r="AM284" i="8" s="1"/>
  <c r="AM75" i="8"/>
  <c r="AM173" i="8"/>
  <c r="AM211" i="8"/>
  <c r="AM302" i="8" s="1"/>
  <c r="AM171" i="8"/>
  <c r="AM191" i="8"/>
  <c r="AM277" i="8" s="1"/>
  <c r="AM112" i="8"/>
  <c r="AM104" i="8"/>
  <c r="AM8" i="8"/>
  <c r="AM167" i="8"/>
  <c r="AM273" i="8" s="1"/>
  <c r="AM57" i="8"/>
  <c r="AM1" i="8"/>
  <c r="AN3" i="8"/>
  <c r="AM50" i="8"/>
  <c r="AM36" i="8"/>
  <c r="AM43" i="8"/>
  <c r="AM212" i="8"/>
  <c r="AM303" i="8" s="1"/>
  <c r="AM84" i="8"/>
  <c r="AM66" i="8"/>
  <c r="AM178" i="8"/>
  <c r="AM217" i="8"/>
  <c r="AM308" i="8" s="1"/>
  <c r="AM209" i="8"/>
  <c r="AM300" i="8" s="1"/>
  <c r="AM226" i="8"/>
  <c r="AM317" i="8" s="1"/>
  <c r="AM197" i="8"/>
  <c r="AM285" i="8" s="1"/>
  <c r="AM228" i="8"/>
  <c r="AM319" i="8" s="1"/>
  <c r="AM227" i="8"/>
  <c r="AM318" i="8" s="1"/>
  <c r="AM232" i="8"/>
  <c r="AM323" i="8" s="1"/>
  <c r="AM229" i="8"/>
  <c r="AM320" i="8" s="1"/>
  <c r="AM230" i="8"/>
  <c r="AM321" i="8" s="1"/>
  <c r="AM213" i="8"/>
  <c r="AM304" i="8" s="1"/>
  <c r="AM231" i="8"/>
  <c r="AM322" i="8" s="1"/>
  <c r="AM194" i="8"/>
  <c r="AM279" i="8" s="1"/>
  <c r="AM214" i="8"/>
  <c r="AM305" i="8" s="1"/>
  <c r="AM219" i="8"/>
  <c r="AM310" i="8" s="1"/>
  <c r="AM220" i="8"/>
  <c r="AM311" i="8" s="1"/>
  <c r="AM221" i="8"/>
  <c r="AM312" i="8" s="1"/>
  <c r="AM165" i="8"/>
  <c r="AM166" i="8"/>
  <c r="AM272" i="8" s="1"/>
  <c r="AM200" i="8"/>
  <c r="AM288" i="8" s="1"/>
  <c r="AM195" i="8"/>
  <c r="AM282" i="8" s="1"/>
  <c r="AM223" i="8"/>
  <c r="AM314" i="8" s="1"/>
  <c r="AM198" i="8"/>
  <c r="AM286" i="8" s="1"/>
  <c r="AM196" i="8"/>
  <c r="AM283" i="8" s="1"/>
  <c r="AM210" i="8"/>
  <c r="AM301" i="8" s="1"/>
  <c r="AM222" i="8"/>
  <c r="AM313" i="8" s="1"/>
  <c r="AM235" i="8"/>
  <c r="AM326" i="8" s="1"/>
  <c r="AM233" i="8"/>
  <c r="AM324" i="8" s="1"/>
  <c r="AM234" i="8"/>
  <c r="AM325" i="8" s="1"/>
  <c r="AM199" i="8"/>
  <c r="AM287" i="8" s="1"/>
  <c r="AM215" i="8"/>
  <c r="AM306" i="8" s="1"/>
  <c r="AM216" i="8"/>
  <c r="AM307" i="8" s="1"/>
  <c r="AM208" i="8"/>
  <c r="AM299" i="8" s="1"/>
  <c r="O367" i="8"/>
  <c r="O387" i="8" s="1"/>
  <c r="O346" i="8"/>
  <c r="AL46" i="8"/>
  <c r="AL45" i="8"/>
  <c r="W137" i="8"/>
  <c r="K367" i="8"/>
  <c r="K387" i="8" s="1"/>
  <c r="K346" i="8"/>
  <c r="AK184" i="8"/>
  <c r="AL88" i="8"/>
  <c r="AL69" i="8"/>
  <c r="W250" i="8"/>
  <c r="W149" i="8"/>
  <c r="AJ246" i="8"/>
  <c r="AJ145" i="8"/>
  <c r="AK134" i="8"/>
  <c r="AK99" i="8"/>
  <c r="AK101" i="8"/>
  <c r="AK267" i="8" s="1"/>
  <c r="M327" i="8"/>
  <c r="M329" i="8" s="1"/>
  <c r="AL92" i="8"/>
  <c r="AL27" i="8"/>
  <c r="AL26" i="8"/>
  <c r="AL20" i="8"/>
  <c r="AL19" i="8"/>
  <c r="AL13" i="8"/>
  <c r="AL97" i="8"/>
  <c r="AL32" i="8"/>
  <c r="AL12" i="8"/>
  <c r="AL93" i="8"/>
  <c r="AL98" i="8"/>
  <c r="AL31" i="8"/>
  <c r="X61" i="8"/>
  <c r="X129" i="8"/>
  <c r="X63" i="8"/>
  <c r="X264" i="8" s="1"/>
  <c r="Y59" i="8"/>
  <c r="X132" i="8"/>
  <c r="X89" i="8"/>
  <c r="Y87" i="8"/>
  <c r="AK187" i="8"/>
  <c r="AL53" i="8"/>
  <c r="AL52" i="8"/>
  <c r="W253" i="8"/>
  <c r="W152" i="8"/>
  <c r="AK124" i="8"/>
  <c r="AK28" i="8"/>
  <c r="AJ249" i="8"/>
  <c r="AJ148" i="8"/>
  <c r="AL290" i="8"/>
  <c r="AL38" i="8"/>
  <c r="AL298" i="8"/>
  <c r="AL327" i="8" s="1"/>
  <c r="AL329" i="8" s="1"/>
  <c r="AL236" i="8"/>
  <c r="AL116" i="8"/>
  <c r="V140" i="8"/>
  <c r="V240" i="8"/>
  <c r="AK123" i="8"/>
  <c r="AK23" i="8"/>
  <c r="AK263" i="8" s="1"/>
  <c r="AK21" i="8"/>
  <c r="AJ245" i="8"/>
  <c r="AJ144" i="8"/>
  <c r="AK131" i="8"/>
  <c r="AK81" i="8"/>
  <c r="AK266" i="8" s="1"/>
  <c r="AK128" i="8"/>
  <c r="AK54" i="8"/>
  <c r="W130" i="8"/>
  <c r="W70" i="8"/>
  <c r="W72" i="8"/>
  <c r="W265" i="8" s="1"/>
  <c r="X68" i="8"/>
  <c r="Q367" i="8"/>
  <c r="Q387" i="8" s="1"/>
  <c r="Q346" i="8"/>
  <c r="V159" i="8"/>
  <c r="N346" i="8"/>
  <c r="N367" i="8"/>
  <c r="N387" i="8" s="1"/>
  <c r="Z135" i="8"/>
  <c r="Z109" i="8"/>
  <c r="Z155" i="8" s="1"/>
  <c r="Z256" i="8" s="1"/>
  <c r="AA107" i="8"/>
  <c r="Y146" i="8"/>
  <c r="Y247" i="8"/>
  <c r="S367" i="8"/>
  <c r="S387" i="8" s="1"/>
  <c r="S346" i="8"/>
  <c r="J327" i="8"/>
  <c r="J329" i="8" s="1"/>
  <c r="AK133" i="8"/>
  <c r="AK139" i="8" s="1"/>
  <c r="AK94" i="8"/>
  <c r="AJ154" i="8"/>
  <c r="AJ255" i="8"/>
  <c r="AK186" i="8"/>
  <c r="AK125" i="8"/>
  <c r="AK33" i="8"/>
  <c r="AL77" i="8"/>
  <c r="T346" i="8"/>
  <c r="T367" i="8"/>
  <c r="T387" i="8" s="1"/>
  <c r="AC78" i="8"/>
  <c r="AB79" i="8"/>
  <c r="AL271" i="8"/>
  <c r="AL186" i="8"/>
  <c r="AL184" i="8"/>
  <c r="AL187" i="8"/>
  <c r="AL185" i="8"/>
  <c r="AL60" i="8"/>
  <c r="AJ142" i="8"/>
  <c r="AJ243" i="8"/>
  <c r="AK127" i="8"/>
  <c r="AK47" i="8"/>
  <c r="AA252" i="8"/>
  <c r="AA151" i="8"/>
  <c r="AK122" i="8"/>
  <c r="AK16" i="8"/>
  <c r="AK262" i="8" s="1"/>
  <c r="AK14" i="8"/>
  <c r="AJ244" i="8"/>
  <c r="AJ143" i="8"/>
  <c r="AJ254" i="8"/>
  <c r="AJ153" i="8"/>
  <c r="P367" i="8"/>
  <c r="P387" i="8" s="1"/>
  <c r="P346" i="8"/>
  <c r="L367" i="8"/>
  <c r="L387" i="8" s="1"/>
  <c r="L346" i="8"/>
  <c r="AL108" i="8"/>
  <c r="V150" i="8"/>
  <c r="V251" i="8"/>
  <c r="V260" i="8" s="1"/>
  <c r="V269" i="8" s="1"/>
  <c r="V294" i="8" s="1"/>
  <c r="V331" i="8" s="1"/>
  <c r="V367" i="8" l="1"/>
  <c r="V387" i="8" s="1"/>
  <c r="V346" i="8"/>
  <c r="M331" i="8"/>
  <c r="AM298" i="8"/>
  <c r="AM327" i="8" s="1"/>
  <c r="AM329" i="8" s="1"/>
  <c r="AM236" i="8"/>
  <c r="X130" i="8"/>
  <c r="X137" i="8" s="1"/>
  <c r="X70" i="8"/>
  <c r="X72" i="8"/>
  <c r="X265" i="8" s="1"/>
  <c r="Y68" i="8"/>
  <c r="Y89" i="8"/>
  <c r="Y132" i="8"/>
  <c r="Z87" i="8"/>
  <c r="AL134" i="8"/>
  <c r="AL101" i="8"/>
  <c r="AL267" i="8" s="1"/>
  <c r="AL99" i="8"/>
  <c r="AL47" i="8"/>
  <c r="AL127" i="8"/>
  <c r="AM181" i="8"/>
  <c r="AM275" i="8" s="1"/>
  <c r="AM108" i="8"/>
  <c r="AM175" i="8"/>
  <c r="AM274" i="8" s="1"/>
  <c r="AK244" i="8"/>
  <c r="AK143" i="8"/>
  <c r="X253" i="8"/>
  <c r="X152" i="8"/>
  <c r="AM69" i="8"/>
  <c r="AM116" i="8"/>
  <c r="AM271" i="8"/>
  <c r="AM185" i="8"/>
  <c r="AL123" i="8"/>
  <c r="AL23" i="8"/>
  <c r="AL263" i="8" s="1"/>
  <c r="AL21" i="8"/>
  <c r="AM88" i="8"/>
  <c r="AA40" i="8"/>
  <c r="AB39" i="8"/>
  <c r="AB151" i="8"/>
  <c r="AB252" i="8"/>
  <c r="AN191" i="8"/>
  <c r="AN277" i="8" s="1"/>
  <c r="AN170" i="8"/>
  <c r="AN207" i="8"/>
  <c r="AN218" i="8"/>
  <c r="AN309" i="8" s="1"/>
  <c r="AN179" i="8"/>
  <c r="AN174" i="8"/>
  <c r="AN172" i="8"/>
  <c r="AN201" i="8"/>
  <c r="AN289" i="8" s="1"/>
  <c r="AN192" i="8"/>
  <c r="AN278" i="8" s="1"/>
  <c r="AN193" i="8"/>
  <c r="AN284" i="8" s="1"/>
  <c r="AN167" i="8"/>
  <c r="AN273" i="8" s="1"/>
  <c r="AN84" i="8"/>
  <c r="AN180" i="8"/>
  <c r="AN173" i="8"/>
  <c r="AN171" i="8"/>
  <c r="AN66" i="8"/>
  <c r="AN36" i="8"/>
  <c r="AN57" i="8"/>
  <c r="AN1" i="8"/>
  <c r="AN178" i="8"/>
  <c r="AN43" i="8"/>
  <c r="AN112" i="8"/>
  <c r="AN104" i="8"/>
  <c r="AN212" i="8"/>
  <c r="AN303" i="8" s="1"/>
  <c r="AN50" i="8"/>
  <c r="AN8" i="8"/>
  <c r="AN75" i="8"/>
  <c r="AO3" i="8"/>
  <c r="AN211" i="8"/>
  <c r="AN302" i="8" s="1"/>
  <c r="AN209" i="8"/>
  <c r="AN300" i="8" s="1"/>
  <c r="AN217" i="8"/>
  <c r="AN308" i="8" s="1"/>
  <c r="AN228" i="8"/>
  <c r="AN319" i="8" s="1"/>
  <c r="AN197" i="8"/>
  <c r="AN285" i="8" s="1"/>
  <c r="AN226" i="8"/>
  <c r="AN317" i="8" s="1"/>
  <c r="AN232" i="8"/>
  <c r="AN323" i="8" s="1"/>
  <c r="AN227" i="8"/>
  <c r="AN318" i="8" s="1"/>
  <c r="AN229" i="8"/>
  <c r="AN320" i="8" s="1"/>
  <c r="AN230" i="8"/>
  <c r="AN321" i="8" s="1"/>
  <c r="AN213" i="8"/>
  <c r="AN304" i="8" s="1"/>
  <c r="AN231" i="8"/>
  <c r="AN322" i="8" s="1"/>
  <c r="AN194" i="8"/>
  <c r="AN279" i="8" s="1"/>
  <c r="AN214" i="8"/>
  <c r="AN305" i="8" s="1"/>
  <c r="AN219" i="8"/>
  <c r="AN310" i="8" s="1"/>
  <c r="AN220" i="8"/>
  <c r="AN311" i="8" s="1"/>
  <c r="AN221" i="8"/>
  <c r="AN312" i="8" s="1"/>
  <c r="AN165" i="8"/>
  <c r="AN198" i="8"/>
  <c r="AN286" i="8" s="1"/>
  <c r="AN166" i="8"/>
  <c r="AN272" i="8" s="1"/>
  <c r="AN196" i="8"/>
  <c r="AN283" i="8" s="1"/>
  <c r="AN195" i="8"/>
  <c r="AN282" i="8" s="1"/>
  <c r="AN223" i="8"/>
  <c r="AN314" i="8" s="1"/>
  <c r="AN200" i="8"/>
  <c r="AN288" i="8" s="1"/>
  <c r="AN210" i="8"/>
  <c r="AN301" i="8" s="1"/>
  <c r="AN222" i="8"/>
  <c r="AN313" i="8" s="1"/>
  <c r="AN235" i="8"/>
  <c r="AN326" i="8" s="1"/>
  <c r="AN233" i="8"/>
  <c r="AN324" i="8" s="1"/>
  <c r="AN234" i="8"/>
  <c r="AN325" i="8" s="1"/>
  <c r="AN199" i="8"/>
  <c r="AN287" i="8" s="1"/>
  <c r="AN215" i="8"/>
  <c r="AN306" i="8" s="1"/>
  <c r="AN216" i="8"/>
  <c r="AN307" i="8" s="1"/>
  <c r="AN208" i="8"/>
  <c r="AN299" i="8" s="1"/>
  <c r="AC79" i="8"/>
  <c r="AD78" i="8"/>
  <c r="AL128" i="8"/>
  <c r="AL54" i="8"/>
  <c r="AM60" i="8"/>
  <c r="AL14" i="8"/>
  <c r="AL122" i="8"/>
  <c r="AL16" i="8"/>
  <c r="AL262" i="8" s="1"/>
  <c r="AL188" i="8"/>
  <c r="AL276" i="8" s="1"/>
  <c r="AL280" i="8" s="1"/>
  <c r="AL292" i="8" s="1"/>
  <c r="AA109" i="8"/>
  <c r="AA155" i="8" s="1"/>
  <c r="AA256" i="8" s="1"/>
  <c r="AA135" i="8"/>
  <c r="AB107" i="8"/>
  <c r="AL28" i="8"/>
  <c r="AL124" i="8"/>
  <c r="AM290" i="8"/>
  <c r="AM46" i="8"/>
  <c r="AM45" i="8"/>
  <c r="Z247" i="8"/>
  <c r="Z146" i="8"/>
  <c r="AK254" i="8"/>
  <c r="AK153" i="8"/>
  <c r="AL125" i="8"/>
  <c r="AL33" i="8"/>
  <c r="J331" i="8"/>
  <c r="AL126" i="8"/>
  <c r="AK154" i="8"/>
  <c r="AK255" i="8"/>
  <c r="AL131" i="8"/>
  <c r="AL81" i="8"/>
  <c r="AL266" i="8" s="1"/>
  <c r="W140" i="8"/>
  <c r="W240" i="8"/>
  <c r="AM97" i="8"/>
  <c r="AM32" i="8"/>
  <c r="AM12" i="8"/>
  <c r="AM98" i="8"/>
  <c r="AM93" i="8"/>
  <c r="AM92" i="8"/>
  <c r="AM13" i="8"/>
  <c r="AM19" i="8"/>
  <c r="AM26" i="8"/>
  <c r="AM20" i="8"/>
  <c r="AM27" i="8"/>
  <c r="AM31" i="8"/>
  <c r="W251" i="8"/>
  <c r="W150" i="8"/>
  <c r="W159" i="8" s="1"/>
  <c r="W260" i="8"/>
  <c r="W269" i="8" s="1"/>
  <c r="W294" i="8" s="1"/>
  <c r="W331" i="8" s="1"/>
  <c r="AK245" i="8"/>
  <c r="AK144" i="8"/>
  <c r="AM38" i="8"/>
  <c r="AK248" i="8"/>
  <c r="AK147" i="8"/>
  <c r="AK188" i="8"/>
  <c r="AK276" i="8" s="1"/>
  <c r="AK280" i="8" s="1"/>
  <c r="AK292" i="8" s="1"/>
  <c r="Y136" i="8"/>
  <c r="Y117" i="8"/>
  <c r="Y257" i="8" s="1"/>
  <c r="Z115" i="8"/>
  <c r="AK246" i="8"/>
  <c r="AK145" i="8"/>
  <c r="AK243" i="8"/>
  <c r="AK142" i="8"/>
  <c r="Y61" i="8"/>
  <c r="Y129" i="8"/>
  <c r="Y63" i="8"/>
  <c r="Y264" i="8" s="1"/>
  <c r="Z59" i="8"/>
  <c r="AK249" i="8"/>
  <c r="AK148" i="8"/>
  <c r="X149" i="8"/>
  <c r="X250" i="8"/>
  <c r="AL94" i="8"/>
  <c r="AL133" i="8"/>
  <c r="AL139" i="8" s="1"/>
  <c r="AM53" i="8"/>
  <c r="AM52" i="8"/>
  <c r="AM77" i="8"/>
  <c r="X240" i="8" l="1"/>
  <c r="X140" i="8"/>
  <c r="AM125" i="8"/>
  <c r="AM33" i="8"/>
  <c r="Y253" i="8"/>
  <c r="Y152" i="8"/>
  <c r="AM187" i="8"/>
  <c r="AM124" i="8"/>
  <c r="AM28" i="8"/>
  <c r="AM126" i="8"/>
  <c r="AL243" i="8"/>
  <c r="AL142" i="8"/>
  <c r="AM47" i="8"/>
  <c r="AM127" i="8"/>
  <c r="AN181" i="8"/>
  <c r="AN275" i="8" s="1"/>
  <c r="AL153" i="8"/>
  <c r="AL254" i="8"/>
  <c r="AM94" i="8"/>
  <c r="AM133" i="8"/>
  <c r="AM139" i="8" s="1"/>
  <c r="AL248" i="8"/>
  <c r="AL147" i="8"/>
  <c r="AN53" i="8"/>
  <c r="AN52" i="8"/>
  <c r="AC39" i="8"/>
  <c r="AB40" i="8"/>
  <c r="AN60" i="8"/>
  <c r="AL154" i="8"/>
  <c r="AL255" i="8"/>
  <c r="M367" i="8"/>
  <c r="M346" i="8"/>
  <c r="AN88" i="8"/>
  <c r="AN108" i="8"/>
  <c r="AM123" i="8"/>
  <c r="AM23" i="8"/>
  <c r="AM263" i="8" s="1"/>
  <c r="AM21" i="8"/>
  <c r="AA247" i="8"/>
  <c r="AA146" i="8"/>
  <c r="X159" i="8"/>
  <c r="W346" i="8"/>
  <c r="W367" i="8"/>
  <c r="W387" i="8" s="1"/>
  <c r="AL249" i="8"/>
  <c r="AL148" i="8"/>
  <c r="AN38" i="8"/>
  <c r="AL244" i="8"/>
  <c r="AL143" i="8"/>
  <c r="AM131" i="8"/>
  <c r="AM81" i="8"/>
  <c r="AM266" i="8" s="1"/>
  <c r="AM186" i="8"/>
  <c r="AO191" i="8"/>
  <c r="AO277" i="8" s="1"/>
  <c r="AO174" i="8"/>
  <c r="AO207" i="8"/>
  <c r="AO193" i="8"/>
  <c r="AO284" i="8" s="1"/>
  <c r="AO201" i="8"/>
  <c r="AO289" i="8" s="1"/>
  <c r="AO192" i="8"/>
  <c r="AO278" i="8" s="1"/>
  <c r="AO167" i="8"/>
  <c r="AO273" i="8" s="1"/>
  <c r="AO180" i="8"/>
  <c r="AO36" i="8"/>
  <c r="AO84" i="8"/>
  <c r="AO179" i="8"/>
  <c r="AO104" i="8"/>
  <c r="AO173" i="8"/>
  <c r="AO171" i="8"/>
  <c r="AO66" i="8"/>
  <c r="AO8" i="8"/>
  <c r="AO218" i="8"/>
  <c r="AO309" i="8" s="1"/>
  <c r="AO172" i="8"/>
  <c r="AO170" i="8"/>
  <c r="AO175" i="8" s="1"/>
  <c r="AO274" i="8" s="1"/>
  <c r="AO1" i="8"/>
  <c r="AO178" i="8"/>
  <c r="AO57" i="8"/>
  <c r="AO212" i="8"/>
  <c r="AO303" i="8" s="1"/>
  <c r="AO112" i="8"/>
  <c r="AO50" i="8"/>
  <c r="AO75" i="8"/>
  <c r="AP3" i="8"/>
  <c r="AO43" i="8"/>
  <c r="AO211" i="8"/>
  <c r="AO302" i="8" s="1"/>
  <c r="AO217" i="8"/>
  <c r="AO308" i="8" s="1"/>
  <c r="AO209" i="8"/>
  <c r="AO300" i="8" s="1"/>
  <c r="AO228" i="8"/>
  <c r="AO319" i="8" s="1"/>
  <c r="AO226" i="8"/>
  <c r="AO317" i="8" s="1"/>
  <c r="AO197" i="8"/>
  <c r="AO285" i="8" s="1"/>
  <c r="AO227" i="8"/>
  <c r="AO318" i="8" s="1"/>
  <c r="AO232" i="8"/>
  <c r="AO323" i="8" s="1"/>
  <c r="AO229" i="8"/>
  <c r="AO320" i="8" s="1"/>
  <c r="AO230" i="8"/>
  <c r="AO321" i="8" s="1"/>
  <c r="AO213" i="8"/>
  <c r="AO304" i="8" s="1"/>
  <c r="AO231" i="8"/>
  <c r="AO322" i="8" s="1"/>
  <c r="AO194" i="8"/>
  <c r="AO279" i="8" s="1"/>
  <c r="AO214" i="8"/>
  <c r="AO305" i="8" s="1"/>
  <c r="AO219" i="8"/>
  <c r="AO310" i="8" s="1"/>
  <c r="AO220" i="8"/>
  <c r="AO311" i="8" s="1"/>
  <c r="AO221" i="8"/>
  <c r="AO312" i="8" s="1"/>
  <c r="AO165" i="8"/>
  <c r="AO223" i="8"/>
  <c r="AO314" i="8" s="1"/>
  <c r="AO195" i="8"/>
  <c r="AO282" i="8" s="1"/>
  <c r="AO198" i="8"/>
  <c r="AO286" i="8" s="1"/>
  <c r="AO166" i="8"/>
  <c r="AO272" i="8" s="1"/>
  <c r="AO196" i="8"/>
  <c r="AO283" i="8" s="1"/>
  <c r="AO200" i="8"/>
  <c r="AO288" i="8" s="1"/>
  <c r="AO222" i="8"/>
  <c r="AO313" i="8" s="1"/>
  <c r="AO210" i="8"/>
  <c r="AO301" i="8" s="1"/>
  <c r="AO235" i="8"/>
  <c r="AO326" i="8" s="1"/>
  <c r="AO233" i="8"/>
  <c r="AO324" i="8" s="1"/>
  <c r="AO234" i="8"/>
  <c r="AO325" i="8" s="1"/>
  <c r="AO199" i="8"/>
  <c r="AO287" i="8" s="1"/>
  <c r="AO215" i="8"/>
  <c r="AO306" i="8" s="1"/>
  <c r="AO216" i="8"/>
  <c r="AO307" i="8" s="1"/>
  <c r="AO208" i="8"/>
  <c r="AO299" i="8" s="1"/>
  <c r="Y250" i="8"/>
  <c r="Y149" i="8"/>
  <c r="AN116" i="8"/>
  <c r="X251" i="8"/>
  <c r="X260" i="8" s="1"/>
  <c r="X269" i="8" s="1"/>
  <c r="X294" i="8" s="1"/>
  <c r="X331" i="8" s="1"/>
  <c r="X150" i="8"/>
  <c r="AN46" i="8"/>
  <c r="AN45" i="8"/>
  <c r="AM122" i="8"/>
  <c r="AM16" i="8"/>
  <c r="AM262" i="8" s="1"/>
  <c r="AM14" i="8"/>
  <c r="J367" i="8"/>
  <c r="J346" i="8"/>
  <c r="AL245" i="8"/>
  <c r="AL144" i="8"/>
  <c r="AN69" i="8"/>
  <c r="Z117" i="8"/>
  <c r="Z257" i="8" s="1"/>
  <c r="Z136" i="8"/>
  <c r="AA115" i="8"/>
  <c r="AB135" i="8"/>
  <c r="AB109" i="8"/>
  <c r="AB155" i="8" s="1"/>
  <c r="AB256" i="8" s="1"/>
  <c r="AC107" i="8"/>
  <c r="AD79" i="8"/>
  <c r="AE78" i="8"/>
  <c r="AN77" i="8"/>
  <c r="AN298" i="8"/>
  <c r="AN327" i="8" s="1"/>
  <c r="AN329" i="8" s="1"/>
  <c r="AN236" i="8"/>
  <c r="Z132" i="8"/>
  <c r="Z89" i="8"/>
  <c r="AA87" i="8"/>
  <c r="Z61" i="8"/>
  <c r="Z129" i="8"/>
  <c r="Z63" i="8"/>
  <c r="Z264" i="8" s="1"/>
  <c r="AA59" i="8"/>
  <c r="Y130" i="8"/>
  <c r="Y137" i="8" s="1"/>
  <c r="Y70" i="8"/>
  <c r="Y72" i="8"/>
  <c r="Y265" i="8" s="1"/>
  <c r="Z68" i="8"/>
  <c r="AM54" i="8"/>
  <c r="AM128" i="8"/>
  <c r="AN271" i="8"/>
  <c r="AN187" i="8"/>
  <c r="AN185" i="8"/>
  <c r="AM134" i="8"/>
  <c r="AM101" i="8"/>
  <c r="AM267" i="8" s="1"/>
  <c r="AM99" i="8"/>
  <c r="AL246" i="8"/>
  <c r="AL145" i="8"/>
  <c r="AC252" i="8"/>
  <c r="AC151" i="8"/>
  <c r="AN290" i="8"/>
  <c r="AN93" i="8"/>
  <c r="AN98" i="8"/>
  <c r="AN19" i="8"/>
  <c r="AN13" i="8"/>
  <c r="AN97" i="8"/>
  <c r="AN12" i="8"/>
  <c r="AN26" i="8"/>
  <c r="AN31" i="8"/>
  <c r="AN20" i="8"/>
  <c r="AN32" i="8"/>
  <c r="AN92" i="8"/>
  <c r="AN27" i="8"/>
  <c r="AN175" i="8"/>
  <c r="AN274" i="8" s="1"/>
  <c r="AM184" i="8"/>
  <c r="Y240" i="8" l="1"/>
  <c r="Y140" i="8"/>
  <c r="X367" i="8"/>
  <c r="X387" i="8" s="1"/>
  <c r="X346" i="8"/>
  <c r="AN94" i="8"/>
  <c r="AN133" i="8"/>
  <c r="AN139" i="8" s="1"/>
  <c r="AO185" i="8"/>
  <c r="AO271" i="8"/>
  <c r="AO186" i="8"/>
  <c r="AO184" i="8"/>
  <c r="AO188" i="8" s="1"/>
  <c r="AO276" i="8" s="1"/>
  <c r="AO187" i="8"/>
  <c r="AO181" i="8"/>
  <c r="AO275" i="8" s="1"/>
  <c r="AE79" i="8"/>
  <c r="AF78" i="8"/>
  <c r="AN101" i="8"/>
  <c r="AN267" i="8" s="1"/>
  <c r="AN134" i="8"/>
  <c r="AN99" i="8"/>
  <c r="AA129" i="8"/>
  <c r="AA63" i="8"/>
  <c r="AA264" i="8" s="1"/>
  <c r="AA61" i="8"/>
  <c r="AB59" i="8"/>
  <c r="AD252" i="8"/>
  <c r="AD151" i="8"/>
  <c r="AN126" i="8"/>
  <c r="J347" i="8"/>
  <c r="K342" i="8" s="1"/>
  <c r="AO46" i="8"/>
  <c r="AO45" i="8"/>
  <c r="AO93" i="8"/>
  <c r="AO98" i="8"/>
  <c r="AO31" i="8"/>
  <c r="AO19" i="8"/>
  <c r="AO13" i="8"/>
  <c r="AO26" i="8"/>
  <c r="AO20" i="8"/>
  <c r="AO97" i="8"/>
  <c r="AO32" i="8"/>
  <c r="AO27" i="8"/>
  <c r="AO92" i="8"/>
  <c r="AO12" i="8"/>
  <c r="AB247" i="8"/>
  <c r="AB146" i="8"/>
  <c r="AO88" i="8"/>
  <c r="AM248" i="8"/>
  <c r="AM147" i="8"/>
  <c r="AM246" i="8"/>
  <c r="AM145" i="8"/>
  <c r="Z130" i="8"/>
  <c r="Z70" i="8"/>
  <c r="Z72" i="8"/>
  <c r="Z265" i="8" s="1"/>
  <c r="AA68" i="8"/>
  <c r="AN33" i="8"/>
  <c r="AN125" i="8"/>
  <c r="AN81" i="8"/>
  <c r="AN266" i="8" s="1"/>
  <c r="AN131" i="8"/>
  <c r="AM244" i="8"/>
  <c r="AM143" i="8"/>
  <c r="Y251" i="8"/>
  <c r="Y150" i="8"/>
  <c r="Y159" i="8"/>
  <c r="AP174" i="8"/>
  <c r="AP179" i="8"/>
  <c r="AP207" i="8"/>
  <c r="AP193" i="8"/>
  <c r="AP284" i="8" s="1"/>
  <c r="AP180" i="8"/>
  <c r="AP173" i="8"/>
  <c r="AP171" i="8"/>
  <c r="AP167" i="8"/>
  <c r="AP273" i="8" s="1"/>
  <c r="AP170" i="8"/>
  <c r="AP66" i="8"/>
  <c r="AP104" i="8"/>
  <c r="AP178" i="8"/>
  <c r="AP191" i="8"/>
  <c r="AP277" i="8" s="1"/>
  <c r="AP172" i="8"/>
  <c r="AP84" i="8"/>
  <c r="AP36" i="8"/>
  <c r="AP8" i="8"/>
  <c r="AP218" i="8"/>
  <c r="AP309" i="8" s="1"/>
  <c r="AP57" i="8"/>
  <c r="AP1" i="8"/>
  <c r="AP192" i="8"/>
  <c r="AP278" i="8" s="1"/>
  <c r="AP43" i="8"/>
  <c r="AP75" i="8"/>
  <c r="AP50" i="8"/>
  <c r="AQ3" i="8"/>
  <c r="AP201" i="8"/>
  <c r="AP289" i="8" s="1"/>
  <c r="AP212" i="8"/>
  <c r="AP303" i="8" s="1"/>
  <c r="AP112" i="8"/>
  <c r="AP211" i="8"/>
  <c r="AP302" i="8" s="1"/>
  <c r="AP209" i="8"/>
  <c r="AP300" i="8" s="1"/>
  <c r="AP217" i="8"/>
  <c r="AP308" i="8" s="1"/>
  <c r="AP226" i="8"/>
  <c r="AP317" i="8" s="1"/>
  <c r="AP228" i="8"/>
  <c r="AP319" i="8" s="1"/>
  <c r="AP197" i="8"/>
  <c r="AP285" i="8" s="1"/>
  <c r="AP227" i="8"/>
  <c r="AP318" i="8" s="1"/>
  <c r="AP229" i="8"/>
  <c r="AP320" i="8" s="1"/>
  <c r="AP232" i="8"/>
  <c r="AP323" i="8" s="1"/>
  <c r="AP230" i="8"/>
  <c r="AP321" i="8" s="1"/>
  <c r="AP213" i="8"/>
  <c r="AP304" i="8" s="1"/>
  <c r="AP231" i="8"/>
  <c r="AP322" i="8" s="1"/>
  <c r="AP194" i="8"/>
  <c r="AP279" i="8" s="1"/>
  <c r="AP214" i="8"/>
  <c r="AP305" i="8" s="1"/>
  <c r="AP219" i="8"/>
  <c r="AP310" i="8" s="1"/>
  <c r="AP220" i="8"/>
  <c r="AP311" i="8" s="1"/>
  <c r="AP221" i="8"/>
  <c r="AP312" i="8" s="1"/>
  <c r="AP165" i="8"/>
  <c r="AP196" i="8"/>
  <c r="AP283" i="8" s="1"/>
  <c r="AP195" i="8"/>
  <c r="AP282" i="8" s="1"/>
  <c r="AP223" i="8"/>
  <c r="AP314" i="8" s="1"/>
  <c r="AP200" i="8"/>
  <c r="AP288" i="8" s="1"/>
  <c r="AP166" i="8"/>
  <c r="AP272" i="8" s="1"/>
  <c r="AP198" i="8"/>
  <c r="AP286" i="8" s="1"/>
  <c r="AP210" i="8"/>
  <c r="AP301" i="8" s="1"/>
  <c r="AP222" i="8"/>
  <c r="AP313" i="8" s="1"/>
  <c r="AP235" i="8"/>
  <c r="AP326" i="8" s="1"/>
  <c r="AP233" i="8"/>
  <c r="AP324" i="8" s="1"/>
  <c r="AP234" i="8"/>
  <c r="AP325" i="8" s="1"/>
  <c r="AP199" i="8"/>
  <c r="AP287" i="8" s="1"/>
  <c r="AP215" i="8"/>
  <c r="AP306" i="8" s="1"/>
  <c r="AP216" i="8"/>
  <c r="AP307" i="8" s="1"/>
  <c r="AP208" i="8"/>
  <c r="AP299" i="8" s="1"/>
  <c r="AC40" i="8"/>
  <c r="AD39" i="8"/>
  <c r="AM188" i="8"/>
  <c r="AM276" i="8" s="1"/>
  <c r="AM280" i="8" s="1"/>
  <c r="AM292" i="8" s="1"/>
  <c r="Z250" i="8"/>
  <c r="Z149" i="8"/>
  <c r="AM243" i="8"/>
  <c r="AM142" i="8"/>
  <c r="Y260" i="8"/>
  <c r="Y269" i="8" s="1"/>
  <c r="Y294" i="8" s="1"/>
  <c r="Y331" i="8" s="1"/>
  <c r="AO77" i="8"/>
  <c r="AN54" i="8"/>
  <c r="AN128" i="8"/>
  <c r="Z137" i="8"/>
  <c r="AM249" i="8"/>
  <c r="AM148" i="8"/>
  <c r="AO60" i="8"/>
  <c r="M387" i="8"/>
  <c r="AM254" i="8"/>
  <c r="AM153" i="8"/>
  <c r="AN124" i="8"/>
  <c r="AN28" i="8"/>
  <c r="AN123" i="8"/>
  <c r="AN23" i="8"/>
  <c r="AN263" i="8" s="1"/>
  <c r="AN21" i="8"/>
  <c r="J387" i="8"/>
  <c r="J368" i="8"/>
  <c r="K364" i="8" s="1"/>
  <c r="K368" i="8" s="1"/>
  <c r="L364" i="8" s="1"/>
  <c r="L368" i="8" s="1"/>
  <c r="M364" i="8" s="1"/>
  <c r="M368" i="8" s="1"/>
  <c r="N364" i="8" s="1"/>
  <c r="N368" i="8" s="1"/>
  <c r="O364" i="8" s="1"/>
  <c r="O368" i="8" s="1"/>
  <c r="P364" i="8" s="1"/>
  <c r="P368" i="8" s="1"/>
  <c r="Q364" i="8" s="1"/>
  <c r="Q368" i="8" s="1"/>
  <c r="R364" i="8" s="1"/>
  <c r="R368" i="8" s="1"/>
  <c r="S364" i="8" s="1"/>
  <c r="S368" i="8" s="1"/>
  <c r="T364" i="8" s="1"/>
  <c r="T368" i="8" s="1"/>
  <c r="U364" i="8" s="1"/>
  <c r="U368" i="8" s="1"/>
  <c r="V364" i="8" s="1"/>
  <c r="V368" i="8" s="1"/>
  <c r="W364" i="8" s="1"/>
  <c r="W368" i="8" s="1"/>
  <c r="X364" i="8" s="1"/>
  <c r="X368" i="8" s="1"/>
  <c r="Y364" i="8" s="1"/>
  <c r="AO236" i="8"/>
  <c r="AO298" i="8"/>
  <c r="AO327" i="8" s="1"/>
  <c r="AO329" i="8" s="1"/>
  <c r="AN184" i="8"/>
  <c r="AA132" i="8"/>
  <c r="AA89" i="8"/>
  <c r="AB87" i="8"/>
  <c r="AO53" i="8"/>
  <c r="AO52" i="8"/>
  <c r="AN127" i="8"/>
  <c r="AN47" i="8"/>
  <c r="AO38" i="8"/>
  <c r="AM144" i="8"/>
  <c r="AM245" i="8"/>
  <c r="AM154" i="8"/>
  <c r="AM255" i="8"/>
  <c r="AN16" i="8"/>
  <c r="AN262" i="8" s="1"/>
  <c r="AN14" i="8"/>
  <c r="AN122" i="8"/>
  <c r="AC135" i="8"/>
  <c r="AC109" i="8"/>
  <c r="AC155" i="8" s="1"/>
  <c r="AC256" i="8" s="1"/>
  <c r="AD107" i="8"/>
  <c r="AO69" i="8"/>
  <c r="AN186" i="8"/>
  <c r="Z253" i="8"/>
  <c r="Z152" i="8"/>
  <c r="AA117" i="8"/>
  <c r="AA257" i="8" s="1"/>
  <c r="AA136" i="8"/>
  <c r="AB115" i="8"/>
  <c r="AO290" i="8"/>
  <c r="AO116" i="8"/>
  <c r="AO108" i="8"/>
  <c r="AO54" i="8" l="1"/>
  <c r="AO128" i="8"/>
  <c r="AO280" i="8"/>
  <c r="AO292" i="8" s="1"/>
  <c r="AP38" i="8"/>
  <c r="AN144" i="8"/>
  <c r="AN245" i="8"/>
  <c r="Z140" i="8"/>
  <c r="Z240" i="8"/>
  <c r="AP88" i="8"/>
  <c r="AN246" i="8"/>
  <c r="AN145" i="8"/>
  <c r="AA152" i="8"/>
  <c r="AA253" i="8"/>
  <c r="AC247" i="8"/>
  <c r="AC146" i="8"/>
  <c r="AA72" i="8"/>
  <c r="AA265" i="8" s="1"/>
  <c r="AA130" i="8"/>
  <c r="AA70" i="8"/>
  <c r="AB68" i="8"/>
  <c r="AN148" i="8"/>
  <c r="AN249" i="8"/>
  <c r="AQ179" i="8"/>
  <c r="AQ193" i="8"/>
  <c r="AQ284" i="8" s="1"/>
  <c r="AQ180" i="8"/>
  <c r="AQ173" i="8"/>
  <c r="AQ171" i="8"/>
  <c r="AQ207" i="8"/>
  <c r="AQ66" i="8"/>
  <c r="AQ167" i="8"/>
  <c r="AQ273" i="8" s="1"/>
  <c r="AQ191" i="8"/>
  <c r="AQ277" i="8" s="1"/>
  <c r="AQ172" i="8"/>
  <c r="AQ84" i="8"/>
  <c r="AQ36" i="8"/>
  <c r="AQ8" i="8"/>
  <c r="AQ218" i="8"/>
  <c r="AQ309" i="8" s="1"/>
  <c r="AQ104" i="8"/>
  <c r="AQ43" i="8"/>
  <c r="AQ178" i="8"/>
  <c r="AQ181" i="8" s="1"/>
  <c r="AQ275" i="8" s="1"/>
  <c r="AQ170" i="8"/>
  <c r="AQ1" i="8"/>
  <c r="AQ174" i="8"/>
  <c r="AQ192" i="8"/>
  <c r="AQ278" i="8" s="1"/>
  <c r="AQ50" i="8"/>
  <c r="AQ112" i="8"/>
  <c r="AQ201" i="8"/>
  <c r="AQ289" i="8" s="1"/>
  <c r="AQ75" i="8"/>
  <c r="AR3" i="8"/>
  <c r="AQ57" i="8"/>
  <c r="AQ209" i="8"/>
  <c r="AQ300" i="8" s="1"/>
  <c r="AQ212" i="8"/>
  <c r="AQ303" i="8" s="1"/>
  <c r="AQ211" i="8"/>
  <c r="AQ302" i="8" s="1"/>
  <c r="AQ217" i="8"/>
  <c r="AQ308" i="8" s="1"/>
  <c r="AQ228" i="8"/>
  <c r="AQ319" i="8" s="1"/>
  <c r="AQ226" i="8"/>
  <c r="AQ317" i="8" s="1"/>
  <c r="AQ197" i="8"/>
  <c r="AQ285" i="8" s="1"/>
  <c r="AQ227" i="8"/>
  <c r="AQ318" i="8" s="1"/>
  <c r="AQ229" i="8"/>
  <c r="AQ320" i="8" s="1"/>
  <c r="AQ232" i="8"/>
  <c r="AQ323" i="8" s="1"/>
  <c r="AQ213" i="8"/>
  <c r="AQ304" i="8" s="1"/>
  <c r="AQ230" i="8"/>
  <c r="AQ321" i="8" s="1"/>
  <c r="AQ231" i="8"/>
  <c r="AQ322" i="8" s="1"/>
  <c r="AQ194" i="8"/>
  <c r="AQ279" i="8" s="1"/>
  <c r="AQ219" i="8"/>
  <c r="AQ310" i="8" s="1"/>
  <c r="AQ214" i="8"/>
  <c r="AQ305" i="8" s="1"/>
  <c r="AQ220" i="8"/>
  <c r="AQ311" i="8" s="1"/>
  <c r="AQ221" i="8"/>
  <c r="AQ312" i="8" s="1"/>
  <c r="AQ165" i="8"/>
  <c r="AQ196" i="8"/>
  <c r="AQ283" i="8" s="1"/>
  <c r="AQ195" i="8"/>
  <c r="AQ282" i="8" s="1"/>
  <c r="AQ200" i="8"/>
  <c r="AQ288" i="8" s="1"/>
  <c r="AQ166" i="8"/>
  <c r="AQ272" i="8" s="1"/>
  <c r="AQ198" i="8"/>
  <c r="AQ286" i="8" s="1"/>
  <c r="AQ223" i="8"/>
  <c r="AQ314" i="8" s="1"/>
  <c r="AQ222" i="8"/>
  <c r="AQ313" i="8" s="1"/>
  <c r="AQ210" i="8"/>
  <c r="AQ301" i="8" s="1"/>
  <c r="AQ235" i="8"/>
  <c r="AQ326" i="8" s="1"/>
  <c r="AQ233" i="8"/>
  <c r="AQ324" i="8" s="1"/>
  <c r="AQ234" i="8"/>
  <c r="AQ325" i="8" s="1"/>
  <c r="AQ199" i="8"/>
  <c r="AQ287" i="8" s="1"/>
  <c r="AQ215" i="8"/>
  <c r="AQ306" i="8" s="1"/>
  <c r="AQ216" i="8"/>
  <c r="AQ307" i="8" s="1"/>
  <c r="AQ208" i="8"/>
  <c r="AQ299" i="8" s="1"/>
  <c r="AO94" i="8"/>
  <c r="AO133" i="8"/>
  <c r="AO139" i="8" s="1"/>
  <c r="AN254" i="8"/>
  <c r="AN153" i="8"/>
  <c r="AO126" i="8"/>
  <c r="AN188" i="8"/>
  <c r="AN276" i="8" s="1"/>
  <c r="AN280" i="8" s="1"/>
  <c r="AN292" i="8" s="1"/>
  <c r="AO131" i="8"/>
  <c r="AO81" i="8"/>
  <c r="AO266" i="8" s="1"/>
  <c r="AP290" i="8"/>
  <c r="AP53" i="8"/>
  <c r="AP52" i="8"/>
  <c r="AP181" i="8"/>
  <c r="AP275" i="8" s="1"/>
  <c r="Z150" i="8"/>
  <c r="Z251" i="8"/>
  <c r="Z260" i="8" s="1"/>
  <c r="Z269" i="8" s="1"/>
  <c r="Z294" i="8" s="1"/>
  <c r="Z331" i="8" s="1"/>
  <c r="K344" i="8"/>
  <c r="K345" i="8"/>
  <c r="K347" i="8" s="1"/>
  <c r="L342" i="8" s="1"/>
  <c r="AP60" i="8"/>
  <c r="AO123" i="8"/>
  <c r="AO23" i="8"/>
  <c r="AO263" i="8" s="1"/>
  <c r="AO21" i="8"/>
  <c r="AP77" i="8"/>
  <c r="AP108" i="8"/>
  <c r="AG78" i="8"/>
  <c r="AF79" i="8"/>
  <c r="AO33" i="8"/>
  <c r="AO125" i="8"/>
  <c r="AP236" i="8"/>
  <c r="AP298" i="8"/>
  <c r="AP327" i="8" s="1"/>
  <c r="AP329" i="8" s="1"/>
  <c r="AO127" i="8"/>
  <c r="AO47" i="8"/>
  <c r="AD135" i="8"/>
  <c r="AD109" i="8"/>
  <c r="AD155" i="8" s="1"/>
  <c r="AD256" i="8" s="1"/>
  <c r="AE107" i="8"/>
  <c r="Y367" i="8"/>
  <c r="Y387" i="8" s="1"/>
  <c r="AP271" i="8"/>
  <c r="AP46" i="8"/>
  <c r="AP45" i="8"/>
  <c r="AP69" i="8"/>
  <c r="AO99" i="8"/>
  <c r="AO101" i="8"/>
  <c r="AO267" i="8" s="1"/>
  <c r="AO134" i="8"/>
  <c r="AE252" i="8"/>
  <c r="AE151" i="8"/>
  <c r="J388" i="8"/>
  <c r="K385" i="8" s="1"/>
  <c r="K388" i="8" s="1"/>
  <c r="L385" i="8" s="1"/>
  <c r="L388" i="8" s="1"/>
  <c r="M385" i="8" s="1"/>
  <c r="M388" i="8" s="1"/>
  <c r="N385" i="8" s="1"/>
  <c r="N388" i="8" s="1"/>
  <c r="O385" i="8" s="1"/>
  <c r="O388" i="8" s="1"/>
  <c r="P385" i="8" s="1"/>
  <c r="P388" i="8" s="1"/>
  <c r="Q385" i="8" s="1"/>
  <c r="Q388" i="8" s="1"/>
  <c r="R385" i="8" s="1"/>
  <c r="R388" i="8" s="1"/>
  <c r="S385" i="8" s="1"/>
  <c r="S388" i="8" s="1"/>
  <c r="T385" i="8" s="1"/>
  <c r="T388" i="8" s="1"/>
  <c r="U385" i="8" s="1"/>
  <c r="U388" i="8" s="1"/>
  <c r="V385" i="8" s="1"/>
  <c r="V388" i="8" s="1"/>
  <c r="W385" i="8" s="1"/>
  <c r="W388" i="8" s="1"/>
  <c r="X385" i="8" s="1"/>
  <c r="X388" i="8" s="1"/>
  <c r="Y385" i="8" s="1"/>
  <c r="Z159" i="8"/>
  <c r="AB136" i="8"/>
  <c r="AB117" i="8"/>
  <c r="AB257" i="8" s="1"/>
  <c r="AC115" i="8"/>
  <c r="AN243" i="8"/>
  <c r="AN142" i="8"/>
  <c r="AN244" i="8"/>
  <c r="AN143" i="8"/>
  <c r="AB129" i="8"/>
  <c r="AB61" i="8"/>
  <c r="AB63" i="8"/>
  <c r="AB264" i="8" s="1"/>
  <c r="AC59" i="8"/>
  <c r="AP93" i="8"/>
  <c r="AP98" i="8"/>
  <c r="AP31" i="8"/>
  <c r="AP32" i="8"/>
  <c r="AP97" i="8"/>
  <c r="AP26" i="8"/>
  <c r="AP20" i="8"/>
  <c r="AP92" i="8"/>
  <c r="AP12" i="8"/>
  <c r="AP19" i="8"/>
  <c r="AP13" i="8"/>
  <c r="AP27" i="8"/>
  <c r="AA250" i="8"/>
  <c r="AA149" i="8"/>
  <c r="AP116" i="8"/>
  <c r="AB132" i="8"/>
  <c r="AB89" i="8"/>
  <c r="AC87" i="8"/>
  <c r="AD40" i="8"/>
  <c r="AE39" i="8"/>
  <c r="AO16" i="8"/>
  <c r="AO262" i="8" s="1"/>
  <c r="AO122" i="8"/>
  <c r="AO14" i="8"/>
  <c r="AN154" i="8"/>
  <c r="AN255" i="8"/>
  <c r="AA137" i="8"/>
  <c r="AN248" i="8"/>
  <c r="AN147" i="8"/>
  <c r="AP175" i="8"/>
  <c r="AP274" i="8" s="1"/>
  <c r="AO124" i="8"/>
  <c r="AO28" i="8"/>
  <c r="Z367" i="8" l="1"/>
  <c r="Z387" i="8" s="1"/>
  <c r="AP124" i="8"/>
  <c r="AP28" i="8"/>
  <c r="AB130" i="8"/>
  <c r="AB72" i="8"/>
  <c r="AB265" i="8" s="1"/>
  <c r="AB70" i="8"/>
  <c r="AC68" i="8"/>
  <c r="AP99" i="8"/>
  <c r="AP101" i="8"/>
  <c r="AP267" i="8" s="1"/>
  <c r="AP134" i="8"/>
  <c r="AA251" i="8"/>
  <c r="AA150" i="8"/>
  <c r="AC136" i="8"/>
  <c r="AC117" i="8"/>
  <c r="AC257" i="8" s="1"/>
  <c r="AD115" i="8"/>
  <c r="AO243" i="8"/>
  <c r="AO142" i="8"/>
  <c r="AA159" i="8"/>
  <c r="AQ175" i="8"/>
  <c r="AQ274" i="8" s="1"/>
  <c r="AQ298" i="8"/>
  <c r="AQ327" i="8" s="1"/>
  <c r="AQ329" i="8" s="1"/>
  <c r="AQ236" i="8"/>
  <c r="AO245" i="8"/>
  <c r="AO144" i="8"/>
  <c r="AA260" i="8"/>
  <c r="AA269" i="8" s="1"/>
  <c r="AA294" i="8" s="1"/>
  <c r="AA331" i="8" s="1"/>
  <c r="AP127" i="8"/>
  <c r="AP47" i="8"/>
  <c r="AO248" i="8"/>
  <c r="AO147" i="8"/>
  <c r="AP131" i="8"/>
  <c r="AP81" i="8"/>
  <c r="AP266" i="8" s="1"/>
  <c r="AC129" i="8"/>
  <c r="AC61" i="8"/>
  <c r="AC63" i="8"/>
  <c r="AC264" i="8" s="1"/>
  <c r="AD59" i="8"/>
  <c r="AQ45" i="8"/>
  <c r="AQ46" i="8"/>
  <c r="AP126" i="8"/>
  <c r="AP187" i="8"/>
  <c r="AQ60" i="8"/>
  <c r="AQ108" i="8"/>
  <c r="AQ271" i="8"/>
  <c r="AP123" i="8"/>
  <c r="AP23" i="8"/>
  <c r="AP263" i="8" s="1"/>
  <c r="AP21" i="8"/>
  <c r="AB250" i="8"/>
  <c r="AB149" i="8"/>
  <c r="AP184" i="8"/>
  <c r="AO254" i="8"/>
  <c r="AO153" i="8"/>
  <c r="AR180" i="8"/>
  <c r="AR173" i="8"/>
  <c r="AR171" i="8"/>
  <c r="AR191" i="8"/>
  <c r="AR277" i="8" s="1"/>
  <c r="AR178" i="8"/>
  <c r="AR218" i="8"/>
  <c r="AR309" i="8" s="1"/>
  <c r="AR193" i="8"/>
  <c r="AR284" i="8" s="1"/>
  <c r="AR211" i="8"/>
  <c r="AR302" i="8" s="1"/>
  <c r="AR172" i="8"/>
  <c r="AR84" i="8"/>
  <c r="AR36" i="8"/>
  <c r="AR8" i="8"/>
  <c r="AS3" i="8"/>
  <c r="AR104" i="8"/>
  <c r="AR57" i="8"/>
  <c r="AR1" i="8"/>
  <c r="AR170" i="8"/>
  <c r="AR43" i="8"/>
  <c r="AR179" i="8"/>
  <c r="AR167" i="8"/>
  <c r="AR273" i="8" s="1"/>
  <c r="AR192" i="8"/>
  <c r="AR278" i="8" s="1"/>
  <c r="AR75" i="8"/>
  <c r="AR174" i="8"/>
  <c r="AR50" i="8"/>
  <c r="AR201" i="8"/>
  <c r="AR289" i="8" s="1"/>
  <c r="AR207" i="8"/>
  <c r="AR112" i="8"/>
  <c r="AR66" i="8"/>
  <c r="AR209" i="8"/>
  <c r="AR300" i="8" s="1"/>
  <c r="AR217" i="8"/>
  <c r="AR308" i="8" s="1"/>
  <c r="AR212" i="8"/>
  <c r="AR303" i="8" s="1"/>
  <c r="AR226" i="8"/>
  <c r="AR317" i="8" s="1"/>
  <c r="AR228" i="8"/>
  <c r="AR319" i="8" s="1"/>
  <c r="AR197" i="8"/>
  <c r="AR285" i="8" s="1"/>
  <c r="AR232" i="8"/>
  <c r="AR323" i="8" s="1"/>
  <c r="AR227" i="8"/>
  <c r="AR318" i="8" s="1"/>
  <c r="AR229" i="8"/>
  <c r="AR320" i="8" s="1"/>
  <c r="AR213" i="8"/>
  <c r="AR304" i="8" s="1"/>
  <c r="AR230" i="8"/>
  <c r="AR321" i="8" s="1"/>
  <c r="AR231" i="8"/>
  <c r="AR322" i="8" s="1"/>
  <c r="AR194" i="8"/>
  <c r="AR279" i="8" s="1"/>
  <c r="AR214" i="8"/>
  <c r="AR305" i="8" s="1"/>
  <c r="AR219" i="8"/>
  <c r="AR310" i="8" s="1"/>
  <c r="AR221" i="8"/>
  <c r="AR312" i="8" s="1"/>
  <c r="AR220" i="8"/>
  <c r="AR311" i="8" s="1"/>
  <c r="AR165" i="8"/>
  <c r="AR166" i="8"/>
  <c r="AR272" i="8" s="1"/>
  <c r="AR198" i="8"/>
  <c r="AR286" i="8" s="1"/>
  <c r="AR196" i="8"/>
  <c r="AR283" i="8" s="1"/>
  <c r="AR223" i="8"/>
  <c r="AR314" i="8" s="1"/>
  <c r="AR200" i="8"/>
  <c r="AR288" i="8" s="1"/>
  <c r="AR195" i="8"/>
  <c r="AR282" i="8" s="1"/>
  <c r="AR222" i="8"/>
  <c r="AR313" i="8" s="1"/>
  <c r="AR210" i="8"/>
  <c r="AR301" i="8" s="1"/>
  <c r="AR235" i="8"/>
  <c r="AR326" i="8" s="1"/>
  <c r="AR233" i="8"/>
  <c r="AR324" i="8" s="1"/>
  <c r="AR234" i="8"/>
  <c r="AR325" i="8" s="1"/>
  <c r="AR199" i="8"/>
  <c r="AR287" i="8" s="1"/>
  <c r="AR215" i="8"/>
  <c r="AR306" i="8" s="1"/>
  <c r="AR216" i="8"/>
  <c r="AR307" i="8" s="1"/>
  <c r="AR208" i="8"/>
  <c r="AR299" i="8" s="1"/>
  <c r="AB137" i="8"/>
  <c r="AA140" i="8"/>
  <c r="AA240" i="8"/>
  <c r="AH78" i="8"/>
  <c r="AG79" i="8"/>
  <c r="AO255" i="8"/>
  <c r="AO154" i="8"/>
  <c r="L344" i="8"/>
  <c r="L345" i="8" s="1"/>
  <c r="L347" i="8" s="1"/>
  <c r="M342" i="8" s="1"/>
  <c r="AF252" i="8"/>
  <c r="AF151" i="8"/>
  <c r="AE135" i="8"/>
  <c r="AE109" i="8"/>
  <c r="AE155" i="8" s="1"/>
  <c r="AE256" i="8" s="1"/>
  <c r="AF107" i="8"/>
  <c r="AQ69" i="8"/>
  <c r="AE40" i="8"/>
  <c r="AF39" i="8"/>
  <c r="Y388" i="8"/>
  <c r="Z385" i="8" s="1"/>
  <c r="Z388" i="8" s="1"/>
  <c r="AA385" i="8" s="1"/>
  <c r="AO244" i="8"/>
  <c r="AO143" i="8"/>
  <c r="AP54" i="8"/>
  <c r="AP128" i="8"/>
  <c r="AD247" i="8"/>
  <c r="AD146" i="8"/>
  <c r="AP16" i="8"/>
  <c r="AP262" i="8" s="1"/>
  <c r="AP122" i="8"/>
  <c r="AP14" i="8"/>
  <c r="AP186" i="8"/>
  <c r="AQ77" i="8"/>
  <c r="AQ98" i="8"/>
  <c r="AQ31" i="8"/>
  <c r="AQ97" i="8"/>
  <c r="AQ26" i="8"/>
  <c r="AQ20" i="8"/>
  <c r="AQ32" i="8"/>
  <c r="AQ27" i="8"/>
  <c r="AQ92" i="8"/>
  <c r="AQ12" i="8"/>
  <c r="AQ93" i="8"/>
  <c r="AQ19" i="8"/>
  <c r="AQ13" i="8"/>
  <c r="AO249" i="8"/>
  <c r="AO148" i="8"/>
  <c r="AC132" i="8"/>
  <c r="AC89" i="8"/>
  <c r="AD87" i="8"/>
  <c r="AP94" i="8"/>
  <c r="AP133" i="8"/>
  <c r="AP139" i="8" s="1"/>
  <c r="AP185" i="8"/>
  <c r="AO246" i="8"/>
  <c r="AO145" i="8"/>
  <c r="AQ290" i="8"/>
  <c r="AQ38" i="8"/>
  <c r="Y368" i="8"/>
  <c r="Z364" i="8" s="1"/>
  <c r="Z368" i="8" s="1"/>
  <c r="AA364" i="8" s="1"/>
  <c r="AQ52" i="8"/>
  <c r="AQ53" i="8"/>
  <c r="AP33" i="8"/>
  <c r="AP125" i="8"/>
  <c r="AB152" i="8"/>
  <c r="AB253" i="8"/>
  <c r="AQ116" i="8"/>
  <c r="AQ88" i="8"/>
  <c r="M344" i="8" l="1"/>
  <c r="M345" i="8" s="1"/>
  <c r="M347" i="8" s="1"/>
  <c r="N342" i="8" s="1"/>
  <c r="AP255" i="8"/>
  <c r="AP154" i="8"/>
  <c r="AG252" i="8"/>
  <c r="AG151" i="8"/>
  <c r="AP254" i="8"/>
  <c r="AP153" i="8"/>
  <c r="AH79" i="8"/>
  <c r="AI78" i="8"/>
  <c r="AR175" i="8"/>
  <c r="AR274" i="8" s="1"/>
  <c r="AQ186" i="8"/>
  <c r="AC253" i="8"/>
  <c r="AC152" i="8"/>
  <c r="AQ124" i="8"/>
  <c r="AQ28" i="8"/>
  <c r="AR116" i="8"/>
  <c r="AR60" i="8"/>
  <c r="AQ187" i="8"/>
  <c r="AP147" i="8"/>
  <c r="AP248" i="8"/>
  <c r="AQ128" i="8"/>
  <c r="AQ54" i="8"/>
  <c r="AC137" i="8"/>
  <c r="AQ134" i="8"/>
  <c r="AQ99" i="8"/>
  <c r="AQ101" i="8"/>
  <c r="AQ267" i="8" s="1"/>
  <c r="AB240" i="8"/>
  <c r="AB140" i="8"/>
  <c r="AR298" i="8"/>
  <c r="AR327" i="8" s="1"/>
  <c r="AR329" i="8" s="1"/>
  <c r="AR236" i="8"/>
  <c r="AR108" i="8"/>
  <c r="AQ184" i="8"/>
  <c r="AQ127" i="8"/>
  <c r="AQ47" i="8"/>
  <c r="AD136" i="8"/>
  <c r="AD117" i="8"/>
  <c r="AD257" i="8" s="1"/>
  <c r="AE115" i="8"/>
  <c r="AP245" i="8"/>
  <c r="AP144" i="8"/>
  <c r="AP244" i="8"/>
  <c r="AP143" i="8"/>
  <c r="AQ185" i="8"/>
  <c r="AD129" i="8"/>
  <c r="AD63" i="8"/>
  <c r="AD264" i="8" s="1"/>
  <c r="AD61" i="8"/>
  <c r="AE59" i="8"/>
  <c r="AA367" i="8"/>
  <c r="AA387" i="8" s="1"/>
  <c r="AA388" i="8" s="1"/>
  <c r="AB385" i="8" s="1"/>
  <c r="AE247" i="8"/>
  <c r="AE146" i="8"/>
  <c r="AP243" i="8"/>
  <c r="AP142" i="8"/>
  <c r="AC130" i="8"/>
  <c r="AC72" i="8"/>
  <c r="AC265" i="8" s="1"/>
  <c r="AC70" i="8"/>
  <c r="AD68" i="8"/>
  <c r="AF135" i="8"/>
  <c r="AF109" i="8"/>
  <c r="AF155" i="8" s="1"/>
  <c r="AF256" i="8" s="1"/>
  <c r="AG107" i="8"/>
  <c r="AR181" i="8"/>
  <c r="AR275" i="8" s="1"/>
  <c r="AD89" i="8"/>
  <c r="AD132" i="8"/>
  <c r="AE87" i="8"/>
  <c r="AR290" i="8"/>
  <c r="AS201" i="8"/>
  <c r="AS289" i="8" s="1"/>
  <c r="AS172" i="8"/>
  <c r="AS191" i="8"/>
  <c r="AS277" i="8" s="1"/>
  <c r="AS178" i="8"/>
  <c r="AS218" i="8"/>
  <c r="AS309" i="8" s="1"/>
  <c r="AS193" i="8"/>
  <c r="AS284" i="8" s="1"/>
  <c r="AS180" i="8"/>
  <c r="AS170" i="8"/>
  <c r="AS175" i="8" s="1"/>
  <c r="AS274" i="8" s="1"/>
  <c r="AS104" i="8"/>
  <c r="AS207" i="8"/>
  <c r="AS192" i="8"/>
  <c r="AS278" i="8" s="1"/>
  <c r="AS112" i="8"/>
  <c r="AS173" i="8"/>
  <c r="AS171" i="8"/>
  <c r="AS43" i="8"/>
  <c r="AS174" i="8"/>
  <c r="AS179" i="8"/>
  <c r="AS57" i="8"/>
  <c r="AT3" i="8"/>
  <c r="AS1" i="8"/>
  <c r="AS50" i="8"/>
  <c r="AS84" i="8"/>
  <c r="AS75" i="8"/>
  <c r="AS36" i="8"/>
  <c r="AS8" i="8"/>
  <c r="AS211" i="8"/>
  <c r="AS302" i="8" s="1"/>
  <c r="AS66" i="8"/>
  <c r="AS167" i="8"/>
  <c r="AS273" i="8" s="1"/>
  <c r="AS217" i="8"/>
  <c r="AS308" i="8" s="1"/>
  <c r="AS212" i="8"/>
  <c r="AS303" i="8" s="1"/>
  <c r="AS209" i="8"/>
  <c r="AS300" i="8" s="1"/>
  <c r="AS197" i="8"/>
  <c r="AS285" i="8" s="1"/>
  <c r="AS228" i="8"/>
  <c r="AS319" i="8" s="1"/>
  <c r="AS226" i="8"/>
  <c r="AS317" i="8" s="1"/>
  <c r="AS232" i="8"/>
  <c r="AS323" i="8" s="1"/>
  <c r="AS227" i="8"/>
  <c r="AS318" i="8" s="1"/>
  <c r="AS229" i="8"/>
  <c r="AS320" i="8" s="1"/>
  <c r="AS213" i="8"/>
  <c r="AS304" i="8" s="1"/>
  <c r="AS230" i="8"/>
  <c r="AS321" i="8" s="1"/>
  <c r="AS231" i="8"/>
  <c r="AS322" i="8" s="1"/>
  <c r="AS194" i="8"/>
  <c r="AS279" i="8" s="1"/>
  <c r="AS219" i="8"/>
  <c r="AS310" i="8" s="1"/>
  <c r="AS214" i="8"/>
  <c r="AS305" i="8" s="1"/>
  <c r="AS221" i="8"/>
  <c r="AS312" i="8" s="1"/>
  <c r="AS220" i="8"/>
  <c r="AS311" i="8" s="1"/>
  <c r="AS165" i="8"/>
  <c r="AS195" i="8"/>
  <c r="AS282" i="8" s="1"/>
  <c r="AS200" i="8"/>
  <c r="AS288" i="8" s="1"/>
  <c r="AS198" i="8"/>
  <c r="AS286" i="8" s="1"/>
  <c r="AS166" i="8"/>
  <c r="AS272" i="8" s="1"/>
  <c r="AS196" i="8"/>
  <c r="AS283" i="8" s="1"/>
  <c r="AS223" i="8"/>
  <c r="AS314" i="8" s="1"/>
  <c r="AS222" i="8"/>
  <c r="AS313" i="8" s="1"/>
  <c r="AS210" i="8"/>
  <c r="AS301" i="8" s="1"/>
  <c r="AS235" i="8"/>
  <c r="AS326" i="8" s="1"/>
  <c r="AS233" i="8"/>
  <c r="AS324" i="8" s="1"/>
  <c r="AS234" i="8"/>
  <c r="AS325" i="8" s="1"/>
  <c r="AS199" i="8"/>
  <c r="AS287" i="8" s="1"/>
  <c r="AS215" i="8"/>
  <c r="AS306" i="8" s="1"/>
  <c r="AS216" i="8"/>
  <c r="AS307" i="8" s="1"/>
  <c r="AS208" i="8"/>
  <c r="AS299" i="8" s="1"/>
  <c r="AR52" i="8"/>
  <c r="AR53" i="8"/>
  <c r="AR31" i="8"/>
  <c r="AR20" i="8"/>
  <c r="AR32" i="8"/>
  <c r="AR98" i="8"/>
  <c r="AR97" i="8"/>
  <c r="AR26" i="8"/>
  <c r="AR92" i="8"/>
  <c r="AR27" i="8"/>
  <c r="AR13" i="8"/>
  <c r="AR12" i="8"/>
  <c r="AR93" i="8"/>
  <c r="AR19" i="8"/>
  <c r="AG39" i="8"/>
  <c r="AF40" i="8"/>
  <c r="AP246" i="8"/>
  <c r="AP145" i="8"/>
  <c r="AR69" i="8"/>
  <c r="AP249" i="8"/>
  <c r="AP148" i="8"/>
  <c r="AQ126" i="8"/>
  <c r="AQ131" i="8"/>
  <c r="AQ81" i="8"/>
  <c r="AQ266" i="8" s="1"/>
  <c r="AR38" i="8"/>
  <c r="AC250" i="8"/>
  <c r="AC149" i="8"/>
  <c r="AQ122" i="8"/>
  <c r="AQ16" i="8"/>
  <c r="AQ262" i="8" s="1"/>
  <c r="AQ14" i="8"/>
  <c r="AQ94" i="8"/>
  <c r="AQ133" i="8"/>
  <c r="AQ139" i="8" s="1"/>
  <c r="AR45" i="8"/>
  <c r="AR46" i="8"/>
  <c r="AB251" i="8"/>
  <c r="AB260" i="8" s="1"/>
  <c r="AB269" i="8" s="1"/>
  <c r="AB294" i="8" s="1"/>
  <c r="AB331" i="8" s="1"/>
  <c r="AB150" i="8"/>
  <c r="AB159" i="8" s="1"/>
  <c r="AQ125" i="8"/>
  <c r="AQ33" i="8"/>
  <c r="AQ23" i="8"/>
  <c r="AQ263" i="8" s="1"/>
  <c r="AQ21" i="8"/>
  <c r="AQ123" i="8"/>
  <c r="AR271" i="8"/>
  <c r="AR77" i="8"/>
  <c r="AR88" i="8"/>
  <c r="AP188" i="8"/>
  <c r="AP276" i="8" s="1"/>
  <c r="AP280" i="8" s="1"/>
  <c r="AP292" i="8" s="1"/>
  <c r="AB388" i="8" l="1"/>
  <c r="AC385" i="8" s="1"/>
  <c r="AB367" i="8"/>
  <c r="AB387" i="8" s="1"/>
  <c r="N344" i="8"/>
  <c r="N345" i="8" s="1"/>
  <c r="N347" i="8" s="1"/>
  <c r="O342" i="8" s="1"/>
  <c r="AR99" i="8"/>
  <c r="AR134" i="8"/>
  <c r="AR101" i="8"/>
  <c r="AR267" i="8" s="1"/>
  <c r="AR186" i="8"/>
  <c r="AS60" i="8"/>
  <c r="AD250" i="8"/>
  <c r="AD149" i="8"/>
  <c r="AR185" i="8"/>
  <c r="AQ254" i="8"/>
  <c r="AQ153" i="8"/>
  <c r="AR128" i="8"/>
  <c r="AR54" i="8"/>
  <c r="AQ249" i="8"/>
  <c r="AQ148" i="8"/>
  <c r="AR131" i="8"/>
  <c r="AR81" i="8"/>
  <c r="AR266" i="8" s="1"/>
  <c r="AE136" i="8"/>
  <c r="AE117" i="8"/>
  <c r="AE257" i="8" s="1"/>
  <c r="AF115" i="8"/>
  <c r="AG40" i="8"/>
  <c r="AH39" i="8"/>
  <c r="AQ255" i="8"/>
  <c r="AQ154" i="8"/>
  <c r="AR184" i="8"/>
  <c r="AS46" i="8"/>
  <c r="AS45" i="8"/>
  <c r="AQ144" i="8"/>
  <c r="AQ245" i="8"/>
  <c r="AQ243" i="8"/>
  <c r="AQ142" i="8"/>
  <c r="AR122" i="8"/>
  <c r="AR14" i="8"/>
  <c r="AR16" i="8"/>
  <c r="AR262" i="8" s="1"/>
  <c r="AS93" i="8"/>
  <c r="AS92" i="8"/>
  <c r="AS98" i="8"/>
  <c r="AS97" i="8"/>
  <c r="AS26" i="8"/>
  <c r="AS20" i="8"/>
  <c r="AS32" i="8"/>
  <c r="AS27" i="8"/>
  <c r="AS13" i="8"/>
  <c r="AS19" i="8"/>
  <c r="AS31" i="8"/>
  <c r="AS12" i="8"/>
  <c r="AA368" i="8"/>
  <c r="AB364" i="8" s="1"/>
  <c r="AB368" i="8" s="1"/>
  <c r="AC364" i="8" s="1"/>
  <c r="AQ188" i="8"/>
  <c r="AQ276" i="8" s="1"/>
  <c r="AQ280" i="8" s="1"/>
  <c r="AQ292" i="8" s="1"/>
  <c r="AR126" i="8"/>
  <c r="AR125" i="8"/>
  <c r="AR33" i="8"/>
  <c r="AQ147" i="8"/>
  <c r="AQ248" i="8"/>
  <c r="AS38" i="8"/>
  <c r="AS116" i="8"/>
  <c r="AT201" i="8"/>
  <c r="AT289" i="8" s="1"/>
  <c r="AT193" i="8"/>
  <c r="AT284" i="8" s="1"/>
  <c r="AT178" i="8"/>
  <c r="AT181" i="8" s="1"/>
  <c r="AT275" i="8" s="1"/>
  <c r="AT191" i="8"/>
  <c r="AT277" i="8" s="1"/>
  <c r="AT218" i="8"/>
  <c r="AT309" i="8" s="1"/>
  <c r="AT167" i="8"/>
  <c r="AT273" i="8" s="1"/>
  <c r="AT180" i="8"/>
  <c r="AT170" i="8"/>
  <c r="AT173" i="8"/>
  <c r="AT171" i="8"/>
  <c r="AT43" i="8"/>
  <c r="AU3" i="8"/>
  <c r="AT179" i="8"/>
  <c r="AT57" i="8"/>
  <c r="AT1" i="8"/>
  <c r="AT50" i="8"/>
  <c r="AT207" i="8"/>
  <c r="AT192" i="8"/>
  <c r="AT278" i="8" s="1"/>
  <c r="AT174" i="8"/>
  <c r="AT112" i="8"/>
  <c r="AT75" i="8"/>
  <c r="AT36" i="8"/>
  <c r="AT84" i="8"/>
  <c r="AT211" i="8"/>
  <c r="AT302" i="8" s="1"/>
  <c r="AT8" i="8"/>
  <c r="AT104" i="8"/>
  <c r="AT66" i="8"/>
  <c r="AT172" i="8"/>
  <c r="AT209" i="8"/>
  <c r="AT300" i="8" s="1"/>
  <c r="AT212" i="8"/>
  <c r="AT303" i="8" s="1"/>
  <c r="AT217" i="8"/>
  <c r="AT308" i="8" s="1"/>
  <c r="AT228" i="8"/>
  <c r="AT319" i="8" s="1"/>
  <c r="AT226" i="8"/>
  <c r="AT317" i="8" s="1"/>
  <c r="AT197" i="8"/>
  <c r="AT285" i="8" s="1"/>
  <c r="AT232" i="8"/>
  <c r="AT323" i="8" s="1"/>
  <c r="AT229" i="8"/>
  <c r="AT320" i="8" s="1"/>
  <c r="AT227" i="8"/>
  <c r="AT318" i="8" s="1"/>
  <c r="AT213" i="8"/>
  <c r="AT304" i="8" s="1"/>
  <c r="AT230" i="8"/>
  <c r="AT321" i="8" s="1"/>
  <c r="AT231" i="8"/>
  <c r="AT322" i="8" s="1"/>
  <c r="AT194" i="8"/>
  <c r="AT279" i="8" s="1"/>
  <c r="AT214" i="8"/>
  <c r="AT305" i="8" s="1"/>
  <c r="AT219" i="8"/>
  <c r="AT310" i="8" s="1"/>
  <c r="AT221" i="8"/>
  <c r="AT312" i="8" s="1"/>
  <c r="AT220" i="8"/>
  <c r="AT311" i="8" s="1"/>
  <c r="AT165" i="8"/>
  <c r="AT196" i="8"/>
  <c r="AT283" i="8" s="1"/>
  <c r="AT200" i="8"/>
  <c r="AT288" i="8" s="1"/>
  <c r="AT198" i="8"/>
  <c r="AT286" i="8" s="1"/>
  <c r="AT166" i="8"/>
  <c r="AT272" i="8" s="1"/>
  <c r="AT223" i="8"/>
  <c r="AT314" i="8" s="1"/>
  <c r="AT195" i="8"/>
  <c r="AT282" i="8" s="1"/>
  <c r="AT290" i="8" s="1"/>
  <c r="AT210" i="8"/>
  <c r="AT301" i="8" s="1"/>
  <c r="AT222" i="8"/>
  <c r="AT313" i="8" s="1"/>
  <c r="AT235" i="8"/>
  <c r="AT326" i="8" s="1"/>
  <c r="AT233" i="8"/>
  <c r="AT324" i="8" s="1"/>
  <c r="AT234" i="8"/>
  <c r="AT325" i="8" s="1"/>
  <c r="AT199" i="8"/>
  <c r="AT287" i="8" s="1"/>
  <c r="AT215" i="8"/>
  <c r="AT306" i="8" s="1"/>
  <c r="AT216" i="8"/>
  <c r="AT307" i="8" s="1"/>
  <c r="AT208" i="8"/>
  <c r="AT299" i="8" s="1"/>
  <c r="AG135" i="8"/>
  <c r="AG109" i="8"/>
  <c r="AG155" i="8" s="1"/>
  <c r="AG256" i="8" s="1"/>
  <c r="AH107" i="8"/>
  <c r="AI79" i="8"/>
  <c r="AJ78" i="8"/>
  <c r="AF247" i="8"/>
  <c r="AF146" i="8"/>
  <c r="AE129" i="8"/>
  <c r="AE61" i="8"/>
  <c r="AE63" i="8"/>
  <c r="AE264" i="8" s="1"/>
  <c r="AF59" i="8"/>
  <c r="AH252" i="8"/>
  <c r="AH151" i="8"/>
  <c r="AR187" i="8"/>
  <c r="AR127" i="8"/>
  <c r="AR47" i="8"/>
  <c r="AS181" i="8"/>
  <c r="AS275" i="8" s="1"/>
  <c r="AD130" i="8"/>
  <c r="AD70" i="8"/>
  <c r="AD72" i="8"/>
  <c r="AD265" i="8" s="1"/>
  <c r="AE68" i="8"/>
  <c r="AR21" i="8"/>
  <c r="AR123" i="8"/>
  <c r="AR23" i="8"/>
  <c r="AR263" i="8" s="1"/>
  <c r="AS69" i="8"/>
  <c r="AC251" i="8"/>
  <c r="AC260" i="8" s="1"/>
  <c r="AC269" i="8" s="1"/>
  <c r="AC294" i="8" s="1"/>
  <c r="AC331" i="8" s="1"/>
  <c r="AC150" i="8"/>
  <c r="AC240" i="8"/>
  <c r="AC140" i="8"/>
  <c r="AQ143" i="8"/>
  <c r="AQ244" i="8"/>
  <c r="AS290" i="8"/>
  <c r="AS77" i="8"/>
  <c r="AE132" i="8"/>
  <c r="AE89" i="8"/>
  <c r="AF87" i="8"/>
  <c r="AC159" i="8"/>
  <c r="AR133" i="8"/>
  <c r="AR139" i="8" s="1"/>
  <c r="AR94" i="8"/>
  <c r="AS271" i="8"/>
  <c r="AS88" i="8"/>
  <c r="AS298" i="8"/>
  <c r="AS327" i="8" s="1"/>
  <c r="AS329" i="8" s="1"/>
  <c r="AS236" i="8"/>
  <c r="AD137" i="8"/>
  <c r="AQ246" i="8"/>
  <c r="AQ145" i="8"/>
  <c r="AR28" i="8"/>
  <c r="AR124" i="8"/>
  <c r="AS52" i="8"/>
  <c r="AS53" i="8"/>
  <c r="AS108" i="8"/>
  <c r="AD253" i="8"/>
  <c r="AD152" i="8"/>
  <c r="AC367" i="8" l="1"/>
  <c r="AC387" i="8" s="1"/>
  <c r="O344" i="8"/>
  <c r="O345" i="8" s="1"/>
  <c r="O347" i="8" s="1"/>
  <c r="P342" i="8" s="1"/>
  <c r="AI252" i="8"/>
  <c r="AI151" i="8"/>
  <c r="AF89" i="8"/>
  <c r="AF132" i="8"/>
  <c r="AG87" i="8"/>
  <c r="AS134" i="8"/>
  <c r="AS101" i="8"/>
  <c r="AS267" i="8" s="1"/>
  <c r="AS99" i="8"/>
  <c r="AE253" i="8"/>
  <c r="AE152" i="8"/>
  <c r="AS128" i="8"/>
  <c r="AS54" i="8"/>
  <c r="AT32" i="8"/>
  <c r="AT12" i="8"/>
  <c r="AT27" i="8"/>
  <c r="AT26" i="8"/>
  <c r="AT13" i="8"/>
  <c r="AT19" i="8"/>
  <c r="AT20" i="8"/>
  <c r="AT93" i="8"/>
  <c r="AT98" i="8"/>
  <c r="AT31" i="8"/>
  <c r="AT97" i="8"/>
  <c r="AT92" i="8"/>
  <c r="AS133" i="8"/>
  <c r="AS139" i="8" s="1"/>
  <c r="AS94" i="8"/>
  <c r="AS186" i="8"/>
  <c r="AF129" i="8"/>
  <c r="AF63" i="8"/>
  <c r="AF264" i="8" s="1"/>
  <c r="AF61" i="8"/>
  <c r="AG59" i="8"/>
  <c r="AU218" i="8"/>
  <c r="AU309" i="8" s="1"/>
  <c r="AU193" i="8"/>
  <c r="AU284" i="8" s="1"/>
  <c r="AU178" i="8"/>
  <c r="AU172" i="8"/>
  <c r="AU170" i="8"/>
  <c r="AU112" i="8"/>
  <c r="AU173" i="8"/>
  <c r="AU191" i="8"/>
  <c r="AU277" i="8" s="1"/>
  <c r="AU179" i="8"/>
  <c r="AU57" i="8"/>
  <c r="AV3" i="8"/>
  <c r="AU1" i="8"/>
  <c r="AU180" i="8"/>
  <c r="AU50" i="8"/>
  <c r="AU75" i="8"/>
  <c r="AU207" i="8"/>
  <c r="AU192" i="8"/>
  <c r="AU278" i="8" s="1"/>
  <c r="AU174" i="8"/>
  <c r="AU36" i="8"/>
  <c r="AU84" i="8"/>
  <c r="AU201" i="8"/>
  <c r="AU289" i="8" s="1"/>
  <c r="AU8" i="8"/>
  <c r="AU43" i="8"/>
  <c r="AU171" i="8"/>
  <c r="AU66" i="8"/>
  <c r="AU104" i="8"/>
  <c r="AU211" i="8"/>
  <c r="AU302" i="8" s="1"/>
  <c r="AU209" i="8"/>
  <c r="AU300" i="8" s="1"/>
  <c r="AU167" i="8"/>
  <c r="AU273" i="8" s="1"/>
  <c r="AU212" i="8"/>
  <c r="AU303" i="8" s="1"/>
  <c r="AU217" i="8"/>
  <c r="AU308" i="8" s="1"/>
  <c r="AU228" i="8"/>
  <c r="AU319" i="8" s="1"/>
  <c r="AU197" i="8"/>
  <c r="AU285" i="8" s="1"/>
  <c r="AU226" i="8"/>
  <c r="AU317" i="8" s="1"/>
  <c r="AU232" i="8"/>
  <c r="AU323" i="8" s="1"/>
  <c r="AU227" i="8"/>
  <c r="AU318" i="8" s="1"/>
  <c r="AU229" i="8"/>
  <c r="AU320" i="8" s="1"/>
  <c r="AU230" i="8"/>
  <c r="AU321" i="8" s="1"/>
  <c r="AU213" i="8"/>
  <c r="AU304" i="8" s="1"/>
  <c r="AU231" i="8"/>
  <c r="AU322" i="8" s="1"/>
  <c r="AU194" i="8"/>
  <c r="AU279" i="8" s="1"/>
  <c r="AU214" i="8"/>
  <c r="AU305" i="8" s="1"/>
  <c r="AU219" i="8"/>
  <c r="AU310" i="8" s="1"/>
  <c r="AU220" i="8"/>
  <c r="AU311" i="8" s="1"/>
  <c r="AU221" i="8"/>
  <c r="AU312" i="8" s="1"/>
  <c r="AU165" i="8"/>
  <c r="AU223" i="8"/>
  <c r="AU314" i="8" s="1"/>
  <c r="AU195" i="8"/>
  <c r="AU282" i="8" s="1"/>
  <c r="AU290" i="8" s="1"/>
  <c r="AU166" i="8"/>
  <c r="AU272" i="8" s="1"/>
  <c r="AU196" i="8"/>
  <c r="AU283" i="8" s="1"/>
  <c r="AU200" i="8"/>
  <c r="AU288" i="8" s="1"/>
  <c r="AU198" i="8"/>
  <c r="AU286" i="8" s="1"/>
  <c r="AU222" i="8"/>
  <c r="AU313" i="8" s="1"/>
  <c r="AU210" i="8"/>
  <c r="AU301" i="8" s="1"/>
  <c r="AU235" i="8"/>
  <c r="AU326" i="8" s="1"/>
  <c r="AU233" i="8"/>
  <c r="AU324" i="8" s="1"/>
  <c r="AU234" i="8"/>
  <c r="AU325" i="8" s="1"/>
  <c r="AU199" i="8"/>
  <c r="AU287" i="8" s="1"/>
  <c r="AU215" i="8"/>
  <c r="AU306" i="8" s="1"/>
  <c r="AU216" i="8"/>
  <c r="AU307" i="8" s="1"/>
  <c r="AU208" i="8"/>
  <c r="AU299" i="8" s="1"/>
  <c r="AC368" i="8"/>
  <c r="AD364" i="8" s="1"/>
  <c r="AR255" i="8"/>
  <c r="AR154" i="8"/>
  <c r="AR144" i="8"/>
  <c r="AR245" i="8"/>
  <c r="AS185" i="8"/>
  <c r="AS131" i="8"/>
  <c r="AS81" i="8"/>
  <c r="AS266" i="8" s="1"/>
  <c r="AR143" i="8"/>
  <c r="AR244" i="8"/>
  <c r="AT88" i="8"/>
  <c r="AT46" i="8"/>
  <c r="AT45" i="8"/>
  <c r="AS122" i="8"/>
  <c r="AS14" i="8"/>
  <c r="AS16" i="8"/>
  <c r="AS262" i="8" s="1"/>
  <c r="AI39" i="8"/>
  <c r="AH40" i="8"/>
  <c r="AR188" i="8"/>
  <c r="AR276" i="8" s="1"/>
  <c r="AR280" i="8" s="1"/>
  <c r="AR292" i="8" s="1"/>
  <c r="AS187" i="8"/>
  <c r="AE72" i="8"/>
  <c r="AE265" i="8" s="1"/>
  <c r="AE70" i="8"/>
  <c r="AE130" i="8"/>
  <c r="AE137" i="8" s="1"/>
  <c r="AF68" i="8"/>
  <c r="AE250" i="8"/>
  <c r="AE149" i="8"/>
  <c r="AT271" i="8"/>
  <c r="AT185" i="8"/>
  <c r="AT38" i="8"/>
  <c r="AS125" i="8"/>
  <c r="AS33" i="8"/>
  <c r="AR243" i="8"/>
  <c r="AR142" i="8"/>
  <c r="AG247" i="8"/>
  <c r="AG146" i="8"/>
  <c r="AR246" i="8"/>
  <c r="AR145" i="8"/>
  <c r="AS127" i="8"/>
  <c r="AS47" i="8"/>
  <c r="AS184" i="8"/>
  <c r="AS188" i="8" s="1"/>
  <c r="AS276" i="8" s="1"/>
  <c r="AS280" i="8" s="1"/>
  <c r="AS292" i="8" s="1"/>
  <c r="AT77" i="8"/>
  <c r="AS126" i="8"/>
  <c r="AS21" i="8"/>
  <c r="AS123" i="8"/>
  <c r="AS23" i="8"/>
  <c r="AS263" i="8" s="1"/>
  <c r="AF136" i="8"/>
  <c r="AF117" i="8"/>
  <c r="AF257" i="8" s="1"/>
  <c r="AG115" i="8"/>
  <c r="AD240" i="8"/>
  <c r="AD140" i="8"/>
  <c r="AR147" i="8"/>
  <c r="AR248" i="8"/>
  <c r="AT298" i="8"/>
  <c r="AT327" i="8" s="1"/>
  <c r="AT329" i="8" s="1"/>
  <c r="AT236" i="8"/>
  <c r="AH135" i="8"/>
  <c r="AH109" i="8"/>
  <c r="AH155" i="8" s="1"/>
  <c r="AH256" i="8" s="1"/>
  <c r="AI107" i="8"/>
  <c r="AT52" i="8"/>
  <c r="AT53" i="8"/>
  <c r="AS124" i="8"/>
  <c r="AS28" i="8"/>
  <c r="AT69" i="8"/>
  <c r="AT108" i="8"/>
  <c r="AT60" i="8"/>
  <c r="AR249" i="8"/>
  <c r="AR148" i="8"/>
  <c r="AD251" i="8"/>
  <c r="AD150" i="8"/>
  <c r="AD159" i="8" s="1"/>
  <c r="AT116" i="8"/>
  <c r="AT175" i="8"/>
  <c r="AT274" i="8" s="1"/>
  <c r="AR254" i="8"/>
  <c r="AR153" i="8"/>
  <c r="AK78" i="8"/>
  <c r="AJ79" i="8"/>
  <c r="AD260" i="8"/>
  <c r="AD269" i="8" s="1"/>
  <c r="AD294" i="8" s="1"/>
  <c r="AD331" i="8" s="1"/>
  <c r="AC388" i="8"/>
  <c r="AD385" i="8" s="1"/>
  <c r="AE240" i="8" l="1"/>
  <c r="AE140" i="8"/>
  <c r="P345" i="8"/>
  <c r="P347" i="8" s="1"/>
  <c r="Q342" i="8" s="1"/>
  <c r="P344" i="8"/>
  <c r="AT81" i="8"/>
  <c r="AT266" i="8" s="1"/>
  <c r="AT131" i="8"/>
  <c r="AV218" i="8"/>
  <c r="AV309" i="8" s="1"/>
  <c r="AV207" i="8"/>
  <c r="AV178" i="8"/>
  <c r="AV181" i="8" s="1"/>
  <c r="AV275" i="8" s="1"/>
  <c r="AV172" i="8"/>
  <c r="AV173" i="8"/>
  <c r="AV104" i="8"/>
  <c r="AV191" i="8"/>
  <c r="AV277" i="8" s="1"/>
  <c r="AV180" i="8"/>
  <c r="AV50" i="8"/>
  <c r="AV192" i="8"/>
  <c r="AV278" i="8" s="1"/>
  <c r="AV174" i="8"/>
  <c r="AV170" i="8"/>
  <c r="AV75" i="8"/>
  <c r="AV167" i="8"/>
  <c r="AV273" i="8" s="1"/>
  <c r="AV112" i="8"/>
  <c r="AV36" i="8"/>
  <c r="AV193" i="8"/>
  <c r="AV284" i="8" s="1"/>
  <c r="AV179" i="8"/>
  <c r="AV201" i="8"/>
  <c r="AV289" i="8" s="1"/>
  <c r="AV84" i="8"/>
  <c r="AV43" i="8"/>
  <c r="AV1" i="8"/>
  <c r="AV171" i="8"/>
  <c r="AV66" i="8"/>
  <c r="AW3" i="8"/>
  <c r="AV211" i="8"/>
  <c r="AV302" i="8" s="1"/>
  <c r="AV57" i="8"/>
  <c r="AV8" i="8"/>
  <c r="AV212" i="8"/>
  <c r="AV303" i="8" s="1"/>
  <c r="AV209" i="8"/>
  <c r="AV300" i="8" s="1"/>
  <c r="AV217" i="8"/>
  <c r="AV308" i="8" s="1"/>
  <c r="AV228" i="8"/>
  <c r="AV319" i="8" s="1"/>
  <c r="AV197" i="8"/>
  <c r="AV285" i="8" s="1"/>
  <c r="AV226" i="8"/>
  <c r="AV317" i="8" s="1"/>
  <c r="AV227" i="8"/>
  <c r="AV318" i="8" s="1"/>
  <c r="AV232" i="8"/>
  <c r="AV323" i="8" s="1"/>
  <c r="AV229" i="8"/>
  <c r="AV320" i="8" s="1"/>
  <c r="AV213" i="8"/>
  <c r="AV304" i="8" s="1"/>
  <c r="AV230" i="8"/>
  <c r="AV321" i="8" s="1"/>
  <c r="AV231" i="8"/>
  <c r="AV322" i="8" s="1"/>
  <c r="AV194" i="8"/>
  <c r="AV279" i="8" s="1"/>
  <c r="AV219" i="8"/>
  <c r="AV310" i="8" s="1"/>
  <c r="AV214" i="8"/>
  <c r="AV305" i="8" s="1"/>
  <c r="AV221" i="8"/>
  <c r="AV312" i="8" s="1"/>
  <c r="AV220" i="8"/>
  <c r="AV311" i="8" s="1"/>
  <c r="AV165" i="8"/>
  <c r="AV196" i="8"/>
  <c r="AV283" i="8" s="1"/>
  <c r="AV200" i="8"/>
  <c r="AV288" i="8" s="1"/>
  <c r="AV166" i="8"/>
  <c r="AV272" i="8" s="1"/>
  <c r="AV198" i="8"/>
  <c r="AV286" i="8" s="1"/>
  <c r="AV195" i="8"/>
  <c r="AV282" i="8" s="1"/>
  <c r="AV223" i="8"/>
  <c r="AV314" i="8" s="1"/>
  <c r="AV222" i="8"/>
  <c r="AV313" i="8" s="1"/>
  <c r="AV210" i="8"/>
  <c r="AV301" i="8" s="1"/>
  <c r="AV235" i="8"/>
  <c r="AV326" i="8" s="1"/>
  <c r="AV233" i="8"/>
  <c r="AV324" i="8" s="1"/>
  <c r="AV234" i="8"/>
  <c r="AV325" i="8" s="1"/>
  <c r="AV199" i="8"/>
  <c r="AV287" i="8" s="1"/>
  <c r="AV215" i="8"/>
  <c r="AV306" i="8" s="1"/>
  <c r="AV216" i="8"/>
  <c r="AV307" i="8" s="1"/>
  <c r="AV208" i="8"/>
  <c r="AV299" i="8" s="1"/>
  <c r="AD367" i="8"/>
  <c r="AD387" i="8" s="1"/>
  <c r="AD388" i="8" s="1"/>
  <c r="AE385" i="8" s="1"/>
  <c r="AS245" i="8"/>
  <c r="AS144" i="8"/>
  <c r="AU271" i="8"/>
  <c r="AG136" i="8"/>
  <c r="AG117" i="8"/>
  <c r="AG257" i="8" s="1"/>
  <c r="AH115" i="8"/>
  <c r="AT186" i="8"/>
  <c r="AG132" i="8"/>
  <c r="AG89" i="8"/>
  <c r="AH87" i="8"/>
  <c r="AT184" i="8"/>
  <c r="AT128" i="8"/>
  <c r="AT54" i="8"/>
  <c r="AT187" i="8"/>
  <c r="AU38" i="8"/>
  <c r="AS254" i="8"/>
  <c r="AS153" i="8"/>
  <c r="AT14" i="8"/>
  <c r="AT122" i="8"/>
  <c r="AT16" i="8"/>
  <c r="AT262" i="8" s="1"/>
  <c r="AF253" i="8"/>
  <c r="AF152" i="8"/>
  <c r="AT21" i="8"/>
  <c r="AT23" i="8"/>
  <c r="AT263" i="8" s="1"/>
  <c r="AT123" i="8"/>
  <c r="AU60" i="8"/>
  <c r="AK79" i="8"/>
  <c r="AL78" i="8"/>
  <c r="AU88" i="8"/>
  <c r="AI135" i="8"/>
  <c r="AI109" i="8"/>
  <c r="AI155" i="8" s="1"/>
  <c r="AI256" i="8" s="1"/>
  <c r="AJ107" i="8"/>
  <c r="AS142" i="8"/>
  <c r="AS243" i="8"/>
  <c r="AU116" i="8"/>
  <c r="AU45" i="8"/>
  <c r="AU46" i="8"/>
  <c r="AE159" i="8"/>
  <c r="AU175" i="8"/>
  <c r="AU274" i="8" s="1"/>
  <c r="AT133" i="8"/>
  <c r="AT139" i="8" s="1"/>
  <c r="AT94" i="8"/>
  <c r="AT126" i="8"/>
  <c r="AF250" i="8"/>
  <c r="AF149" i="8"/>
  <c r="AS248" i="8"/>
  <c r="AS147" i="8"/>
  <c r="AU98" i="8"/>
  <c r="AU97" i="8"/>
  <c r="AU26" i="8"/>
  <c r="AU20" i="8"/>
  <c r="AU13" i="8"/>
  <c r="AU27" i="8"/>
  <c r="AU19" i="8"/>
  <c r="AU31" i="8"/>
  <c r="AU93" i="8"/>
  <c r="AU12" i="8"/>
  <c r="AU32" i="8"/>
  <c r="AU92" i="8"/>
  <c r="AS244" i="8"/>
  <c r="AS143" i="8"/>
  <c r="AE260" i="8"/>
  <c r="AE269" i="8" s="1"/>
  <c r="AE294" i="8" s="1"/>
  <c r="AE331" i="8" s="1"/>
  <c r="AT127" i="8"/>
  <c r="AT47" i="8"/>
  <c r="AU298" i="8"/>
  <c r="AU327" i="8" s="1"/>
  <c r="AU329" i="8" s="1"/>
  <c r="AU236" i="8"/>
  <c r="AT101" i="8"/>
  <c r="AT267" i="8" s="1"/>
  <c r="AT134" i="8"/>
  <c r="AT99" i="8"/>
  <c r="AS148" i="8"/>
  <c r="AS249" i="8"/>
  <c r="AG129" i="8"/>
  <c r="AG63" i="8"/>
  <c r="AG264" i="8" s="1"/>
  <c r="AG61" i="8"/>
  <c r="AH59" i="8"/>
  <c r="AJ151" i="8"/>
  <c r="AJ252" i="8"/>
  <c r="AH247" i="8"/>
  <c r="AH146" i="8"/>
  <c r="AT124" i="8"/>
  <c r="AT28" i="8"/>
  <c r="AI40" i="8"/>
  <c r="AJ39" i="8"/>
  <c r="AF137" i="8"/>
  <c r="AF70" i="8"/>
  <c r="AF130" i="8"/>
  <c r="AF72" i="8"/>
  <c r="AF265" i="8" s="1"/>
  <c r="AG68" i="8"/>
  <c r="AU77" i="8"/>
  <c r="AU181" i="8"/>
  <c r="AU275" i="8" s="1"/>
  <c r="AT33" i="8"/>
  <c r="AT125" i="8"/>
  <c r="AS255" i="8"/>
  <c r="AS154" i="8"/>
  <c r="AS246" i="8"/>
  <c r="AS145" i="8"/>
  <c r="AU108" i="8"/>
  <c r="AU53" i="8"/>
  <c r="AU52" i="8"/>
  <c r="AE251" i="8"/>
  <c r="AE150" i="8"/>
  <c r="AU69" i="8"/>
  <c r="AE388" i="8" l="1"/>
  <c r="AF385" i="8" s="1"/>
  <c r="AV12" i="8"/>
  <c r="AV27" i="8"/>
  <c r="AV26" i="8"/>
  <c r="AV20" i="8"/>
  <c r="AV19" i="8"/>
  <c r="AV13" i="8"/>
  <c r="AV32" i="8"/>
  <c r="AV97" i="8"/>
  <c r="AV92" i="8"/>
  <c r="AV93" i="8"/>
  <c r="AV31" i="8"/>
  <c r="AV98" i="8"/>
  <c r="AU101" i="8"/>
  <c r="AU267" i="8" s="1"/>
  <c r="AU134" i="8"/>
  <c r="AU99" i="8"/>
  <c r="AK39" i="8"/>
  <c r="AJ40" i="8"/>
  <c r="AT243" i="8"/>
  <c r="AT142" i="8"/>
  <c r="AV298" i="8"/>
  <c r="AV327" i="8" s="1"/>
  <c r="AV329" i="8" s="1"/>
  <c r="AV236" i="8"/>
  <c r="AH132" i="8"/>
  <c r="AH89" i="8"/>
  <c r="AI87" i="8"/>
  <c r="AV290" i="8"/>
  <c r="AT255" i="8"/>
  <c r="AT154" i="8"/>
  <c r="AU14" i="8"/>
  <c r="AU122" i="8"/>
  <c r="AU16" i="8"/>
  <c r="AU262" i="8" s="1"/>
  <c r="AF159" i="8"/>
  <c r="AW207" i="8"/>
  <c r="AW218" i="8"/>
  <c r="AW309" i="8" s="1"/>
  <c r="AW192" i="8"/>
  <c r="AW278" i="8" s="1"/>
  <c r="AW173" i="8"/>
  <c r="AW172" i="8"/>
  <c r="AW201" i="8"/>
  <c r="AW289" i="8" s="1"/>
  <c r="AW191" i="8"/>
  <c r="AW277" i="8" s="1"/>
  <c r="AW171" i="8"/>
  <c r="AW174" i="8"/>
  <c r="AW170" i="8"/>
  <c r="AW175" i="8" s="1"/>
  <c r="AW274" i="8" s="1"/>
  <c r="AW167" i="8"/>
  <c r="AW273" i="8" s="1"/>
  <c r="AW112" i="8"/>
  <c r="AW178" i="8"/>
  <c r="AW75" i="8"/>
  <c r="AW84" i="8"/>
  <c r="AW193" i="8"/>
  <c r="AW284" i="8" s="1"/>
  <c r="AW179" i="8"/>
  <c r="AW50" i="8"/>
  <c r="AW211" i="8"/>
  <c r="AW302" i="8" s="1"/>
  <c r="AW57" i="8"/>
  <c r="AW104" i="8"/>
  <c r="AX3" i="8"/>
  <c r="AW1" i="8"/>
  <c r="AW8" i="8"/>
  <c r="AW180" i="8"/>
  <c r="AW66" i="8"/>
  <c r="AW36" i="8"/>
  <c r="AW43" i="8"/>
  <c r="AW209" i="8"/>
  <c r="AW300" i="8" s="1"/>
  <c r="AW217" i="8"/>
  <c r="AW308" i="8" s="1"/>
  <c r="AW212" i="8"/>
  <c r="AW303" i="8" s="1"/>
  <c r="AW228" i="8"/>
  <c r="AW319" i="8" s="1"/>
  <c r="AW197" i="8"/>
  <c r="AW285" i="8" s="1"/>
  <c r="AW226" i="8"/>
  <c r="AW317" i="8" s="1"/>
  <c r="AW227" i="8"/>
  <c r="AW318" i="8" s="1"/>
  <c r="AW229" i="8"/>
  <c r="AW320" i="8" s="1"/>
  <c r="AW232" i="8"/>
  <c r="AW323" i="8" s="1"/>
  <c r="AW230" i="8"/>
  <c r="AW321" i="8" s="1"/>
  <c r="AW213" i="8"/>
  <c r="AW304" i="8" s="1"/>
  <c r="AW231" i="8"/>
  <c r="AW322" i="8" s="1"/>
  <c r="AW194" i="8"/>
  <c r="AW279" i="8" s="1"/>
  <c r="AW219" i="8"/>
  <c r="AW310" i="8" s="1"/>
  <c r="AW214" i="8"/>
  <c r="AW305" i="8" s="1"/>
  <c r="AW220" i="8"/>
  <c r="AW311" i="8" s="1"/>
  <c r="AW221" i="8"/>
  <c r="AW312" i="8" s="1"/>
  <c r="AW165" i="8"/>
  <c r="AW200" i="8"/>
  <c r="AW288" i="8" s="1"/>
  <c r="AW198" i="8"/>
  <c r="AW286" i="8" s="1"/>
  <c r="AW166" i="8"/>
  <c r="AW272" i="8" s="1"/>
  <c r="AW223" i="8"/>
  <c r="AW314" i="8" s="1"/>
  <c r="AW195" i="8"/>
  <c r="AW282" i="8" s="1"/>
  <c r="AW196" i="8"/>
  <c r="AW283" i="8" s="1"/>
  <c r="AW210" i="8"/>
  <c r="AW301" i="8" s="1"/>
  <c r="AW222" i="8"/>
  <c r="AW313" i="8" s="1"/>
  <c r="AW235" i="8"/>
  <c r="AW326" i="8" s="1"/>
  <c r="AW233" i="8"/>
  <c r="AW324" i="8" s="1"/>
  <c r="AW234" i="8"/>
  <c r="AW325" i="8" s="1"/>
  <c r="AW199" i="8"/>
  <c r="AW287" i="8" s="1"/>
  <c r="AW215" i="8"/>
  <c r="AW306" i="8" s="1"/>
  <c r="AW216" i="8"/>
  <c r="AW307" i="8" s="1"/>
  <c r="AW208" i="8"/>
  <c r="AW299" i="8" s="1"/>
  <c r="AK151" i="8"/>
  <c r="AK252" i="8"/>
  <c r="AV175" i="8"/>
  <c r="AV274" i="8" s="1"/>
  <c r="AU128" i="8"/>
  <c r="AU54" i="8"/>
  <c r="AU126" i="8"/>
  <c r="AU184" i="8"/>
  <c r="AU188" i="8" s="1"/>
  <c r="AU276" i="8" s="1"/>
  <c r="AU280" i="8" s="1"/>
  <c r="AU292" i="8" s="1"/>
  <c r="AV187" i="8"/>
  <c r="AV271" i="8"/>
  <c r="AV185" i="8"/>
  <c r="AV186" i="8"/>
  <c r="AV184" i="8"/>
  <c r="AI247" i="8"/>
  <c r="AI146" i="8"/>
  <c r="AU81" i="8"/>
  <c r="AU266" i="8" s="1"/>
  <c r="AU131" i="8"/>
  <c r="AU33" i="8"/>
  <c r="AU125" i="8"/>
  <c r="AU186" i="8"/>
  <c r="AV46" i="8"/>
  <c r="AV45" i="8"/>
  <c r="AV52" i="8"/>
  <c r="AV53" i="8"/>
  <c r="AE367" i="8"/>
  <c r="AE387" i="8" s="1"/>
  <c r="AU124" i="8"/>
  <c r="AU28" i="8"/>
  <c r="AU127" i="8"/>
  <c r="AU47" i="8"/>
  <c r="AV77" i="8"/>
  <c r="AF251" i="8"/>
  <c r="AF260" i="8" s="1"/>
  <c r="AF269" i="8" s="1"/>
  <c r="AF294" i="8" s="1"/>
  <c r="AF331" i="8" s="1"/>
  <c r="AF150" i="8"/>
  <c r="AF240" i="8"/>
  <c r="AF140" i="8"/>
  <c r="AV116" i="8"/>
  <c r="AU133" i="8"/>
  <c r="AU139" i="8" s="1"/>
  <c r="AU94" i="8"/>
  <c r="AL79" i="8"/>
  <c r="AM78" i="8"/>
  <c r="AH136" i="8"/>
  <c r="AH117" i="8"/>
  <c r="AH257" i="8" s="1"/>
  <c r="AI115" i="8"/>
  <c r="AT246" i="8"/>
  <c r="AT145" i="8"/>
  <c r="AT245" i="8"/>
  <c r="AT144" i="8"/>
  <c r="AV69" i="8"/>
  <c r="AG70" i="8"/>
  <c r="AG72" i="8"/>
  <c r="AG265" i="8" s="1"/>
  <c r="AG130" i="8"/>
  <c r="AG137" i="8" s="1"/>
  <c r="AH68" i="8"/>
  <c r="AU21" i="8"/>
  <c r="AU23" i="8"/>
  <c r="AU263" i="8" s="1"/>
  <c r="AU123" i="8"/>
  <c r="AT249" i="8"/>
  <c r="AT148" i="8"/>
  <c r="AU185" i="8"/>
  <c r="AV88" i="8"/>
  <c r="Q344" i="8"/>
  <c r="Q345" i="8" s="1"/>
  <c r="Q347" i="8" s="1"/>
  <c r="R342" i="8" s="1"/>
  <c r="AT248" i="8"/>
  <c r="AT147" i="8"/>
  <c r="AT254" i="8"/>
  <c r="AT153" i="8"/>
  <c r="AT244" i="8"/>
  <c r="AT143" i="8"/>
  <c r="AG250" i="8"/>
  <c r="AG149" i="8"/>
  <c r="AG253" i="8"/>
  <c r="AG152" i="8"/>
  <c r="AV38" i="8"/>
  <c r="AV60" i="8"/>
  <c r="AD368" i="8"/>
  <c r="AE364" i="8" s="1"/>
  <c r="AE368" i="8" s="1"/>
  <c r="AF364" i="8" s="1"/>
  <c r="AH129" i="8"/>
  <c r="AH63" i="8"/>
  <c r="AH264" i="8" s="1"/>
  <c r="AH61" i="8"/>
  <c r="AI59" i="8"/>
  <c r="AJ135" i="8"/>
  <c r="AJ109" i="8"/>
  <c r="AJ155" i="8" s="1"/>
  <c r="AJ256" i="8" s="1"/>
  <c r="AK107" i="8"/>
  <c r="AT188" i="8"/>
  <c r="AT276" i="8" s="1"/>
  <c r="AT280" i="8" s="1"/>
  <c r="AT292" i="8" s="1"/>
  <c r="AU187" i="8"/>
  <c r="AV108" i="8"/>
  <c r="AG240" i="8" l="1"/>
  <c r="AG140" i="8"/>
  <c r="R344" i="8"/>
  <c r="R345" i="8"/>
  <c r="R347" i="8" s="1"/>
  <c r="S342" i="8" s="1"/>
  <c r="AF367" i="8"/>
  <c r="AF387" i="8" s="1"/>
  <c r="AV280" i="8"/>
  <c r="AV292" i="8" s="1"/>
  <c r="AU244" i="8"/>
  <c r="AU143" i="8"/>
  <c r="AW290" i="8"/>
  <c r="AW38" i="8"/>
  <c r="AW88" i="8"/>
  <c r="AV33" i="8"/>
  <c r="AV125" i="8"/>
  <c r="AH70" i="8"/>
  <c r="AH72" i="8"/>
  <c r="AH265" i="8" s="1"/>
  <c r="AH130" i="8"/>
  <c r="AH137" i="8" s="1"/>
  <c r="AI68" i="8"/>
  <c r="AV81" i="8"/>
  <c r="AV266" i="8" s="1"/>
  <c r="AV131" i="8"/>
  <c r="AW69" i="8"/>
  <c r="AW77" i="8"/>
  <c r="AM79" i="8"/>
  <c r="AN78" i="8"/>
  <c r="AU248" i="8"/>
  <c r="AU147" i="8"/>
  <c r="AW181" i="8"/>
  <c r="AW275" i="8" s="1"/>
  <c r="AW298" i="8"/>
  <c r="AW327" i="8" s="1"/>
  <c r="AW329" i="8" s="1"/>
  <c r="AW236" i="8"/>
  <c r="AV133" i="8"/>
  <c r="AV139" i="8" s="1"/>
  <c r="AV94" i="8"/>
  <c r="AW27" i="8"/>
  <c r="AW26" i="8"/>
  <c r="AW13" i="8"/>
  <c r="AW20" i="8"/>
  <c r="AW19" i="8"/>
  <c r="AW92" i="8"/>
  <c r="AW32" i="8"/>
  <c r="AW12" i="8"/>
  <c r="AW97" i="8"/>
  <c r="AW93" i="8"/>
  <c r="AW31" i="8"/>
  <c r="AW98" i="8"/>
  <c r="AW116" i="8"/>
  <c r="AV101" i="8"/>
  <c r="AV267" i="8" s="1"/>
  <c r="AV99" i="8"/>
  <c r="AV134" i="8"/>
  <c r="AU245" i="8"/>
  <c r="AU144" i="8"/>
  <c r="AW108" i="8"/>
  <c r="AU243" i="8"/>
  <c r="AU142" i="8"/>
  <c r="AL39" i="8"/>
  <c r="AK40" i="8"/>
  <c r="AV23" i="8"/>
  <c r="AV263" i="8" s="1"/>
  <c r="AV21" i="8"/>
  <c r="AV123" i="8"/>
  <c r="AX218" i="8"/>
  <c r="AX309" i="8" s="1"/>
  <c r="AX192" i="8"/>
  <c r="AX278" i="8" s="1"/>
  <c r="AX180" i="8"/>
  <c r="AX201" i="8"/>
  <c r="AX289" i="8" s="1"/>
  <c r="AX179" i="8"/>
  <c r="AX170" i="8"/>
  <c r="AX175" i="8" s="1"/>
  <c r="AX274" i="8" s="1"/>
  <c r="AX191" i="8"/>
  <c r="AX277" i="8" s="1"/>
  <c r="AX171" i="8"/>
  <c r="AX173" i="8"/>
  <c r="AX167" i="8"/>
  <c r="AX273" i="8" s="1"/>
  <c r="AX112" i="8"/>
  <c r="AX207" i="8"/>
  <c r="AX178" i="8"/>
  <c r="AX75" i="8"/>
  <c r="AX193" i="8"/>
  <c r="AX284" i="8" s="1"/>
  <c r="AX174" i="8"/>
  <c r="AX43" i="8"/>
  <c r="AX50" i="8"/>
  <c r="AX66" i="8"/>
  <c r="AY3" i="8"/>
  <c r="AX172" i="8"/>
  <c r="AX36" i="8"/>
  <c r="AX104" i="8"/>
  <c r="AX84" i="8"/>
  <c r="AX57" i="8"/>
  <c r="AX1" i="8"/>
  <c r="AX8" i="8"/>
  <c r="AX217" i="8"/>
  <c r="AX308" i="8" s="1"/>
  <c r="AX209" i="8"/>
  <c r="AX300" i="8" s="1"/>
  <c r="AX212" i="8"/>
  <c r="AX303" i="8" s="1"/>
  <c r="AX211" i="8"/>
  <c r="AX302" i="8" s="1"/>
  <c r="AX226" i="8"/>
  <c r="AX317" i="8" s="1"/>
  <c r="AX197" i="8"/>
  <c r="AX285" i="8" s="1"/>
  <c r="AX228" i="8"/>
  <c r="AX319" i="8" s="1"/>
  <c r="AX227" i="8"/>
  <c r="AX318" i="8" s="1"/>
  <c r="AX229" i="8"/>
  <c r="AX320" i="8" s="1"/>
  <c r="AX232" i="8"/>
  <c r="AX323" i="8" s="1"/>
  <c r="AX230" i="8"/>
  <c r="AX321" i="8" s="1"/>
  <c r="AX213" i="8"/>
  <c r="AX304" i="8" s="1"/>
  <c r="AX231" i="8"/>
  <c r="AX322" i="8" s="1"/>
  <c r="AX194" i="8"/>
  <c r="AX279" i="8" s="1"/>
  <c r="AX219" i="8"/>
  <c r="AX310" i="8" s="1"/>
  <c r="AX214" i="8"/>
  <c r="AX305" i="8" s="1"/>
  <c r="AX220" i="8"/>
  <c r="AX311" i="8" s="1"/>
  <c r="AX221" i="8"/>
  <c r="AX312" i="8" s="1"/>
  <c r="AX165" i="8"/>
  <c r="AX223" i="8"/>
  <c r="AX314" i="8" s="1"/>
  <c r="AX195" i="8"/>
  <c r="AX282" i="8" s="1"/>
  <c r="AX166" i="8"/>
  <c r="AX272" i="8" s="1"/>
  <c r="AX196" i="8"/>
  <c r="AX283" i="8" s="1"/>
  <c r="AX198" i="8"/>
  <c r="AX286" i="8" s="1"/>
  <c r="AX200" i="8"/>
  <c r="AX288" i="8" s="1"/>
  <c r="AX222" i="8"/>
  <c r="AX313" i="8" s="1"/>
  <c r="AX210" i="8"/>
  <c r="AX301" i="8" s="1"/>
  <c r="AX235" i="8"/>
  <c r="AX326" i="8" s="1"/>
  <c r="AX233" i="8"/>
  <c r="AX324" i="8" s="1"/>
  <c r="AX234" i="8"/>
  <c r="AX325" i="8" s="1"/>
  <c r="AX199" i="8"/>
  <c r="AX287" i="8" s="1"/>
  <c r="AX215" i="8"/>
  <c r="AX306" i="8" s="1"/>
  <c r="AX216" i="8"/>
  <c r="AX307" i="8" s="1"/>
  <c r="AX208" i="8"/>
  <c r="AX299" i="8" s="1"/>
  <c r="AG260" i="8"/>
  <c r="AG269" i="8" s="1"/>
  <c r="AG294" i="8" s="1"/>
  <c r="AG331" i="8" s="1"/>
  <c r="AW60" i="8"/>
  <c r="AV126" i="8"/>
  <c r="AH149" i="8"/>
  <c r="AH250" i="8"/>
  <c r="AU255" i="8"/>
  <c r="AU154" i="8"/>
  <c r="AV124" i="8"/>
  <c r="AV28" i="8"/>
  <c r="AL151" i="8"/>
  <c r="AL252" i="8"/>
  <c r="AK135" i="8"/>
  <c r="AK109" i="8"/>
  <c r="AK155" i="8" s="1"/>
  <c r="AK256" i="8" s="1"/>
  <c r="AL107" i="8"/>
  <c r="AU254" i="8"/>
  <c r="AU153" i="8"/>
  <c r="AW271" i="8"/>
  <c r="AJ146" i="8"/>
  <c r="AJ247" i="8"/>
  <c r="AI63" i="8"/>
  <c r="AI264" i="8" s="1"/>
  <c r="AI61" i="8"/>
  <c r="AI129" i="8"/>
  <c r="AJ59" i="8"/>
  <c r="AV54" i="8"/>
  <c r="AV128" i="8"/>
  <c r="AU249" i="8"/>
  <c r="AU148" i="8"/>
  <c r="AW53" i="8"/>
  <c r="AW52" i="8"/>
  <c r="AG251" i="8"/>
  <c r="AG150" i="8"/>
  <c r="AG159" i="8" s="1"/>
  <c r="AV127" i="8"/>
  <c r="AV47" i="8"/>
  <c r="AV188" i="8"/>
  <c r="AV276" i="8" s="1"/>
  <c r="AI132" i="8"/>
  <c r="AI89" i="8"/>
  <c r="AJ87" i="8"/>
  <c r="AV122" i="8"/>
  <c r="AV16" i="8"/>
  <c r="AV262" i="8" s="1"/>
  <c r="AV14" i="8"/>
  <c r="AU246" i="8"/>
  <c r="AU145" i="8"/>
  <c r="AF368" i="8"/>
  <c r="AG364" i="8" s="1"/>
  <c r="AI136" i="8"/>
  <c r="AI117" i="8"/>
  <c r="AI257" i="8" s="1"/>
  <c r="AJ115" i="8"/>
  <c r="AW46" i="8"/>
  <c r="AW45" i="8"/>
  <c r="AH253" i="8"/>
  <c r="AH152" i="8"/>
  <c r="AF388" i="8"/>
  <c r="AG385" i="8" s="1"/>
  <c r="AH240" i="8" l="1"/>
  <c r="AH140" i="8"/>
  <c r="AW99" i="8"/>
  <c r="AW134" i="8"/>
  <c r="AW101" i="8"/>
  <c r="AW267" i="8" s="1"/>
  <c r="AV248" i="8"/>
  <c r="AV147" i="8"/>
  <c r="AL135" i="8"/>
  <c r="AL109" i="8"/>
  <c r="AL155" i="8" s="1"/>
  <c r="AL256" i="8" s="1"/>
  <c r="AM107" i="8"/>
  <c r="AV254" i="8"/>
  <c r="AV153" i="8"/>
  <c r="AG368" i="8"/>
  <c r="AH364" i="8" s="1"/>
  <c r="AX46" i="8"/>
  <c r="AX45" i="8"/>
  <c r="AW125" i="8"/>
  <c r="AW33" i="8"/>
  <c r="AW126" i="8"/>
  <c r="AI130" i="8"/>
  <c r="AI137" i="8" s="1"/>
  <c r="AI72" i="8"/>
  <c r="AI265" i="8" s="1"/>
  <c r="AI70" i="8"/>
  <c r="AJ68" i="8"/>
  <c r="AJ89" i="8"/>
  <c r="AJ132" i="8"/>
  <c r="AK87" i="8"/>
  <c r="AX116" i="8"/>
  <c r="AV244" i="8"/>
  <c r="AV143" i="8"/>
  <c r="AV255" i="8"/>
  <c r="AV154" i="8"/>
  <c r="AW23" i="8"/>
  <c r="AW263" i="8" s="1"/>
  <c r="AW123" i="8"/>
  <c r="AW21" i="8"/>
  <c r="AN79" i="8"/>
  <c r="AO78" i="8"/>
  <c r="AH251" i="8"/>
  <c r="AH150" i="8"/>
  <c r="AH159" i="8" s="1"/>
  <c r="AV243" i="8"/>
  <c r="AV142" i="8"/>
  <c r="AW184" i="8"/>
  <c r="AW127" i="8"/>
  <c r="AW47" i="8"/>
  <c r="AI253" i="8"/>
  <c r="AI152" i="8"/>
  <c r="AW187" i="8"/>
  <c r="AX271" i="8"/>
  <c r="AX38" i="8"/>
  <c r="AM252" i="8"/>
  <c r="AM151" i="8"/>
  <c r="AW122" i="8"/>
  <c r="AW16" i="8"/>
  <c r="AW262" i="8" s="1"/>
  <c r="AW14" i="8"/>
  <c r="AG388" i="8"/>
  <c r="AH385" i="8" s="1"/>
  <c r="AV249" i="8"/>
  <c r="AV148" i="8"/>
  <c r="AK146" i="8"/>
  <c r="AK247" i="8"/>
  <c r="AV246" i="8"/>
  <c r="AV145" i="8"/>
  <c r="S344" i="8"/>
  <c r="S345" i="8" s="1"/>
  <c r="S347" i="8" s="1"/>
  <c r="T342" i="8" s="1"/>
  <c r="AW128" i="8"/>
  <c r="AW54" i="8"/>
  <c r="AG367" i="8"/>
  <c r="AG387" i="8" s="1"/>
  <c r="AX77" i="8"/>
  <c r="AV245" i="8"/>
  <c r="AV144" i="8"/>
  <c r="AX60" i="8"/>
  <c r="AX181" i="8"/>
  <c r="AX275" i="8" s="1"/>
  <c r="AW186" i="8"/>
  <c r="AX290" i="8"/>
  <c r="AX88" i="8"/>
  <c r="AX298" i="8"/>
  <c r="AX327" i="8" s="1"/>
  <c r="AX329" i="8" s="1"/>
  <c r="AX236" i="8"/>
  <c r="AW133" i="8"/>
  <c r="AW139" i="8" s="1"/>
  <c r="AW94" i="8"/>
  <c r="AW185" i="8"/>
  <c r="AX108" i="8"/>
  <c r="AJ136" i="8"/>
  <c r="AJ117" i="8"/>
  <c r="AJ257" i="8" s="1"/>
  <c r="AK115" i="8"/>
  <c r="AJ61" i="8"/>
  <c r="AJ63" i="8"/>
  <c r="AJ264" i="8" s="1"/>
  <c r="AJ129" i="8"/>
  <c r="AK59" i="8"/>
  <c r="AH260" i="8"/>
  <c r="AH269" i="8" s="1"/>
  <c r="AH294" i="8" s="1"/>
  <c r="AH331" i="8" s="1"/>
  <c r="AY180" i="8"/>
  <c r="AY207" i="8"/>
  <c r="AY218" i="8"/>
  <c r="AY309" i="8" s="1"/>
  <c r="AY201" i="8"/>
  <c r="AY289" i="8" s="1"/>
  <c r="AY179" i="8"/>
  <c r="AY170" i="8"/>
  <c r="AY175" i="8" s="1"/>
  <c r="AY274" i="8" s="1"/>
  <c r="AY192" i="8"/>
  <c r="AY278" i="8" s="1"/>
  <c r="AY174" i="8"/>
  <c r="AY191" i="8"/>
  <c r="AY277" i="8" s="1"/>
  <c r="AY171" i="8"/>
  <c r="AY178" i="8"/>
  <c r="AY75" i="8"/>
  <c r="AY193" i="8"/>
  <c r="AY284" i="8" s="1"/>
  <c r="AY50" i="8"/>
  <c r="AY173" i="8"/>
  <c r="AY8" i="8"/>
  <c r="AY172" i="8"/>
  <c r="AY167" i="8"/>
  <c r="AY273" i="8" s="1"/>
  <c r="AY66" i="8"/>
  <c r="AY43" i="8"/>
  <c r="AZ3" i="8"/>
  <c r="AY112" i="8"/>
  <c r="AY84" i="8"/>
  <c r="AY1" i="8"/>
  <c r="AY36" i="8"/>
  <c r="AY57" i="8"/>
  <c r="AY104" i="8"/>
  <c r="AY217" i="8"/>
  <c r="AY308" i="8" s="1"/>
  <c r="AY211" i="8"/>
  <c r="AY302" i="8" s="1"/>
  <c r="AY209" i="8"/>
  <c r="AY300" i="8" s="1"/>
  <c r="AY212" i="8"/>
  <c r="AY303" i="8" s="1"/>
  <c r="AY226" i="8"/>
  <c r="AY317" i="8" s="1"/>
  <c r="AY197" i="8"/>
  <c r="AY285" i="8" s="1"/>
  <c r="AY228" i="8"/>
  <c r="AY319" i="8" s="1"/>
  <c r="AY229" i="8"/>
  <c r="AY320" i="8" s="1"/>
  <c r="AY227" i="8"/>
  <c r="AY318" i="8" s="1"/>
  <c r="AY232" i="8"/>
  <c r="AY323" i="8" s="1"/>
  <c r="AY230" i="8"/>
  <c r="AY321" i="8" s="1"/>
  <c r="AY213" i="8"/>
  <c r="AY304" i="8" s="1"/>
  <c r="AY231" i="8"/>
  <c r="AY322" i="8" s="1"/>
  <c r="AY194" i="8"/>
  <c r="AY279" i="8" s="1"/>
  <c r="AY214" i="8"/>
  <c r="AY305" i="8" s="1"/>
  <c r="AY219" i="8"/>
  <c r="AY310" i="8" s="1"/>
  <c r="AY220" i="8"/>
  <c r="AY311" i="8" s="1"/>
  <c r="AY221" i="8"/>
  <c r="AY312" i="8" s="1"/>
  <c r="AY165" i="8"/>
  <c r="AY196" i="8"/>
  <c r="AY283" i="8" s="1"/>
  <c r="AY195" i="8"/>
  <c r="AY282" i="8" s="1"/>
  <c r="AY198" i="8"/>
  <c r="AY286" i="8" s="1"/>
  <c r="AY200" i="8"/>
  <c r="AY288" i="8" s="1"/>
  <c r="AY223" i="8"/>
  <c r="AY314" i="8" s="1"/>
  <c r="AY166" i="8"/>
  <c r="AY272" i="8" s="1"/>
  <c r="AY222" i="8"/>
  <c r="AY313" i="8" s="1"/>
  <c r="AY210" i="8"/>
  <c r="AY301" i="8" s="1"/>
  <c r="AY235" i="8"/>
  <c r="AY326" i="8" s="1"/>
  <c r="AY233" i="8"/>
  <c r="AY324" i="8" s="1"/>
  <c r="AY234" i="8"/>
  <c r="AY325" i="8" s="1"/>
  <c r="AY199" i="8"/>
  <c r="AY287" i="8" s="1"/>
  <c r="AY215" i="8"/>
  <c r="AY306" i="8" s="1"/>
  <c r="AY216" i="8"/>
  <c r="AY307" i="8" s="1"/>
  <c r="AY208" i="8"/>
  <c r="AY299" i="8" s="1"/>
  <c r="AL40" i="8"/>
  <c r="AM39" i="8"/>
  <c r="AW124" i="8"/>
  <c r="AW28" i="8"/>
  <c r="AW81" i="8"/>
  <c r="AW266" i="8" s="1"/>
  <c r="AW131" i="8"/>
  <c r="AX27" i="8"/>
  <c r="AX26" i="8"/>
  <c r="AX20" i="8"/>
  <c r="AX19" i="8"/>
  <c r="AX13" i="8"/>
  <c r="AX32" i="8"/>
  <c r="AX92" i="8"/>
  <c r="AX12" i="8"/>
  <c r="AX97" i="8"/>
  <c r="AX93" i="8"/>
  <c r="AX31" i="8"/>
  <c r="AX98" i="8"/>
  <c r="AX69" i="8"/>
  <c r="AI250" i="8"/>
  <c r="AI149" i="8"/>
  <c r="AX52" i="8"/>
  <c r="AX53" i="8"/>
  <c r="T344" i="8" l="1"/>
  <c r="T345" i="8" s="1"/>
  <c r="T347" i="8" s="1"/>
  <c r="U342" i="8" s="1"/>
  <c r="AI240" i="8"/>
  <c r="AI140" i="8"/>
  <c r="AI251" i="8"/>
  <c r="AI150" i="8"/>
  <c r="AI159" i="8" s="1"/>
  <c r="AX99" i="8"/>
  <c r="AX134" i="8"/>
  <c r="AX101" i="8"/>
  <c r="AX267" i="8" s="1"/>
  <c r="AW245" i="8"/>
  <c r="AW144" i="8"/>
  <c r="AX16" i="8"/>
  <c r="AX262" i="8" s="1"/>
  <c r="AX14" i="8"/>
  <c r="AX122" i="8"/>
  <c r="AY92" i="8"/>
  <c r="AY32" i="8"/>
  <c r="AY12" i="8"/>
  <c r="AY97" i="8"/>
  <c r="AY93" i="8"/>
  <c r="AY31" i="8"/>
  <c r="AY27" i="8"/>
  <c r="AY19" i="8"/>
  <c r="AY20" i="8"/>
  <c r="AY98" i="8"/>
  <c r="AY26" i="8"/>
  <c r="AY13" i="8"/>
  <c r="AW248" i="8"/>
  <c r="AW147" i="8"/>
  <c r="AM109" i="8"/>
  <c r="AM155" i="8" s="1"/>
  <c r="AM256" i="8" s="1"/>
  <c r="AM135" i="8"/>
  <c r="AN107" i="8"/>
  <c r="AX54" i="8"/>
  <c r="AX128" i="8"/>
  <c r="AX133" i="8"/>
  <c r="AX139" i="8" s="1"/>
  <c r="AX94" i="8"/>
  <c r="AM40" i="8"/>
  <c r="AN39" i="8"/>
  <c r="AY108" i="8"/>
  <c r="AL146" i="8"/>
  <c r="AL247" i="8"/>
  <c r="AY60" i="8"/>
  <c r="AY53" i="8"/>
  <c r="AY52" i="8"/>
  <c r="AY298" i="8"/>
  <c r="AY327" i="8" s="1"/>
  <c r="AY329" i="8" s="1"/>
  <c r="AY236" i="8"/>
  <c r="AX126" i="8"/>
  <c r="AW188" i="8"/>
  <c r="AW276" i="8" s="1"/>
  <c r="AW280" i="8" s="1"/>
  <c r="AW292" i="8" s="1"/>
  <c r="AY290" i="8"/>
  <c r="AY77" i="8"/>
  <c r="AW246" i="8"/>
  <c r="AW145" i="8"/>
  <c r="AY181" i="8"/>
  <c r="AY275" i="8" s="1"/>
  <c r="AK61" i="8"/>
  <c r="AK63" i="8"/>
  <c r="AK264" i="8" s="1"/>
  <c r="AK129" i="8"/>
  <c r="AL59" i="8"/>
  <c r="AX131" i="8"/>
  <c r="AX81" i="8"/>
  <c r="AX266" i="8" s="1"/>
  <c r="AX187" i="8"/>
  <c r="AX124" i="8"/>
  <c r="AX28" i="8"/>
  <c r="AY271" i="8"/>
  <c r="AY185" i="8"/>
  <c r="AY187" i="8"/>
  <c r="AY184" i="8"/>
  <c r="AY116" i="8"/>
  <c r="AX185" i="8"/>
  <c r="AK132" i="8"/>
  <c r="AK89" i="8"/>
  <c r="AL87" i="8"/>
  <c r="AX47" i="8"/>
  <c r="AX127" i="8"/>
  <c r="AX123" i="8"/>
  <c r="AX23" i="8"/>
  <c r="AX263" i="8" s="1"/>
  <c r="AX21" i="8"/>
  <c r="AZ207" i="8"/>
  <c r="AZ201" i="8"/>
  <c r="AZ289" i="8" s="1"/>
  <c r="AZ191" i="8"/>
  <c r="AZ277" i="8" s="1"/>
  <c r="AZ179" i="8"/>
  <c r="AZ170" i="8"/>
  <c r="AZ192" i="8"/>
  <c r="AZ278" i="8" s="1"/>
  <c r="AZ174" i="8"/>
  <c r="AZ66" i="8"/>
  <c r="AZ84" i="8"/>
  <c r="AZ218" i="8"/>
  <c r="AZ309" i="8" s="1"/>
  <c r="AZ193" i="8"/>
  <c r="AZ284" i="8" s="1"/>
  <c r="AZ43" i="8"/>
  <c r="BA3" i="8"/>
  <c r="AZ178" i="8"/>
  <c r="AZ172" i="8"/>
  <c r="AZ75" i="8"/>
  <c r="AZ167" i="8"/>
  <c r="AZ273" i="8" s="1"/>
  <c r="AZ173" i="8"/>
  <c r="AZ8" i="8"/>
  <c r="AZ171" i="8"/>
  <c r="AZ36" i="8"/>
  <c r="AZ180" i="8"/>
  <c r="AZ50" i="8"/>
  <c r="AZ104" i="8"/>
  <c r="AZ1" i="8"/>
  <c r="AZ57" i="8"/>
  <c r="AZ112" i="8"/>
  <c r="AZ212" i="8"/>
  <c r="AZ303" i="8" s="1"/>
  <c r="AZ211" i="8"/>
  <c r="AZ302" i="8" s="1"/>
  <c r="AZ217" i="8"/>
  <c r="AZ308" i="8" s="1"/>
  <c r="AZ209" i="8"/>
  <c r="AZ300" i="8" s="1"/>
  <c r="AZ228" i="8"/>
  <c r="AZ319" i="8" s="1"/>
  <c r="AZ197" i="8"/>
  <c r="AZ285" i="8" s="1"/>
  <c r="AZ226" i="8"/>
  <c r="AZ317" i="8" s="1"/>
  <c r="AZ229" i="8"/>
  <c r="AZ320" i="8" s="1"/>
  <c r="AZ227" i="8"/>
  <c r="AZ318" i="8" s="1"/>
  <c r="AZ232" i="8"/>
  <c r="AZ323" i="8" s="1"/>
  <c r="AZ230" i="8"/>
  <c r="AZ321" i="8" s="1"/>
  <c r="AZ213" i="8"/>
  <c r="AZ304" i="8" s="1"/>
  <c r="AZ231" i="8"/>
  <c r="AZ322" i="8" s="1"/>
  <c r="AZ194" i="8"/>
  <c r="AZ279" i="8" s="1"/>
  <c r="AZ219" i="8"/>
  <c r="AZ310" i="8" s="1"/>
  <c r="AZ214" i="8"/>
  <c r="AZ305" i="8" s="1"/>
  <c r="AZ220" i="8"/>
  <c r="AZ311" i="8" s="1"/>
  <c r="AZ221" i="8"/>
  <c r="AZ312" i="8" s="1"/>
  <c r="AZ165" i="8"/>
  <c r="AZ200" i="8"/>
  <c r="AZ288" i="8" s="1"/>
  <c r="AZ198" i="8"/>
  <c r="AZ286" i="8" s="1"/>
  <c r="AZ195" i="8"/>
  <c r="AZ282" i="8" s="1"/>
  <c r="AZ196" i="8"/>
  <c r="AZ283" i="8" s="1"/>
  <c r="AZ223" i="8"/>
  <c r="AZ314" i="8" s="1"/>
  <c r="AZ166" i="8"/>
  <c r="AZ272" i="8" s="1"/>
  <c r="AZ210" i="8"/>
  <c r="AZ301" i="8" s="1"/>
  <c r="AZ222" i="8"/>
  <c r="AZ313" i="8" s="1"/>
  <c r="AZ235" i="8"/>
  <c r="AZ326" i="8" s="1"/>
  <c r="AZ233" i="8"/>
  <c r="AZ324" i="8" s="1"/>
  <c r="AZ234" i="8"/>
  <c r="AZ325" i="8" s="1"/>
  <c r="AZ199" i="8"/>
  <c r="AZ287" i="8" s="1"/>
  <c r="AZ215" i="8"/>
  <c r="AZ306" i="8" s="1"/>
  <c r="AZ216" i="8"/>
  <c r="AZ307" i="8" s="1"/>
  <c r="AZ208" i="8"/>
  <c r="AZ299" i="8" s="1"/>
  <c r="AO79" i="8"/>
  <c r="AP78" i="8"/>
  <c r="AJ137" i="8"/>
  <c r="AW255" i="8"/>
  <c r="AW154" i="8"/>
  <c r="AI260" i="8"/>
  <c r="AI269" i="8" s="1"/>
  <c r="AI294" i="8" s="1"/>
  <c r="AI331" i="8" s="1"/>
  <c r="AY38" i="8"/>
  <c r="AW254" i="8"/>
  <c r="AW153" i="8"/>
  <c r="AH367" i="8"/>
  <c r="AH387" i="8" s="1"/>
  <c r="AH388" i="8" s="1"/>
  <c r="AI385" i="8" s="1"/>
  <c r="AX184" i="8"/>
  <c r="AX188" i="8" s="1"/>
  <c r="AX276" i="8" s="1"/>
  <c r="AX280" i="8" s="1"/>
  <c r="AX292" i="8" s="1"/>
  <c r="AY88" i="8"/>
  <c r="AY46" i="8"/>
  <c r="AY45" i="8"/>
  <c r="AJ149" i="8"/>
  <c r="AJ250" i="8"/>
  <c r="AW249" i="8"/>
  <c r="AW148" i="8"/>
  <c r="AX186" i="8"/>
  <c r="AN151" i="8"/>
  <c r="AN252" i="8"/>
  <c r="AJ253" i="8"/>
  <c r="AJ152" i="8"/>
  <c r="AX125" i="8"/>
  <c r="AX33" i="8"/>
  <c r="AY69" i="8"/>
  <c r="AK136" i="8"/>
  <c r="AK117" i="8"/>
  <c r="AK257" i="8" s="1"/>
  <c r="AL115" i="8"/>
  <c r="AW243" i="8"/>
  <c r="AW142" i="8"/>
  <c r="AW244" i="8"/>
  <c r="AW143" i="8"/>
  <c r="AJ130" i="8"/>
  <c r="AJ72" i="8"/>
  <c r="AJ265" i="8" s="1"/>
  <c r="AJ70" i="8"/>
  <c r="AK68" i="8"/>
  <c r="U344" i="8" l="1"/>
  <c r="U345" i="8" s="1"/>
  <c r="U347" i="8" s="1"/>
  <c r="V342" i="8" s="1"/>
  <c r="AK130" i="8"/>
  <c r="AK72" i="8"/>
  <c r="AK265" i="8" s="1"/>
  <c r="AK70" i="8"/>
  <c r="AL68" i="8"/>
  <c r="AJ260" i="8"/>
  <c r="AJ269" i="8" s="1"/>
  <c r="AJ294" i="8" s="1"/>
  <c r="AJ331" i="8" s="1"/>
  <c r="AZ53" i="8"/>
  <c r="AZ52" i="8"/>
  <c r="AX244" i="8"/>
  <c r="AX143" i="8"/>
  <c r="AM146" i="8"/>
  <c r="AM247" i="8"/>
  <c r="AJ251" i="8"/>
  <c r="AJ150" i="8"/>
  <c r="AX246" i="8"/>
  <c r="AX145" i="8"/>
  <c r="AJ159" i="8"/>
  <c r="AY126" i="8"/>
  <c r="AZ271" i="8"/>
  <c r="AK250" i="8"/>
  <c r="AK149" i="8"/>
  <c r="AX254" i="8"/>
  <c r="AX153" i="8"/>
  <c r="AY47" i="8"/>
  <c r="AY127" i="8"/>
  <c r="AZ38" i="8"/>
  <c r="AZ88" i="8"/>
  <c r="AY54" i="8"/>
  <c r="AY128" i="8"/>
  <c r="AY123" i="8"/>
  <c r="AY23" i="8"/>
  <c r="AY263" i="8" s="1"/>
  <c r="AY21" i="8"/>
  <c r="AH368" i="8"/>
  <c r="AI364" i="8" s="1"/>
  <c r="AI368" i="8" s="1"/>
  <c r="AJ364" i="8" s="1"/>
  <c r="AI367" i="8"/>
  <c r="AI387" i="8" s="1"/>
  <c r="AI388" i="8" s="1"/>
  <c r="AJ385" i="8" s="1"/>
  <c r="AZ69" i="8"/>
  <c r="AY186" i="8"/>
  <c r="AY188" i="8" s="1"/>
  <c r="AY276" i="8" s="1"/>
  <c r="AY280" i="8" s="1"/>
  <c r="AY292" i="8" s="1"/>
  <c r="AQ78" i="8"/>
  <c r="AP79" i="8"/>
  <c r="AZ77" i="8"/>
  <c r="AK137" i="8"/>
  <c r="AY14" i="8"/>
  <c r="AY122" i="8"/>
  <c r="AY16" i="8"/>
  <c r="AY262" i="8" s="1"/>
  <c r="AZ97" i="8"/>
  <c r="AZ98" i="8"/>
  <c r="AZ93" i="8"/>
  <c r="AZ27" i="8"/>
  <c r="AZ12" i="8"/>
  <c r="AZ92" i="8"/>
  <c r="AZ31" i="8"/>
  <c r="AZ20" i="8"/>
  <c r="AZ13" i="8"/>
  <c r="AZ26" i="8"/>
  <c r="AZ19" i="8"/>
  <c r="AZ32" i="8"/>
  <c r="AX245" i="8"/>
  <c r="AX144" i="8"/>
  <c r="AX249" i="8"/>
  <c r="AX148" i="8"/>
  <c r="AL132" i="8"/>
  <c r="AL89" i="8"/>
  <c r="AM87" i="8"/>
  <c r="AY131" i="8"/>
  <c r="AY81" i="8"/>
  <c r="AY266" i="8" s="1"/>
  <c r="AX255" i="8"/>
  <c r="AX154" i="8"/>
  <c r="AJ240" i="8"/>
  <c r="AJ140" i="8"/>
  <c r="AZ175" i="8"/>
  <c r="AZ274" i="8" s="1"/>
  <c r="AK253" i="8"/>
  <c r="AK152" i="8"/>
  <c r="AY134" i="8"/>
  <c r="AY99" i="8"/>
  <c r="AY101" i="8"/>
  <c r="AY267" i="8" s="1"/>
  <c r="AL117" i="8"/>
  <c r="AL257" i="8" s="1"/>
  <c r="AL136" i="8"/>
  <c r="AM115" i="8"/>
  <c r="AO252" i="8"/>
  <c r="AO151" i="8"/>
  <c r="AZ116" i="8"/>
  <c r="AZ60" i="8"/>
  <c r="AZ181" i="8"/>
  <c r="AZ275" i="8" s="1"/>
  <c r="AY94" i="8"/>
  <c r="AY133" i="8"/>
  <c r="AY139" i="8" s="1"/>
  <c r="AX248" i="8"/>
  <c r="AX147" i="8"/>
  <c r="AN135" i="8"/>
  <c r="AN109" i="8"/>
  <c r="AN155" i="8" s="1"/>
  <c r="AN256" i="8" s="1"/>
  <c r="AO107" i="8"/>
  <c r="AZ290" i="8"/>
  <c r="BA201" i="8"/>
  <c r="BA289" i="8" s="1"/>
  <c r="BA191" i="8"/>
  <c r="BA277" i="8" s="1"/>
  <c r="BA174" i="8"/>
  <c r="BA192" i="8"/>
  <c r="BA278" i="8" s="1"/>
  <c r="BA178" i="8"/>
  <c r="BA181" i="8" s="1"/>
  <c r="BA275" i="8" s="1"/>
  <c r="BA218" i="8"/>
  <c r="BA309" i="8" s="1"/>
  <c r="BA207" i="8"/>
  <c r="BA36" i="8"/>
  <c r="BA193" i="8"/>
  <c r="BA284" i="8" s="1"/>
  <c r="BA66" i="8"/>
  <c r="BA84" i="8"/>
  <c r="BA8" i="8"/>
  <c r="BA179" i="8"/>
  <c r="BA75" i="8"/>
  <c r="BB3" i="8"/>
  <c r="BA173" i="8"/>
  <c r="BA112" i="8"/>
  <c r="BA104" i="8"/>
  <c r="BA170" i="8"/>
  <c r="BA167" i="8"/>
  <c r="BA273" i="8" s="1"/>
  <c r="BA43" i="8"/>
  <c r="BA172" i="8"/>
  <c r="BA1" i="8"/>
  <c r="BA57" i="8"/>
  <c r="BA180" i="8"/>
  <c r="BA171" i="8"/>
  <c r="BA50" i="8"/>
  <c r="BA209" i="8"/>
  <c r="BA300" i="8" s="1"/>
  <c r="BA211" i="8"/>
  <c r="BA302" i="8" s="1"/>
  <c r="BA217" i="8"/>
  <c r="BA308" i="8" s="1"/>
  <c r="BA212" i="8"/>
  <c r="BA303" i="8" s="1"/>
  <c r="BA226" i="8"/>
  <c r="BA317" i="8" s="1"/>
  <c r="BA228" i="8"/>
  <c r="BA319" i="8" s="1"/>
  <c r="BA197" i="8"/>
  <c r="BA285" i="8" s="1"/>
  <c r="BA229" i="8"/>
  <c r="BA320" i="8" s="1"/>
  <c r="BA227" i="8"/>
  <c r="BA318" i="8" s="1"/>
  <c r="BA232" i="8"/>
  <c r="BA323" i="8" s="1"/>
  <c r="BA213" i="8"/>
  <c r="BA304" i="8" s="1"/>
  <c r="BA230" i="8"/>
  <c r="BA321" i="8" s="1"/>
  <c r="BA231" i="8"/>
  <c r="BA322" i="8" s="1"/>
  <c r="BA194" i="8"/>
  <c r="BA279" i="8" s="1"/>
  <c r="BA214" i="8"/>
  <c r="BA305" i="8" s="1"/>
  <c r="BA219" i="8"/>
  <c r="BA310" i="8" s="1"/>
  <c r="BA220" i="8"/>
  <c r="BA311" i="8" s="1"/>
  <c r="BA221" i="8"/>
  <c r="BA312" i="8" s="1"/>
  <c r="BA165" i="8"/>
  <c r="BA200" i="8"/>
  <c r="BA288" i="8" s="1"/>
  <c r="BA198" i="8"/>
  <c r="BA286" i="8" s="1"/>
  <c r="BA195" i="8"/>
  <c r="BA282" i="8" s="1"/>
  <c r="BA196" i="8"/>
  <c r="BA283" i="8" s="1"/>
  <c r="BA166" i="8"/>
  <c r="BA272" i="8" s="1"/>
  <c r="BA223" i="8"/>
  <c r="BA314" i="8" s="1"/>
  <c r="BA210" i="8"/>
  <c r="BA301" i="8" s="1"/>
  <c r="BA222" i="8"/>
  <c r="BA313" i="8" s="1"/>
  <c r="BA235" i="8"/>
  <c r="BA326" i="8" s="1"/>
  <c r="BA233" i="8"/>
  <c r="BA324" i="8" s="1"/>
  <c r="BA234" i="8"/>
  <c r="BA325" i="8" s="1"/>
  <c r="BA199" i="8"/>
  <c r="BA287" i="8" s="1"/>
  <c r="BA215" i="8"/>
  <c r="BA306" i="8" s="1"/>
  <c r="BA216" i="8"/>
  <c r="BA307" i="8" s="1"/>
  <c r="BA208" i="8"/>
  <c r="BA299" i="8" s="1"/>
  <c r="AZ298" i="8"/>
  <c r="AZ327" i="8" s="1"/>
  <c r="AZ329" i="8" s="1"/>
  <c r="AZ236" i="8"/>
  <c r="AL61" i="8"/>
  <c r="AL63" i="8"/>
  <c r="AL264" i="8" s="1"/>
  <c r="AL129" i="8"/>
  <c r="AM59" i="8"/>
  <c r="AY125" i="8"/>
  <c r="AY33" i="8"/>
  <c r="AZ108" i="8"/>
  <c r="AZ46" i="8"/>
  <c r="AZ45" i="8"/>
  <c r="AN40" i="8"/>
  <c r="AO39" i="8"/>
  <c r="AY124" i="8"/>
  <c r="AY28" i="8"/>
  <c r="AX243" i="8"/>
  <c r="AX142" i="8"/>
  <c r="V344" i="8" l="1"/>
  <c r="V345" i="8" s="1"/>
  <c r="V347" i="8" s="1"/>
  <c r="W342" i="8" s="1"/>
  <c r="AO135" i="8"/>
  <c r="AO109" i="8"/>
  <c r="AO155" i="8" s="1"/>
  <c r="AO256" i="8" s="1"/>
  <c r="AP107" i="8"/>
  <c r="BA271" i="8"/>
  <c r="BA185" i="8"/>
  <c r="BA184" i="8"/>
  <c r="BA186" i="8"/>
  <c r="BA187" i="8"/>
  <c r="BA69" i="8"/>
  <c r="AZ184" i="8"/>
  <c r="AY246" i="8"/>
  <c r="AY145" i="8"/>
  <c r="BA45" i="8"/>
  <c r="BA46" i="8"/>
  <c r="AM117" i="8"/>
  <c r="AM257" i="8" s="1"/>
  <c r="AM136" i="8"/>
  <c r="AN115" i="8"/>
  <c r="AZ101" i="8"/>
  <c r="AZ267" i="8" s="1"/>
  <c r="AZ134" i="8"/>
  <c r="AZ99" i="8"/>
  <c r="AZ186" i="8"/>
  <c r="BA38" i="8"/>
  <c r="AZ126" i="8"/>
  <c r="AZ128" i="8"/>
  <c r="AZ54" i="8"/>
  <c r="AM129" i="8"/>
  <c r="AM61" i="8"/>
  <c r="AM63" i="8"/>
  <c r="AM264" i="8" s="1"/>
  <c r="AN59" i="8"/>
  <c r="BA175" i="8"/>
  <c r="BA274" i="8" s="1"/>
  <c r="BA236" i="8"/>
  <c r="BA298" i="8"/>
  <c r="BA327" i="8" s="1"/>
  <c r="BA329" i="8" s="1"/>
  <c r="AZ123" i="8"/>
  <c r="AZ23" i="8"/>
  <c r="AZ263" i="8" s="1"/>
  <c r="AZ21" i="8"/>
  <c r="BA108" i="8"/>
  <c r="BA116" i="8"/>
  <c r="AN247" i="8"/>
  <c r="AN146" i="8"/>
  <c r="BA53" i="8"/>
  <c r="BA52" i="8"/>
  <c r="BB174" i="8"/>
  <c r="BB179" i="8"/>
  <c r="BB171" i="8"/>
  <c r="BB178" i="8"/>
  <c r="BB181" i="8" s="1"/>
  <c r="BB275" i="8" s="1"/>
  <c r="BB172" i="8"/>
  <c r="BB192" i="8"/>
  <c r="BB278" i="8" s="1"/>
  <c r="BB104" i="8"/>
  <c r="BB193" i="8"/>
  <c r="BB284" i="8" s="1"/>
  <c r="BB66" i="8"/>
  <c r="BB84" i="8"/>
  <c r="BB36" i="8"/>
  <c r="BB8" i="8"/>
  <c r="BB170" i="8"/>
  <c r="BB167" i="8"/>
  <c r="BB273" i="8" s="1"/>
  <c r="BB43" i="8"/>
  <c r="BC3" i="8"/>
  <c r="BB218" i="8"/>
  <c r="BB309" i="8" s="1"/>
  <c r="BB57" i="8"/>
  <c r="BB207" i="8"/>
  <c r="BB173" i="8"/>
  <c r="BB201" i="8"/>
  <c r="BB289" i="8" s="1"/>
  <c r="BB191" i="8"/>
  <c r="BB277" i="8" s="1"/>
  <c r="BB112" i="8"/>
  <c r="BB209" i="8"/>
  <c r="BB300" i="8" s="1"/>
  <c r="BB50" i="8"/>
  <c r="BB75" i="8"/>
  <c r="BB180" i="8"/>
  <c r="BB1" i="8"/>
  <c r="BB211" i="8"/>
  <c r="BB302" i="8" s="1"/>
  <c r="BB217" i="8"/>
  <c r="BB308" i="8" s="1"/>
  <c r="BB212" i="8"/>
  <c r="BB303" i="8" s="1"/>
  <c r="BB228" i="8"/>
  <c r="BB319" i="8" s="1"/>
  <c r="BB197" i="8"/>
  <c r="BB285" i="8" s="1"/>
  <c r="BB226" i="8"/>
  <c r="BB317" i="8" s="1"/>
  <c r="BB232" i="8"/>
  <c r="BB323" i="8" s="1"/>
  <c r="BB227" i="8"/>
  <c r="BB318" i="8" s="1"/>
  <c r="BB229" i="8"/>
  <c r="BB320" i="8" s="1"/>
  <c r="BB230" i="8"/>
  <c r="BB321" i="8" s="1"/>
  <c r="BB213" i="8"/>
  <c r="BB304" i="8" s="1"/>
  <c r="BB231" i="8"/>
  <c r="BB322" i="8" s="1"/>
  <c r="BB194" i="8"/>
  <c r="BB279" i="8" s="1"/>
  <c r="BB219" i="8"/>
  <c r="BB310" i="8" s="1"/>
  <c r="BB214" i="8"/>
  <c r="BB305" i="8" s="1"/>
  <c r="BB220" i="8"/>
  <c r="BB311" i="8" s="1"/>
  <c r="BB221" i="8"/>
  <c r="BB312" i="8" s="1"/>
  <c r="BB165" i="8"/>
  <c r="BB196" i="8"/>
  <c r="BB283" i="8" s="1"/>
  <c r="BB198" i="8"/>
  <c r="BB286" i="8" s="1"/>
  <c r="BB200" i="8"/>
  <c r="BB288" i="8" s="1"/>
  <c r="BB223" i="8"/>
  <c r="BB314" i="8" s="1"/>
  <c r="BB166" i="8"/>
  <c r="BB272" i="8" s="1"/>
  <c r="BB195" i="8"/>
  <c r="BB282" i="8" s="1"/>
  <c r="BB210" i="8"/>
  <c r="BB301" i="8" s="1"/>
  <c r="BB222" i="8"/>
  <c r="BB313" i="8" s="1"/>
  <c r="BB235" i="8"/>
  <c r="BB326" i="8" s="1"/>
  <c r="BB233" i="8"/>
  <c r="BB324" i="8" s="1"/>
  <c r="BB234" i="8"/>
  <c r="BB325" i="8" s="1"/>
  <c r="BB199" i="8"/>
  <c r="BB287" i="8" s="1"/>
  <c r="BB215" i="8"/>
  <c r="BB306" i="8" s="1"/>
  <c r="BB216" i="8"/>
  <c r="BB307" i="8" s="1"/>
  <c r="BB208" i="8"/>
  <c r="BB299" i="8" s="1"/>
  <c r="AM132" i="8"/>
  <c r="AM89" i="8"/>
  <c r="AN87" i="8"/>
  <c r="AZ125" i="8"/>
  <c r="AZ33" i="8"/>
  <c r="AZ131" i="8"/>
  <c r="AZ81" i="8"/>
  <c r="AZ266" i="8" s="1"/>
  <c r="BA31" i="8"/>
  <c r="BA93" i="8"/>
  <c r="BA98" i="8"/>
  <c r="BA27" i="8"/>
  <c r="BA12" i="8"/>
  <c r="BA19" i="8"/>
  <c r="BA92" i="8"/>
  <c r="BA13" i="8"/>
  <c r="BA32" i="8"/>
  <c r="BA26" i="8"/>
  <c r="BA97" i="8"/>
  <c r="BA20" i="8"/>
  <c r="AZ185" i="8"/>
  <c r="AY248" i="8"/>
  <c r="AY147" i="8"/>
  <c r="AP39" i="8"/>
  <c r="AO40" i="8"/>
  <c r="BA77" i="8"/>
  <c r="AL253" i="8"/>
  <c r="AL152" i="8"/>
  <c r="AZ94" i="8"/>
  <c r="AZ133" i="8"/>
  <c r="AZ139" i="8" s="1"/>
  <c r="BA60" i="8"/>
  <c r="BA88" i="8"/>
  <c r="AY245" i="8"/>
  <c r="AY144" i="8"/>
  <c r="AZ124" i="8"/>
  <c r="AZ28" i="8"/>
  <c r="AY243" i="8"/>
  <c r="AY142" i="8"/>
  <c r="AJ346" i="8"/>
  <c r="AJ367" i="8"/>
  <c r="AJ387" i="8" s="1"/>
  <c r="AJ388" i="8" s="1"/>
  <c r="AK385" i="8" s="1"/>
  <c r="AY254" i="8"/>
  <c r="AY153" i="8"/>
  <c r="AY255" i="8"/>
  <c r="AY154" i="8"/>
  <c r="AL72" i="8"/>
  <c r="AL265" i="8" s="1"/>
  <c r="AL70" i="8"/>
  <c r="AL130" i="8"/>
  <c r="AM68" i="8"/>
  <c r="AL250" i="8"/>
  <c r="AL149" i="8"/>
  <c r="AK140" i="8"/>
  <c r="AK240" i="8"/>
  <c r="AY244" i="8"/>
  <c r="AY143" i="8"/>
  <c r="AK251" i="8"/>
  <c r="AK260" i="8" s="1"/>
  <c r="AK269" i="8" s="1"/>
  <c r="AK294" i="8" s="1"/>
  <c r="AK331" i="8" s="1"/>
  <c r="AK150" i="8"/>
  <c r="AK159" i="8" s="1"/>
  <c r="AZ47" i="8"/>
  <c r="AZ127" i="8"/>
  <c r="BA290" i="8"/>
  <c r="AL137" i="8"/>
  <c r="AZ16" i="8"/>
  <c r="AZ262" i="8" s="1"/>
  <c r="AZ14" i="8"/>
  <c r="AZ122" i="8"/>
  <c r="AP151" i="8"/>
  <c r="AP252" i="8"/>
  <c r="AR78" i="8"/>
  <c r="AQ79" i="8"/>
  <c r="AY249" i="8"/>
  <c r="AY148" i="8"/>
  <c r="AZ187" i="8"/>
  <c r="W344" i="8" l="1"/>
  <c r="W345" i="8" s="1"/>
  <c r="W347" i="8" s="1"/>
  <c r="X342" i="8" s="1"/>
  <c r="AK367" i="8"/>
  <c r="AK387" i="8" s="1"/>
  <c r="AK388" i="8" s="1"/>
  <c r="AL385" i="8" s="1"/>
  <c r="BA125" i="8"/>
  <c r="BA33" i="8"/>
  <c r="BB271" i="8"/>
  <c r="BB186" i="8"/>
  <c r="BB184" i="8"/>
  <c r="BB187" i="8"/>
  <c r="BB88" i="8"/>
  <c r="AN129" i="8"/>
  <c r="AN61" i="8"/>
  <c r="AN63" i="8"/>
  <c r="AN264" i="8" s="1"/>
  <c r="AO59" i="8"/>
  <c r="AZ188" i="8"/>
  <c r="AZ276" i="8" s="1"/>
  <c r="AZ280" i="8" s="1"/>
  <c r="AZ292" i="8" s="1"/>
  <c r="AZ142" i="8"/>
  <c r="AZ243" i="8"/>
  <c r="AL159" i="8"/>
  <c r="BB69" i="8"/>
  <c r="BA99" i="8"/>
  <c r="BA134" i="8"/>
  <c r="BA101" i="8"/>
  <c r="BA267" i="8" s="1"/>
  <c r="AM250" i="8"/>
  <c r="AM149" i="8"/>
  <c r="AZ154" i="8"/>
  <c r="AZ255" i="8"/>
  <c r="AL140" i="8"/>
  <c r="AL240" i="8"/>
  <c r="AM72" i="8"/>
  <c r="AM265" i="8" s="1"/>
  <c r="AM70" i="8"/>
  <c r="AM130" i="8"/>
  <c r="AN68" i="8"/>
  <c r="AZ254" i="8"/>
  <c r="AZ153" i="8"/>
  <c r="BA28" i="8"/>
  <c r="BA124" i="8"/>
  <c r="BB236" i="8"/>
  <c r="BB298" i="8"/>
  <c r="BB327" i="8" s="1"/>
  <c r="BB329" i="8" s="1"/>
  <c r="BB108" i="8"/>
  <c r="AZ245" i="8"/>
  <c r="AZ144" i="8"/>
  <c r="AZ246" i="8"/>
  <c r="AZ145" i="8"/>
  <c r="BB60" i="8"/>
  <c r="AL251" i="8"/>
  <c r="AL260" i="8" s="1"/>
  <c r="AL269" i="8" s="1"/>
  <c r="AL294" i="8" s="1"/>
  <c r="AL331" i="8" s="1"/>
  <c r="AL150" i="8"/>
  <c r="AZ249" i="8"/>
  <c r="AZ148" i="8"/>
  <c r="AN117" i="8"/>
  <c r="AN257" i="8" s="1"/>
  <c r="AN136" i="8"/>
  <c r="AO115" i="8"/>
  <c r="BA188" i="8"/>
  <c r="BA276" i="8" s="1"/>
  <c r="AZ248" i="8"/>
  <c r="AZ147" i="8"/>
  <c r="BA131" i="8"/>
  <c r="BA81" i="8"/>
  <c r="BA266" i="8" s="1"/>
  <c r="BB290" i="8"/>
  <c r="AQ252" i="8"/>
  <c r="AQ151" i="8"/>
  <c r="AJ368" i="8"/>
  <c r="AK364" i="8" s="1"/>
  <c r="AQ39" i="8"/>
  <c r="AP40" i="8"/>
  <c r="BB175" i="8"/>
  <c r="BB274" i="8" s="1"/>
  <c r="BA47" i="8"/>
  <c r="BA127" i="8"/>
  <c r="BA128" i="8"/>
  <c r="BA54" i="8"/>
  <c r="BA94" i="8"/>
  <c r="BA133" i="8"/>
  <c r="BA139" i="8" s="1"/>
  <c r="AN132" i="8"/>
  <c r="AN89" i="8"/>
  <c r="AO87" i="8"/>
  <c r="BC179" i="8"/>
  <c r="BC174" i="8"/>
  <c r="BC171" i="8"/>
  <c r="BC193" i="8"/>
  <c r="BC284" i="8" s="1"/>
  <c r="BC173" i="8"/>
  <c r="BC178" i="8"/>
  <c r="BC181" i="8" s="1"/>
  <c r="BC275" i="8" s="1"/>
  <c r="BC172" i="8"/>
  <c r="BC167" i="8"/>
  <c r="BC273" i="8" s="1"/>
  <c r="BC211" i="8"/>
  <c r="BC302" i="8" s="1"/>
  <c r="BC192" i="8"/>
  <c r="BC278" i="8" s="1"/>
  <c r="BC66" i="8"/>
  <c r="BC84" i="8"/>
  <c r="BC36" i="8"/>
  <c r="BC8" i="8"/>
  <c r="BC43" i="8"/>
  <c r="BC201" i="8"/>
  <c r="BC289" i="8" s="1"/>
  <c r="BC104" i="8"/>
  <c r="BC191" i="8"/>
  <c r="BC277" i="8" s="1"/>
  <c r="BC1" i="8"/>
  <c r="BC218" i="8"/>
  <c r="BC309" i="8" s="1"/>
  <c r="BC112" i="8"/>
  <c r="BC207" i="8"/>
  <c r="BC57" i="8"/>
  <c r="BD3" i="8"/>
  <c r="BC180" i="8"/>
  <c r="BC50" i="8"/>
  <c r="BC75" i="8"/>
  <c r="BC170" i="8"/>
  <c r="BC209" i="8"/>
  <c r="BC300" i="8" s="1"/>
  <c r="BC217" i="8"/>
  <c r="BC308" i="8" s="1"/>
  <c r="BC212" i="8"/>
  <c r="BC303" i="8" s="1"/>
  <c r="BC226" i="8"/>
  <c r="BC317" i="8" s="1"/>
  <c r="BC197" i="8"/>
  <c r="BC285" i="8" s="1"/>
  <c r="BC228" i="8"/>
  <c r="BC319" i="8" s="1"/>
  <c r="BC229" i="8"/>
  <c r="BC320" i="8" s="1"/>
  <c r="BC227" i="8"/>
  <c r="BC318" i="8" s="1"/>
  <c r="BC232" i="8"/>
  <c r="BC323" i="8" s="1"/>
  <c r="BC213" i="8"/>
  <c r="BC304" i="8" s="1"/>
  <c r="BC230" i="8"/>
  <c r="BC321" i="8" s="1"/>
  <c r="BC231" i="8"/>
  <c r="BC322" i="8" s="1"/>
  <c r="BC194" i="8"/>
  <c r="BC279" i="8" s="1"/>
  <c r="BC214" i="8"/>
  <c r="BC305" i="8" s="1"/>
  <c r="BC219" i="8"/>
  <c r="BC310" i="8" s="1"/>
  <c r="BC221" i="8"/>
  <c r="BC312" i="8" s="1"/>
  <c r="BC220" i="8"/>
  <c r="BC311" i="8" s="1"/>
  <c r="BC165" i="8"/>
  <c r="BC198" i="8"/>
  <c r="BC286" i="8" s="1"/>
  <c r="BC223" i="8"/>
  <c r="BC314" i="8" s="1"/>
  <c r="BC196" i="8"/>
  <c r="BC283" i="8" s="1"/>
  <c r="BC166" i="8"/>
  <c r="BC272" i="8" s="1"/>
  <c r="BC195" i="8"/>
  <c r="BC282" i="8" s="1"/>
  <c r="BC200" i="8"/>
  <c r="BC288" i="8" s="1"/>
  <c r="BC222" i="8"/>
  <c r="BC313" i="8" s="1"/>
  <c r="BC210" i="8"/>
  <c r="BC301" i="8" s="1"/>
  <c r="BC235" i="8"/>
  <c r="BC326" i="8" s="1"/>
  <c r="BC233" i="8"/>
  <c r="BC324" i="8" s="1"/>
  <c r="BC234" i="8"/>
  <c r="BC325" i="8" s="1"/>
  <c r="BC199" i="8"/>
  <c r="BC287" i="8" s="1"/>
  <c r="BC215" i="8"/>
  <c r="BC306" i="8" s="1"/>
  <c r="BC216" i="8"/>
  <c r="BC307" i="8" s="1"/>
  <c r="BC208" i="8"/>
  <c r="BC299" i="8" s="1"/>
  <c r="AZ143" i="8"/>
  <c r="AZ244" i="8"/>
  <c r="BA123" i="8"/>
  <c r="BA23" i="8"/>
  <c r="BA263" i="8" s="1"/>
  <c r="BA21" i="8"/>
  <c r="AM253" i="8"/>
  <c r="AM152" i="8"/>
  <c r="BB46" i="8"/>
  <c r="BB45" i="8"/>
  <c r="BA280" i="8"/>
  <c r="BA292" i="8" s="1"/>
  <c r="AR79" i="8"/>
  <c r="AS78" i="8"/>
  <c r="AO146" i="8"/>
  <c r="AO247" i="8"/>
  <c r="BA16" i="8"/>
  <c r="BA262" i="8" s="1"/>
  <c r="BA122" i="8"/>
  <c r="BA14" i="8"/>
  <c r="AM137" i="8"/>
  <c r="BB77" i="8"/>
  <c r="AP135" i="8"/>
  <c r="AP109" i="8"/>
  <c r="AP155" i="8" s="1"/>
  <c r="AP256" i="8" s="1"/>
  <c r="AQ107" i="8"/>
  <c r="BB53" i="8"/>
  <c r="BB52" i="8"/>
  <c r="BB93" i="8"/>
  <c r="BB98" i="8"/>
  <c r="BB31" i="8"/>
  <c r="BB12" i="8"/>
  <c r="BB92" i="8"/>
  <c r="BB19" i="8"/>
  <c r="BB13" i="8"/>
  <c r="BB20" i="8"/>
  <c r="BB26" i="8"/>
  <c r="BB97" i="8"/>
  <c r="BB32" i="8"/>
  <c r="BB27" i="8"/>
  <c r="BA126" i="8"/>
  <c r="BB116" i="8"/>
  <c r="BB38" i="8"/>
  <c r="AL388" i="8" l="1"/>
  <c r="AM385" i="8" s="1"/>
  <c r="X344" i="8"/>
  <c r="X345" i="8" s="1"/>
  <c r="X347" i="8" s="1"/>
  <c r="Y342" i="8" s="1"/>
  <c r="AL367" i="8"/>
  <c r="AL387" i="8" s="1"/>
  <c r="BC60" i="8"/>
  <c r="AN152" i="8"/>
  <c r="AN253" i="8"/>
  <c r="BB127" i="8"/>
  <c r="BB47" i="8"/>
  <c r="BC271" i="8"/>
  <c r="BC298" i="8"/>
  <c r="BC327" i="8" s="1"/>
  <c r="BC329" i="8" s="1"/>
  <c r="BC236" i="8"/>
  <c r="AN137" i="8"/>
  <c r="BB188" i="8"/>
  <c r="BB276" i="8" s="1"/>
  <c r="BB280" i="8" s="1"/>
  <c r="BB292" i="8" s="1"/>
  <c r="BC116" i="8"/>
  <c r="BB23" i="8"/>
  <c r="BB263" i="8" s="1"/>
  <c r="BB123" i="8"/>
  <c r="BB21" i="8"/>
  <c r="BB131" i="8"/>
  <c r="BB81" i="8"/>
  <c r="BB266" i="8" s="1"/>
  <c r="BA254" i="8"/>
  <c r="BA153" i="8"/>
  <c r="BA245" i="8"/>
  <c r="BA144" i="8"/>
  <c r="BB185" i="8"/>
  <c r="BC175" i="8"/>
  <c r="BC274" i="8" s="1"/>
  <c r="BA248" i="8"/>
  <c r="BA147" i="8"/>
  <c r="AN72" i="8"/>
  <c r="AN265" i="8" s="1"/>
  <c r="AN130" i="8"/>
  <c r="AN70" i="8"/>
  <c r="AO68" i="8"/>
  <c r="BA255" i="8"/>
  <c r="BA154" i="8"/>
  <c r="AN250" i="8"/>
  <c r="AN149" i="8"/>
  <c r="BC69" i="8"/>
  <c r="BC77" i="8"/>
  <c r="BC45" i="8"/>
  <c r="BC46" i="8"/>
  <c r="BB126" i="8"/>
  <c r="BA249" i="8"/>
  <c r="BA148" i="8"/>
  <c r="AM260" i="8"/>
  <c r="AM269" i="8" s="1"/>
  <c r="AM294" i="8" s="1"/>
  <c r="AM331" i="8" s="1"/>
  <c r="BB16" i="8"/>
  <c r="BB262" i="8" s="1"/>
  <c r="BB14" i="8"/>
  <c r="BB122" i="8"/>
  <c r="BA246" i="8"/>
  <c r="BA145" i="8"/>
  <c r="BB54" i="8"/>
  <c r="BB128" i="8"/>
  <c r="BC52" i="8"/>
  <c r="BC53" i="8"/>
  <c r="BC93" i="8"/>
  <c r="BC98" i="8"/>
  <c r="BC31" i="8"/>
  <c r="BC19" i="8"/>
  <c r="BC92" i="8"/>
  <c r="BC13" i="8"/>
  <c r="BC27" i="8"/>
  <c r="BC12" i="8"/>
  <c r="BC97" i="8"/>
  <c r="BC26" i="8"/>
  <c r="BC32" i="8"/>
  <c r="BC20" i="8"/>
  <c r="AP247" i="8"/>
  <c r="AP146" i="8"/>
  <c r="AO117" i="8"/>
  <c r="AO257" i="8" s="1"/>
  <c r="AO136" i="8"/>
  <c r="AP115" i="8"/>
  <c r="AM251" i="8"/>
  <c r="AM150" i="8"/>
  <c r="AM159" i="8" s="1"/>
  <c r="BB28" i="8"/>
  <c r="BB124" i="8"/>
  <c r="AM140" i="8"/>
  <c r="AM240" i="8"/>
  <c r="BA143" i="8"/>
  <c r="BA244" i="8"/>
  <c r="AO129" i="8"/>
  <c r="AO61" i="8"/>
  <c r="AO63" i="8"/>
  <c r="AO264" i="8" s="1"/>
  <c r="AP59" i="8"/>
  <c r="BC290" i="8"/>
  <c r="AT78" i="8"/>
  <c r="AS79" i="8"/>
  <c r="BC38" i="8"/>
  <c r="AQ40" i="8"/>
  <c r="AR39" i="8"/>
  <c r="BB94" i="8"/>
  <c r="BB133" i="8"/>
  <c r="BB139" i="8" s="1"/>
  <c r="BA243" i="8"/>
  <c r="BA142" i="8"/>
  <c r="BB125" i="8"/>
  <c r="BB33" i="8"/>
  <c r="BC108" i="8"/>
  <c r="BB134" i="8"/>
  <c r="BB101" i="8"/>
  <c r="BB267" i="8" s="1"/>
  <c r="BB99" i="8"/>
  <c r="AQ135" i="8"/>
  <c r="AQ109" i="8"/>
  <c r="AQ155" i="8" s="1"/>
  <c r="AQ256" i="8" s="1"/>
  <c r="AR107" i="8"/>
  <c r="AR252" i="8"/>
  <c r="AR151" i="8"/>
  <c r="BD171" i="8"/>
  <c r="BD193" i="8"/>
  <c r="BD284" i="8" s="1"/>
  <c r="BD173" i="8"/>
  <c r="BD207" i="8"/>
  <c r="BD180" i="8"/>
  <c r="BD172" i="8"/>
  <c r="BD167" i="8"/>
  <c r="BD273" i="8" s="1"/>
  <c r="BD192" i="8"/>
  <c r="BD278" i="8" s="1"/>
  <c r="BD84" i="8"/>
  <c r="BD36" i="8"/>
  <c r="BD8" i="8"/>
  <c r="BD1" i="8"/>
  <c r="BD104" i="8"/>
  <c r="BD43" i="8"/>
  <c r="BD57" i="8"/>
  <c r="BE3" i="8"/>
  <c r="BD201" i="8"/>
  <c r="BD289" i="8" s="1"/>
  <c r="BD218" i="8"/>
  <c r="BD309" i="8" s="1"/>
  <c r="BD66" i="8"/>
  <c r="BD191" i="8"/>
  <c r="BD277" i="8" s="1"/>
  <c r="BD174" i="8"/>
  <c r="BD112" i="8"/>
  <c r="BD178" i="8"/>
  <c r="BD181" i="8" s="1"/>
  <c r="BD275" i="8" s="1"/>
  <c r="BD50" i="8"/>
  <c r="BD170" i="8"/>
  <c r="BD179" i="8"/>
  <c r="BD75" i="8"/>
  <c r="BD209" i="8"/>
  <c r="BD300" i="8" s="1"/>
  <c r="BD212" i="8"/>
  <c r="BD303" i="8" s="1"/>
  <c r="BD211" i="8"/>
  <c r="BD302" i="8" s="1"/>
  <c r="BD217" i="8"/>
  <c r="BD308" i="8" s="1"/>
  <c r="BD197" i="8"/>
  <c r="BD285" i="8" s="1"/>
  <c r="BD228" i="8"/>
  <c r="BD319" i="8" s="1"/>
  <c r="BD226" i="8"/>
  <c r="BD317" i="8" s="1"/>
  <c r="BD232" i="8"/>
  <c r="BD323" i="8" s="1"/>
  <c r="BD227" i="8"/>
  <c r="BD318" i="8" s="1"/>
  <c r="BD229" i="8"/>
  <c r="BD320" i="8" s="1"/>
  <c r="BD230" i="8"/>
  <c r="BD321" i="8" s="1"/>
  <c r="BD213" i="8"/>
  <c r="BD304" i="8" s="1"/>
  <c r="BD231" i="8"/>
  <c r="BD322" i="8" s="1"/>
  <c r="BD194" i="8"/>
  <c r="BD279" i="8" s="1"/>
  <c r="BD214" i="8"/>
  <c r="BD305" i="8" s="1"/>
  <c r="BD219" i="8"/>
  <c r="BD310" i="8" s="1"/>
  <c r="BD221" i="8"/>
  <c r="BD312" i="8" s="1"/>
  <c r="BD220" i="8"/>
  <c r="BD311" i="8" s="1"/>
  <c r="BD165" i="8"/>
  <c r="BD223" i="8"/>
  <c r="BD314" i="8" s="1"/>
  <c r="BD195" i="8"/>
  <c r="BD282" i="8" s="1"/>
  <c r="BD290" i="8" s="1"/>
  <c r="BD196" i="8"/>
  <c r="BD283" i="8" s="1"/>
  <c r="BD198" i="8"/>
  <c r="BD286" i="8" s="1"/>
  <c r="BD166" i="8"/>
  <c r="BD272" i="8" s="1"/>
  <c r="BD200" i="8"/>
  <c r="BD288" i="8" s="1"/>
  <c r="BD210" i="8"/>
  <c r="BD301" i="8" s="1"/>
  <c r="BD222" i="8"/>
  <c r="BD313" i="8" s="1"/>
  <c r="BD235" i="8"/>
  <c r="BD326" i="8" s="1"/>
  <c r="BD233" i="8"/>
  <c r="BD324" i="8" s="1"/>
  <c r="BD234" i="8"/>
  <c r="BD325" i="8" s="1"/>
  <c r="BD199" i="8"/>
  <c r="BD287" i="8" s="1"/>
  <c r="BD215" i="8"/>
  <c r="BD306" i="8" s="1"/>
  <c r="BD216" i="8"/>
  <c r="BD307" i="8" s="1"/>
  <c r="BD208" i="8"/>
  <c r="BD299" i="8" s="1"/>
  <c r="BC88" i="8"/>
  <c r="AO132" i="8"/>
  <c r="AO89" i="8"/>
  <c r="AP87" i="8"/>
  <c r="AK368" i="8"/>
  <c r="AL364" i="8" s="1"/>
  <c r="AL368" i="8" s="1"/>
  <c r="AM364" i="8" s="1"/>
  <c r="Y344" i="8" l="1"/>
  <c r="Y345" i="8" s="1"/>
  <c r="BD271" i="8"/>
  <c r="BD116" i="8"/>
  <c r="BD38" i="8"/>
  <c r="AR135" i="8"/>
  <c r="AR109" i="8"/>
  <c r="AR155" i="8" s="1"/>
  <c r="AR256" i="8" s="1"/>
  <c r="AS107" i="8"/>
  <c r="AO250" i="8"/>
  <c r="AO149" i="8"/>
  <c r="BC125" i="8"/>
  <c r="BC33" i="8"/>
  <c r="BD88" i="8"/>
  <c r="AM367" i="8"/>
  <c r="AM387" i="8" s="1"/>
  <c r="AM388" i="8" s="1"/>
  <c r="AN385" i="8" s="1"/>
  <c r="BB147" i="8"/>
  <c r="BB248" i="8"/>
  <c r="BB153" i="8"/>
  <c r="BB254" i="8"/>
  <c r="AN260" i="8"/>
  <c r="AN269" i="8" s="1"/>
  <c r="AN294" i="8" s="1"/>
  <c r="AN331" i="8" s="1"/>
  <c r="AM368" i="8"/>
  <c r="AN364" i="8" s="1"/>
  <c r="BD69" i="8"/>
  <c r="BB255" i="8"/>
  <c r="BB154" i="8"/>
  <c r="AS39" i="8"/>
  <c r="AR40" i="8"/>
  <c r="AP132" i="8"/>
  <c r="AP89" i="8"/>
  <c r="AQ87" i="8"/>
  <c r="AN240" i="8"/>
  <c r="AN140" i="8"/>
  <c r="BD77" i="8"/>
  <c r="BD60" i="8"/>
  <c r="AS252" i="8"/>
  <c r="AS151" i="8"/>
  <c r="BB144" i="8"/>
  <c r="BB245" i="8"/>
  <c r="BC122" i="8"/>
  <c r="BC16" i="8"/>
  <c r="BC262" i="8" s="1"/>
  <c r="BC14" i="8"/>
  <c r="BB249" i="8"/>
  <c r="BB148" i="8"/>
  <c r="BC127" i="8"/>
  <c r="BC47" i="8"/>
  <c r="AO152" i="8"/>
  <c r="AO253" i="8"/>
  <c r="BD45" i="8"/>
  <c r="BD46" i="8"/>
  <c r="AQ247" i="8"/>
  <c r="AQ146" i="8"/>
  <c r="BC128" i="8"/>
  <c r="BC54" i="8"/>
  <c r="BC28" i="8"/>
  <c r="BC124" i="8"/>
  <c r="AO72" i="8"/>
  <c r="AO265" i="8" s="1"/>
  <c r="AO130" i="8"/>
  <c r="AO70" i="8"/>
  <c r="AP68" i="8"/>
  <c r="AO137" i="8"/>
  <c r="BE201" i="8"/>
  <c r="BE289" i="8" s="1"/>
  <c r="BE172" i="8"/>
  <c r="BE193" i="8"/>
  <c r="BE284" i="8" s="1"/>
  <c r="BE173" i="8"/>
  <c r="BE207" i="8"/>
  <c r="BE180" i="8"/>
  <c r="BE192" i="8"/>
  <c r="BE278" i="8" s="1"/>
  <c r="BE179" i="8"/>
  <c r="BE174" i="8"/>
  <c r="BE218" i="8"/>
  <c r="BE309" i="8" s="1"/>
  <c r="BE50" i="8"/>
  <c r="BE104" i="8"/>
  <c r="BE43" i="8"/>
  <c r="BE57" i="8"/>
  <c r="BF3" i="8"/>
  <c r="BE1" i="8"/>
  <c r="BE191" i="8"/>
  <c r="BE277" i="8" s="1"/>
  <c r="BE112" i="8"/>
  <c r="BE178" i="8"/>
  <c r="BE181" i="8" s="1"/>
  <c r="BE275" i="8" s="1"/>
  <c r="BE66" i="8"/>
  <c r="BE8" i="8"/>
  <c r="BE170" i="8"/>
  <c r="BE171" i="8"/>
  <c r="BE75" i="8"/>
  <c r="BE84" i="8"/>
  <c r="BE36" i="8"/>
  <c r="BE217" i="8"/>
  <c r="BE308" i="8" s="1"/>
  <c r="BE209" i="8"/>
  <c r="BE300" i="8" s="1"/>
  <c r="BE167" i="8"/>
  <c r="BE273" i="8" s="1"/>
  <c r="BE212" i="8"/>
  <c r="BE303" i="8" s="1"/>
  <c r="BE211" i="8"/>
  <c r="BE302" i="8" s="1"/>
  <c r="BE197" i="8"/>
  <c r="BE285" i="8" s="1"/>
  <c r="BE226" i="8"/>
  <c r="BE317" i="8" s="1"/>
  <c r="BE228" i="8"/>
  <c r="BE319" i="8" s="1"/>
  <c r="BE232" i="8"/>
  <c r="BE323" i="8" s="1"/>
  <c r="BE227" i="8"/>
  <c r="BE318" i="8" s="1"/>
  <c r="BE229" i="8"/>
  <c r="BE320" i="8" s="1"/>
  <c r="BE213" i="8"/>
  <c r="BE304" i="8" s="1"/>
  <c r="BE230" i="8"/>
  <c r="BE321" i="8" s="1"/>
  <c r="BE231" i="8"/>
  <c r="BE322" i="8" s="1"/>
  <c r="BE194" i="8"/>
  <c r="BE279" i="8" s="1"/>
  <c r="BE214" i="8"/>
  <c r="BE305" i="8" s="1"/>
  <c r="BE219" i="8"/>
  <c r="BE310" i="8" s="1"/>
  <c r="BE221" i="8"/>
  <c r="BE312" i="8" s="1"/>
  <c r="BE220" i="8"/>
  <c r="BE311" i="8" s="1"/>
  <c r="BE165" i="8"/>
  <c r="BE196" i="8"/>
  <c r="BE283" i="8" s="1"/>
  <c r="BE223" i="8"/>
  <c r="BE314" i="8" s="1"/>
  <c r="BE166" i="8"/>
  <c r="BE272" i="8" s="1"/>
  <c r="BE198" i="8"/>
  <c r="BE286" i="8" s="1"/>
  <c r="BE195" i="8"/>
  <c r="BE282" i="8" s="1"/>
  <c r="BE200" i="8"/>
  <c r="BE288" i="8" s="1"/>
  <c r="BE222" i="8"/>
  <c r="BE313" i="8" s="1"/>
  <c r="BE210" i="8"/>
  <c r="BE301" i="8" s="1"/>
  <c r="BE235" i="8"/>
  <c r="BE326" i="8" s="1"/>
  <c r="BE233" i="8"/>
  <c r="BE324" i="8" s="1"/>
  <c r="BE234" i="8"/>
  <c r="BE325" i="8" s="1"/>
  <c r="BE199" i="8"/>
  <c r="BE287" i="8" s="1"/>
  <c r="BE215" i="8"/>
  <c r="BE306" i="8" s="1"/>
  <c r="BE216" i="8"/>
  <c r="BE307" i="8" s="1"/>
  <c r="BE208" i="8"/>
  <c r="BE299" i="8" s="1"/>
  <c r="BD298" i="8"/>
  <c r="BD327" i="8" s="1"/>
  <c r="BD329" i="8" s="1"/>
  <c r="BD236" i="8"/>
  <c r="BC126" i="8"/>
  <c r="BC134" i="8"/>
  <c r="BC99" i="8"/>
  <c r="BC101" i="8"/>
  <c r="BC267" i="8" s="1"/>
  <c r="AN251" i="8"/>
  <c r="AN150" i="8"/>
  <c r="AN159" i="8" s="1"/>
  <c r="BB246" i="8"/>
  <c r="BB145" i="8"/>
  <c r="AU78" i="8"/>
  <c r="AT79" i="8"/>
  <c r="BC131" i="8"/>
  <c r="BC81" i="8"/>
  <c r="BC266" i="8" s="1"/>
  <c r="BC185" i="8"/>
  <c r="BD175" i="8"/>
  <c r="BD274" i="8" s="1"/>
  <c r="BD108" i="8"/>
  <c r="BC187" i="8"/>
  <c r="BD52" i="8"/>
  <c r="BD53" i="8"/>
  <c r="AP129" i="8"/>
  <c r="AP63" i="8"/>
  <c r="AP264" i="8" s="1"/>
  <c r="AP61" i="8"/>
  <c r="AQ59" i="8"/>
  <c r="AP117" i="8"/>
  <c r="AP257" i="8" s="1"/>
  <c r="AP136" i="8"/>
  <c r="AQ115" i="8"/>
  <c r="BC94" i="8"/>
  <c r="BC133" i="8"/>
  <c r="BC139" i="8" s="1"/>
  <c r="BB143" i="8"/>
  <c r="BB244" i="8"/>
  <c r="BC184" i="8"/>
  <c r="BD98" i="8"/>
  <c r="BD31" i="8"/>
  <c r="BD93" i="8"/>
  <c r="BD92" i="8"/>
  <c r="BD19" i="8"/>
  <c r="BD13" i="8"/>
  <c r="BD27" i="8"/>
  <c r="BD20" i="8"/>
  <c r="BD26" i="8"/>
  <c r="BD12" i="8"/>
  <c r="BD97" i="8"/>
  <c r="BD32" i="8"/>
  <c r="BC23" i="8"/>
  <c r="BC263" i="8" s="1"/>
  <c r="BC123" i="8"/>
  <c r="BC21" i="8"/>
  <c r="BB243" i="8"/>
  <c r="BB142" i="8"/>
  <c r="BC186" i="8"/>
  <c r="Y346" i="8" l="1"/>
  <c r="Y347" i="8" s="1"/>
  <c r="Z342" i="8" s="1"/>
  <c r="BD122" i="8"/>
  <c r="BD14" i="8"/>
  <c r="BD16" i="8"/>
  <c r="BD262" i="8" s="1"/>
  <c r="BD128" i="8"/>
  <c r="BD54" i="8"/>
  <c r="BE52" i="8"/>
  <c r="BE53" i="8"/>
  <c r="AP72" i="8"/>
  <c r="AP265" i="8" s="1"/>
  <c r="AP70" i="8"/>
  <c r="AP130" i="8"/>
  <c r="AP137" i="8" s="1"/>
  <c r="AQ68" i="8"/>
  <c r="BD28" i="8"/>
  <c r="BD124" i="8"/>
  <c r="BE271" i="8"/>
  <c r="BE184" i="8"/>
  <c r="BE187" i="8"/>
  <c r="BE186" i="8"/>
  <c r="BE175" i="8"/>
  <c r="BE274" i="8" s="1"/>
  <c r="AO251" i="8"/>
  <c r="AO260" i="8" s="1"/>
  <c r="AO269" i="8" s="1"/>
  <c r="AO294" i="8" s="1"/>
  <c r="AO331" i="8" s="1"/>
  <c r="AO150" i="8"/>
  <c r="AO159" i="8" s="1"/>
  <c r="BC254" i="8"/>
  <c r="BC153" i="8"/>
  <c r="BE93" i="8"/>
  <c r="BE92" i="8"/>
  <c r="BE19" i="8"/>
  <c r="BE13" i="8"/>
  <c r="BE26" i="8"/>
  <c r="BE20" i="8"/>
  <c r="BE27" i="8"/>
  <c r="BE31" i="8"/>
  <c r="BE98" i="8"/>
  <c r="BE12" i="8"/>
  <c r="BE97" i="8"/>
  <c r="BE32" i="8"/>
  <c r="BC248" i="8"/>
  <c r="BC147" i="8"/>
  <c r="BD126" i="8"/>
  <c r="AQ136" i="8"/>
  <c r="AQ117" i="8"/>
  <c r="AQ257" i="8" s="1"/>
  <c r="AR115" i="8"/>
  <c r="BE69" i="8"/>
  <c r="BD131" i="8"/>
  <c r="BD81" i="8"/>
  <c r="BD266" i="8" s="1"/>
  <c r="AN367" i="8"/>
  <c r="AN387" i="8" s="1"/>
  <c r="AN388" i="8" s="1"/>
  <c r="AO385" i="8" s="1"/>
  <c r="BD94" i="8"/>
  <c r="BD133" i="8"/>
  <c r="BD139" i="8" s="1"/>
  <c r="BE298" i="8"/>
  <c r="BE327" i="8" s="1"/>
  <c r="BE329" i="8" s="1"/>
  <c r="BE236" i="8"/>
  <c r="BD187" i="8"/>
  <c r="AP250" i="8"/>
  <c r="AP149" i="8"/>
  <c r="AQ89" i="8"/>
  <c r="AQ132" i="8"/>
  <c r="AR87" i="8"/>
  <c r="BD186" i="8"/>
  <c r="BD125" i="8"/>
  <c r="BD33" i="8"/>
  <c r="BE290" i="8"/>
  <c r="BF201" i="8"/>
  <c r="BF289" i="8" s="1"/>
  <c r="BF193" i="8"/>
  <c r="BF284" i="8" s="1"/>
  <c r="BF178" i="8"/>
  <c r="BF181" i="8" s="1"/>
  <c r="BF275" i="8" s="1"/>
  <c r="BF207" i="8"/>
  <c r="BF180" i="8"/>
  <c r="BF167" i="8"/>
  <c r="BF273" i="8" s="1"/>
  <c r="BF191" i="8"/>
  <c r="BF277" i="8" s="1"/>
  <c r="BF192" i="8"/>
  <c r="BF278" i="8" s="1"/>
  <c r="BF179" i="8"/>
  <c r="BF174" i="8"/>
  <c r="BF218" i="8"/>
  <c r="BF309" i="8" s="1"/>
  <c r="BF104" i="8"/>
  <c r="BF43" i="8"/>
  <c r="BF57" i="8"/>
  <c r="BG3" i="8"/>
  <c r="BF1" i="8"/>
  <c r="BF50" i="8"/>
  <c r="BF112" i="8"/>
  <c r="BF173" i="8"/>
  <c r="BF66" i="8"/>
  <c r="BF8" i="8"/>
  <c r="BF172" i="8"/>
  <c r="BF171" i="8"/>
  <c r="BF84" i="8"/>
  <c r="BF170" i="8"/>
  <c r="BF36" i="8"/>
  <c r="BF209" i="8"/>
  <c r="BF300" i="8" s="1"/>
  <c r="BF75" i="8"/>
  <c r="BF211" i="8"/>
  <c r="BF302" i="8" s="1"/>
  <c r="BF217" i="8"/>
  <c r="BF308" i="8" s="1"/>
  <c r="BF212" i="8"/>
  <c r="BF303" i="8" s="1"/>
  <c r="BF228" i="8"/>
  <c r="BF319" i="8" s="1"/>
  <c r="BF226" i="8"/>
  <c r="BF317" i="8" s="1"/>
  <c r="BF197" i="8"/>
  <c r="BF285" i="8" s="1"/>
  <c r="BF227" i="8"/>
  <c r="BF318" i="8" s="1"/>
  <c r="BF229" i="8"/>
  <c r="BF320" i="8" s="1"/>
  <c r="BF232" i="8"/>
  <c r="BF323" i="8" s="1"/>
  <c r="BF230" i="8"/>
  <c r="BF321" i="8" s="1"/>
  <c r="BF213" i="8"/>
  <c r="BF304" i="8" s="1"/>
  <c r="BF231" i="8"/>
  <c r="BF322" i="8" s="1"/>
  <c r="BF194" i="8"/>
  <c r="BF279" i="8" s="1"/>
  <c r="BF219" i="8"/>
  <c r="BF310" i="8" s="1"/>
  <c r="BF214" i="8"/>
  <c r="BF305" i="8" s="1"/>
  <c r="BF220" i="8"/>
  <c r="BF311" i="8" s="1"/>
  <c r="BF221" i="8"/>
  <c r="BF312" i="8" s="1"/>
  <c r="BF165" i="8"/>
  <c r="BF195" i="8"/>
  <c r="BF282" i="8" s="1"/>
  <c r="BF200" i="8"/>
  <c r="BF288" i="8" s="1"/>
  <c r="BF166" i="8"/>
  <c r="BF272" i="8" s="1"/>
  <c r="BF196" i="8"/>
  <c r="BF283" i="8" s="1"/>
  <c r="BF198" i="8"/>
  <c r="BF286" i="8" s="1"/>
  <c r="BF223" i="8"/>
  <c r="BF314" i="8" s="1"/>
  <c r="BF210" i="8"/>
  <c r="BF301" i="8" s="1"/>
  <c r="BF222" i="8"/>
  <c r="BF313" i="8" s="1"/>
  <c r="BF235" i="8"/>
  <c r="BF326" i="8" s="1"/>
  <c r="BF233" i="8"/>
  <c r="BF324" i="8" s="1"/>
  <c r="BF234" i="8"/>
  <c r="BF325" i="8" s="1"/>
  <c r="BF199" i="8"/>
  <c r="BF287" i="8" s="1"/>
  <c r="BF215" i="8"/>
  <c r="BF306" i="8" s="1"/>
  <c r="BF216" i="8"/>
  <c r="BF307" i="8" s="1"/>
  <c r="BF208" i="8"/>
  <c r="BF299" i="8" s="1"/>
  <c r="AP152" i="8"/>
  <c r="AP253" i="8"/>
  <c r="BD184" i="8"/>
  <c r="BC255" i="8"/>
  <c r="BC154" i="8"/>
  <c r="AN368" i="8"/>
  <c r="AO364" i="8" s="1"/>
  <c r="BD123" i="8"/>
  <c r="BD21" i="8"/>
  <c r="BD23" i="8"/>
  <c r="BD263" i="8" s="1"/>
  <c r="BE116" i="8"/>
  <c r="BC144" i="8"/>
  <c r="BC245" i="8"/>
  <c r="BD185" i="8"/>
  <c r="BC244" i="8"/>
  <c r="BC143" i="8"/>
  <c r="AQ129" i="8"/>
  <c r="AQ63" i="8"/>
  <c r="AQ264" i="8" s="1"/>
  <c r="AQ61" i="8"/>
  <c r="AR59" i="8"/>
  <c r="BC249" i="8"/>
  <c r="BC148" i="8"/>
  <c r="BC243" i="8"/>
  <c r="BC142" i="8"/>
  <c r="BC246" i="8"/>
  <c r="BC145" i="8"/>
  <c r="AT252" i="8"/>
  <c r="AT151" i="8"/>
  <c r="BE38" i="8"/>
  <c r="BE60" i="8"/>
  <c r="BC188" i="8"/>
  <c r="BC276" i="8" s="1"/>
  <c r="BC280" i="8" s="1"/>
  <c r="BC292" i="8" s="1"/>
  <c r="AU79" i="8"/>
  <c r="AV78" i="8"/>
  <c r="BE88" i="8"/>
  <c r="BE45" i="8"/>
  <c r="BE46" i="8"/>
  <c r="AR247" i="8"/>
  <c r="AR146" i="8"/>
  <c r="AS109" i="8"/>
  <c r="AS155" i="8" s="1"/>
  <c r="AS256" i="8" s="1"/>
  <c r="AS135" i="8"/>
  <c r="AT107" i="8"/>
  <c r="BD99" i="8"/>
  <c r="BD134" i="8"/>
  <c r="BD101" i="8"/>
  <c r="BD267" i="8" s="1"/>
  <c r="BE77" i="8"/>
  <c r="BE108" i="8"/>
  <c r="AO240" i="8"/>
  <c r="AO140" i="8"/>
  <c r="BD127" i="8"/>
  <c r="BD47" i="8"/>
  <c r="AT39" i="8"/>
  <c r="AS40" i="8"/>
  <c r="Z344" i="8" l="1"/>
  <c r="Z345" i="8" s="1"/>
  <c r="AP240" i="8"/>
  <c r="AP140" i="8"/>
  <c r="AO367" i="8"/>
  <c r="AO387" i="8" s="1"/>
  <c r="AO388" i="8" s="1"/>
  <c r="AP385" i="8" s="1"/>
  <c r="AS247" i="8"/>
  <c r="AS146" i="8"/>
  <c r="BD255" i="8"/>
  <c r="BD154" i="8"/>
  <c r="BF77" i="8"/>
  <c r="BF298" i="8"/>
  <c r="BF327" i="8" s="1"/>
  <c r="BF329" i="8" s="1"/>
  <c r="BF236" i="8"/>
  <c r="BE122" i="8"/>
  <c r="BE14" i="8"/>
  <c r="BE16" i="8"/>
  <c r="BE262" i="8" s="1"/>
  <c r="AP251" i="8"/>
  <c r="AP260" i="8" s="1"/>
  <c r="AP269" i="8" s="1"/>
  <c r="AP294" i="8" s="1"/>
  <c r="AP331" i="8" s="1"/>
  <c r="AP150" i="8"/>
  <c r="AT40" i="8"/>
  <c r="AU39" i="8"/>
  <c r="AT109" i="8"/>
  <c r="AT155" i="8" s="1"/>
  <c r="AT256" i="8" s="1"/>
  <c r="AT135" i="8"/>
  <c r="AU107" i="8"/>
  <c r="BG218" i="8"/>
  <c r="BG309" i="8" s="1"/>
  <c r="BG193" i="8"/>
  <c r="BG284" i="8" s="1"/>
  <c r="BG178" i="8"/>
  <c r="BG191" i="8"/>
  <c r="BG277" i="8" s="1"/>
  <c r="BG179" i="8"/>
  <c r="BG174" i="8"/>
  <c r="BG112" i="8"/>
  <c r="BG207" i="8"/>
  <c r="BG201" i="8"/>
  <c r="BG289" i="8" s="1"/>
  <c r="BG57" i="8"/>
  <c r="BH3" i="8"/>
  <c r="BG1" i="8"/>
  <c r="BG75" i="8"/>
  <c r="BG50" i="8"/>
  <c r="BG8" i="8"/>
  <c r="BG171" i="8"/>
  <c r="BG192" i="8"/>
  <c r="BG278" i="8" s="1"/>
  <c r="BG172" i="8"/>
  <c r="BG209" i="8"/>
  <c r="BG300" i="8" s="1"/>
  <c r="BG104" i="8"/>
  <c r="BG212" i="8"/>
  <c r="BG303" i="8" s="1"/>
  <c r="BG66" i="8"/>
  <c r="BG170" i="8"/>
  <c r="BG43" i="8"/>
  <c r="BG180" i="8"/>
  <c r="BG173" i="8"/>
  <c r="BG36" i="8"/>
  <c r="BG84" i="8"/>
  <c r="BG211" i="8"/>
  <c r="BG302" i="8" s="1"/>
  <c r="BG167" i="8"/>
  <c r="BG273" i="8" s="1"/>
  <c r="BG217" i="8"/>
  <c r="BG308" i="8" s="1"/>
  <c r="BG228" i="8"/>
  <c r="BG319" i="8" s="1"/>
  <c r="BG226" i="8"/>
  <c r="BG317" i="8" s="1"/>
  <c r="BG197" i="8"/>
  <c r="BG285" i="8" s="1"/>
  <c r="BG232" i="8"/>
  <c r="BG323" i="8" s="1"/>
  <c r="BG229" i="8"/>
  <c r="BG320" i="8" s="1"/>
  <c r="BG227" i="8"/>
  <c r="BG318" i="8" s="1"/>
  <c r="BG213" i="8"/>
  <c r="BG304" i="8" s="1"/>
  <c r="BG230" i="8"/>
  <c r="BG321" i="8" s="1"/>
  <c r="BG231" i="8"/>
  <c r="BG322" i="8" s="1"/>
  <c r="BG194" i="8"/>
  <c r="BG279" i="8" s="1"/>
  <c r="BG219" i="8"/>
  <c r="BG310" i="8" s="1"/>
  <c r="BG214" i="8"/>
  <c r="BG305" i="8" s="1"/>
  <c r="BG220" i="8"/>
  <c r="BG311" i="8" s="1"/>
  <c r="BG221" i="8"/>
  <c r="BG312" i="8" s="1"/>
  <c r="BG165" i="8"/>
  <c r="BG195" i="8"/>
  <c r="BG282" i="8" s="1"/>
  <c r="BG166" i="8"/>
  <c r="BG272" i="8" s="1"/>
  <c r="BG200" i="8"/>
  <c r="BG288" i="8" s="1"/>
  <c r="BG198" i="8"/>
  <c r="BG286" i="8" s="1"/>
  <c r="BG196" i="8"/>
  <c r="BG283" i="8" s="1"/>
  <c r="BG223" i="8"/>
  <c r="BG314" i="8" s="1"/>
  <c r="BG222" i="8"/>
  <c r="BG313" i="8" s="1"/>
  <c r="BG210" i="8"/>
  <c r="BG301" i="8" s="1"/>
  <c r="BG235" i="8"/>
  <c r="BG326" i="8" s="1"/>
  <c r="BG233" i="8"/>
  <c r="BG324" i="8" s="1"/>
  <c r="BG234" i="8"/>
  <c r="BG325" i="8" s="1"/>
  <c r="BG199" i="8"/>
  <c r="BG287" i="8" s="1"/>
  <c r="BG215" i="8"/>
  <c r="BG306" i="8" s="1"/>
  <c r="BG216" i="8"/>
  <c r="BG307" i="8" s="1"/>
  <c r="BG208" i="8"/>
  <c r="BG299" i="8" s="1"/>
  <c r="BD147" i="8"/>
  <c r="BD248" i="8"/>
  <c r="BF38" i="8"/>
  <c r="BF60" i="8"/>
  <c r="BE125" i="8"/>
  <c r="BE33" i="8"/>
  <c r="BF175" i="8"/>
  <c r="BF274" i="8" s="1"/>
  <c r="BF45" i="8"/>
  <c r="BF46" i="8"/>
  <c r="AR136" i="8"/>
  <c r="AR117" i="8"/>
  <c r="AR257" i="8" s="1"/>
  <c r="AS115" i="8"/>
  <c r="BE185" i="8"/>
  <c r="BE128" i="8"/>
  <c r="BE54" i="8"/>
  <c r="BE127" i="8"/>
  <c r="BE47" i="8"/>
  <c r="BE126" i="8"/>
  <c r="BF26" i="8"/>
  <c r="BF20" i="8"/>
  <c r="BF32" i="8"/>
  <c r="BF31" i="8"/>
  <c r="BF13" i="8"/>
  <c r="BF93" i="8"/>
  <c r="BF92" i="8"/>
  <c r="BF19" i="8"/>
  <c r="BF97" i="8"/>
  <c r="BF98" i="8"/>
  <c r="BF12" i="8"/>
  <c r="BF27" i="8"/>
  <c r="BE123" i="8"/>
  <c r="BE21" i="8"/>
  <c r="BE23" i="8"/>
  <c r="BE263" i="8" s="1"/>
  <c r="BD243" i="8"/>
  <c r="BD142" i="8"/>
  <c r="BE28" i="8"/>
  <c r="BE124" i="8"/>
  <c r="BF271" i="8"/>
  <c r="BF184" i="8"/>
  <c r="BF69" i="8"/>
  <c r="AR89" i="8"/>
  <c r="AR132" i="8"/>
  <c r="AS87" i="8"/>
  <c r="BE133" i="8"/>
  <c r="BE139" i="8" s="1"/>
  <c r="BE94" i="8"/>
  <c r="BF88" i="8"/>
  <c r="BF108" i="8"/>
  <c r="BD249" i="8"/>
  <c r="BD148" i="8"/>
  <c r="AR63" i="8"/>
  <c r="AR264" i="8" s="1"/>
  <c r="AR129" i="8"/>
  <c r="AR61" i="8"/>
  <c r="AS59" i="8"/>
  <c r="BD244" i="8"/>
  <c r="BD143" i="8"/>
  <c r="BF290" i="8"/>
  <c r="BD145" i="8"/>
  <c r="BD246" i="8"/>
  <c r="BD153" i="8"/>
  <c r="BD254" i="8"/>
  <c r="AQ149" i="8"/>
  <c r="AQ250" i="8"/>
  <c r="BE188" i="8"/>
  <c r="BE276" i="8" s="1"/>
  <c r="BE280" i="8" s="1"/>
  <c r="BE292" i="8" s="1"/>
  <c r="BE131" i="8"/>
  <c r="BE81" i="8"/>
  <c r="BE266" i="8" s="1"/>
  <c r="AQ137" i="8"/>
  <c r="BD144" i="8"/>
  <c r="BD245" i="8"/>
  <c r="AW78" i="8"/>
  <c r="AV79" i="8"/>
  <c r="BD188" i="8"/>
  <c r="BD276" i="8" s="1"/>
  <c r="BD280" i="8" s="1"/>
  <c r="BD292" i="8" s="1"/>
  <c r="BF116" i="8"/>
  <c r="AQ152" i="8"/>
  <c r="AQ253" i="8"/>
  <c r="AQ72" i="8"/>
  <c r="AQ265" i="8" s="1"/>
  <c r="AQ130" i="8"/>
  <c r="AQ70" i="8"/>
  <c r="AR68" i="8"/>
  <c r="AU252" i="8"/>
  <c r="AU151" i="8"/>
  <c r="BF53" i="8"/>
  <c r="BF52" i="8"/>
  <c r="AP159" i="8"/>
  <c r="BE134" i="8"/>
  <c r="BE101" i="8"/>
  <c r="BE267" i="8" s="1"/>
  <c r="BE99" i="8"/>
  <c r="Z346" i="8" l="1"/>
  <c r="Z347" i="8" s="1"/>
  <c r="AA342" i="8" s="1"/>
  <c r="AP367" i="8"/>
  <c r="AP387" i="8" s="1"/>
  <c r="AP388" i="8" s="1"/>
  <c r="AQ385" i="8" s="1"/>
  <c r="AQ251" i="8"/>
  <c r="AQ260" i="8" s="1"/>
  <c r="AQ269" i="8" s="1"/>
  <c r="AQ294" i="8" s="1"/>
  <c r="AQ331" i="8" s="1"/>
  <c r="AQ150" i="8"/>
  <c r="AQ159" i="8" s="1"/>
  <c r="BF21" i="8"/>
  <c r="BF123" i="8"/>
  <c r="BF23" i="8"/>
  <c r="BF263" i="8" s="1"/>
  <c r="BF81" i="8"/>
  <c r="BF266" i="8" s="1"/>
  <c r="BF131" i="8"/>
  <c r="BE245" i="8"/>
  <c r="BE144" i="8"/>
  <c r="BF133" i="8"/>
  <c r="BF139" i="8" s="1"/>
  <c r="BF94" i="8"/>
  <c r="BG108" i="8"/>
  <c r="BG298" i="8"/>
  <c r="BG327" i="8" s="1"/>
  <c r="BG329" i="8" s="1"/>
  <c r="BG236" i="8"/>
  <c r="AU40" i="8"/>
  <c r="AV39" i="8"/>
  <c r="BE255" i="8"/>
  <c r="BE154" i="8"/>
  <c r="AS63" i="8"/>
  <c r="AS264" i="8" s="1"/>
  <c r="AS129" i="8"/>
  <c r="AS61" i="8"/>
  <c r="AT59" i="8"/>
  <c r="AS89" i="8"/>
  <c r="AS132" i="8"/>
  <c r="AT87" i="8"/>
  <c r="BE249" i="8"/>
  <c r="BE148" i="8"/>
  <c r="BG116" i="8"/>
  <c r="AT247" i="8"/>
  <c r="AT146" i="8"/>
  <c r="AR149" i="8"/>
  <c r="AR250" i="8"/>
  <c r="AR137" i="8"/>
  <c r="BF126" i="8"/>
  <c r="BF33" i="8"/>
  <c r="BF125" i="8"/>
  <c r="BF54" i="8"/>
  <c r="BF128" i="8"/>
  <c r="BE244" i="8"/>
  <c r="BE143" i="8"/>
  <c r="BG38" i="8"/>
  <c r="BG98" i="8"/>
  <c r="BG97" i="8"/>
  <c r="BG27" i="8"/>
  <c r="BG19" i="8"/>
  <c r="BG26" i="8"/>
  <c r="BG20" i="8"/>
  <c r="BG13" i="8"/>
  <c r="BG32" i="8"/>
  <c r="BG12" i="8"/>
  <c r="BG93" i="8"/>
  <c r="BG92" i="8"/>
  <c r="BG31" i="8"/>
  <c r="BG181" i="8"/>
  <c r="BG275" i="8" s="1"/>
  <c r="BF187" i="8"/>
  <c r="BF28" i="8"/>
  <c r="BF124" i="8"/>
  <c r="BG52" i="8"/>
  <c r="BG53" i="8"/>
  <c r="BE254" i="8"/>
  <c r="BE153" i="8"/>
  <c r="AV252" i="8"/>
  <c r="AV151" i="8"/>
  <c r="BF185" i="8"/>
  <c r="BF188" i="8" s="1"/>
  <c r="BF276" i="8" s="1"/>
  <c r="BF280" i="8" s="1"/>
  <c r="BF292" i="8" s="1"/>
  <c r="AO368" i="8"/>
  <c r="AP364" i="8" s="1"/>
  <c r="AP368" i="8" s="1"/>
  <c r="AQ364" i="8" s="1"/>
  <c r="BG77" i="8"/>
  <c r="AR253" i="8"/>
  <c r="AR152" i="8"/>
  <c r="AS136" i="8"/>
  <c r="AS117" i="8"/>
  <c r="AS257" i="8" s="1"/>
  <c r="AT115" i="8"/>
  <c r="BG88" i="8"/>
  <c r="BE243" i="8"/>
  <c r="BE142" i="8"/>
  <c r="AX78" i="8"/>
  <c r="AW79" i="8"/>
  <c r="BF186" i="8"/>
  <c r="BF14" i="8"/>
  <c r="BF16" i="8"/>
  <c r="BF262" i="8" s="1"/>
  <c r="BF122" i="8"/>
  <c r="BF127" i="8"/>
  <c r="BF47" i="8"/>
  <c r="BG45" i="8"/>
  <c r="BG46" i="8"/>
  <c r="AQ240" i="8"/>
  <c r="AQ140" i="8"/>
  <c r="BG290" i="8"/>
  <c r="BG175" i="8"/>
  <c r="BG274" i="8" s="1"/>
  <c r="BH218" i="8"/>
  <c r="BH309" i="8" s="1"/>
  <c r="BH207" i="8"/>
  <c r="BH191" i="8"/>
  <c r="BH277" i="8" s="1"/>
  <c r="BH178" i="8"/>
  <c r="BH172" i="8"/>
  <c r="BH167" i="8"/>
  <c r="BH273" i="8" s="1"/>
  <c r="BH104" i="8"/>
  <c r="BH201" i="8"/>
  <c r="BH289" i="8" s="1"/>
  <c r="BH170" i="8"/>
  <c r="BH175" i="8" s="1"/>
  <c r="BH274" i="8" s="1"/>
  <c r="BH193" i="8"/>
  <c r="BH284" i="8" s="1"/>
  <c r="BH50" i="8"/>
  <c r="BH171" i="8"/>
  <c r="BH75" i="8"/>
  <c r="BH112" i="8"/>
  <c r="BH192" i="8"/>
  <c r="BH278" i="8" s="1"/>
  <c r="BH174" i="8"/>
  <c r="BH57" i="8"/>
  <c r="BH180" i="8"/>
  <c r="BH36" i="8"/>
  <c r="BH1" i="8"/>
  <c r="BH179" i="8"/>
  <c r="BH173" i="8"/>
  <c r="BH66" i="8"/>
  <c r="BH84" i="8"/>
  <c r="BH8" i="8"/>
  <c r="BH43" i="8"/>
  <c r="BH209" i="8"/>
  <c r="BH300" i="8" s="1"/>
  <c r="BH211" i="8"/>
  <c r="BH302" i="8" s="1"/>
  <c r="BH217" i="8"/>
  <c r="BH308" i="8" s="1"/>
  <c r="BH212" i="8"/>
  <c r="BH303" i="8" s="1"/>
  <c r="BH197" i="8"/>
  <c r="BH285" i="8" s="1"/>
  <c r="BH226" i="8"/>
  <c r="BH317" i="8" s="1"/>
  <c r="BH228" i="8"/>
  <c r="BH319" i="8" s="1"/>
  <c r="BH227" i="8"/>
  <c r="BH318" i="8" s="1"/>
  <c r="BH232" i="8"/>
  <c r="BH323" i="8" s="1"/>
  <c r="BH229" i="8"/>
  <c r="BH320" i="8" s="1"/>
  <c r="BH230" i="8"/>
  <c r="BH321" i="8" s="1"/>
  <c r="BH213" i="8"/>
  <c r="BH304" i="8" s="1"/>
  <c r="BH231" i="8"/>
  <c r="BH322" i="8" s="1"/>
  <c r="BH194" i="8"/>
  <c r="BH279" i="8" s="1"/>
  <c r="BH219" i="8"/>
  <c r="BH310" i="8" s="1"/>
  <c r="BH214" i="8"/>
  <c r="BH305" i="8" s="1"/>
  <c r="BH221" i="8"/>
  <c r="BH312" i="8" s="1"/>
  <c r="BH220" i="8"/>
  <c r="BH311" i="8" s="1"/>
  <c r="BH165" i="8"/>
  <c r="BH198" i="8"/>
  <c r="BH286" i="8" s="1"/>
  <c r="BH166" i="8"/>
  <c r="BH272" i="8" s="1"/>
  <c r="BH200" i="8"/>
  <c r="BH288" i="8" s="1"/>
  <c r="BH223" i="8"/>
  <c r="BH314" i="8" s="1"/>
  <c r="BH196" i="8"/>
  <c r="BH283" i="8" s="1"/>
  <c r="BH195" i="8"/>
  <c r="BH282" i="8" s="1"/>
  <c r="BH222" i="8"/>
  <c r="BH313" i="8" s="1"/>
  <c r="BH210" i="8"/>
  <c r="BH301" i="8" s="1"/>
  <c r="BH235" i="8"/>
  <c r="BH326" i="8" s="1"/>
  <c r="BH233" i="8"/>
  <c r="BH324" i="8" s="1"/>
  <c r="BH234" i="8"/>
  <c r="BH325" i="8" s="1"/>
  <c r="BH199" i="8"/>
  <c r="BH287" i="8" s="1"/>
  <c r="BH215" i="8"/>
  <c r="BH306" i="8" s="1"/>
  <c r="BH216" i="8"/>
  <c r="BH307" i="8" s="1"/>
  <c r="BH208" i="8"/>
  <c r="BH299" i="8" s="1"/>
  <c r="AU135" i="8"/>
  <c r="AU109" i="8"/>
  <c r="AU155" i="8" s="1"/>
  <c r="AU256" i="8" s="1"/>
  <c r="AV107" i="8"/>
  <c r="AR130" i="8"/>
  <c r="AR70" i="8"/>
  <c r="AR72" i="8"/>
  <c r="AR265" i="8" s="1"/>
  <c r="AS68" i="8"/>
  <c r="BF134" i="8"/>
  <c r="BF101" i="8"/>
  <c r="BF267" i="8" s="1"/>
  <c r="BF99" i="8"/>
  <c r="BE248" i="8"/>
  <c r="BE147" i="8"/>
  <c r="BE246" i="8"/>
  <c r="BE145" i="8"/>
  <c r="BG271" i="8"/>
  <c r="BG69" i="8"/>
  <c r="BG60" i="8"/>
  <c r="AQ388" i="8" l="1"/>
  <c r="AR385" i="8" s="1"/>
  <c r="AA344" i="8"/>
  <c r="AA345" i="8" s="1"/>
  <c r="AQ367" i="8"/>
  <c r="AQ387" i="8" s="1"/>
  <c r="AT132" i="8"/>
  <c r="AT89" i="8"/>
  <c r="AU87" i="8"/>
  <c r="BH32" i="8"/>
  <c r="BH12" i="8"/>
  <c r="BH27" i="8"/>
  <c r="BH26" i="8"/>
  <c r="BH20" i="8"/>
  <c r="BH19" i="8"/>
  <c r="BH13" i="8"/>
  <c r="BH92" i="8"/>
  <c r="BH98" i="8"/>
  <c r="BH97" i="8"/>
  <c r="BH31" i="8"/>
  <c r="BH93" i="8"/>
  <c r="BH77" i="8"/>
  <c r="BF142" i="8"/>
  <c r="BF243" i="8"/>
  <c r="BG54" i="8"/>
  <c r="BG128" i="8"/>
  <c r="BG124" i="8"/>
  <c r="BG28" i="8"/>
  <c r="BH88" i="8"/>
  <c r="BG21" i="8"/>
  <c r="BG123" i="8"/>
  <c r="BG23" i="8"/>
  <c r="BG263" i="8" s="1"/>
  <c r="BF145" i="8"/>
  <c r="BF246" i="8"/>
  <c r="AW39" i="8"/>
  <c r="AV40" i="8"/>
  <c r="BF255" i="8"/>
  <c r="BF154" i="8"/>
  <c r="E272" i="8"/>
  <c r="BH69" i="8"/>
  <c r="BH53" i="8"/>
  <c r="BH52" i="8"/>
  <c r="AW252" i="8"/>
  <c r="AW151" i="8"/>
  <c r="BG81" i="8"/>
  <c r="BG266" i="8" s="1"/>
  <c r="BG131" i="8"/>
  <c r="BF144" i="8"/>
  <c r="BF245" i="8"/>
  <c r="AU146" i="8"/>
  <c r="AU247" i="8"/>
  <c r="AY78" i="8"/>
  <c r="AX79" i="8"/>
  <c r="BG99" i="8"/>
  <c r="BG134" i="8"/>
  <c r="BG101" i="8"/>
  <c r="BG267" i="8" s="1"/>
  <c r="E305" i="8"/>
  <c r="BG127" i="8"/>
  <c r="BG47" i="8"/>
  <c r="AT63" i="8"/>
  <c r="AT264" i="8" s="1"/>
  <c r="AT129" i="8"/>
  <c r="AT61" i="8"/>
  <c r="AU59" i="8"/>
  <c r="BF254" i="8"/>
  <c r="BF153" i="8"/>
  <c r="BF248" i="8"/>
  <c r="BF147" i="8"/>
  <c r="AR159" i="8"/>
  <c r="AQ368" i="8"/>
  <c r="AR364" i="8" s="1"/>
  <c r="BF244" i="8"/>
  <c r="BF143" i="8"/>
  <c r="BG186" i="8"/>
  <c r="D308" i="8"/>
  <c r="D302" i="8"/>
  <c r="D300" i="8"/>
  <c r="D298" i="8"/>
  <c r="E321" i="8"/>
  <c r="D277" i="8"/>
  <c r="D380" i="8"/>
  <c r="D382" i="8" s="1"/>
  <c r="E379" i="8" s="1"/>
  <c r="E382" i="8" s="1"/>
  <c r="F379" i="8" s="1"/>
  <c r="F382" i="8" s="1"/>
  <c r="G379" i="8" s="1"/>
  <c r="G382" i="8" s="1"/>
  <c r="H379" i="8" s="1"/>
  <c r="H382" i="8" s="1"/>
  <c r="E308" i="8"/>
  <c r="E258" i="8"/>
  <c r="D317" i="8"/>
  <c r="E285" i="8"/>
  <c r="D274" i="8"/>
  <c r="F381" i="8"/>
  <c r="E300" i="8"/>
  <c r="E323" i="8"/>
  <c r="D319" i="8"/>
  <c r="G313" i="8"/>
  <c r="F280" i="8"/>
  <c r="F282" i="8"/>
  <c r="E275" i="8"/>
  <c r="F307" i="8"/>
  <c r="E309" i="8"/>
  <c r="G302" i="8"/>
  <c r="F306" i="8"/>
  <c r="F326" i="8"/>
  <c r="G305" i="8"/>
  <c r="F305" i="8"/>
  <c r="D249" i="8"/>
  <c r="F380" i="8"/>
  <c r="F322" i="8"/>
  <c r="F271" i="8"/>
  <c r="D320" i="8"/>
  <c r="F387" i="8"/>
  <c r="H321" i="8"/>
  <c r="F331" i="8"/>
  <c r="F2" i="8" s="1"/>
  <c r="H380" i="8"/>
  <c r="D381" i="8"/>
  <c r="F311" i="8"/>
  <c r="G314" i="8"/>
  <c r="E381" i="8"/>
  <c r="G254" i="8"/>
  <c r="E289" i="8"/>
  <c r="F268" i="8"/>
  <c r="F283" i="8"/>
  <c r="D246" i="8"/>
  <c r="F252" i="8"/>
  <c r="G299" i="8"/>
  <c r="G271" i="8"/>
  <c r="D284" i="8"/>
  <c r="F317" i="8"/>
  <c r="G272" i="8"/>
  <c r="G252" i="8"/>
  <c r="F246" i="8"/>
  <c r="E278" i="8"/>
  <c r="D283" i="8"/>
  <c r="G274" i="8"/>
  <c r="E284" i="8"/>
  <c r="F365" i="8"/>
  <c r="H306" i="8"/>
  <c r="E268" i="8"/>
  <c r="E319" i="8"/>
  <c r="E303" i="8"/>
  <c r="E343" i="8"/>
  <c r="G266" i="8"/>
  <c r="F265" i="8"/>
  <c r="E386" i="8"/>
  <c r="E283" i="8"/>
  <c r="E286" i="8"/>
  <c r="D323" i="8"/>
  <c r="G267" i="8"/>
  <c r="F324" i="8"/>
  <c r="G282" i="8"/>
  <c r="G381" i="8"/>
  <c r="G284" i="8"/>
  <c r="G263" i="8"/>
  <c r="F260" i="8"/>
  <c r="F277" i="8"/>
  <c r="D365" i="8"/>
  <c r="G277" i="8"/>
  <c r="G322" i="8"/>
  <c r="F250" i="8"/>
  <c r="G324" i="8"/>
  <c r="F314" i="8"/>
  <c r="G380" i="8"/>
  <c r="E274" i="8"/>
  <c r="D258" i="8"/>
  <c r="G312" i="8"/>
  <c r="F318" i="8"/>
  <c r="G326" i="8"/>
  <c r="G325" i="8"/>
  <c r="F285" i="8"/>
  <c r="F329" i="8"/>
  <c r="H302" i="8"/>
  <c r="G308" i="8"/>
  <c r="F303" i="8"/>
  <c r="F300" i="8"/>
  <c r="F290" i="8"/>
  <c r="F367" i="8"/>
  <c r="E318" i="8"/>
  <c r="F255" i="8"/>
  <c r="D282" i="8"/>
  <c r="F256" i="8"/>
  <c r="F264" i="8"/>
  <c r="E259" i="8"/>
  <c r="F309" i="8"/>
  <c r="F319" i="8"/>
  <c r="D278" i="8"/>
  <c r="E302" i="8"/>
  <c r="F257" i="8"/>
  <c r="F249" i="8"/>
  <c r="D386" i="8"/>
  <c r="G317" i="8"/>
  <c r="F386" i="8"/>
  <c r="F312" i="8"/>
  <c r="F272" i="8"/>
  <c r="F302" i="8"/>
  <c r="F286" i="8"/>
  <c r="F267" i="8"/>
  <c r="E273" i="8"/>
  <c r="F284" i="8"/>
  <c r="E298" i="8"/>
  <c r="F247" i="8"/>
  <c r="F278" i="8"/>
  <c r="F269" i="8"/>
  <c r="G306" i="8"/>
  <c r="G243" i="8"/>
  <c r="F253" i="8"/>
  <c r="H278" i="8"/>
  <c r="F276" i="8"/>
  <c r="F298" i="8"/>
  <c r="H318" i="8"/>
  <c r="G268" i="8"/>
  <c r="H311" i="8"/>
  <c r="G283" i="8"/>
  <c r="H285" i="8"/>
  <c r="F313" i="8"/>
  <c r="F320" i="8"/>
  <c r="H268" i="8"/>
  <c r="F251" i="8"/>
  <c r="G290" i="8"/>
  <c r="G288" i="8"/>
  <c r="D318" i="8"/>
  <c r="D268" i="8"/>
  <c r="G386" i="8"/>
  <c r="G320" i="8"/>
  <c r="D303" i="8"/>
  <c r="G321" i="8"/>
  <c r="E317" i="8"/>
  <c r="H319" i="8"/>
  <c r="D286" i="8"/>
  <c r="F310" i="8"/>
  <c r="D275" i="8"/>
  <c r="H274" i="8"/>
  <c r="H343" i="8"/>
  <c r="F304" i="8"/>
  <c r="F248" i="8"/>
  <c r="G276" i="8"/>
  <c r="H320" i="8"/>
  <c r="F259" i="8"/>
  <c r="G249" i="8"/>
  <c r="F244" i="8"/>
  <c r="G329" i="8"/>
  <c r="D289" i="8"/>
  <c r="H326" i="8"/>
  <c r="G303" i="8"/>
  <c r="G255" i="8"/>
  <c r="G278" i="8"/>
  <c r="G300" i="8"/>
  <c r="D304" i="8"/>
  <c r="G275" i="8"/>
  <c r="E365" i="8"/>
  <c r="E304" i="8"/>
  <c r="H313" i="8"/>
  <c r="G301" i="8"/>
  <c r="G289" i="8"/>
  <c r="F325" i="8"/>
  <c r="G310" i="8"/>
  <c r="H286" i="8"/>
  <c r="G245" i="8"/>
  <c r="D259" i="8"/>
  <c r="F262" i="8"/>
  <c r="G307" i="8"/>
  <c r="G280" i="8"/>
  <c r="G309" i="8"/>
  <c r="F258" i="8"/>
  <c r="H304" i="8"/>
  <c r="G279" i="8"/>
  <c r="H277" i="8"/>
  <c r="D321" i="8"/>
  <c r="F301" i="8"/>
  <c r="E320" i="8"/>
  <c r="G244" i="8"/>
  <c r="H284" i="8"/>
  <c r="F292" i="8"/>
  <c r="G298" i="8"/>
  <c r="F273" i="8"/>
  <c r="G304" i="8"/>
  <c r="F288" i="8"/>
  <c r="E246" i="8"/>
  <c r="H259" i="8"/>
  <c r="F266" i="8"/>
  <c r="H314" i="8"/>
  <c r="D273" i="8"/>
  <c r="G246" i="8"/>
  <c r="G319" i="8"/>
  <c r="F263" i="8"/>
  <c r="F294" i="8"/>
  <c r="G292" i="8"/>
  <c r="G285" i="8"/>
  <c r="G311" i="8"/>
  <c r="G343" i="8"/>
  <c r="F343" i="8"/>
  <c r="H273" i="8"/>
  <c r="H283" i="8"/>
  <c r="F245" i="8"/>
  <c r="E380" i="8"/>
  <c r="G248" i="8"/>
  <c r="F321" i="8"/>
  <c r="D309" i="8"/>
  <c r="H310" i="8"/>
  <c r="G318" i="8"/>
  <c r="G287" i="8"/>
  <c r="H272" i="8"/>
  <c r="F308" i="8"/>
  <c r="G262" i="8"/>
  <c r="F287" i="8"/>
  <c r="G365" i="8"/>
  <c r="F299" i="8"/>
  <c r="G323" i="8"/>
  <c r="D285" i="8"/>
  <c r="G259" i="8"/>
  <c r="D343" i="8"/>
  <c r="D345" i="8" s="1"/>
  <c r="D347" i="8" s="1"/>
  <c r="E342" i="8" s="1"/>
  <c r="E282" i="8"/>
  <c r="F275" i="8"/>
  <c r="F323" i="8"/>
  <c r="F254" i="8"/>
  <c r="F279" i="8"/>
  <c r="H305" i="8"/>
  <c r="F274" i="8"/>
  <c r="E279" i="8"/>
  <c r="E322" i="8"/>
  <c r="F243" i="8"/>
  <c r="F289" i="8"/>
  <c r="H289" i="8"/>
  <c r="G286" i="8"/>
  <c r="H386" i="8"/>
  <c r="H282" i="8"/>
  <c r="H323" i="8"/>
  <c r="G258" i="8"/>
  <c r="H307" i="8"/>
  <c r="D322" i="8"/>
  <c r="H308" i="8"/>
  <c r="H288" i="8"/>
  <c r="H287" i="8"/>
  <c r="H324" i="8"/>
  <c r="H299" i="8"/>
  <c r="H381" i="8"/>
  <c r="G273" i="8"/>
  <c r="H301" i="8"/>
  <c r="H312" i="8"/>
  <c r="H317" i="8"/>
  <c r="H309" i="8"/>
  <c r="H258" i="8"/>
  <c r="F240" i="8"/>
  <c r="H279" i="8"/>
  <c r="H322" i="8"/>
  <c r="H325" i="8"/>
  <c r="H303" i="8"/>
  <c r="H365" i="8"/>
  <c r="H300" i="8"/>
  <c r="D279" i="8"/>
  <c r="E310" i="8"/>
  <c r="E311" i="8"/>
  <c r="E288" i="8"/>
  <c r="D310" i="8"/>
  <c r="E314" i="8"/>
  <c r="E312" i="8"/>
  <c r="D305" i="8"/>
  <c r="D312" i="8"/>
  <c r="D267" i="8"/>
  <c r="D288" i="8"/>
  <c r="D311" i="8"/>
  <c r="D255" i="8"/>
  <c r="E326" i="8"/>
  <c r="D262" i="8"/>
  <c r="D263" i="8"/>
  <c r="D314" i="8"/>
  <c r="E313" i="8"/>
  <c r="E301" i="8"/>
  <c r="D256" i="8"/>
  <c r="D271" i="8"/>
  <c r="E325" i="8"/>
  <c r="D245" i="8"/>
  <c r="D301" i="8"/>
  <c r="D254" i="8"/>
  <c r="D313" i="8"/>
  <c r="D326" i="8"/>
  <c r="D243" i="8"/>
  <c r="E324" i="8"/>
  <c r="D248" i="8"/>
  <c r="D324" i="8"/>
  <c r="D272" i="8"/>
  <c r="D264" i="8"/>
  <c r="D325" i="8"/>
  <c r="D276" i="8"/>
  <c r="E290" i="8"/>
  <c r="E287" i="8"/>
  <c r="E263" i="8"/>
  <c r="D247" i="8"/>
  <c r="E243" i="8"/>
  <c r="D280" i="8"/>
  <c r="E292" i="8"/>
  <c r="D287" i="8"/>
  <c r="D265" i="8"/>
  <c r="E306" i="8"/>
  <c r="D253" i="8"/>
  <c r="D292" i="8"/>
  <c r="D240" i="8"/>
  <c r="D250" i="8"/>
  <c r="D290" i="8"/>
  <c r="D306" i="8"/>
  <c r="D251" i="8"/>
  <c r="E307" i="8"/>
  <c r="D260" i="8"/>
  <c r="D269" i="8"/>
  <c r="D294" i="8"/>
  <c r="D307" i="8"/>
  <c r="E299" i="8"/>
  <c r="D299" i="8"/>
  <c r="E367" i="8"/>
  <c r="E331" i="8"/>
  <c r="E2" i="8" s="1"/>
  <c r="D329" i="8"/>
  <c r="E346" i="8"/>
  <c r="E329" i="8"/>
  <c r="D331" i="8"/>
  <c r="D2" i="8" s="1"/>
  <c r="D367" i="8"/>
  <c r="E387" i="8"/>
  <c r="D346" i="8"/>
  <c r="D387" i="8"/>
  <c r="D344" i="8"/>
  <c r="BG33" i="8"/>
  <c r="BG125" i="8"/>
  <c r="BG185" i="8"/>
  <c r="AS130" i="8"/>
  <c r="AS137" i="8" s="1"/>
  <c r="AS70" i="8"/>
  <c r="AS72" i="8"/>
  <c r="AS265" i="8" s="1"/>
  <c r="AT68" i="8"/>
  <c r="BH38" i="8"/>
  <c r="BH108" i="8"/>
  <c r="BG133" i="8"/>
  <c r="BG139" i="8" s="1"/>
  <c r="BG94" i="8"/>
  <c r="BG126" i="8"/>
  <c r="AR240" i="8"/>
  <c r="AR140" i="8"/>
  <c r="AS152" i="8"/>
  <c r="AS253" i="8"/>
  <c r="BG184" i="8"/>
  <c r="BG187" i="8"/>
  <c r="AR251" i="8"/>
  <c r="AR260" i="8" s="1"/>
  <c r="AR150" i="8"/>
  <c r="BH60" i="8"/>
  <c r="AT136" i="8"/>
  <c r="AT117" i="8"/>
  <c r="AT257" i="8" s="1"/>
  <c r="AU115" i="8"/>
  <c r="BG14" i="8"/>
  <c r="BG16" i="8"/>
  <c r="BG262" i="8" s="1"/>
  <c r="BG122" i="8"/>
  <c r="AS250" i="8"/>
  <c r="AS149" i="8"/>
  <c r="BH181" i="8"/>
  <c r="BH275" i="8" s="1"/>
  <c r="H275" i="8" s="1"/>
  <c r="AV109" i="8"/>
  <c r="AV155" i="8" s="1"/>
  <c r="AV256" i="8" s="1"/>
  <c r="G256" i="8" s="1"/>
  <c r="AV135" i="8"/>
  <c r="AW107" i="8"/>
  <c r="BH290" i="8"/>
  <c r="H290" i="8" s="1"/>
  <c r="E277" i="8"/>
  <c r="BH271" i="8"/>
  <c r="BH186" i="8"/>
  <c r="BH45" i="8"/>
  <c r="BH46" i="8"/>
  <c r="BH116" i="8"/>
  <c r="BH236" i="8"/>
  <c r="BH298" i="8"/>
  <c r="BH327" i="8" s="1"/>
  <c r="BH329" i="8" s="1"/>
  <c r="H329" i="8" s="1"/>
  <c r="E207" i="8"/>
  <c r="BF249" i="8"/>
  <c r="BF148" i="8"/>
  <c r="AS240" i="8" l="1"/>
  <c r="AS140" i="8"/>
  <c r="H266" i="8"/>
  <c r="AR269" i="8"/>
  <c r="H262" i="8"/>
  <c r="AA346" i="8"/>
  <c r="BH81" i="8"/>
  <c r="BH266" i="8" s="1"/>
  <c r="BH131" i="8"/>
  <c r="BH122" i="8"/>
  <c r="BH16" i="8"/>
  <c r="BH262" i="8" s="1"/>
  <c r="E262" i="8" s="1"/>
  <c r="BH14" i="8"/>
  <c r="AW109" i="8"/>
  <c r="AW155" i="8" s="1"/>
  <c r="AW256" i="8" s="1"/>
  <c r="AW135" i="8"/>
  <c r="AX107" i="8"/>
  <c r="H298" i="8"/>
  <c r="H327" i="8" s="1"/>
  <c r="G327" i="8"/>
  <c r="BG255" i="8"/>
  <c r="BG154" i="8"/>
  <c r="BH54" i="8"/>
  <c r="BH128" i="8"/>
  <c r="AU89" i="8"/>
  <c r="AU132" i="8"/>
  <c r="AV87" i="8"/>
  <c r="BG144" i="8"/>
  <c r="BG245" i="8"/>
  <c r="BH133" i="8"/>
  <c r="BH139" i="8" s="1"/>
  <c r="BH94" i="8"/>
  <c r="BG254" i="8"/>
  <c r="BG153" i="8"/>
  <c r="AX252" i="8"/>
  <c r="AX151" i="8"/>
  <c r="AY79" i="8"/>
  <c r="AZ78" i="8"/>
  <c r="AU136" i="8"/>
  <c r="AU117" i="8"/>
  <c r="AU257" i="8" s="1"/>
  <c r="AV115" i="8"/>
  <c r="D327" i="8"/>
  <c r="AT152" i="8"/>
  <c r="AT253" i="8"/>
  <c r="BG145" i="8"/>
  <c r="BG246" i="8"/>
  <c r="AU63" i="8"/>
  <c r="AU264" i="8" s="1"/>
  <c r="AU129" i="8"/>
  <c r="AU61" i="8"/>
  <c r="AV59" i="8"/>
  <c r="AT250" i="8"/>
  <c r="AT149" i="8"/>
  <c r="BH185" i="8"/>
  <c r="BH184" i="8"/>
  <c r="BH187" i="8"/>
  <c r="BG188" i="8"/>
  <c r="BG276" i="8" s="1"/>
  <c r="BH126" i="8"/>
  <c r="D388" i="8"/>
  <c r="E385" i="8" s="1"/>
  <c r="E388" i="8" s="1"/>
  <c r="F385" i="8" s="1"/>
  <c r="F388" i="8" s="1"/>
  <c r="G385" i="8" s="1"/>
  <c r="BH123" i="8"/>
  <c r="BH21" i="8"/>
  <c r="BH23" i="8"/>
  <c r="BH263" i="8" s="1"/>
  <c r="H263" i="8" s="1"/>
  <c r="BG142" i="8"/>
  <c r="BG243" i="8"/>
  <c r="BH33" i="8"/>
  <c r="BH125" i="8"/>
  <c r="BH127" i="8"/>
  <c r="BH47" i="8"/>
  <c r="BH134" i="8"/>
  <c r="BH99" i="8"/>
  <c r="BH101" i="8"/>
  <c r="BH267" i="8" s="1"/>
  <c r="E267" i="8" s="1"/>
  <c r="E271" i="8"/>
  <c r="AT70" i="8"/>
  <c r="AT130" i="8"/>
  <c r="AT137" i="8" s="1"/>
  <c r="AT72" i="8"/>
  <c r="AT265" i="8" s="1"/>
  <c r="AU68" i="8"/>
  <c r="H271" i="8"/>
  <c r="E327" i="8"/>
  <c r="D368" i="8"/>
  <c r="E364" i="8" s="1"/>
  <c r="E368" i="8" s="1"/>
  <c r="F364" i="8" s="1"/>
  <c r="F368" i="8" s="1"/>
  <c r="G364" i="8" s="1"/>
  <c r="BG248" i="8"/>
  <c r="BG147" i="8"/>
  <c r="AV146" i="8"/>
  <c r="AV247" i="8"/>
  <c r="BG249" i="8"/>
  <c r="BG148" i="8"/>
  <c r="AS150" i="8"/>
  <c r="AS159" i="8" s="1"/>
  <c r="AS251" i="8"/>
  <c r="AS260" i="8" s="1"/>
  <c r="BG244" i="8"/>
  <c r="BG143" i="8"/>
  <c r="F327" i="8"/>
  <c r="AX39" i="8"/>
  <c r="AW40" i="8"/>
  <c r="BH124" i="8"/>
  <c r="BH28" i="8"/>
  <c r="AS269" i="8" l="1"/>
  <c r="AS294" i="8" s="1"/>
  <c r="AS331" i="8" s="1"/>
  <c r="AT240" i="8"/>
  <c r="AT140" i="8"/>
  <c r="H249" i="8"/>
  <c r="H267" i="8"/>
  <c r="BH248" i="8"/>
  <c r="E248" i="8" s="1"/>
  <c r="BH147" i="8"/>
  <c r="BG280" i="8"/>
  <c r="H276" i="8"/>
  <c r="BH249" i="8"/>
  <c r="E249" i="8" s="1"/>
  <c r="BH148" i="8"/>
  <c r="D266" i="8"/>
  <c r="E266" i="8"/>
  <c r="BH142" i="8"/>
  <c r="BH243" i="8"/>
  <c r="H248" i="8"/>
  <c r="H244" i="8"/>
  <c r="H255" i="8"/>
  <c r="AT150" i="8"/>
  <c r="AT159" i="8" s="1"/>
  <c r="AT251" i="8"/>
  <c r="BH143" i="8"/>
  <c r="BH244" i="8"/>
  <c r="AT260" i="8"/>
  <c r="AT269" i="8" s="1"/>
  <c r="AT294" i="8" s="1"/>
  <c r="AT331" i="8" s="1"/>
  <c r="AW247" i="8"/>
  <c r="AW146" i="8"/>
  <c r="AV129" i="8"/>
  <c r="AV61" i="8"/>
  <c r="AV63" i="8"/>
  <c r="AV264" i="8" s="1"/>
  <c r="G264" i="8" s="1"/>
  <c r="AW59" i="8"/>
  <c r="AV132" i="8"/>
  <c r="AV89" i="8"/>
  <c r="AW87" i="8"/>
  <c r="AX40" i="8"/>
  <c r="AY39" i="8"/>
  <c r="AU250" i="8"/>
  <c r="AU149" i="8"/>
  <c r="BA78" i="8"/>
  <c r="AZ79" i="8"/>
  <c r="AR294" i="8"/>
  <c r="BH255" i="8"/>
  <c r="E255" i="8" s="1"/>
  <c r="BH154" i="8"/>
  <c r="AY252" i="8"/>
  <c r="AY151" i="8"/>
  <c r="AU253" i="8"/>
  <c r="AU152" i="8"/>
  <c r="AU130" i="8"/>
  <c r="AU137" i="8" s="1"/>
  <c r="AU70" i="8"/>
  <c r="AU72" i="8"/>
  <c r="AU265" i="8" s="1"/>
  <c r="AV68" i="8"/>
  <c r="BH145" i="8"/>
  <c r="BH246" i="8"/>
  <c r="H246" i="8" s="1"/>
  <c r="BH188" i="8"/>
  <c r="BH276" i="8" s="1"/>
  <c r="BH254" i="8"/>
  <c r="BH153" i="8"/>
  <c r="G247" i="8"/>
  <c r="H243" i="8"/>
  <c r="BH245" i="8"/>
  <c r="E245" i="8" s="1"/>
  <c r="BH144" i="8"/>
  <c r="AV136" i="8"/>
  <c r="AV117" i="8"/>
  <c r="AV257" i="8" s="1"/>
  <c r="G257" i="8" s="1"/>
  <c r="AW115" i="8"/>
  <c r="H245" i="8"/>
  <c r="AX135" i="8"/>
  <c r="AX109" i="8"/>
  <c r="AX155" i="8" s="1"/>
  <c r="AX256" i="8" s="1"/>
  <c r="AY107" i="8"/>
  <c r="AA347" i="8"/>
  <c r="AB342" i="8" s="1"/>
  <c r="AU140" i="8" l="1"/>
  <c r="AU240" i="8"/>
  <c r="AX247" i="8"/>
  <c r="AX146" i="8"/>
  <c r="AW132" i="8"/>
  <c r="AW89" i="8"/>
  <c r="AX87" i="8"/>
  <c r="D244" i="8"/>
  <c r="E244" i="8"/>
  <c r="AB344" i="8"/>
  <c r="AW136" i="8"/>
  <c r="AW117" i="8"/>
  <c r="AW257" i="8" s="1"/>
  <c r="AX115" i="8"/>
  <c r="E254" i="8"/>
  <c r="H254" i="8"/>
  <c r="AV253" i="8"/>
  <c r="AV152" i="8"/>
  <c r="AV250" i="8"/>
  <c r="AV149" i="8"/>
  <c r="AR331" i="8"/>
  <c r="AV137" i="8"/>
  <c r="AZ252" i="8"/>
  <c r="AZ151" i="8"/>
  <c r="AY109" i="8"/>
  <c r="AY155" i="8" s="1"/>
  <c r="AY256" i="8" s="1"/>
  <c r="AY135" i="8"/>
  <c r="AZ107" i="8"/>
  <c r="BA79" i="8"/>
  <c r="BB78" i="8"/>
  <c r="BG292" i="8"/>
  <c r="E276" i="8"/>
  <c r="BH280" i="8"/>
  <c r="AY40" i="8"/>
  <c r="AZ39" i="8"/>
  <c r="AT367" i="8"/>
  <c r="AT387" i="8" s="1"/>
  <c r="AV130" i="8"/>
  <c r="AV70" i="8"/>
  <c r="AV72" i="8"/>
  <c r="AV265" i="8" s="1"/>
  <c r="AW68" i="8"/>
  <c r="AU251" i="8"/>
  <c r="AU150" i="8"/>
  <c r="AU159" i="8" s="1"/>
  <c r="AW129" i="8"/>
  <c r="AW61" i="8"/>
  <c r="AW63" i="8"/>
  <c r="AW264" i="8" s="1"/>
  <c r="AX59" i="8"/>
  <c r="AS367" i="8"/>
  <c r="AS387" i="8" s="1"/>
  <c r="AY247" i="8" l="1"/>
  <c r="AY146" i="8"/>
  <c r="AV240" i="8"/>
  <c r="AV140" i="8"/>
  <c r="G251" i="8"/>
  <c r="AV159" i="8"/>
  <c r="AX132" i="8"/>
  <c r="AX89" i="8"/>
  <c r="AY87" i="8"/>
  <c r="BC78" i="8"/>
  <c r="BB79" i="8"/>
  <c r="BA151" i="8"/>
  <c r="BA252" i="8"/>
  <c r="AX117" i="8"/>
  <c r="AX257" i="8" s="1"/>
  <c r="AX136" i="8"/>
  <c r="AY115" i="8"/>
  <c r="AV260" i="8"/>
  <c r="AV269" i="8" s="1"/>
  <c r="AV294" i="8" s="1"/>
  <c r="AV331" i="8" s="1"/>
  <c r="AW250" i="8"/>
  <c r="AW149" i="8"/>
  <c r="BH292" i="8"/>
  <c r="H292" i="8" s="1"/>
  <c r="E280" i="8"/>
  <c r="H280" i="8"/>
  <c r="AR367" i="8"/>
  <c r="AW253" i="8"/>
  <c r="AW152" i="8"/>
  <c r="AW130" i="8"/>
  <c r="AW137" i="8" s="1"/>
  <c r="AW70" i="8"/>
  <c r="AW72" i="8"/>
  <c r="AW265" i="8" s="1"/>
  <c r="AX68" i="8"/>
  <c r="AV251" i="8"/>
  <c r="AV150" i="8"/>
  <c r="AU260" i="8"/>
  <c r="AZ135" i="8"/>
  <c r="AZ109" i="8"/>
  <c r="AZ155" i="8" s="1"/>
  <c r="AZ256" i="8" s="1"/>
  <c r="BA107" i="8"/>
  <c r="AX61" i="8"/>
  <c r="AX129" i="8"/>
  <c r="AX63" i="8"/>
  <c r="AX264" i="8" s="1"/>
  <c r="AY59" i="8"/>
  <c r="BA39" i="8"/>
  <c r="AZ40" i="8"/>
  <c r="AB345" i="8"/>
  <c r="G250" i="8"/>
  <c r="AW240" i="8" l="1"/>
  <c r="AW140" i="8"/>
  <c r="AY117" i="8"/>
  <c r="AY257" i="8" s="1"/>
  <c r="AY136" i="8"/>
  <c r="AZ115" i="8"/>
  <c r="BB252" i="8"/>
  <c r="BB151" i="8"/>
  <c r="AX253" i="8"/>
  <c r="AX152" i="8"/>
  <c r="AR387" i="8"/>
  <c r="AR368" i="8"/>
  <c r="AS364" i="8" s="1"/>
  <c r="AS368" i="8" s="1"/>
  <c r="AT364" i="8" s="1"/>
  <c r="AT368" i="8" s="1"/>
  <c r="AU364" i="8" s="1"/>
  <c r="AB347" i="8"/>
  <c r="AC342" i="8" s="1"/>
  <c r="AB346" i="8"/>
  <c r="BC79" i="8"/>
  <c r="BD78" i="8"/>
  <c r="BA135" i="8"/>
  <c r="BA109" i="8"/>
  <c r="BA155" i="8" s="1"/>
  <c r="BA256" i="8" s="1"/>
  <c r="BB107" i="8"/>
  <c r="AX70" i="8"/>
  <c r="AX130" i="8"/>
  <c r="AX72" i="8"/>
  <c r="AX265" i="8" s="1"/>
  <c r="AY68" i="8"/>
  <c r="AW159" i="8"/>
  <c r="AU269" i="8"/>
  <c r="G260" i="8"/>
  <c r="AV367" i="8"/>
  <c r="AV387" i="8" s="1"/>
  <c r="AX137" i="8"/>
  <c r="AX250" i="8"/>
  <c r="AX149" i="8"/>
  <c r="AZ146" i="8"/>
  <c r="AZ247" i="8"/>
  <c r="BA40" i="8"/>
  <c r="BB39" i="8"/>
  <c r="AW260" i="8"/>
  <c r="AY129" i="8"/>
  <c r="AY61" i="8"/>
  <c r="AY63" i="8"/>
  <c r="AY264" i="8" s="1"/>
  <c r="AZ59" i="8"/>
  <c r="AW251" i="8"/>
  <c r="AW150" i="8"/>
  <c r="AY132" i="8"/>
  <c r="AY89" i="8"/>
  <c r="AZ87" i="8"/>
  <c r="AW269" i="8" l="1"/>
  <c r="BB40" i="8"/>
  <c r="BC39" i="8"/>
  <c r="AZ132" i="8"/>
  <c r="AZ89" i="8"/>
  <c r="BA87" i="8"/>
  <c r="BA146" i="8"/>
  <c r="BA247" i="8"/>
  <c r="BC252" i="8"/>
  <c r="BC151" i="8"/>
  <c r="AY250" i="8"/>
  <c r="AY149" i="8"/>
  <c r="AY253" i="8"/>
  <c r="AY152" i="8"/>
  <c r="AX251" i="8"/>
  <c r="AX260" i="8" s="1"/>
  <c r="AX150" i="8"/>
  <c r="AX159" i="8" s="1"/>
  <c r="AU294" i="8"/>
  <c r="G269" i="8"/>
  <c r="AZ117" i="8"/>
  <c r="AZ257" i="8" s="1"/>
  <c r="AZ136" i="8"/>
  <c r="BA115" i="8"/>
  <c r="AY72" i="8"/>
  <c r="AY265" i="8" s="1"/>
  <c r="AY70" i="8"/>
  <c r="AY130" i="8"/>
  <c r="AY137" i="8" s="1"/>
  <c r="AZ68" i="8"/>
  <c r="AC344" i="8"/>
  <c r="AZ129" i="8"/>
  <c r="AZ61" i="8"/>
  <c r="AZ63" i="8"/>
  <c r="AZ264" i="8" s="1"/>
  <c r="BA59" i="8"/>
  <c r="AR388" i="8"/>
  <c r="AS385" i="8" s="1"/>
  <c r="AS388" i="8" s="1"/>
  <c r="AT385" i="8" s="1"/>
  <c r="AT388" i="8" s="1"/>
  <c r="AU385" i="8" s="1"/>
  <c r="AX240" i="8"/>
  <c r="AX140" i="8"/>
  <c r="BB135" i="8"/>
  <c r="BB109" i="8"/>
  <c r="BB155" i="8" s="1"/>
  <c r="BB256" i="8" s="1"/>
  <c r="BC107" i="8"/>
  <c r="BD79" i="8"/>
  <c r="BE78" i="8"/>
  <c r="AY240" i="8" l="1"/>
  <c r="AY140" i="8"/>
  <c r="AX269" i="8"/>
  <c r="AX294" i="8" s="1"/>
  <c r="AX331" i="8" s="1"/>
  <c r="BF78" i="8"/>
  <c r="BE79" i="8"/>
  <c r="BC109" i="8"/>
  <c r="BC155" i="8" s="1"/>
  <c r="BC256" i="8" s="1"/>
  <c r="BC135" i="8"/>
  <c r="BD107" i="8"/>
  <c r="BC40" i="8"/>
  <c r="BD39" i="8"/>
  <c r="AY251" i="8"/>
  <c r="AY150" i="8"/>
  <c r="BB247" i="8"/>
  <c r="BB146" i="8"/>
  <c r="AU331" i="8"/>
  <c r="G294" i="8"/>
  <c r="BA132" i="8"/>
  <c r="BA89" i="8"/>
  <c r="BB87" i="8"/>
  <c r="AZ253" i="8"/>
  <c r="AZ152" i="8"/>
  <c r="AZ72" i="8"/>
  <c r="AZ265" i="8" s="1"/>
  <c r="AZ130" i="8"/>
  <c r="AZ137" i="8" s="1"/>
  <c r="AZ70" i="8"/>
  <c r="BA68" i="8"/>
  <c r="BD151" i="8"/>
  <c r="BD252" i="8"/>
  <c r="AZ250" i="8"/>
  <c r="AZ149" i="8"/>
  <c r="AY159" i="8"/>
  <c r="AW294" i="8"/>
  <c r="AC345" i="8"/>
  <c r="BA129" i="8"/>
  <c r="BA61" i="8"/>
  <c r="BA63" i="8"/>
  <c r="BA264" i="8" s="1"/>
  <c r="BB59" i="8"/>
  <c r="BA117" i="8"/>
  <c r="BA257" i="8" s="1"/>
  <c r="BA136" i="8"/>
  <c r="BB115" i="8"/>
  <c r="AZ240" i="8" l="1"/>
  <c r="AZ140" i="8"/>
  <c r="BF79" i="8"/>
  <c r="BG78" i="8"/>
  <c r="AC346" i="8"/>
  <c r="AC347" i="8" s="1"/>
  <c r="AD342" i="8" s="1"/>
  <c r="AU367" i="8"/>
  <c r="G331" i="8"/>
  <c r="G2" i="8" s="1"/>
  <c r="BB63" i="8"/>
  <c r="BB264" i="8" s="1"/>
  <c r="BB129" i="8"/>
  <c r="BB61" i="8"/>
  <c r="BC59" i="8"/>
  <c r="BD109" i="8"/>
  <c r="BD155" i="8" s="1"/>
  <c r="BD256" i="8" s="1"/>
  <c r="BD135" i="8"/>
  <c r="BE107" i="8"/>
  <c r="BA253" i="8"/>
  <c r="BA152" i="8"/>
  <c r="BA137" i="8"/>
  <c r="AY260" i="8"/>
  <c r="AX367" i="8"/>
  <c r="AX387" i="8" s="1"/>
  <c r="BB89" i="8"/>
  <c r="BB132" i="8"/>
  <c r="BC87" i="8"/>
  <c r="BE252" i="8"/>
  <c r="BE151" i="8"/>
  <c r="BA72" i="8"/>
  <c r="BA265" i="8" s="1"/>
  <c r="BA130" i="8"/>
  <c r="BA70" i="8"/>
  <c r="BB68" i="8"/>
  <c r="BE39" i="8"/>
  <c r="BD40" i="8"/>
  <c r="BC247" i="8"/>
  <c r="BC146" i="8"/>
  <c r="BA250" i="8"/>
  <c r="BA149" i="8"/>
  <c r="AZ159" i="8"/>
  <c r="AZ260" i="8"/>
  <c r="AZ269" i="8" s="1"/>
  <c r="AZ294" i="8" s="1"/>
  <c r="AZ331" i="8" s="1"/>
  <c r="BB117" i="8"/>
  <c r="BB257" i="8" s="1"/>
  <c r="BB136" i="8"/>
  <c r="BC115" i="8"/>
  <c r="AW331" i="8"/>
  <c r="AZ251" i="8"/>
  <c r="AZ150" i="8"/>
  <c r="AD344" i="8" l="1"/>
  <c r="AD345" i="8"/>
  <c r="BE109" i="8"/>
  <c r="BE155" i="8" s="1"/>
  <c r="BE256" i="8" s="1"/>
  <c r="BE135" i="8"/>
  <c r="BF107" i="8"/>
  <c r="BG79" i="8"/>
  <c r="BH78" i="8"/>
  <c r="BH79" i="8" s="1"/>
  <c r="BA159" i="8"/>
  <c r="BF252" i="8"/>
  <c r="BF151" i="8"/>
  <c r="BD247" i="8"/>
  <c r="BD146" i="8"/>
  <c r="BB72" i="8"/>
  <c r="BB265" i="8" s="1"/>
  <c r="BB70" i="8"/>
  <c r="BB130" i="8"/>
  <c r="BB137" i="8" s="1"/>
  <c r="BC68" i="8"/>
  <c r="BA240" i="8"/>
  <c r="BA140" i="8"/>
  <c r="BE40" i="8"/>
  <c r="BF39" i="8"/>
  <c r="BC117" i="8"/>
  <c r="BC257" i="8" s="1"/>
  <c r="BC136" i="8"/>
  <c r="BD115" i="8"/>
  <c r="AY269" i="8"/>
  <c r="BA251" i="8"/>
  <c r="BA150" i="8"/>
  <c r="AU387" i="8"/>
  <c r="G367" i="8"/>
  <c r="G368" i="8" s="1"/>
  <c r="H364" i="8" s="1"/>
  <c r="AU368" i="8"/>
  <c r="AV364" i="8" s="1"/>
  <c r="AV368" i="8" s="1"/>
  <c r="AW364" i="8" s="1"/>
  <c r="AW368" i="8" s="1"/>
  <c r="AX364" i="8" s="1"/>
  <c r="AX368" i="8" s="1"/>
  <c r="AY364" i="8" s="1"/>
  <c r="AZ367" i="8"/>
  <c r="AZ387" i="8" s="1"/>
  <c r="BC89" i="8"/>
  <c r="BC132" i="8"/>
  <c r="BD87" i="8"/>
  <c r="BC129" i="8"/>
  <c r="BC61" i="8"/>
  <c r="BC63" i="8"/>
  <c r="BC264" i="8" s="1"/>
  <c r="BD59" i="8"/>
  <c r="AW367" i="8"/>
  <c r="BA260" i="8"/>
  <c r="BA269" i="8" s="1"/>
  <c r="BA294" i="8" s="1"/>
  <c r="BA331" i="8" s="1"/>
  <c r="BB253" i="8"/>
  <c r="BB152" i="8"/>
  <c r="BB149" i="8"/>
  <c r="BB250" i="8"/>
  <c r="BB140" i="8" l="1"/>
  <c r="BB240" i="8"/>
  <c r="BF109" i="8"/>
  <c r="BF155" i="8" s="1"/>
  <c r="BF256" i="8" s="1"/>
  <c r="BF135" i="8"/>
  <c r="BG107" i="8"/>
  <c r="BC253" i="8"/>
  <c r="BC152" i="8"/>
  <c r="G387" i="8"/>
  <c r="G388" i="8" s="1"/>
  <c r="H385" i="8" s="1"/>
  <c r="AU388" i="8"/>
  <c r="AV385" i="8" s="1"/>
  <c r="AV388" i="8" s="1"/>
  <c r="AW385" i="8" s="1"/>
  <c r="AW388" i="8" s="1"/>
  <c r="AX385" i="8" s="1"/>
  <c r="AX388" i="8" s="1"/>
  <c r="AY385" i="8" s="1"/>
  <c r="BC72" i="8"/>
  <c r="BC265" i="8" s="1"/>
  <c r="BC70" i="8"/>
  <c r="BC130" i="8"/>
  <c r="BC137" i="8" s="1"/>
  <c r="BD68" i="8"/>
  <c r="BH151" i="8"/>
  <c r="BH252" i="8"/>
  <c r="AW387" i="8"/>
  <c r="BG252" i="8"/>
  <c r="BG151" i="8"/>
  <c r="AY294" i="8"/>
  <c r="BD89" i="8"/>
  <c r="BD132" i="8"/>
  <c r="BE87" i="8"/>
  <c r="BA367" i="8"/>
  <c r="BA387" i="8" s="1"/>
  <c r="BG39" i="8"/>
  <c r="BF40" i="8"/>
  <c r="BE146" i="8"/>
  <c r="BE247" i="8"/>
  <c r="BB251" i="8"/>
  <c r="BB260" i="8" s="1"/>
  <c r="BB269" i="8" s="1"/>
  <c r="BB150" i="8"/>
  <c r="BB159" i="8" s="1"/>
  <c r="AD346" i="8"/>
  <c r="AD347" i="8" s="1"/>
  <c r="AE342" i="8" s="1"/>
  <c r="BD117" i="8"/>
  <c r="BD257" i="8" s="1"/>
  <c r="BD136" i="8"/>
  <c r="BE115" i="8"/>
  <c r="BD63" i="8"/>
  <c r="BD264" i="8" s="1"/>
  <c r="BD129" i="8"/>
  <c r="BD61" i="8"/>
  <c r="BE59" i="8"/>
  <c r="BC149" i="8"/>
  <c r="BC250" i="8"/>
  <c r="BB294" i="8" l="1"/>
  <c r="BB331" i="8" s="1"/>
  <c r="BC140" i="8"/>
  <c r="BC240" i="8"/>
  <c r="AE344" i="8"/>
  <c r="AE345" i="8"/>
  <c r="BF146" i="8"/>
  <c r="BF247" i="8"/>
  <c r="BE117" i="8"/>
  <c r="BE257" i="8" s="1"/>
  <c r="BE136" i="8"/>
  <c r="BF115" i="8"/>
  <c r="BD137" i="8"/>
  <c r="BD253" i="8"/>
  <c r="BD152" i="8"/>
  <c r="BD130" i="8"/>
  <c r="BD70" i="8"/>
  <c r="BD72" i="8"/>
  <c r="BD265" i="8" s="1"/>
  <c r="BE68" i="8"/>
  <c r="BD149" i="8"/>
  <c r="BD250" i="8"/>
  <c r="BG109" i="8"/>
  <c r="BG155" i="8" s="1"/>
  <c r="BG256" i="8" s="1"/>
  <c r="BG135" i="8"/>
  <c r="BH107" i="8"/>
  <c r="D252" i="8"/>
  <c r="E252" i="8"/>
  <c r="H252" i="8"/>
  <c r="BE89" i="8"/>
  <c r="BE132" i="8"/>
  <c r="BF87" i="8"/>
  <c r="BC159" i="8"/>
  <c r="AY331" i="8"/>
  <c r="BC251" i="8"/>
  <c r="BC260" i="8" s="1"/>
  <c r="BC269" i="8" s="1"/>
  <c r="BC150" i="8"/>
  <c r="BH39" i="8"/>
  <c r="BH40" i="8" s="1"/>
  <c r="BG40" i="8"/>
  <c r="BE63" i="8"/>
  <c r="BE264" i="8" s="1"/>
  <c r="BE61" i="8"/>
  <c r="BE129" i="8"/>
  <c r="BF59" i="8"/>
  <c r="BC294" i="8" l="1"/>
  <c r="BH109" i="8"/>
  <c r="BH155" i="8" s="1"/>
  <c r="BH256" i="8" s="1"/>
  <c r="BH135" i="8"/>
  <c r="BF63" i="8"/>
  <c r="BF264" i="8" s="1"/>
  <c r="BF61" i="8"/>
  <c r="BF129" i="8"/>
  <c r="BG59" i="8"/>
  <c r="BE149" i="8"/>
  <c r="BE250" i="8"/>
  <c r="BG146" i="8"/>
  <c r="BG247" i="8"/>
  <c r="BD251" i="8"/>
  <c r="BD150" i="8"/>
  <c r="BD140" i="8"/>
  <c r="BD240" i="8"/>
  <c r="AY367" i="8"/>
  <c r="BF89" i="8"/>
  <c r="BF132" i="8"/>
  <c r="BG87" i="8"/>
  <c r="BE70" i="8"/>
  <c r="BE130" i="8"/>
  <c r="BE72" i="8"/>
  <c r="BE265" i="8" s="1"/>
  <c r="BF68" i="8"/>
  <c r="BF136" i="8"/>
  <c r="BF117" i="8"/>
  <c r="BF257" i="8" s="1"/>
  <c r="BG115" i="8"/>
  <c r="BD260" i="8"/>
  <c r="BD269" i="8" s="1"/>
  <c r="BD294" i="8" s="1"/>
  <c r="BD331" i="8" s="1"/>
  <c r="BD159" i="8"/>
  <c r="AE346" i="8"/>
  <c r="AE347" i="8" s="1"/>
  <c r="AF342" i="8" s="1"/>
  <c r="BE137" i="8"/>
  <c r="BE152" i="8"/>
  <c r="BE253" i="8"/>
  <c r="BH247" i="8"/>
  <c r="BH146" i="8"/>
  <c r="BB367" i="8"/>
  <c r="BB387" i="8" s="1"/>
  <c r="AF344" i="8" l="1"/>
  <c r="AF345" i="8" s="1"/>
  <c r="AY387" i="8"/>
  <c r="AY368" i="8"/>
  <c r="AZ364" i="8" s="1"/>
  <c r="AZ368" i="8" s="1"/>
  <c r="BA364" i="8" s="1"/>
  <c r="BA368" i="8" s="1"/>
  <c r="BB364" i="8" s="1"/>
  <c r="BB368" i="8" s="1"/>
  <c r="BC364" i="8" s="1"/>
  <c r="BE240" i="8"/>
  <c r="BE140" i="8"/>
  <c r="BD367" i="8"/>
  <c r="BD387" i="8" s="1"/>
  <c r="BG63" i="8"/>
  <c r="BG264" i="8" s="1"/>
  <c r="BG61" i="8"/>
  <c r="BG129" i="8"/>
  <c r="BH59" i="8"/>
  <c r="BG136" i="8"/>
  <c r="BG117" i="8"/>
  <c r="BG257" i="8" s="1"/>
  <c r="BH115" i="8"/>
  <c r="BF70" i="8"/>
  <c r="BF130" i="8"/>
  <c r="BF137" i="8" s="1"/>
  <c r="BF72" i="8"/>
  <c r="BF265" i="8" s="1"/>
  <c r="BG68" i="8"/>
  <c r="E256" i="8"/>
  <c r="H256" i="8"/>
  <c r="BE251" i="8"/>
  <c r="BE150" i="8"/>
  <c r="BE159" i="8" s="1"/>
  <c r="BG89" i="8"/>
  <c r="BG132" i="8"/>
  <c r="BH87" i="8"/>
  <c r="BE260" i="8"/>
  <c r="BE269" i="8" s="1"/>
  <c r="BE294" i="8" s="1"/>
  <c r="BE331" i="8" s="1"/>
  <c r="BF152" i="8"/>
  <c r="BF253" i="8"/>
  <c r="BF149" i="8"/>
  <c r="BF250" i="8"/>
  <c r="E247" i="8"/>
  <c r="H247" i="8"/>
  <c r="BC331" i="8"/>
  <c r="BF240" i="8" l="1"/>
  <c r="BF140" i="8"/>
  <c r="AF346" i="8"/>
  <c r="AF347" i="8" s="1"/>
  <c r="AG342" i="8" s="1"/>
  <c r="BE367" i="8"/>
  <c r="BE387" i="8" s="1"/>
  <c r="BG253" i="8"/>
  <c r="BG152" i="8"/>
  <c r="BH129" i="8"/>
  <c r="BH61" i="8"/>
  <c r="BH63" i="8"/>
  <c r="BH264" i="8" s="1"/>
  <c r="BC368" i="8"/>
  <c r="BD364" i="8" s="1"/>
  <c r="BD368" i="8" s="1"/>
  <c r="BE364" i="8" s="1"/>
  <c r="BE368" i="8" s="1"/>
  <c r="BF364" i="8" s="1"/>
  <c r="BG130" i="8"/>
  <c r="BG72" i="8"/>
  <c r="BG265" i="8" s="1"/>
  <c r="BG70" i="8"/>
  <c r="BH68" i="8"/>
  <c r="BF251" i="8"/>
  <c r="BF150" i="8"/>
  <c r="BG250" i="8"/>
  <c r="BG149" i="8"/>
  <c r="AY388" i="8"/>
  <c r="AZ385" i="8" s="1"/>
  <c r="AZ388" i="8" s="1"/>
  <c r="BA385" i="8" s="1"/>
  <c r="BA388" i="8" s="1"/>
  <c r="BB385" i="8" s="1"/>
  <c r="BB388" i="8" s="1"/>
  <c r="BC385" i="8" s="1"/>
  <c r="BH136" i="8"/>
  <c r="BH117" i="8"/>
  <c r="BH257" i="8" s="1"/>
  <c r="BH89" i="8"/>
  <c r="BH132" i="8"/>
  <c r="BG137" i="8"/>
  <c r="BC367" i="8"/>
  <c r="BF159" i="8"/>
  <c r="BF260" i="8"/>
  <c r="BF269" i="8" s="1"/>
  <c r="BF294" i="8" s="1"/>
  <c r="BF331" i="8" s="1"/>
  <c r="AG344" i="8" l="1"/>
  <c r="AG345" i="8" s="1"/>
  <c r="BC387" i="8"/>
  <c r="BF368" i="8"/>
  <c r="BG364" i="8" s="1"/>
  <c r="E264" i="8"/>
  <c r="H264" i="8"/>
  <c r="BH149" i="8"/>
  <c r="BH250" i="8"/>
  <c r="BH130" i="8"/>
  <c r="BH137" i="8" s="1"/>
  <c r="BH72" i="8"/>
  <c r="BH265" i="8" s="1"/>
  <c r="BH70" i="8"/>
  <c r="BH253" i="8"/>
  <c r="BH152" i="8"/>
  <c r="BC388" i="8"/>
  <c r="BD385" i="8" s="1"/>
  <c r="BD388" i="8" s="1"/>
  <c r="BE385" i="8" s="1"/>
  <c r="BE388" i="8" s="1"/>
  <c r="BF385" i="8" s="1"/>
  <c r="BF367" i="8"/>
  <c r="BF387" i="8" s="1"/>
  <c r="BG260" i="8"/>
  <c r="BG269" i="8" s="1"/>
  <c r="BG294" i="8" s="1"/>
  <c r="BG331" i="8" s="1"/>
  <c r="BG240" i="8"/>
  <c r="BG140" i="8"/>
  <c r="BG150" i="8"/>
  <c r="BG159" i="8" s="1"/>
  <c r="BG251" i="8"/>
  <c r="D257" i="8"/>
  <c r="E257" i="8"/>
  <c r="H257" i="8"/>
  <c r="BH240" i="8" l="1"/>
  <c r="BH140" i="8"/>
  <c r="AG346" i="8"/>
  <c r="AG347" i="8" s="1"/>
  <c r="AH342" i="8" s="1"/>
  <c r="BF388" i="8"/>
  <c r="BG385" i="8" s="1"/>
  <c r="E253" i="8"/>
  <c r="G253" i="8"/>
  <c r="H253" i="8"/>
  <c r="BH159" i="8"/>
  <c r="BG367" i="8"/>
  <c r="BH150" i="8"/>
  <c r="BH251" i="8"/>
  <c r="E250" i="8"/>
  <c r="H250" i="8"/>
  <c r="BH260" i="8"/>
  <c r="E265" i="8"/>
  <c r="G265" i="8"/>
  <c r="H265" i="8"/>
  <c r="AH344" i="8" l="1"/>
  <c r="AH345" i="8" s="1"/>
  <c r="BG387" i="8"/>
  <c r="BH269" i="8"/>
  <c r="E260" i="8"/>
  <c r="H260" i="8"/>
  <c r="BG368" i="8"/>
  <c r="BH364" i="8" s="1"/>
  <c r="E251" i="8"/>
  <c r="H251" i="8"/>
  <c r="BG388" i="8"/>
  <c r="BH385" i="8" s="1"/>
  <c r="E240" i="8"/>
  <c r="G240" i="8"/>
  <c r="H240" i="8"/>
  <c r="AH346" i="8" l="1"/>
  <c r="AH347" i="8" s="1"/>
  <c r="AI342" i="8" s="1"/>
  <c r="BH294" i="8"/>
  <c r="E269" i="8"/>
  <c r="H269" i="8"/>
  <c r="AI344" i="8" l="1"/>
  <c r="AI345" i="8"/>
  <c r="BH331" i="8"/>
  <c r="E294" i="8"/>
  <c r="H294" i="8"/>
  <c r="AI346" i="8" l="1"/>
  <c r="AI347" i="8" s="1"/>
  <c r="AJ342" i="8" s="1"/>
  <c r="BH367" i="8"/>
  <c r="H331" i="8"/>
  <c r="H2" i="8" s="1"/>
  <c r="AJ344" i="8" l="1"/>
  <c r="AJ345" i="8"/>
  <c r="AJ347" i="8" s="1"/>
  <c r="AK342" i="8" s="1"/>
  <c r="BH387" i="8"/>
  <c r="H367" i="8"/>
  <c r="H368" i="8" s="1"/>
  <c r="BH368" i="8"/>
  <c r="AK344" i="8" l="1"/>
  <c r="AK345" i="8"/>
  <c r="H387" i="8"/>
  <c r="H388" i="8" s="1"/>
  <c r="BH388" i="8"/>
  <c r="AK347" i="8" l="1"/>
  <c r="AL342" i="8" s="1"/>
  <c r="AK346" i="8"/>
  <c r="AL344" i="8" l="1"/>
  <c r="AL345" i="8" s="1"/>
  <c r="AL346" i="8" l="1"/>
  <c r="AL347" i="8" s="1"/>
  <c r="AM342" i="8" s="1"/>
  <c r="AM344" i="8" l="1"/>
  <c r="AM345" i="8" s="1"/>
  <c r="AM347" i="8" l="1"/>
  <c r="AN342" i="8" s="1"/>
  <c r="AM346" i="8"/>
  <c r="AN344" i="8" l="1"/>
  <c r="AN345" i="8" s="1"/>
  <c r="AN346" i="8" l="1"/>
  <c r="AN347" i="8" s="1"/>
  <c r="AO342" i="8" s="1"/>
  <c r="AO344" i="8" l="1"/>
  <c r="AO345" i="8"/>
  <c r="AO346" i="8" l="1"/>
  <c r="AO347" i="8" s="1"/>
  <c r="AP342" i="8" s="1"/>
  <c r="AP344" i="8" l="1"/>
  <c r="AP345" i="8"/>
  <c r="AP346" i="8" l="1"/>
  <c r="AP347" i="8" s="1"/>
  <c r="AQ342" i="8" s="1"/>
  <c r="AQ344" i="8" l="1"/>
  <c r="AQ345" i="8" s="1"/>
  <c r="AQ346" i="8" l="1"/>
  <c r="AQ347" i="8" s="1"/>
  <c r="AR342" i="8" s="1"/>
  <c r="AR344" i="8" l="1"/>
  <c r="AR345" i="8" s="1"/>
  <c r="AR346" i="8" l="1"/>
  <c r="AR347" i="8" s="1"/>
  <c r="AS342" i="8" s="1"/>
  <c r="AS344" i="8" l="1"/>
  <c r="AS345" i="8" s="1"/>
  <c r="AS346" i="8" l="1"/>
  <c r="AS347" i="8" s="1"/>
  <c r="AT342" i="8" s="1"/>
  <c r="AT344" i="8" l="1"/>
  <c r="AT345" i="8" s="1"/>
  <c r="AT346" i="8" l="1"/>
  <c r="AT347" i="8" s="1"/>
  <c r="AU342" i="8" s="1"/>
  <c r="AU344" i="8" l="1"/>
  <c r="AU345" i="8" s="1"/>
  <c r="AU346" i="8" l="1"/>
  <c r="AU347" i="8" s="1"/>
  <c r="AV342" i="8" s="1"/>
  <c r="AV344" i="8" l="1"/>
  <c r="AV345" i="8" s="1"/>
  <c r="AV346" i="8" l="1"/>
  <c r="AV347" i="8" s="1"/>
  <c r="AW342" i="8" s="1"/>
  <c r="AW344" i="8" l="1"/>
  <c r="AW345" i="8"/>
  <c r="AW346" i="8" l="1"/>
  <c r="AW347" i="8" l="1"/>
  <c r="AX342" i="8" s="1"/>
  <c r="AX344" i="8" l="1"/>
  <c r="AX345" i="8"/>
  <c r="AX346" i="8" l="1"/>
  <c r="AX347" i="8" l="1"/>
  <c r="AY342" i="8" s="1"/>
  <c r="AY344" i="8" l="1"/>
  <c r="AY345" i="8" s="1"/>
  <c r="AY346" i="8" l="1"/>
  <c r="AY347" i="8" s="1"/>
  <c r="AZ342" i="8" s="1"/>
  <c r="AZ344" i="8" l="1"/>
  <c r="AZ345" i="8"/>
  <c r="AZ346" i="8" l="1"/>
  <c r="AZ347" i="8" s="1"/>
  <c r="BA342" i="8" s="1"/>
  <c r="BA344" i="8" l="1"/>
  <c r="BA345" i="8"/>
  <c r="BA346" i="8" l="1"/>
  <c r="BA347" i="8" s="1"/>
  <c r="BB342" i="8" s="1"/>
  <c r="BB344" i="8" l="1"/>
  <c r="BB345" i="8"/>
  <c r="BB346" i="8" l="1"/>
  <c r="BB347" i="8" s="1"/>
  <c r="BC342" i="8" s="1"/>
  <c r="BC344" i="8" l="1"/>
  <c r="BC345" i="8"/>
  <c r="BC346" i="8" l="1"/>
  <c r="BC347" i="8" s="1"/>
  <c r="BD342" i="8" s="1"/>
  <c r="BD344" i="8" l="1"/>
  <c r="BD345" i="8" s="1"/>
  <c r="BD346" i="8" l="1"/>
  <c r="BD347" i="8" s="1"/>
  <c r="BE342" i="8" s="1"/>
  <c r="BE344" i="8" l="1"/>
  <c r="BE345" i="8" s="1"/>
  <c r="BE346" i="8" l="1"/>
  <c r="BE347" i="8" s="1"/>
  <c r="BF342" i="8" s="1"/>
  <c r="BF344" i="8" l="1"/>
  <c r="BF345" i="8" s="1"/>
  <c r="BF346" i="8" l="1"/>
  <c r="BF347" i="8" s="1"/>
  <c r="BG342" i="8" s="1"/>
  <c r="BG344" i="8" l="1"/>
  <c r="BG345" i="8" s="1"/>
  <c r="BG346" i="8" l="1"/>
  <c r="BG347" i="8" s="1"/>
  <c r="BH342" i="8" s="1"/>
  <c r="BH344" i="8" l="1"/>
  <c r="E344" i="8" l="1"/>
  <c r="E345" i="8" s="1"/>
  <c r="E347" i="8" s="1"/>
  <c r="F342" i="8" s="1"/>
  <c r="F344" i="8"/>
  <c r="G344" i="8"/>
  <c r="H344" i="8"/>
  <c r="BH345" i="8"/>
  <c r="BH346" i="8" l="1"/>
  <c r="F345" i="8"/>
  <c r="F346" i="8" l="1"/>
  <c r="F347" i="8" s="1"/>
  <c r="G342" i="8" s="1"/>
  <c r="G345" i="8" s="1"/>
  <c r="G347" i="8" s="1"/>
  <c r="H342" i="8" s="1"/>
  <c r="H345" i="8" s="1"/>
  <c r="H347" i="8" s="1"/>
  <c r="G346" i="8"/>
  <c r="H346" i="8"/>
  <c r="BH347" i="8"/>
  <c r="K42" i="1" l="1"/>
  <c r="E47" i="1"/>
  <c r="E45" i="1"/>
  <c r="E44" i="1"/>
  <c r="E41" i="1"/>
  <c r="E40" i="1"/>
  <c r="E36" i="1"/>
  <c r="E30" i="1"/>
  <c r="L19" i="1" l="1"/>
  <c r="E39" i="1"/>
  <c r="E28" i="1"/>
  <c r="E27" i="1"/>
  <c r="E25" i="1"/>
  <c r="E23" i="1"/>
  <c r="E21" i="1"/>
  <c r="E37" i="1"/>
  <c r="E20" i="1"/>
  <c r="E32" i="1"/>
  <c r="E24" i="1"/>
  <c r="E26" i="1"/>
  <c r="E43" i="1"/>
  <c r="E42" i="1"/>
  <c r="E46" i="1"/>
  <c r="E38" i="1"/>
  <c r="E13" i="1"/>
  <c r="E22" i="1" l="1"/>
  <c r="E31" i="1"/>
  <c r="E33" i="1"/>
  <c r="E19" i="1"/>
  <c r="E34" i="1"/>
  <c r="M19" i="1"/>
  <c r="E29" i="1"/>
  <c r="E35" i="1"/>
  <c r="I359" i="6"/>
  <c r="I358" i="6"/>
  <c r="D358" i="6"/>
  <c r="O352" i="6"/>
  <c r="I352" i="6"/>
  <c r="H349" i="6"/>
  <c r="C348" i="6"/>
  <c r="S347" i="6"/>
  <c r="C347" i="6"/>
  <c r="C346" i="6"/>
  <c r="C345" i="6"/>
  <c r="C344" i="6"/>
  <c r="B343" i="6"/>
  <c r="C341" i="6"/>
  <c r="C340" i="6"/>
  <c r="C339" i="6"/>
  <c r="C338" i="6"/>
  <c r="C337" i="6"/>
  <c r="L336" i="6"/>
  <c r="K336" i="6"/>
  <c r="J336" i="6"/>
  <c r="I336" i="6"/>
  <c r="C336" i="6"/>
  <c r="C335" i="6"/>
  <c r="C334" i="6"/>
  <c r="C333" i="6"/>
  <c r="C332" i="6"/>
  <c r="C331" i="6"/>
  <c r="B330" i="6"/>
  <c r="C322" i="6"/>
  <c r="P321" i="6"/>
  <c r="O321" i="6"/>
  <c r="N321" i="6"/>
  <c r="M321" i="6"/>
  <c r="L321" i="6"/>
  <c r="K321" i="6"/>
  <c r="J321" i="6"/>
  <c r="I321" i="6"/>
  <c r="C321" i="6"/>
  <c r="C320" i="6"/>
  <c r="O319" i="6"/>
  <c r="M319" i="6"/>
  <c r="L319" i="6"/>
  <c r="K319" i="6"/>
  <c r="J319" i="6"/>
  <c r="C319" i="6"/>
  <c r="J318" i="6"/>
  <c r="I318" i="6"/>
  <c r="C318" i="6"/>
  <c r="O317" i="6"/>
  <c r="N317" i="6"/>
  <c r="M317" i="6"/>
  <c r="J317" i="6"/>
  <c r="I317" i="6"/>
  <c r="C317" i="6"/>
  <c r="O316" i="6"/>
  <c r="N316" i="6"/>
  <c r="M316" i="6"/>
  <c r="L316" i="6"/>
  <c r="K316" i="6"/>
  <c r="J316" i="6"/>
  <c r="C316" i="6"/>
  <c r="J315" i="6"/>
  <c r="C315" i="6"/>
  <c r="O314" i="6"/>
  <c r="N314" i="6"/>
  <c r="M314" i="6"/>
  <c r="L314" i="6"/>
  <c r="K314" i="6"/>
  <c r="J314" i="6"/>
  <c r="C314" i="6"/>
  <c r="O313" i="6"/>
  <c r="L313" i="6"/>
  <c r="K313" i="6"/>
  <c r="J313" i="6"/>
  <c r="I313" i="6"/>
  <c r="C313" i="6"/>
  <c r="M312" i="6"/>
  <c r="L312" i="6"/>
  <c r="K312" i="6"/>
  <c r="J312" i="6"/>
  <c r="I312" i="6"/>
  <c r="C312" i="6"/>
  <c r="O311" i="6"/>
  <c r="C311" i="6"/>
  <c r="M310" i="6"/>
  <c r="I310" i="6"/>
  <c r="C310" i="6"/>
  <c r="O309" i="6"/>
  <c r="N309" i="6"/>
  <c r="M309" i="6"/>
  <c r="L309" i="6"/>
  <c r="C309" i="6"/>
  <c r="O308" i="6"/>
  <c r="N308" i="6"/>
  <c r="M308" i="6"/>
  <c r="L308" i="6"/>
  <c r="K308" i="6"/>
  <c r="J308" i="6"/>
  <c r="I308" i="6"/>
  <c r="C308" i="6"/>
  <c r="N307" i="6"/>
  <c r="M307" i="6"/>
  <c r="L307" i="6"/>
  <c r="K307" i="6"/>
  <c r="J307" i="6"/>
  <c r="I307" i="6"/>
  <c r="C307" i="6"/>
  <c r="O306" i="6"/>
  <c r="N306" i="6"/>
  <c r="M306" i="6"/>
  <c r="L306" i="6"/>
  <c r="K306" i="6"/>
  <c r="J306" i="6"/>
  <c r="I306" i="6"/>
  <c r="C306" i="6"/>
  <c r="O305" i="6"/>
  <c r="N305" i="6"/>
  <c r="N352" i="6" s="1"/>
  <c r="M305" i="6"/>
  <c r="M352" i="6" s="1"/>
  <c r="L305" i="6"/>
  <c r="L352" i="6" s="1"/>
  <c r="K305" i="6"/>
  <c r="K352" i="6" s="1"/>
  <c r="J305" i="6"/>
  <c r="J352" i="6" s="1"/>
  <c r="I305" i="6"/>
  <c r="C305" i="6"/>
  <c r="C352" i="6" s="1"/>
  <c r="O304" i="6"/>
  <c r="N304" i="6"/>
  <c r="M304" i="6"/>
  <c r="L304" i="6"/>
  <c r="K304" i="6"/>
  <c r="J304" i="6"/>
  <c r="C304" i="6"/>
  <c r="O303" i="6"/>
  <c r="N303" i="6"/>
  <c r="M303" i="6"/>
  <c r="L303" i="6"/>
  <c r="K303" i="6"/>
  <c r="J303" i="6"/>
  <c r="C303" i="6"/>
  <c r="O302" i="6"/>
  <c r="N302" i="6"/>
  <c r="M302" i="6"/>
  <c r="L302" i="6"/>
  <c r="K302" i="6"/>
  <c r="J302" i="6"/>
  <c r="I302" i="6"/>
  <c r="C302" i="6"/>
  <c r="O301" i="6"/>
  <c r="N301" i="6"/>
  <c r="M301" i="6"/>
  <c r="L301" i="6"/>
  <c r="K301" i="6"/>
  <c r="J301" i="6"/>
  <c r="I301" i="6"/>
  <c r="C301" i="6"/>
  <c r="T297" i="6"/>
  <c r="S297" i="6"/>
  <c r="R297" i="6"/>
  <c r="Q297" i="6"/>
  <c r="P297" i="6"/>
  <c r="O297" i="6"/>
  <c r="N297" i="6"/>
  <c r="M297" i="6"/>
  <c r="L297" i="6"/>
  <c r="K297" i="6"/>
  <c r="J297" i="6"/>
  <c r="I297" i="6"/>
  <c r="C297" i="6"/>
  <c r="O296" i="6"/>
  <c r="N296" i="6"/>
  <c r="M296" i="6"/>
  <c r="L296" i="6"/>
  <c r="K296" i="6"/>
  <c r="J296" i="6"/>
  <c r="I296" i="6"/>
  <c r="C296" i="6"/>
  <c r="C295" i="6"/>
  <c r="C294" i="6"/>
  <c r="O293" i="6"/>
  <c r="N293" i="6"/>
  <c r="M293" i="6"/>
  <c r="L293" i="6"/>
  <c r="K293" i="6"/>
  <c r="J293" i="6"/>
  <c r="I293" i="6"/>
  <c r="C293" i="6"/>
  <c r="O292" i="6"/>
  <c r="N292" i="6"/>
  <c r="M292" i="6"/>
  <c r="L292" i="6"/>
  <c r="K292" i="6"/>
  <c r="J292" i="6"/>
  <c r="I292" i="6"/>
  <c r="C292" i="6"/>
  <c r="O291" i="6"/>
  <c r="N291" i="6"/>
  <c r="M291" i="6"/>
  <c r="L291" i="6"/>
  <c r="K291" i="6"/>
  <c r="J291" i="6"/>
  <c r="I291" i="6"/>
  <c r="C291" i="6"/>
  <c r="O290" i="6"/>
  <c r="N290" i="6"/>
  <c r="M290" i="6"/>
  <c r="L290" i="6"/>
  <c r="K290" i="6"/>
  <c r="J290" i="6"/>
  <c r="I290" i="6"/>
  <c r="C290" i="6"/>
  <c r="O287" i="6"/>
  <c r="N287" i="6"/>
  <c r="M287" i="6"/>
  <c r="L287" i="6"/>
  <c r="K287" i="6"/>
  <c r="J287" i="6"/>
  <c r="I287" i="6"/>
  <c r="C286" i="6"/>
  <c r="C285" i="6"/>
  <c r="C284" i="6"/>
  <c r="C283" i="6"/>
  <c r="L282" i="6"/>
  <c r="I282" i="6"/>
  <c r="C282" i="6"/>
  <c r="C281" i="6"/>
  <c r="C280" i="6"/>
  <c r="J279" i="6"/>
  <c r="C279" i="6"/>
  <c r="C278" i="6"/>
  <c r="C277" i="6"/>
  <c r="C276" i="6"/>
  <c r="C273" i="6"/>
  <c r="BD272" i="6"/>
  <c r="BC272" i="6"/>
  <c r="BB272" i="6"/>
  <c r="BA272" i="6"/>
  <c r="AZ272" i="6"/>
  <c r="AY272" i="6"/>
  <c r="AX272" i="6"/>
  <c r="AW272" i="6"/>
  <c r="AV272" i="6"/>
  <c r="AU272" i="6"/>
  <c r="AT272" i="6"/>
  <c r="AS272" i="6"/>
  <c r="AR272" i="6"/>
  <c r="AQ272" i="6"/>
  <c r="AP272" i="6"/>
  <c r="AO272" i="6"/>
  <c r="AN272" i="6"/>
  <c r="AM272" i="6"/>
  <c r="AL272" i="6"/>
  <c r="AK272" i="6"/>
  <c r="AJ272" i="6"/>
  <c r="AI272" i="6"/>
  <c r="AH272" i="6"/>
  <c r="AG272" i="6"/>
  <c r="AF272" i="6"/>
  <c r="AE272" i="6"/>
  <c r="AD272" i="6"/>
  <c r="AC272" i="6"/>
  <c r="AB272" i="6"/>
  <c r="AA272" i="6"/>
  <c r="Z272" i="6"/>
  <c r="Y272" i="6"/>
  <c r="X272" i="6"/>
  <c r="W272" i="6"/>
  <c r="V272" i="6"/>
  <c r="U272" i="6"/>
  <c r="T272" i="6"/>
  <c r="S272" i="6"/>
  <c r="R272" i="6"/>
  <c r="Q272" i="6"/>
  <c r="P272" i="6"/>
  <c r="C272" i="6"/>
  <c r="C269" i="6"/>
  <c r="K268" i="6"/>
  <c r="I268" i="6"/>
  <c r="O267" i="6"/>
  <c r="N267" i="6"/>
  <c r="M267" i="6"/>
  <c r="L267" i="6"/>
  <c r="K267" i="6"/>
  <c r="J267" i="6"/>
  <c r="I267" i="6"/>
  <c r="C267" i="6"/>
  <c r="C266" i="6"/>
  <c r="C265" i="6"/>
  <c r="C264" i="6"/>
  <c r="C263" i="6"/>
  <c r="C262" i="6"/>
  <c r="C261" i="6"/>
  <c r="C260" i="6"/>
  <c r="C259" i="6"/>
  <c r="C258" i="6"/>
  <c r="O257" i="6"/>
  <c r="J257" i="6"/>
  <c r="C257" i="6"/>
  <c r="N256" i="6"/>
  <c r="C256" i="6"/>
  <c r="C255" i="6"/>
  <c r="C252" i="6"/>
  <c r="I246" i="6"/>
  <c r="I348" i="6" s="1"/>
  <c r="P245" i="6"/>
  <c r="P347" i="6" s="1"/>
  <c r="I245" i="6"/>
  <c r="I347" i="6" s="1"/>
  <c r="E237" i="6"/>
  <c r="F235" i="6"/>
  <c r="I234" i="6"/>
  <c r="I337" i="6" s="1"/>
  <c r="F234" i="6"/>
  <c r="P233" i="6"/>
  <c r="P336" i="6" s="1"/>
  <c r="I232" i="6"/>
  <c r="I335" i="6" s="1"/>
  <c r="F232" i="6"/>
  <c r="E232" i="6"/>
  <c r="O232" i="6" s="1"/>
  <c r="O335" i="6" s="1"/>
  <c r="I230" i="6"/>
  <c r="I333" i="6" s="1"/>
  <c r="F230" i="6"/>
  <c r="I223" i="6"/>
  <c r="I320" i="6" s="1"/>
  <c r="N222" i="6"/>
  <c r="N319" i="6" s="1"/>
  <c r="I222" i="6"/>
  <c r="I319" i="6" s="1"/>
  <c r="E222" i="6"/>
  <c r="O221" i="6"/>
  <c r="O318" i="6" s="1"/>
  <c r="N221" i="6"/>
  <c r="N318" i="6" s="1"/>
  <c r="M221" i="6"/>
  <c r="M318" i="6" s="1"/>
  <c r="L221" i="6"/>
  <c r="L318" i="6" s="1"/>
  <c r="K221" i="6"/>
  <c r="L220" i="6"/>
  <c r="K220" i="6"/>
  <c r="K317" i="6" s="1"/>
  <c r="I219" i="6"/>
  <c r="I316" i="6" s="1"/>
  <c r="E219" i="6"/>
  <c r="O218" i="6"/>
  <c r="O315" i="6" s="1"/>
  <c r="N218" i="6"/>
  <c r="N315" i="6" s="1"/>
  <c r="M218" i="6"/>
  <c r="M315" i="6" s="1"/>
  <c r="L218" i="6"/>
  <c r="L315" i="6" s="1"/>
  <c r="K218" i="6"/>
  <c r="K315" i="6" s="1"/>
  <c r="J218" i="6"/>
  <c r="I218" i="6"/>
  <c r="I217" i="6"/>
  <c r="I314" i="6" s="1"/>
  <c r="E217" i="6"/>
  <c r="N216" i="6"/>
  <c r="N313" i="6" s="1"/>
  <c r="M216" i="6"/>
  <c r="O215" i="6"/>
  <c r="N215" i="6"/>
  <c r="N312" i="6" s="1"/>
  <c r="O214" i="6"/>
  <c r="N214" i="6"/>
  <c r="N311" i="6" s="1"/>
  <c r="M214" i="6"/>
  <c r="M311" i="6" s="1"/>
  <c r="L214" i="6"/>
  <c r="L311" i="6" s="1"/>
  <c r="K214" i="6"/>
  <c r="J214" i="6"/>
  <c r="J311" i="6" s="1"/>
  <c r="I214" i="6"/>
  <c r="I311" i="6" s="1"/>
  <c r="O213" i="6"/>
  <c r="O310" i="6" s="1"/>
  <c r="N213" i="6"/>
  <c r="N310" i="6" s="1"/>
  <c r="L213" i="6"/>
  <c r="L310" i="6" s="1"/>
  <c r="K213" i="6"/>
  <c r="K310" i="6" s="1"/>
  <c r="J213" i="6"/>
  <c r="J310" i="6" s="1"/>
  <c r="L212" i="6"/>
  <c r="K212" i="6"/>
  <c r="K309" i="6" s="1"/>
  <c r="J212" i="6"/>
  <c r="J309" i="6" s="1"/>
  <c r="I212" i="6"/>
  <c r="I309" i="6" s="1"/>
  <c r="E212" i="6"/>
  <c r="E211" i="6"/>
  <c r="O210" i="6"/>
  <c r="E209" i="6"/>
  <c r="E208" i="6"/>
  <c r="I207" i="6"/>
  <c r="I206" i="6"/>
  <c r="I303" i="6" s="1"/>
  <c r="E206" i="6"/>
  <c r="E205" i="6"/>
  <c r="BX204" i="6"/>
  <c r="E204" i="6"/>
  <c r="L199" i="6"/>
  <c r="J199" i="6"/>
  <c r="D194" i="6"/>
  <c r="L192" i="6"/>
  <c r="L194" i="6" s="1"/>
  <c r="L195" i="6" s="1"/>
  <c r="J192" i="6"/>
  <c r="J194" i="6" s="1"/>
  <c r="J195" i="6" s="1"/>
  <c r="O189" i="6"/>
  <c r="N189" i="6"/>
  <c r="M189" i="6"/>
  <c r="L189" i="6"/>
  <c r="K189" i="6"/>
  <c r="J189" i="6"/>
  <c r="O187" i="6"/>
  <c r="K187" i="6"/>
  <c r="J187" i="6"/>
  <c r="I187" i="6"/>
  <c r="D187" i="6"/>
  <c r="O186" i="6"/>
  <c r="M186" i="6"/>
  <c r="L186" i="6"/>
  <c r="J186" i="6"/>
  <c r="D186" i="6"/>
  <c r="O185" i="6"/>
  <c r="N185" i="6"/>
  <c r="M185" i="6"/>
  <c r="L185" i="6"/>
  <c r="K185" i="6"/>
  <c r="J185" i="6"/>
  <c r="I185" i="6"/>
  <c r="E180" i="6"/>
  <c r="O173" i="6"/>
  <c r="O272" i="6" s="1"/>
  <c r="N173" i="6"/>
  <c r="N272" i="6" s="1"/>
  <c r="M173" i="6"/>
  <c r="M272" i="6" s="1"/>
  <c r="L173" i="6"/>
  <c r="L272" i="6" s="1"/>
  <c r="K173" i="6"/>
  <c r="K272" i="6" s="1"/>
  <c r="J173" i="6"/>
  <c r="J272" i="6" s="1"/>
  <c r="I173" i="6"/>
  <c r="I272" i="6" s="1"/>
  <c r="C172" i="6"/>
  <c r="C271" i="6" s="1"/>
  <c r="C171" i="6"/>
  <c r="C270" i="6" s="1"/>
  <c r="I170" i="6"/>
  <c r="I269" i="6" s="1"/>
  <c r="C170" i="6"/>
  <c r="O169" i="6"/>
  <c r="O268" i="6" s="1"/>
  <c r="N169" i="6"/>
  <c r="N268" i="6" s="1"/>
  <c r="M169" i="6"/>
  <c r="M268" i="6" s="1"/>
  <c r="L169" i="6"/>
  <c r="L268" i="6" s="1"/>
  <c r="K169" i="6"/>
  <c r="J169" i="6"/>
  <c r="J268" i="6" s="1"/>
  <c r="I169" i="6"/>
  <c r="C169" i="6"/>
  <c r="C268" i="6" s="1"/>
  <c r="O168" i="6"/>
  <c r="N168" i="6"/>
  <c r="M168" i="6"/>
  <c r="L168" i="6"/>
  <c r="K168" i="6"/>
  <c r="J168" i="6"/>
  <c r="I168" i="6"/>
  <c r="C168" i="6"/>
  <c r="O167" i="6"/>
  <c r="L167" i="6"/>
  <c r="C167" i="6"/>
  <c r="N166" i="6"/>
  <c r="K166" i="6"/>
  <c r="J166" i="6"/>
  <c r="C166" i="6"/>
  <c r="N165" i="6"/>
  <c r="C165" i="6"/>
  <c r="C164" i="6"/>
  <c r="M163" i="6"/>
  <c r="C163" i="6"/>
  <c r="C162" i="6"/>
  <c r="C161" i="6"/>
  <c r="C160" i="6"/>
  <c r="C159" i="6"/>
  <c r="O158" i="6"/>
  <c r="J158" i="6"/>
  <c r="C158" i="6"/>
  <c r="O157" i="6"/>
  <c r="K157" i="6"/>
  <c r="C157" i="6"/>
  <c r="O156" i="6"/>
  <c r="L156" i="6"/>
  <c r="C156" i="6"/>
  <c r="O153" i="6"/>
  <c r="O192" i="6" s="1"/>
  <c r="O194" i="6" s="1"/>
  <c r="O195" i="6" s="1"/>
  <c r="K153" i="6"/>
  <c r="K192" i="6" s="1"/>
  <c r="I153" i="6"/>
  <c r="I192" i="6" s="1"/>
  <c r="I194" i="6" s="1"/>
  <c r="I195" i="6" s="1"/>
  <c r="C150" i="6"/>
  <c r="C149" i="6"/>
  <c r="I148" i="6"/>
  <c r="C148" i="6"/>
  <c r="O147" i="6"/>
  <c r="N147" i="6"/>
  <c r="M147" i="6"/>
  <c r="L147" i="6"/>
  <c r="K147" i="6"/>
  <c r="J147" i="6"/>
  <c r="I147" i="6"/>
  <c r="C147" i="6"/>
  <c r="O146" i="6"/>
  <c r="N146" i="6"/>
  <c r="M146" i="6"/>
  <c r="L146" i="6"/>
  <c r="K146" i="6"/>
  <c r="J146" i="6"/>
  <c r="I146" i="6"/>
  <c r="C146" i="6"/>
  <c r="O145" i="6"/>
  <c r="N145" i="6"/>
  <c r="N153" i="6" s="1"/>
  <c r="N192" i="6" s="1"/>
  <c r="N194" i="6" s="1"/>
  <c r="N195" i="6" s="1"/>
  <c r="M145" i="6"/>
  <c r="M153" i="6" s="1"/>
  <c r="M192" i="6" s="1"/>
  <c r="M194" i="6" s="1"/>
  <c r="M195" i="6" s="1"/>
  <c r="L145" i="6"/>
  <c r="L153" i="6" s="1"/>
  <c r="K145" i="6"/>
  <c r="J145" i="6"/>
  <c r="J153" i="6" s="1"/>
  <c r="I145" i="6"/>
  <c r="C145" i="6"/>
  <c r="O144" i="6"/>
  <c r="N144" i="6"/>
  <c r="M144" i="6"/>
  <c r="L144" i="6"/>
  <c r="K144" i="6"/>
  <c r="J144" i="6"/>
  <c r="C144" i="6"/>
  <c r="O143" i="6"/>
  <c r="N143" i="6"/>
  <c r="M143" i="6"/>
  <c r="L143" i="6"/>
  <c r="K143" i="6"/>
  <c r="J143" i="6"/>
  <c r="I143" i="6"/>
  <c r="C143" i="6"/>
  <c r="O142" i="6"/>
  <c r="N142" i="6"/>
  <c r="M142" i="6"/>
  <c r="L142" i="6"/>
  <c r="K142" i="6"/>
  <c r="J142" i="6"/>
  <c r="C142" i="6"/>
  <c r="O141" i="6"/>
  <c r="N141" i="6"/>
  <c r="M141" i="6"/>
  <c r="L141" i="6"/>
  <c r="K141" i="6"/>
  <c r="J141" i="6"/>
  <c r="I141" i="6"/>
  <c r="C141" i="6"/>
  <c r="C140" i="6"/>
  <c r="C139" i="6"/>
  <c r="C138" i="6"/>
  <c r="O137" i="6"/>
  <c r="N137" i="6"/>
  <c r="M137" i="6"/>
  <c r="L137" i="6"/>
  <c r="K137" i="6"/>
  <c r="J137" i="6"/>
  <c r="I137" i="6"/>
  <c r="C137" i="6"/>
  <c r="O136" i="6"/>
  <c r="N136" i="6"/>
  <c r="M136" i="6"/>
  <c r="L136" i="6"/>
  <c r="K136" i="6"/>
  <c r="J136" i="6"/>
  <c r="I136" i="6"/>
  <c r="C136" i="6"/>
  <c r="O135" i="6"/>
  <c r="N135" i="6"/>
  <c r="M135" i="6"/>
  <c r="L135" i="6"/>
  <c r="K135" i="6"/>
  <c r="I135" i="6"/>
  <c r="C135" i="6"/>
  <c r="O134" i="6"/>
  <c r="N134" i="6"/>
  <c r="M134" i="6"/>
  <c r="L134" i="6"/>
  <c r="K134" i="6"/>
  <c r="J134" i="6"/>
  <c r="I134" i="6"/>
  <c r="C134" i="6"/>
  <c r="D132" i="6"/>
  <c r="D123" i="6"/>
  <c r="I116" i="6"/>
  <c r="I284" i="6" s="1"/>
  <c r="I114" i="6"/>
  <c r="O109" i="6"/>
  <c r="O283" i="6" s="1"/>
  <c r="N109" i="6"/>
  <c r="N283" i="6" s="1"/>
  <c r="M109" i="6"/>
  <c r="M283" i="6" s="1"/>
  <c r="L109" i="6"/>
  <c r="L283" i="6" s="1"/>
  <c r="K109" i="6"/>
  <c r="K283" i="6" s="1"/>
  <c r="J109" i="6"/>
  <c r="J283" i="6" s="1"/>
  <c r="I109" i="6"/>
  <c r="I283" i="6" s="1"/>
  <c r="D109" i="6"/>
  <c r="E105" i="6"/>
  <c r="D105" i="6"/>
  <c r="O102" i="6"/>
  <c r="O282" i="6" s="1"/>
  <c r="N102" i="6"/>
  <c r="N282" i="6" s="1"/>
  <c r="M102" i="6"/>
  <c r="M282" i="6" s="1"/>
  <c r="L102" i="6"/>
  <c r="K102" i="6"/>
  <c r="K282" i="6" s="1"/>
  <c r="J102" i="6"/>
  <c r="J282" i="6" s="1"/>
  <c r="I102" i="6"/>
  <c r="D102" i="6"/>
  <c r="E98" i="6"/>
  <c r="D98" i="6"/>
  <c r="O95" i="6"/>
  <c r="O266" i="6" s="1"/>
  <c r="N95" i="6"/>
  <c r="M95" i="6"/>
  <c r="L95" i="6"/>
  <c r="L266" i="6" s="1"/>
  <c r="K95" i="6"/>
  <c r="J95" i="6"/>
  <c r="I95" i="6"/>
  <c r="N90" i="6"/>
  <c r="N281" i="6" s="1"/>
  <c r="L90" i="6"/>
  <c r="L281" i="6" s="1"/>
  <c r="J90" i="6"/>
  <c r="J281" i="6" s="1"/>
  <c r="I90" i="6"/>
  <c r="I281" i="6" s="1"/>
  <c r="O88" i="6"/>
  <c r="N88" i="6"/>
  <c r="N265" i="6" s="1"/>
  <c r="M88" i="6"/>
  <c r="L88" i="6"/>
  <c r="K88" i="6"/>
  <c r="J88" i="6"/>
  <c r="J265" i="6" s="1"/>
  <c r="I88" i="6"/>
  <c r="D87" i="6"/>
  <c r="D90" i="6" s="1"/>
  <c r="BD84" i="6"/>
  <c r="BC84" i="6"/>
  <c r="BA84" i="6"/>
  <c r="AZ84" i="6"/>
  <c r="AU84" i="6"/>
  <c r="AT84" i="6"/>
  <c r="AS84" i="6"/>
  <c r="AR84" i="6"/>
  <c r="AP84" i="6"/>
  <c r="AN84" i="6"/>
  <c r="AM84" i="6"/>
  <c r="AL84" i="6"/>
  <c r="AJ84" i="6"/>
  <c r="AF84" i="6"/>
  <c r="AE84" i="6"/>
  <c r="AD84" i="6"/>
  <c r="AC84" i="6"/>
  <c r="Z84" i="6"/>
  <c r="X84" i="6"/>
  <c r="W84" i="6"/>
  <c r="U84" i="6"/>
  <c r="T84" i="6"/>
  <c r="Q84" i="6"/>
  <c r="P84" i="6"/>
  <c r="N84" i="6"/>
  <c r="L84" i="6"/>
  <c r="J84" i="6"/>
  <c r="D84" i="6"/>
  <c r="O81" i="6"/>
  <c r="O280" i="6" s="1"/>
  <c r="L81" i="6"/>
  <c r="L280" i="6" s="1"/>
  <c r="J81" i="6"/>
  <c r="J280" i="6" s="1"/>
  <c r="I81" i="6"/>
  <c r="I280" i="6" s="1"/>
  <c r="D81" i="6"/>
  <c r="O79" i="6"/>
  <c r="N79" i="6"/>
  <c r="M79" i="6"/>
  <c r="L79" i="6"/>
  <c r="L165" i="6" s="1"/>
  <c r="K79" i="6"/>
  <c r="J79" i="6"/>
  <c r="I79" i="6"/>
  <c r="D78" i="6"/>
  <c r="I75" i="6"/>
  <c r="D75" i="6"/>
  <c r="D72" i="6"/>
  <c r="J72" i="6" s="1"/>
  <c r="O70" i="6"/>
  <c r="K70" i="6"/>
  <c r="I70" i="6"/>
  <c r="I69" i="6"/>
  <c r="D68" i="6"/>
  <c r="L64" i="6"/>
  <c r="L278" i="6" s="1"/>
  <c r="K64" i="6"/>
  <c r="K278" i="6" s="1"/>
  <c r="J64" i="6"/>
  <c r="J278" i="6" s="1"/>
  <c r="I64" i="6"/>
  <c r="I278" i="6" s="1"/>
  <c r="N62" i="6"/>
  <c r="M62" i="6"/>
  <c r="L62" i="6"/>
  <c r="L262" i="6" s="1"/>
  <c r="J62" i="6"/>
  <c r="I62" i="6"/>
  <c r="I58" i="6"/>
  <c r="D58" i="6"/>
  <c r="I51" i="6"/>
  <c r="I54" i="6" s="1"/>
  <c r="J34" i="6"/>
  <c r="I33" i="6"/>
  <c r="I34" i="6" s="1"/>
  <c r="O29" i="6"/>
  <c r="N29" i="6"/>
  <c r="N257" i="6" s="1"/>
  <c r="M29" i="6"/>
  <c r="M257" i="6" s="1"/>
  <c r="L29" i="6"/>
  <c r="K29" i="6"/>
  <c r="J29" i="6"/>
  <c r="I29" i="6"/>
  <c r="I257" i="6" s="1"/>
  <c r="D28" i="6"/>
  <c r="O24" i="6"/>
  <c r="O277" i="6" s="1"/>
  <c r="K24" i="6"/>
  <c r="K277" i="6" s="1"/>
  <c r="I24" i="6"/>
  <c r="I277" i="6" s="1"/>
  <c r="D24" i="6"/>
  <c r="O22" i="6"/>
  <c r="O256" i="6" s="1"/>
  <c r="N22" i="6"/>
  <c r="M22" i="6"/>
  <c r="L22" i="6"/>
  <c r="K22" i="6"/>
  <c r="K256" i="6" s="1"/>
  <c r="I22" i="6"/>
  <c r="O17" i="6"/>
  <c r="O276" i="6" s="1"/>
  <c r="M17" i="6"/>
  <c r="M276" i="6" s="1"/>
  <c r="I17" i="6"/>
  <c r="I276" i="6" s="1"/>
  <c r="D17" i="6"/>
  <c r="O15" i="6"/>
  <c r="O255" i="6" s="1"/>
  <c r="N15" i="6"/>
  <c r="M15" i="6"/>
  <c r="L15" i="6"/>
  <c r="L255" i="6" s="1"/>
  <c r="K15" i="6"/>
  <c r="J15" i="6"/>
  <c r="I15" i="6"/>
  <c r="I9" i="6"/>
  <c r="D9" i="6"/>
  <c r="J4" i="6"/>
  <c r="I2" i="6"/>
  <c r="D2" i="6"/>
  <c r="O312" i="6" l="1"/>
  <c r="E215" i="6"/>
  <c r="N156" i="6"/>
  <c r="N17" i="6"/>
  <c r="N276" i="6" s="1"/>
  <c r="N255" i="6"/>
  <c r="J230" i="6"/>
  <c r="J333" i="6" s="1"/>
  <c r="J245" i="6"/>
  <c r="J347" i="6" s="1"/>
  <c r="J246" i="6"/>
  <c r="J348" i="6" s="1"/>
  <c r="J234" i="6"/>
  <c r="J337" i="6" s="1"/>
  <c r="J75" i="6"/>
  <c r="J51" i="6"/>
  <c r="J2" i="6"/>
  <c r="J58" i="6"/>
  <c r="J69" i="6" s="1"/>
  <c r="J70" i="6" s="1"/>
  <c r="K4" i="6"/>
  <c r="J9" i="6"/>
  <c r="J258" i="6"/>
  <c r="J159" i="6"/>
  <c r="I294" i="6"/>
  <c r="I198" i="6"/>
  <c r="I201" i="6" s="1"/>
  <c r="I295" i="6" s="1"/>
  <c r="I199" i="6"/>
  <c r="I200" i="6"/>
  <c r="I120" i="6"/>
  <c r="I119" i="6"/>
  <c r="I129" i="6"/>
  <c r="O265" i="6"/>
  <c r="O166" i="6"/>
  <c r="O90" i="6"/>
  <c r="O281" i="6" s="1"/>
  <c r="L256" i="6"/>
  <c r="L24" i="6"/>
  <c r="L277" i="6" s="1"/>
  <c r="L157" i="6"/>
  <c r="N264" i="6"/>
  <c r="N81" i="6"/>
  <c r="N280" i="6" s="1"/>
  <c r="I263" i="6"/>
  <c r="I164" i="6"/>
  <c r="M256" i="6"/>
  <c r="M157" i="6"/>
  <c r="M24" i="6"/>
  <c r="M277" i="6" s="1"/>
  <c r="K156" i="6"/>
  <c r="K17" i="6"/>
  <c r="K276" i="6" s="1"/>
  <c r="K255" i="6"/>
  <c r="N24" i="6"/>
  <c r="N277" i="6" s="1"/>
  <c r="N157" i="6"/>
  <c r="M255" i="6"/>
  <c r="M156" i="6"/>
  <c r="J264" i="6"/>
  <c r="J165" i="6"/>
  <c r="M313" i="6"/>
  <c r="E216" i="6"/>
  <c r="I262" i="6"/>
  <c r="I163" i="6"/>
  <c r="J266" i="6"/>
  <c r="J167" i="6"/>
  <c r="M294" i="6"/>
  <c r="M199" i="6"/>
  <c r="M198" i="6"/>
  <c r="M200" i="6"/>
  <c r="O307" i="6"/>
  <c r="E210" i="6"/>
  <c r="M262" i="6"/>
  <c r="M64" i="6"/>
  <c r="M278" i="6" s="1"/>
  <c r="M166" i="6"/>
  <c r="M90" i="6"/>
  <c r="M281" i="6" s="1"/>
  <c r="M265" i="6"/>
  <c r="M158" i="6"/>
  <c r="N262" i="6"/>
  <c r="N163" i="6"/>
  <c r="N64" i="6"/>
  <c r="N278" i="6" s="1"/>
  <c r="O164" i="6"/>
  <c r="O263" i="6"/>
  <c r="O72" i="6"/>
  <c r="O279" i="6" s="1"/>
  <c r="N158" i="6"/>
  <c r="I315" i="6"/>
  <c r="E218" i="6"/>
  <c r="J200" i="6"/>
  <c r="J294" i="6"/>
  <c r="J298" i="6" s="1"/>
  <c r="J198" i="6"/>
  <c r="J201" i="6" s="1"/>
  <c r="J295" i="6" s="1"/>
  <c r="I258" i="6"/>
  <c r="I159" i="6"/>
  <c r="M266" i="6"/>
  <c r="M167" i="6"/>
  <c r="L294" i="6"/>
  <c r="L200" i="6"/>
  <c r="L198" i="6"/>
  <c r="L317" i="6"/>
  <c r="E220" i="6"/>
  <c r="J156" i="6"/>
  <c r="J17" i="6"/>
  <c r="J276" i="6" s="1"/>
  <c r="J255" i="6"/>
  <c r="N266" i="6"/>
  <c r="N167" i="6"/>
  <c r="I158" i="6"/>
  <c r="K264" i="6"/>
  <c r="K165" i="6"/>
  <c r="K81" i="6"/>
  <c r="K280" i="6" s="1"/>
  <c r="J235" i="6"/>
  <c r="J338" i="6" s="1"/>
  <c r="I72" i="6"/>
  <c r="I279" i="6" s="1"/>
  <c r="N200" i="6"/>
  <c r="N199" i="6"/>
  <c r="N198" i="6"/>
  <c r="N201" i="6" s="1"/>
  <c r="N295" i="6" s="1"/>
  <c r="N294" i="6"/>
  <c r="K311" i="6"/>
  <c r="E214" i="6"/>
  <c r="I235" i="6"/>
  <c r="I338" i="6" s="1"/>
  <c r="K72" i="6"/>
  <c r="K279" i="6" s="1"/>
  <c r="M264" i="6"/>
  <c r="M165" i="6"/>
  <c r="M81" i="6"/>
  <c r="M280" i="6" s="1"/>
  <c r="I266" i="6"/>
  <c r="I167" i="6"/>
  <c r="L264" i="6"/>
  <c r="AW84" i="6"/>
  <c r="AK84" i="6"/>
  <c r="Y84" i="6"/>
  <c r="M84" i="6"/>
  <c r="BB84" i="6"/>
  <c r="AO84" i="6"/>
  <c r="AB84" i="6"/>
  <c r="O84" i="6"/>
  <c r="AV84" i="6"/>
  <c r="AI84" i="6"/>
  <c r="V84" i="6"/>
  <c r="I84" i="6"/>
  <c r="K84" i="6"/>
  <c r="AA84" i="6"/>
  <c r="AQ84" i="6"/>
  <c r="K167" i="6"/>
  <c r="K266" i="6"/>
  <c r="O294" i="6"/>
  <c r="O199" i="6"/>
  <c r="O200" i="6"/>
  <c r="L163" i="6"/>
  <c r="E213" i="6"/>
  <c r="J262" i="6"/>
  <c r="J163" i="6"/>
  <c r="E224" i="6"/>
  <c r="R84" i="6"/>
  <c r="AG84" i="6"/>
  <c r="AX84" i="6"/>
  <c r="K265" i="6"/>
  <c r="K90" i="6"/>
  <c r="K281" i="6" s="1"/>
  <c r="O198" i="6"/>
  <c r="I226" i="6"/>
  <c r="I323" i="6" s="1"/>
  <c r="I225" i="6"/>
  <c r="I322" i="6" s="1"/>
  <c r="L17" i="6"/>
  <c r="L276" i="6" s="1"/>
  <c r="I256" i="6"/>
  <c r="I157" i="6"/>
  <c r="K257" i="6"/>
  <c r="K158" i="6"/>
  <c r="S84" i="6"/>
  <c r="AH84" i="6"/>
  <c r="AY84" i="6"/>
  <c r="L265" i="6"/>
  <c r="L166" i="6"/>
  <c r="I304" i="6"/>
  <c r="I324" i="6" s="1"/>
  <c r="E207" i="6"/>
  <c r="J232" i="6"/>
  <c r="J335" i="6" s="1"/>
  <c r="K263" i="6"/>
  <c r="K164" i="6"/>
  <c r="I265" i="6"/>
  <c r="I166" i="6"/>
  <c r="K194" i="6"/>
  <c r="K195" i="6" s="1"/>
  <c r="I255" i="6"/>
  <c r="I156" i="6"/>
  <c r="L158" i="6"/>
  <c r="L257" i="6"/>
  <c r="I264" i="6"/>
  <c r="I165" i="6"/>
  <c r="K318" i="6"/>
  <c r="E221" i="6"/>
  <c r="I53" i="6"/>
  <c r="O264" i="6"/>
  <c r="O165" i="6"/>
  <c r="N186" i="6"/>
  <c r="I186" i="6"/>
  <c r="K186" i="6"/>
  <c r="M187" i="6"/>
  <c r="D188" i="6"/>
  <c r="N187" i="6"/>
  <c r="L187" i="6"/>
  <c r="N298" i="6"/>
  <c r="K294" i="6" l="1"/>
  <c r="K199" i="6"/>
  <c r="K198" i="6"/>
  <c r="K200" i="6"/>
  <c r="L201" i="6"/>
  <c r="L295" i="6" s="1"/>
  <c r="L298" i="6" s="1"/>
  <c r="J120" i="6"/>
  <c r="J119" i="6"/>
  <c r="J129" i="6"/>
  <c r="J20" i="6"/>
  <c r="J112" i="6"/>
  <c r="J113" i="6"/>
  <c r="K234" i="6"/>
  <c r="K337" i="6" s="1"/>
  <c r="K245" i="6"/>
  <c r="K347" i="6" s="1"/>
  <c r="K51" i="6"/>
  <c r="L4" i="6"/>
  <c r="K9" i="6"/>
  <c r="K75" i="6"/>
  <c r="K2" i="6"/>
  <c r="K232" i="6"/>
  <c r="K335" i="6" s="1"/>
  <c r="K58" i="6"/>
  <c r="K61" i="6" s="1"/>
  <c r="K62" i="6" s="1"/>
  <c r="K246" i="6"/>
  <c r="K348" i="6" s="1"/>
  <c r="K230" i="6"/>
  <c r="K333" i="6" s="1"/>
  <c r="I298" i="6"/>
  <c r="K235" i="6"/>
  <c r="K338" i="6" s="1"/>
  <c r="I123" i="6"/>
  <c r="I285" i="6" s="1"/>
  <c r="I121" i="6"/>
  <c r="I171" i="6" s="1"/>
  <c r="I270" i="6" s="1"/>
  <c r="I149" i="6"/>
  <c r="O188" i="6"/>
  <c r="L188" i="6"/>
  <c r="K188" i="6"/>
  <c r="N188" i="6"/>
  <c r="J188" i="6"/>
  <c r="I188" i="6"/>
  <c r="M188" i="6"/>
  <c r="O201" i="6"/>
  <c r="O295" i="6" s="1"/>
  <c r="O298" i="6" s="1"/>
  <c r="M201" i="6"/>
  <c r="M295" i="6" s="1"/>
  <c r="M298" i="6" s="1"/>
  <c r="J263" i="6"/>
  <c r="J164" i="6"/>
  <c r="J223" i="6"/>
  <c r="J320" i="6" s="1"/>
  <c r="J226" i="6"/>
  <c r="J323" i="6" s="1"/>
  <c r="J225" i="6"/>
  <c r="J322" i="6" s="1"/>
  <c r="I55" i="6"/>
  <c r="I140" i="6"/>
  <c r="J53" i="6"/>
  <c r="J54" i="6"/>
  <c r="J140" i="6" l="1"/>
  <c r="J55" i="6"/>
  <c r="J324" i="6"/>
  <c r="K262" i="6"/>
  <c r="K163" i="6"/>
  <c r="J121" i="6"/>
  <c r="J171" i="6" s="1"/>
  <c r="J270" i="6" s="1"/>
  <c r="J149" i="6"/>
  <c r="J123" i="6"/>
  <c r="J285" i="6" s="1"/>
  <c r="I326" i="6"/>
  <c r="J22" i="6"/>
  <c r="J135" i="6"/>
  <c r="K201" i="6"/>
  <c r="K295" i="6" s="1"/>
  <c r="K298" i="6" s="1"/>
  <c r="K225" i="6"/>
  <c r="K322" i="6" s="1"/>
  <c r="K223" i="6"/>
  <c r="K320" i="6" s="1"/>
  <c r="K226" i="6"/>
  <c r="K323" i="6" s="1"/>
  <c r="K33" i="6"/>
  <c r="K34" i="6" s="1"/>
  <c r="K129" i="6"/>
  <c r="K112" i="6"/>
  <c r="K113" i="6"/>
  <c r="K119" i="6"/>
  <c r="K120" i="6"/>
  <c r="K54" i="6"/>
  <c r="K53" i="6"/>
  <c r="J148" i="6"/>
  <c r="J116" i="6"/>
  <c r="J284" i="6" s="1"/>
  <c r="J114" i="6"/>
  <c r="J170" i="6" s="1"/>
  <c r="J269" i="6" s="1"/>
  <c r="I261" i="6"/>
  <c r="I162" i="6"/>
  <c r="L245" i="6"/>
  <c r="L347" i="6" s="1"/>
  <c r="L230" i="6"/>
  <c r="L333" i="6" s="1"/>
  <c r="L246" i="6"/>
  <c r="L348" i="6" s="1"/>
  <c r="L234" i="6"/>
  <c r="L337" i="6" s="1"/>
  <c r="M4" i="6"/>
  <c r="L9" i="6"/>
  <c r="L75" i="6"/>
  <c r="L51" i="6"/>
  <c r="L58" i="6"/>
  <c r="L69" i="6" s="1"/>
  <c r="L70" i="6" s="1"/>
  <c r="L2" i="6"/>
  <c r="L235" i="6"/>
  <c r="L338" i="6" s="1"/>
  <c r="L232" i="6"/>
  <c r="L335" i="6" s="1"/>
  <c r="M246" i="6" l="1"/>
  <c r="M348" i="6" s="1"/>
  <c r="M230" i="6"/>
  <c r="M333" i="6" s="1"/>
  <c r="M234" i="6"/>
  <c r="M337" i="6" s="1"/>
  <c r="F237" i="6"/>
  <c r="M245" i="6"/>
  <c r="M347" i="6" s="1"/>
  <c r="M233" i="6"/>
  <c r="M336" i="6" s="1"/>
  <c r="M9" i="6"/>
  <c r="N4" i="6"/>
  <c r="F236" i="6"/>
  <c r="M75" i="6"/>
  <c r="M58" i="6"/>
  <c r="M69" i="6" s="1"/>
  <c r="M70" i="6" s="1"/>
  <c r="M2" i="6"/>
  <c r="M51" i="6"/>
  <c r="M235" i="6"/>
  <c r="M338" i="6" s="1"/>
  <c r="M232" i="6"/>
  <c r="M335" i="6" s="1"/>
  <c r="J256" i="6"/>
  <c r="J24" i="6"/>
  <c r="J277" i="6" s="1"/>
  <c r="J157" i="6"/>
  <c r="L226" i="6"/>
  <c r="L323" i="6" s="1"/>
  <c r="L225" i="6"/>
  <c r="L322" i="6" s="1"/>
  <c r="L223" i="6"/>
  <c r="L320" i="6" s="1"/>
  <c r="L324" i="6" s="1"/>
  <c r="L326" i="6" s="1"/>
  <c r="K258" i="6"/>
  <c r="K159" i="6"/>
  <c r="K140" i="6"/>
  <c r="K55" i="6"/>
  <c r="J326" i="6"/>
  <c r="K149" i="6"/>
  <c r="K123" i="6"/>
  <c r="K285" i="6" s="1"/>
  <c r="K121" i="6"/>
  <c r="K171" i="6" s="1"/>
  <c r="K270" i="6" s="1"/>
  <c r="L263" i="6"/>
  <c r="L72" i="6"/>
  <c r="L279" i="6" s="1"/>
  <c r="L164" i="6"/>
  <c r="K148" i="6"/>
  <c r="K114" i="6"/>
  <c r="K170" i="6" s="1"/>
  <c r="K269" i="6" s="1"/>
  <c r="K116" i="6"/>
  <c r="K284" i="6" s="1"/>
  <c r="L54" i="6"/>
  <c r="L53" i="6"/>
  <c r="L129" i="6"/>
  <c r="L119" i="6"/>
  <c r="L33" i="6"/>
  <c r="L34" i="6" s="1"/>
  <c r="L112" i="6"/>
  <c r="L120" i="6"/>
  <c r="L113" i="6"/>
  <c r="J261" i="6"/>
  <c r="J162" i="6"/>
  <c r="K324" i="6"/>
  <c r="K326" i="6" s="1"/>
  <c r="L237" i="6" l="1"/>
  <c r="L340" i="6" s="1"/>
  <c r="I237" i="6"/>
  <c r="I340" i="6" s="1"/>
  <c r="K237" i="6"/>
  <c r="K340" i="6" s="1"/>
  <c r="J237" i="6"/>
  <c r="J340" i="6" s="1"/>
  <c r="N237" i="6"/>
  <c r="N340" i="6" s="1"/>
  <c r="M237" i="6"/>
  <c r="M340" i="6" s="1"/>
  <c r="M223" i="6"/>
  <c r="M320" i="6" s="1"/>
  <c r="M225" i="6"/>
  <c r="M322" i="6" s="1"/>
  <c r="M226" i="6"/>
  <c r="M323" i="6" s="1"/>
  <c r="M129" i="6"/>
  <c r="M119" i="6"/>
  <c r="M33" i="6"/>
  <c r="M34" i="6" s="1"/>
  <c r="M113" i="6"/>
  <c r="M112" i="6"/>
  <c r="M120" i="6"/>
  <c r="K261" i="6"/>
  <c r="K162" i="6"/>
  <c r="N233" i="6"/>
  <c r="N336" i="6" s="1"/>
  <c r="N245" i="6"/>
  <c r="N347" i="6" s="1"/>
  <c r="N246" i="6"/>
  <c r="N348" i="6" s="1"/>
  <c r="N234" i="6"/>
  <c r="N337" i="6" s="1"/>
  <c r="N75" i="6"/>
  <c r="O4" i="6"/>
  <c r="N58" i="6"/>
  <c r="N69" i="6" s="1"/>
  <c r="N70" i="6" s="1"/>
  <c r="N230" i="6"/>
  <c r="N333" i="6" s="1"/>
  <c r="N9" i="6"/>
  <c r="N2" i="6"/>
  <c r="N51" i="6"/>
  <c r="N235" i="6"/>
  <c r="N338" i="6" s="1"/>
  <c r="N232" i="6"/>
  <c r="N335" i="6" s="1"/>
  <c r="M54" i="6"/>
  <c r="M53" i="6"/>
  <c r="M164" i="6"/>
  <c r="M263" i="6"/>
  <c r="M72" i="6"/>
  <c r="M279" i="6" s="1"/>
  <c r="L148" i="6"/>
  <c r="L116" i="6"/>
  <c r="L284" i="6" s="1"/>
  <c r="L114" i="6"/>
  <c r="L170" i="6" s="1"/>
  <c r="L269" i="6" s="1"/>
  <c r="L140" i="6"/>
  <c r="L55" i="6"/>
  <c r="L258" i="6"/>
  <c r="L159" i="6"/>
  <c r="J236" i="6"/>
  <c r="J339" i="6" s="1"/>
  <c r="N236" i="6"/>
  <c r="N339" i="6" s="1"/>
  <c r="L236" i="6"/>
  <c r="L339" i="6" s="1"/>
  <c r="K236" i="6"/>
  <c r="K339" i="6" s="1"/>
  <c r="I236" i="6"/>
  <c r="I339" i="6" s="1"/>
  <c r="M236" i="6"/>
  <c r="M339" i="6" s="1"/>
  <c r="L123" i="6"/>
  <c r="L285" i="6" s="1"/>
  <c r="L121" i="6"/>
  <c r="L171" i="6" s="1"/>
  <c r="L270" i="6" s="1"/>
  <c r="L149" i="6"/>
  <c r="N54" i="6" l="1"/>
  <c r="N53" i="6"/>
  <c r="M55" i="6"/>
  <c r="M140" i="6"/>
  <c r="N263" i="6"/>
  <c r="N164" i="6"/>
  <c r="N72" i="6"/>
  <c r="N279" i="6" s="1"/>
  <c r="M148" i="6"/>
  <c r="M116" i="6"/>
  <c r="M284" i="6" s="1"/>
  <c r="M114" i="6"/>
  <c r="M170" i="6" s="1"/>
  <c r="M269" i="6" s="1"/>
  <c r="M258" i="6"/>
  <c r="M159" i="6"/>
  <c r="L162" i="6"/>
  <c r="L261" i="6"/>
  <c r="N223" i="6"/>
  <c r="N320" i="6" s="1"/>
  <c r="N225" i="6"/>
  <c r="N322" i="6" s="1"/>
  <c r="N226" i="6"/>
  <c r="N323" i="6" s="1"/>
  <c r="M324" i="6"/>
  <c r="M326" i="6" s="1"/>
  <c r="O246" i="6"/>
  <c r="O348" i="6" s="1"/>
  <c r="O234" i="6"/>
  <c r="O337" i="6" s="1"/>
  <c r="O245" i="6"/>
  <c r="O347" i="6" s="1"/>
  <c r="O233" i="6"/>
  <c r="O336" i="6" s="1"/>
  <c r="O230" i="6"/>
  <c r="O333" i="6" s="1"/>
  <c r="O58" i="6"/>
  <c r="O61" i="6" s="1"/>
  <c r="O62" i="6" s="1"/>
  <c r="O75" i="6"/>
  <c r="O9" i="6"/>
  <c r="O2" i="6"/>
  <c r="P4" i="6"/>
  <c r="O51" i="6"/>
  <c r="O235" i="6"/>
  <c r="O338" i="6" s="1"/>
  <c r="M149" i="6"/>
  <c r="M121" i="6"/>
  <c r="M171" i="6" s="1"/>
  <c r="M270" i="6" s="1"/>
  <c r="M123" i="6"/>
  <c r="M285" i="6" s="1"/>
  <c r="O236" i="6"/>
  <c r="O339" i="6" s="1"/>
  <c r="N120" i="6"/>
  <c r="N119" i="6"/>
  <c r="N33" i="6"/>
  <c r="N34" i="6" s="1"/>
  <c r="N113" i="6"/>
  <c r="N112" i="6"/>
  <c r="N129" i="6"/>
  <c r="O237" i="6"/>
  <c r="O340" i="6" s="1"/>
  <c r="N116" i="6" l="1"/>
  <c r="N284" i="6" s="1"/>
  <c r="N114" i="6"/>
  <c r="N170" i="6" s="1"/>
  <c r="N269" i="6" s="1"/>
  <c r="N148" i="6"/>
  <c r="O54" i="6"/>
  <c r="O53" i="6"/>
  <c r="P234" i="6"/>
  <c r="P337" i="6" s="1"/>
  <c r="P230" i="6"/>
  <c r="P333" i="6" s="1"/>
  <c r="P246" i="6"/>
  <c r="P348" i="6" s="1"/>
  <c r="P51" i="6"/>
  <c r="P2" i="6"/>
  <c r="P75" i="6"/>
  <c r="P232" i="6"/>
  <c r="P335" i="6" s="1"/>
  <c r="F244" i="6"/>
  <c r="Q4" i="6"/>
  <c r="P9" i="6"/>
  <c r="P58" i="6"/>
  <c r="P235" i="6"/>
  <c r="P338" i="6" s="1"/>
  <c r="P236" i="6"/>
  <c r="P339" i="6" s="1"/>
  <c r="P237" i="6"/>
  <c r="P340" i="6" s="1"/>
  <c r="N55" i="6"/>
  <c r="N140" i="6"/>
  <c r="O129" i="6"/>
  <c r="O33" i="6"/>
  <c r="O34" i="6" s="1"/>
  <c r="O119" i="6"/>
  <c r="O113" i="6"/>
  <c r="O112" i="6"/>
  <c r="O120" i="6"/>
  <c r="O262" i="6"/>
  <c r="O163" i="6"/>
  <c r="O64" i="6"/>
  <c r="O278" i="6" s="1"/>
  <c r="N159" i="6"/>
  <c r="N258" i="6"/>
  <c r="N324" i="6"/>
  <c r="N326" i="6" s="1"/>
  <c r="M261" i="6"/>
  <c r="M162" i="6"/>
  <c r="N149" i="6"/>
  <c r="N121" i="6"/>
  <c r="N171" i="6" s="1"/>
  <c r="N270" i="6" s="1"/>
  <c r="N123" i="6"/>
  <c r="N285" i="6" s="1"/>
  <c r="O225" i="6"/>
  <c r="O322" i="6" s="1"/>
  <c r="O226" i="6"/>
  <c r="O323" i="6" s="1"/>
  <c r="O223" i="6"/>
  <c r="O320" i="6" s="1"/>
  <c r="O324" i="6" s="1"/>
  <c r="O326" i="6" s="1"/>
  <c r="Q245" i="6" l="1"/>
  <c r="Q347" i="6" s="1"/>
  <c r="F228" i="6"/>
  <c r="Q246" i="6"/>
  <c r="Q348" i="6" s="1"/>
  <c r="Q233" i="6"/>
  <c r="Q336" i="6" s="1"/>
  <c r="Q230" i="6"/>
  <c r="Q333" i="6" s="1"/>
  <c r="Q234" i="6"/>
  <c r="Q337" i="6" s="1"/>
  <c r="Q2" i="6"/>
  <c r="R4" i="6"/>
  <c r="R244" i="6" s="1"/>
  <c r="R346" i="6" s="1"/>
  <c r="Q51" i="6"/>
  <c r="Q58" i="6"/>
  <c r="Q75" i="6"/>
  <c r="Q9" i="6"/>
  <c r="Q235" i="6"/>
  <c r="Q338" i="6" s="1"/>
  <c r="Q232" i="6"/>
  <c r="Q335" i="6" s="1"/>
  <c r="Q236" i="6"/>
  <c r="Q339" i="6" s="1"/>
  <c r="Q237" i="6"/>
  <c r="Q340" i="6" s="1"/>
  <c r="O55" i="6"/>
  <c r="O140" i="6"/>
  <c r="P112" i="6"/>
  <c r="P113" i="6"/>
  <c r="P119" i="6"/>
  <c r="P105" i="6"/>
  <c r="P28" i="6"/>
  <c r="P27" i="6"/>
  <c r="P120" i="6"/>
  <c r="P13" i="6"/>
  <c r="P98" i="6"/>
  <c r="P33" i="6"/>
  <c r="P99" i="6"/>
  <c r="P129" i="6"/>
  <c r="P94" i="6"/>
  <c r="P93" i="6"/>
  <c r="P106" i="6"/>
  <c r="P14" i="6"/>
  <c r="P20" i="6"/>
  <c r="P21" i="6"/>
  <c r="P32" i="6"/>
  <c r="O148" i="6"/>
  <c r="O114" i="6"/>
  <c r="O170" i="6" s="1"/>
  <c r="O269" i="6" s="1"/>
  <c r="O116" i="6"/>
  <c r="O284" i="6" s="1"/>
  <c r="P69" i="6"/>
  <c r="P61" i="6"/>
  <c r="P60" i="6"/>
  <c r="P68" i="6"/>
  <c r="N261" i="6"/>
  <c r="N162" i="6"/>
  <c r="L244" i="6"/>
  <c r="L346" i="6" s="1"/>
  <c r="M244" i="6"/>
  <c r="M346" i="6" s="1"/>
  <c r="I244" i="6"/>
  <c r="I346" i="6" s="1"/>
  <c r="Q244" i="6"/>
  <c r="Q346" i="6" s="1"/>
  <c r="P244" i="6"/>
  <c r="P346" i="6" s="1"/>
  <c r="N244" i="6"/>
  <c r="N346" i="6" s="1"/>
  <c r="J244" i="6"/>
  <c r="J346" i="6" s="1"/>
  <c r="O244" i="6"/>
  <c r="O346" i="6" s="1"/>
  <c r="K244" i="6"/>
  <c r="K346" i="6" s="1"/>
  <c r="O121" i="6"/>
  <c r="O171" i="6" s="1"/>
  <c r="O270" i="6" s="1"/>
  <c r="O149" i="6"/>
  <c r="O123" i="6"/>
  <c r="O285" i="6" s="1"/>
  <c r="P77" i="6"/>
  <c r="P78" i="6"/>
  <c r="P87" i="6"/>
  <c r="P86" i="6"/>
  <c r="P53" i="6"/>
  <c r="P54" i="6"/>
  <c r="O258" i="6"/>
  <c r="O159" i="6"/>
  <c r="P225" i="6"/>
  <c r="P322" i="6" s="1"/>
  <c r="P178" i="6"/>
  <c r="P226" i="6"/>
  <c r="P323" i="6" s="1"/>
  <c r="P181" i="6"/>
  <c r="P296" i="6" s="1"/>
  <c r="P223" i="6"/>
  <c r="P320" i="6" s="1"/>
  <c r="P204" i="6"/>
  <c r="P301" i="6" s="1"/>
  <c r="P179" i="6"/>
  <c r="P291" i="6" s="1"/>
  <c r="P206" i="6"/>
  <c r="P303" i="6" s="1"/>
  <c r="P219" i="6"/>
  <c r="P316" i="6" s="1"/>
  <c r="P209" i="6"/>
  <c r="P306" i="6" s="1"/>
  <c r="P217" i="6"/>
  <c r="P314" i="6" s="1"/>
  <c r="P211" i="6"/>
  <c r="P308" i="6" s="1"/>
  <c r="P222" i="6"/>
  <c r="P319" i="6" s="1"/>
  <c r="P212" i="6"/>
  <c r="P309" i="6" s="1"/>
  <c r="P180" i="6"/>
  <c r="P292" i="6" s="1"/>
  <c r="P208" i="6"/>
  <c r="P305" i="6" s="1"/>
  <c r="P352" i="6" s="1"/>
  <c r="P205" i="6"/>
  <c r="P302" i="6" s="1"/>
  <c r="P213" i="6"/>
  <c r="P310" i="6" s="1"/>
  <c r="P214" i="6"/>
  <c r="P311" i="6" s="1"/>
  <c r="P220" i="6"/>
  <c r="P317" i="6" s="1"/>
  <c r="P215" i="6"/>
  <c r="P312" i="6" s="1"/>
  <c r="P210" i="6"/>
  <c r="P307" i="6" s="1"/>
  <c r="P221" i="6"/>
  <c r="P318" i="6" s="1"/>
  <c r="P218" i="6"/>
  <c r="P315" i="6" s="1"/>
  <c r="P216" i="6"/>
  <c r="P313" i="6" s="1"/>
  <c r="P207" i="6"/>
  <c r="P304" i="6" s="1"/>
  <c r="P145" i="6" l="1"/>
  <c r="P153" i="6" s="1"/>
  <c r="P192" i="6" s="1"/>
  <c r="P95" i="6"/>
  <c r="P136" i="6"/>
  <c r="P29" i="6"/>
  <c r="Q120" i="6"/>
  <c r="Q119" i="6"/>
  <c r="Q113" i="6"/>
  <c r="Q28" i="6"/>
  <c r="Q27" i="6"/>
  <c r="Q13" i="6"/>
  <c r="Q112" i="6"/>
  <c r="Q105" i="6"/>
  <c r="Q93" i="6"/>
  <c r="Q129" i="6"/>
  <c r="Q98" i="6"/>
  <c r="Q94" i="6"/>
  <c r="Q99" i="6"/>
  <c r="Q21" i="6"/>
  <c r="Q14" i="6"/>
  <c r="Q106" i="6"/>
  <c r="Q32" i="6"/>
  <c r="Q20" i="6"/>
  <c r="Q33" i="6"/>
  <c r="P135" i="6"/>
  <c r="P24" i="6"/>
  <c r="P277" i="6" s="1"/>
  <c r="P22" i="6"/>
  <c r="Q86" i="6"/>
  <c r="Q78" i="6"/>
  <c r="Q87" i="6"/>
  <c r="Q77" i="6"/>
  <c r="K228" i="6"/>
  <c r="O228" i="6"/>
  <c r="M228" i="6"/>
  <c r="L228" i="6"/>
  <c r="P228" i="6"/>
  <c r="I228" i="6"/>
  <c r="J228" i="6"/>
  <c r="S228" i="6"/>
  <c r="R228" i="6"/>
  <c r="Q228" i="6"/>
  <c r="N228" i="6"/>
  <c r="P70" i="6"/>
  <c r="P142" i="6"/>
  <c r="P72" i="6"/>
  <c r="P279" i="6" s="1"/>
  <c r="P144" i="6"/>
  <c r="P90" i="6"/>
  <c r="P281" i="6" s="1"/>
  <c r="P88" i="6"/>
  <c r="P141" i="6"/>
  <c r="P62" i="6"/>
  <c r="P64" i="6"/>
  <c r="P278" i="6" s="1"/>
  <c r="Q53" i="6"/>
  <c r="Q54" i="6"/>
  <c r="R234" i="6"/>
  <c r="R337" i="6" s="1"/>
  <c r="R233" i="6"/>
  <c r="R336" i="6" s="1"/>
  <c r="R230" i="6"/>
  <c r="R333" i="6" s="1"/>
  <c r="R58" i="6"/>
  <c r="R75" i="6"/>
  <c r="D37" i="6"/>
  <c r="R9" i="6"/>
  <c r="R246" i="6"/>
  <c r="R348" i="6" s="1"/>
  <c r="R245" i="6"/>
  <c r="R347" i="6" s="1"/>
  <c r="R37" i="6"/>
  <c r="S4" i="6"/>
  <c r="R51" i="6"/>
  <c r="R2" i="6"/>
  <c r="R235" i="6"/>
  <c r="R338" i="6" s="1"/>
  <c r="R232" i="6"/>
  <c r="R335" i="6" s="1"/>
  <c r="R236" i="6"/>
  <c r="R339" i="6" s="1"/>
  <c r="R237" i="6"/>
  <c r="R340" i="6" s="1"/>
  <c r="P100" i="6"/>
  <c r="P146" i="6"/>
  <c r="P34" i="6"/>
  <c r="P137" i="6"/>
  <c r="P107" i="6"/>
  <c r="P147" i="6"/>
  <c r="Q60" i="6"/>
  <c r="Q61" i="6"/>
  <c r="Q69" i="6"/>
  <c r="Q68" i="6"/>
  <c r="P55" i="6"/>
  <c r="P140" i="6"/>
  <c r="P148" i="6"/>
  <c r="P116" i="6"/>
  <c r="P284" i="6" s="1"/>
  <c r="P114" i="6"/>
  <c r="P170" i="6" s="1"/>
  <c r="P269" i="6" s="1"/>
  <c r="P324" i="6"/>
  <c r="O261" i="6"/>
  <c r="O162" i="6"/>
  <c r="P79" i="6"/>
  <c r="P143" i="6"/>
  <c r="P81" i="6"/>
  <c r="P280" i="6" s="1"/>
  <c r="Q223" i="6"/>
  <c r="Q320" i="6" s="1"/>
  <c r="Q226" i="6"/>
  <c r="Q323" i="6" s="1"/>
  <c r="Q225" i="6"/>
  <c r="Q322" i="6" s="1"/>
  <c r="Q180" i="6"/>
  <c r="Q292" i="6" s="1"/>
  <c r="Q179" i="6"/>
  <c r="Q291" i="6" s="1"/>
  <c r="Q178" i="6"/>
  <c r="Q181" i="6"/>
  <c r="Q296" i="6" s="1"/>
  <c r="Q219" i="6"/>
  <c r="Q316" i="6" s="1"/>
  <c r="Q222" i="6"/>
  <c r="Q319" i="6" s="1"/>
  <c r="Q208" i="6"/>
  <c r="Q305" i="6" s="1"/>
  <c r="Q352" i="6" s="1"/>
  <c r="Q209" i="6"/>
  <c r="Q306" i="6" s="1"/>
  <c r="Q204" i="6"/>
  <c r="Q301" i="6" s="1"/>
  <c r="Q205" i="6"/>
  <c r="Q302" i="6" s="1"/>
  <c r="Q206" i="6"/>
  <c r="Q303" i="6" s="1"/>
  <c r="Q211" i="6"/>
  <c r="Q308" i="6" s="1"/>
  <c r="Q217" i="6"/>
  <c r="Q314" i="6" s="1"/>
  <c r="Q212" i="6"/>
  <c r="Q309" i="6" s="1"/>
  <c r="Q213" i="6"/>
  <c r="Q310" i="6" s="1"/>
  <c r="Q216" i="6"/>
  <c r="Q313" i="6" s="1"/>
  <c r="Q221" i="6"/>
  <c r="Q318" i="6" s="1"/>
  <c r="Q207" i="6"/>
  <c r="Q304" i="6" s="1"/>
  <c r="Q210" i="6"/>
  <c r="Q307" i="6" s="1"/>
  <c r="Q214" i="6"/>
  <c r="Q311" i="6" s="1"/>
  <c r="Q215" i="6"/>
  <c r="Q312" i="6" s="1"/>
  <c r="Q224" i="6"/>
  <c r="Q321" i="6" s="1"/>
  <c r="Q218" i="6"/>
  <c r="Q315" i="6" s="1"/>
  <c r="Q220" i="6"/>
  <c r="Q317" i="6" s="1"/>
  <c r="P290" i="6"/>
  <c r="P134" i="6"/>
  <c r="P15" i="6"/>
  <c r="P17" i="6"/>
  <c r="P276" i="6" s="1"/>
  <c r="P123" i="6"/>
  <c r="P285" i="6" s="1"/>
  <c r="P121" i="6"/>
  <c r="P171" i="6" s="1"/>
  <c r="P270" i="6" s="1"/>
  <c r="P149" i="6"/>
  <c r="O331" i="6" l="1"/>
  <c r="Q90" i="6"/>
  <c r="Q281" i="6" s="1"/>
  <c r="Q144" i="6"/>
  <c r="Q88" i="6"/>
  <c r="P267" i="6"/>
  <c r="P168" i="6"/>
  <c r="P102" i="6"/>
  <c r="P282" i="6" s="1"/>
  <c r="P158" i="6"/>
  <c r="P257" i="6"/>
  <c r="P162" i="6"/>
  <c r="P261" i="6"/>
  <c r="N331" i="6"/>
  <c r="L331" i="6"/>
  <c r="Q324" i="6"/>
  <c r="Q142" i="6"/>
  <c r="Q70" i="6"/>
  <c r="Q72" i="6"/>
  <c r="Q279" i="6" s="1"/>
  <c r="Q331" i="6"/>
  <c r="J331" i="6"/>
  <c r="Q95" i="6"/>
  <c r="Q145" i="6"/>
  <c r="Q153" i="6" s="1"/>
  <c r="Q192" i="6" s="1"/>
  <c r="R60" i="6"/>
  <c r="R68" i="6"/>
  <c r="R61" i="6"/>
  <c r="R69" i="6"/>
  <c r="R178" i="6"/>
  <c r="R226" i="6"/>
  <c r="R323" i="6" s="1"/>
  <c r="R179" i="6"/>
  <c r="R291" i="6" s="1"/>
  <c r="R223" i="6"/>
  <c r="R320" i="6" s="1"/>
  <c r="R181" i="6"/>
  <c r="R296" i="6" s="1"/>
  <c r="R204" i="6"/>
  <c r="R301" i="6" s="1"/>
  <c r="R208" i="6"/>
  <c r="R305" i="6" s="1"/>
  <c r="R352" i="6" s="1"/>
  <c r="R219" i="6"/>
  <c r="R316" i="6" s="1"/>
  <c r="R180" i="6"/>
  <c r="R292" i="6" s="1"/>
  <c r="R225" i="6"/>
  <c r="R322" i="6" s="1"/>
  <c r="R211" i="6"/>
  <c r="R308" i="6" s="1"/>
  <c r="R209" i="6"/>
  <c r="R306" i="6" s="1"/>
  <c r="R206" i="6"/>
  <c r="R303" i="6" s="1"/>
  <c r="R205" i="6"/>
  <c r="R302" i="6" s="1"/>
  <c r="R212" i="6"/>
  <c r="R309" i="6" s="1"/>
  <c r="R217" i="6"/>
  <c r="R314" i="6" s="1"/>
  <c r="R222" i="6"/>
  <c r="R319" i="6" s="1"/>
  <c r="R215" i="6"/>
  <c r="R312" i="6" s="1"/>
  <c r="R214" i="6"/>
  <c r="R311" i="6" s="1"/>
  <c r="R218" i="6"/>
  <c r="R315" i="6" s="1"/>
  <c r="R224" i="6"/>
  <c r="R321" i="6" s="1"/>
  <c r="R220" i="6"/>
  <c r="R317" i="6" s="1"/>
  <c r="R216" i="6"/>
  <c r="R313" i="6" s="1"/>
  <c r="R207" i="6"/>
  <c r="R304" i="6" s="1"/>
  <c r="R213" i="6"/>
  <c r="R310" i="6" s="1"/>
  <c r="R210" i="6"/>
  <c r="R307" i="6" s="1"/>
  <c r="R221" i="6"/>
  <c r="R318" i="6" s="1"/>
  <c r="M331" i="6"/>
  <c r="Q116" i="6"/>
  <c r="Q284" i="6" s="1"/>
  <c r="Q114" i="6"/>
  <c r="Q170" i="6" s="1"/>
  <c r="Q269" i="6" s="1"/>
  <c r="Q148" i="6"/>
  <c r="P167" i="6"/>
  <c r="P266" i="6"/>
  <c r="R53" i="6"/>
  <c r="R54" i="6"/>
  <c r="P263" i="6"/>
  <c r="P164" i="6"/>
  <c r="Q135" i="6"/>
  <c r="Q24" i="6"/>
  <c r="Q277" i="6" s="1"/>
  <c r="Q22" i="6"/>
  <c r="Q134" i="6"/>
  <c r="Q15" i="6"/>
  <c r="Q17" i="6"/>
  <c r="Q276" i="6" s="1"/>
  <c r="P193" i="6"/>
  <c r="P194" i="6"/>
  <c r="S331" i="6"/>
  <c r="P262" i="6"/>
  <c r="P163" i="6"/>
  <c r="P169" i="6"/>
  <c r="P268" i="6" s="1"/>
  <c r="P109" i="6"/>
  <c r="P283" i="6" s="1"/>
  <c r="R331" i="6"/>
  <c r="I331" i="6"/>
  <c r="Q137" i="6"/>
  <c r="Q34" i="6"/>
  <c r="Q29" i="6"/>
  <c r="Q136" i="6"/>
  <c r="Q140" i="6"/>
  <c r="Q55" i="6"/>
  <c r="P159" i="6"/>
  <c r="P258" i="6"/>
  <c r="P331" i="6"/>
  <c r="Q121" i="6"/>
  <c r="Q171" i="6" s="1"/>
  <c r="Q270" i="6" s="1"/>
  <c r="Q149" i="6"/>
  <c r="Q123" i="6"/>
  <c r="Q285" i="6" s="1"/>
  <c r="P255" i="6"/>
  <c r="P156" i="6"/>
  <c r="R106" i="6"/>
  <c r="R14" i="6"/>
  <c r="R98" i="6"/>
  <c r="R94" i="6"/>
  <c r="R32" i="6"/>
  <c r="R120" i="6"/>
  <c r="R113" i="6"/>
  <c r="R27" i="6"/>
  <c r="R28" i="6"/>
  <c r="R99" i="6"/>
  <c r="R105" i="6"/>
  <c r="R20" i="6"/>
  <c r="R33" i="6"/>
  <c r="R93" i="6"/>
  <c r="R112" i="6"/>
  <c r="R13" i="6"/>
  <c r="R21" i="6"/>
  <c r="R129" i="6"/>
  <c r="R119" i="6"/>
  <c r="P256" i="6"/>
  <c r="P157" i="6"/>
  <c r="P265" i="6"/>
  <c r="P166" i="6"/>
  <c r="Q146" i="6"/>
  <c r="Q100" i="6"/>
  <c r="I37" i="6"/>
  <c r="J37" i="6"/>
  <c r="K37" i="6"/>
  <c r="L37" i="6"/>
  <c r="M37" i="6"/>
  <c r="N37" i="6"/>
  <c r="O37" i="6"/>
  <c r="P37" i="6"/>
  <c r="Q37" i="6"/>
  <c r="R78" i="6"/>
  <c r="R87" i="6"/>
  <c r="R86" i="6"/>
  <c r="R77" i="6"/>
  <c r="P165" i="6"/>
  <c r="P264" i="6"/>
  <c r="K331" i="6"/>
  <c r="Q107" i="6"/>
  <c r="Q147" i="6"/>
  <c r="Q62" i="6"/>
  <c r="Q141" i="6"/>
  <c r="Q64" i="6"/>
  <c r="Q278" i="6" s="1"/>
  <c r="S246" i="6"/>
  <c r="S348" i="6" s="1"/>
  <c r="S230" i="6"/>
  <c r="S333" i="6" s="1"/>
  <c r="S234" i="6"/>
  <c r="S337" i="6" s="1"/>
  <c r="D126" i="6"/>
  <c r="S126" i="6"/>
  <c r="S233" i="6"/>
  <c r="S336" i="6" s="1"/>
  <c r="S9" i="6"/>
  <c r="S51" i="6"/>
  <c r="S2" i="6"/>
  <c r="F238" i="6"/>
  <c r="S58" i="6"/>
  <c r="T4" i="6"/>
  <c r="S37" i="6"/>
  <c r="S75" i="6"/>
  <c r="S235" i="6"/>
  <c r="S338" i="6" s="1"/>
  <c r="S232" i="6"/>
  <c r="S335" i="6" s="1"/>
  <c r="S236" i="6"/>
  <c r="S339" i="6" s="1"/>
  <c r="S237" i="6"/>
  <c r="S340" i="6" s="1"/>
  <c r="S244" i="6"/>
  <c r="S346" i="6" s="1"/>
  <c r="Q290" i="6"/>
  <c r="Q143" i="6"/>
  <c r="Q81" i="6"/>
  <c r="Q280" i="6" s="1"/>
  <c r="Q79" i="6"/>
  <c r="O238" i="6" l="1"/>
  <c r="O341" i="6" s="1"/>
  <c r="P238" i="6"/>
  <c r="P341" i="6" s="1"/>
  <c r="L238" i="6"/>
  <c r="L341" i="6" s="1"/>
  <c r="I238" i="6"/>
  <c r="I341" i="6" s="1"/>
  <c r="U238" i="6"/>
  <c r="U341" i="6" s="1"/>
  <c r="R238" i="6"/>
  <c r="R341" i="6" s="1"/>
  <c r="N238" i="6"/>
  <c r="N341" i="6" s="1"/>
  <c r="M238" i="6"/>
  <c r="M341" i="6" s="1"/>
  <c r="K238" i="6"/>
  <c r="K341" i="6" s="1"/>
  <c r="S238" i="6"/>
  <c r="S341" i="6" s="1"/>
  <c r="T238" i="6"/>
  <c r="T341" i="6" s="1"/>
  <c r="Q238" i="6"/>
  <c r="Q341" i="6" s="1"/>
  <c r="J238" i="6"/>
  <c r="J341" i="6" s="1"/>
  <c r="R147" i="6"/>
  <c r="R107" i="6"/>
  <c r="S225" i="6"/>
  <c r="S322" i="6" s="1"/>
  <c r="S204" i="6"/>
  <c r="S301" i="6" s="1"/>
  <c r="S178" i="6"/>
  <c r="S226" i="6"/>
  <c r="S323" i="6" s="1"/>
  <c r="S206" i="6"/>
  <c r="S303" i="6" s="1"/>
  <c r="S179" i="6"/>
  <c r="S291" i="6" s="1"/>
  <c r="S223" i="6"/>
  <c r="S320" i="6" s="1"/>
  <c r="S181" i="6"/>
  <c r="S296" i="6" s="1"/>
  <c r="S219" i="6"/>
  <c r="S316" i="6" s="1"/>
  <c r="S180" i="6"/>
  <c r="S292" i="6" s="1"/>
  <c r="S217" i="6"/>
  <c r="S314" i="6" s="1"/>
  <c r="S205" i="6"/>
  <c r="S302" i="6" s="1"/>
  <c r="S209" i="6"/>
  <c r="S306" i="6" s="1"/>
  <c r="S211" i="6"/>
  <c r="S308" i="6" s="1"/>
  <c r="S212" i="6"/>
  <c r="S309" i="6" s="1"/>
  <c r="S208" i="6"/>
  <c r="S305" i="6" s="1"/>
  <c r="S352" i="6" s="1"/>
  <c r="S222" i="6"/>
  <c r="S319" i="6" s="1"/>
  <c r="S221" i="6"/>
  <c r="S318" i="6" s="1"/>
  <c r="S213" i="6"/>
  <c r="S310" i="6" s="1"/>
  <c r="S215" i="6"/>
  <c r="S312" i="6" s="1"/>
  <c r="S218" i="6"/>
  <c r="S315" i="6" s="1"/>
  <c r="S207" i="6"/>
  <c r="S304" i="6" s="1"/>
  <c r="S214" i="6"/>
  <c r="S311" i="6" s="1"/>
  <c r="S224" i="6"/>
  <c r="S321" i="6" s="1"/>
  <c r="S220" i="6"/>
  <c r="S317" i="6" s="1"/>
  <c r="S216" i="6"/>
  <c r="S313" i="6" s="1"/>
  <c r="S210" i="6"/>
  <c r="S307" i="6" s="1"/>
  <c r="S54" i="6"/>
  <c r="S53" i="6"/>
  <c r="R290" i="6"/>
  <c r="S129" i="6"/>
  <c r="S13" i="6"/>
  <c r="S112" i="6"/>
  <c r="S99" i="6"/>
  <c r="S98" i="6"/>
  <c r="S94" i="6"/>
  <c r="S106" i="6"/>
  <c r="S20" i="6"/>
  <c r="S14" i="6"/>
  <c r="S120" i="6"/>
  <c r="S21" i="6"/>
  <c r="S113" i="6"/>
  <c r="S28" i="6"/>
  <c r="S93" i="6"/>
  <c r="S32" i="6"/>
  <c r="S105" i="6"/>
  <c r="S27" i="6"/>
  <c r="S33" i="6"/>
  <c r="S119" i="6"/>
  <c r="K40" i="6"/>
  <c r="L40" i="6" s="1"/>
  <c r="M40" i="6" s="1"/>
  <c r="N40" i="6" s="1"/>
  <c r="O40" i="6" s="1"/>
  <c r="P40" i="6" s="1"/>
  <c r="Q40" i="6" s="1"/>
  <c r="R40" i="6" s="1"/>
  <c r="S40" i="6" s="1"/>
  <c r="K39" i="6"/>
  <c r="R137" i="6"/>
  <c r="R34" i="6"/>
  <c r="S77" i="6"/>
  <c r="S78" i="6"/>
  <c r="S87" i="6"/>
  <c r="S86" i="6"/>
  <c r="J40" i="6"/>
  <c r="J39" i="6"/>
  <c r="R148" i="6"/>
  <c r="R116" i="6"/>
  <c r="R284" i="6" s="1"/>
  <c r="R114" i="6"/>
  <c r="R170" i="6" s="1"/>
  <c r="R269" i="6" s="1"/>
  <c r="Q194" i="6"/>
  <c r="Q193" i="6"/>
  <c r="T245" i="6"/>
  <c r="T347" i="6" s="1"/>
  <c r="F242" i="6"/>
  <c r="T233" i="6"/>
  <c r="T336" i="6" s="1"/>
  <c r="T126" i="6"/>
  <c r="T58" i="6"/>
  <c r="T9" i="6"/>
  <c r="T246" i="6"/>
  <c r="T348" i="6" s="1"/>
  <c r="D44" i="6"/>
  <c r="T75" i="6"/>
  <c r="T37" i="6"/>
  <c r="T2" i="6"/>
  <c r="T51" i="6"/>
  <c r="U4" i="6"/>
  <c r="T234" i="6"/>
  <c r="T337" i="6" s="1"/>
  <c r="T230" i="6"/>
  <c r="T333" i="6" s="1"/>
  <c r="T235" i="6"/>
  <c r="T338" i="6" s="1"/>
  <c r="T232" i="6"/>
  <c r="T335" i="6" s="1"/>
  <c r="T237" i="6"/>
  <c r="T340" i="6" s="1"/>
  <c r="T236" i="6"/>
  <c r="T339" i="6" s="1"/>
  <c r="T244" i="6"/>
  <c r="T346" i="6" s="1"/>
  <c r="T228" i="6"/>
  <c r="R88" i="6"/>
  <c r="R90" i="6"/>
  <c r="R281" i="6" s="1"/>
  <c r="R144" i="6"/>
  <c r="R95" i="6"/>
  <c r="R145" i="6"/>
  <c r="R153" i="6" s="1"/>
  <c r="R192" i="6" s="1"/>
  <c r="Q261" i="6"/>
  <c r="Q162" i="6"/>
  <c r="R324" i="6"/>
  <c r="Q266" i="6"/>
  <c r="Q167" i="6"/>
  <c r="Q258" i="6"/>
  <c r="Q159" i="6"/>
  <c r="Q169" i="6"/>
  <c r="Q268" i="6" s="1"/>
  <c r="Q109" i="6"/>
  <c r="Q283" i="6" s="1"/>
  <c r="Q263" i="6"/>
  <c r="Q164" i="6"/>
  <c r="R149" i="6"/>
  <c r="R121" i="6"/>
  <c r="R171" i="6" s="1"/>
  <c r="R270" i="6" s="1"/>
  <c r="R123" i="6"/>
  <c r="R285" i="6" s="1"/>
  <c r="Q267" i="6"/>
  <c r="Q168" i="6"/>
  <c r="Q102" i="6"/>
  <c r="Q282" i="6" s="1"/>
  <c r="Q262" i="6"/>
  <c r="Q163" i="6"/>
  <c r="Q257" i="6"/>
  <c r="Q158" i="6"/>
  <c r="R140" i="6"/>
  <c r="R55" i="6"/>
  <c r="P195" i="6"/>
  <c r="P294" i="6" s="1"/>
  <c r="R136" i="6"/>
  <c r="R29" i="6"/>
  <c r="Q255" i="6"/>
  <c r="Q156" i="6"/>
  <c r="Q166" i="6"/>
  <c r="Q265" i="6"/>
  <c r="Q165" i="6"/>
  <c r="Q264" i="6"/>
  <c r="I126" i="6"/>
  <c r="I128" i="6" s="1"/>
  <c r="J126" i="6"/>
  <c r="K126" i="6"/>
  <c r="L126" i="6"/>
  <c r="M126" i="6"/>
  <c r="N126" i="6"/>
  <c r="O126" i="6"/>
  <c r="P126" i="6"/>
  <c r="Q126" i="6"/>
  <c r="R126" i="6"/>
  <c r="Q157" i="6"/>
  <c r="Q256" i="6"/>
  <c r="R142" i="6"/>
  <c r="R72" i="6"/>
  <c r="R279" i="6" s="1"/>
  <c r="R70" i="6"/>
  <c r="R134" i="6"/>
  <c r="R15" i="6"/>
  <c r="R17" i="6"/>
  <c r="R276" i="6" s="1"/>
  <c r="R141" i="6"/>
  <c r="R64" i="6"/>
  <c r="R278" i="6" s="1"/>
  <c r="R62" i="6"/>
  <c r="R143" i="6"/>
  <c r="R81" i="6"/>
  <c r="R280" i="6" s="1"/>
  <c r="R79" i="6"/>
  <c r="I40" i="6"/>
  <c r="I39" i="6"/>
  <c r="R146" i="6"/>
  <c r="R100" i="6"/>
  <c r="S68" i="6"/>
  <c r="S69" i="6"/>
  <c r="S61" i="6"/>
  <c r="S60" i="6"/>
  <c r="R22" i="6"/>
  <c r="R135" i="6"/>
  <c r="R24" i="6"/>
  <c r="R277" i="6" s="1"/>
  <c r="S141" i="6" l="1"/>
  <c r="S64" i="6"/>
  <c r="S278" i="6" s="1"/>
  <c r="S62" i="6"/>
  <c r="J41" i="6"/>
  <c r="J138" i="6"/>
  <c r="R267" i="6"/>
  <c r="R168" i="6"/>
  <c r="R102" i="6"/>
  <c r="R282" i="6" s="1"/>
  <c r="S140" i="6"/>
  <c r="S55" i="6"/>
  <c r="R193" i="6"/>
  <c r="R195" i="6" s="1"/>
  <c r="R294" i="6" s="1"/>
  <c r="R194" i="6"/>
  <c r="S123" i="6"/>
  <c r="S285" i="6" s="1"/>
  <c r="S149" i="6"/>
  <c r="S121" i="6"/>
  <c r="S171" i="6" s="1"/>
  <c r="S270" i="6" s="1"/>
  <c r="I138" i="6"/>
  <c r="I41" i="6"/>
  <c r="R255" i="6"/>
  <c r="R156" i="6"/>
  <c r="R261" i="6"/>
  <c r="R162" i="6"/>
  <c r="R167" i="6"/>
  <c r="R266" i="6"/>
  <c r="N242" i="6"/>
  <c r="N344" i="6" s="1"/>
  <c r="S242" i="6"/>
  <c r="S344" i="6" s="1"/>
  <c r="P242" i="6"/>
  <c r="P344" i="6" s="1"/>
  <c r="U242" i="6"/>
  <c r="U344" i="6" s="1"/>
  <c r="T242" i="6"/>
  <c r="T344" i="6" s="1"/>
  <c r="O242" i="6"/>
  <c r="O344" i="6" s="1"/>
  <c r="K242" i="6"/>
  <c r="K344" i="6" s="1"/>
  <c r="I242" i="6"/>
  <c r="I344" i="6" s="1"/>
  <c r="R242" i="6"/>
  <c r="R344" i="6" s="1"/>
  <c r="J242" i="6"/>
  <c r="J344" i="6" s="1"/>
  <c r="Q242" i="6"/>
  <c r="Q344" i="6" s="1"/>
  <c r="M242" i="6"/>
  <c r="M344" i="6" s="1"/>
  <c r="L242" i="6"/>
  <c r="L344" i="6" s="1"/>
  <c r="T53" i="6"/>
  <c r="T54" i="6"/>
  <c r="S136" i="6"/>
  <c r="S29" i="6"/>
  <c r="S324" i="6"/>
  <c r="R264" i="6"/>
  <c r="R165" i="6"/>
  <c r="R263" i="6"/>
  <c r="R164" i="6"/>
  <c r="T226" i="6"/>
  <c r="T323" i="6" s="1"/>
  <c r="T223" i="6"/>
  <c r="T320" i="6" s="1"/>
  <c r="T179" i="6"/>
  <c r="T291" i="6" s="1"/>
  <c r="T178" i="6"/>
  <c r="T205" i="6"/>
  <c r="T302" i="6" s="1"/>
  <c r="T225" i="6"/>
  <c r="T322" i="6" s="1"/>
  <c r="T206" i="6"/>
  <c r="T303" i="6" s="1"/>
  <c r="T181" i="6"/>
  <c r="T296" i="6" s="1"/>
  <c r="T217" i="6"/>
  <c r="T314" i="6" s="1"/>
  <c r="T219" i="6"/>
  <c r="T316" i="6" s="1"/>
  <c r="T204" i="6"/>
  <c r="T301" i="6" s="1"/>
  <c r="T212" i="6"/>
  <c r="T309" i="6" s="1"/>
  <c r="T208" i="6"/>
  <c r="T305" i="6" s="1"/>
  <c r="T352" i="6" s="1"/>
  <c r="T211" i="6"/>
  <c r="T308" i="6" s="1"/>
  <c r="T209" i="6"/>
  <c r="T306" i="6" s="1"/>
  <c r="T222" i="6"/>
  <c r="T319" i="6" s="1"/>
  <c r="T180" i="6"/>
  <c r="T292" i="6" s="1"/>
  <c r="T221" i="6"/>
  <c r="T318" i="6" s="1"/>
  <c r="T215" i="6"/>
  <c r="T312" i="6" s="1"/>
  <c r="T218" i="6"/>
  <c r="T315" i="6" s="1"/>
  <c r="T224" i="6"/>
  <c r="T321" i="6" s="1"/>
  <c r="T210" i="6"/>
  <c r="T307" i="6" s="1"/>
  <c r="T220" i="6"/>
  <c r="T317" i="6" s="1"/>
  <c r="T216" i="6"/>
  <c r="T313" i="6" s="1"/>
  <c r="T213" i="6"/>
  <c r="T310" i="6" s="1"/>
  <c r="T214" i="6"/>
  <c r="T311" i="6" s="1"/>
  <c r="T207" i="6"/>
  <c r="T304" i="6" s="1"/>
  <c r="S81" i="6"/>
  <c r="S280" i="6" s="1"/>
  <c r="S79" i="6"/>
  <c r="S143" i="6"/>
  <c r="S147" i="6"/>
  <c r="S107" i="6"/>
  <c r="I44" i="6"/>
  <c r="J44" i="6"/>
  <c r="K44" i="6"/>
  <c r="L44" i="6"/>
  <c r="M44" i="6"/>
  <c r="N44" i="6"/>
  <c r="O44" i="6"/>
  <c r="P44" i="6"/>
  <c r="Q44" i="6"/>
  <c r="R44" i="6"/>
  <c r="S44" i="6"/>
  <c r="K138" i="6"/>
  <c r="K41" i="6"/>
  <c r="R163" i="6"/>
  <c r="R262" i="6"/>
  <c r="T129" i="6"/>
  <c r="T98" i="6"/>
  <c r="T93" i="6"/>
  <c r="T20" i="6"/>
  <c r="T13" i="6"/>
  <c r="T105" i="6"/>
  <c r="T21" i="6"/>
  <c r="T94" i="6"/>
  <c r="T106" i="6"/>
  <c r="T33" i="6"/>
  <c r="T99" i="6"/>
  <c r="T120" i="6"/>
  <c r="T32" i="6"/>
  <c r="T28" i="6"/>
  <c r="T27" i="6"/>
  <c r="T14" i="6"/>
  <c r="T112" i="6"/>
  <c r="T113" i="6"/>
  <c r="T119" i="6"/>
  <c r="S70" i="6"/>
  <c r="S142" i="6"/>
  <c r="S72" i="6"/>
  <c r="S279" i="6" s="1"/>
  <c r="T61" i="6"/>
  <c r="T69" i="6"/>
  <c r="T68" i="6"/>
  <c r="T60" i="6"/>
  <c r="L39" i="6"/>
  <c r="S135" i="6"/>
  <c r="S24" i="6"/>
  <c r="S277" i="6" s="1"/>
  <c r="S22" i="6"/>
  <c r="S144" i="6"/>
  <c r="S90" i="6"/>
  <c r="S281" i="6" s="1"/>
  <c r="S88" i="6"/>
  <c r="U233" i="6"/>
  <c r="U336" i="6" s="1"/>
  <c r="U246" i="6"/>
  <c r="U348" i="6" s="1"/>
  <c r="U51" i="6"/>
  <c r="U44" i="6"/>
  <c r="U9" i="6"/>
  <c r="U245" i="6"/>
  <c r="U347" i="6" s="1"/>
  <c r="U126" i="6"/>
  <c r="U234" i="6"/>
  <c r="U337" i="6" s="1"/>
  <c r="U37" i="6"/>
  <c r="V4" i="6"/>
  <c r="U230" i="6"/>
  <c r="U333" i="6" s="1"/>
  <c r="U58" i="6"/>
  <c r="U75" i="6"/>
  <c r="U2" i="6"/>
  <c r="U232" i="6"/>
  <c r="U335" i="6" s="1"/>
  <c r="U235" i="6"/>
  <c r="U338" i="6" s="1"/>
  <c r="U236" i="6"/>
  <c r="U339" i="6" s="1"/>
  <c r="U237" i="6"/>
  <c r="U340" i="6" s="1"/>
  <c r="U244" i="6"/>
  <c r="U346" i="6" s="1"/>
  <c r="U228" i="6"/>
  <c r="S290" i="6"/>
  <c r="S146" i="6"/>
  <c r="S100" i="6"/>
  <c r="K128" i="6"/>
  <c r="R265" i="6"/>
  <c r="R166" i="6"/>
  <c r="T44" i="6"/>
  <c r="Q195" i="6"/>
  <c r="Q294" i="6" s="1"/>
  <c r="S34" i="6"/>
  <c r="S137" i="6"/>
  <c r="S148" i="6"/>
  <c r="S114" i="6"/>
  <c r="S170" i="6" s="1"/>
  <c r="S269" i="6" s="1"/>
  <c r="S116" i="6"/>
  <c r="S284" i="6" s="1"/>
  <c r="J128" i="6"/>
  <c r="T331" i="6"/>
  <c r="T40" i="6"/>
  <c r="R159" i="6"/>
  <c r="R258" i="6"/>
  <c r="S145" i="6"/>
  <c r="S153" i="6" s="1"/>
  <c r="S192" i="6" s="1"/>
  <c r="S95" i="6"/>
  <c r="S134" i="6"/>
  <c r="S17" i="6"/>
  <c r="S276" i="6" s="1"/>
  <c r="S15" i="6"/>
  <c r="R169" i="6"/>
  <c r="R268" i="6" s="1"/>
  <c r="R109" i="6"/>
  <c r="R283" i="6" s="1"/>
  <c r="R256" i="6"/>
  <c r="R157" i="6"/>
  <c r="I132" i="6"/>
  <c r="I286" i="6" s="1"/>
  <c r="I150" i="6"/>
  <c r="I130" i="6"/>
  <c r="I172" i="6" s="1"/>
  <c r="I271" i="6" s="1"/>
  <c r="R257" i="6"/>
  <c r="R158" i="6"/>
  <c r="T86" i="6"/>
  <c r="T77" i="6"/>
  <c r="T78" i="6"/>
  <c r="T87" i="6"/>
  <c r="U331" i="6" l="1"/>
  <c r="S256" i="6"/>
  <c r="S157" i="6"/>
  <c r="T15" i="6"/>
  <c r="T17" i="6"/>
  <c r="T276" i="6" s="1"/>
  <c r="T134" i="6"/>
  <c r="I160" i="6"/>
  <c r="I259" i="6"/>
  <c r="K130" i="6"/>
  <c r="K172" i="6" s="1"/>
  <c r="K271" i="6" s="1"/>
  <c r="K132" i="6"/>
  <c r="K286" i="6" s="1"/>
  <c r="K150" i="6"/>
  <c r="U120" i="6"/>
  <c r="U119" i="6"/>
  <c r="U106" i="6"/>
  <c r="U27" i="6"/>
  <c r="U28" i="6"/>
  <c r="U129" i="6"/>
  <c r="U98" i="6"/>
  <c r="U94" i="6"/>
  <c r="U33" i="6"/>
  <c r="U113" i="6"/>
  <c r="U112" i="6"/>
  <c r="U32" i="6"/>
  <c r="U21" i="6"/>
  <c r="U93" i="6"/>
  <c r="U14" i="6"/>
  <c r="U13" i="6"/>
  <c r="U20" i="6"/>
  <c r="U99" i="6"/>
  <c r="U105" i="6"/>
  <c r="J150" i="6"/>
  <c r="J132" i="6"/>
  <c r="J286" i="6" s="1"/>
  <c r="J130" i="6"/>
  <c r="J172" i="6" s="1"/>
  <c r="J271" i="6" s="1"/>
  <c r="T145" i="6"/>
  <c r="T153" i="6" s="1"/>
  <c r="T192" i="6" s="1"/>
  <c r="T95" i="6"/>
  <c r="T137" i="6"/>
  <c r="T34" i="6"/>
  <c r="S258" i="6"/>
  <c r="S159" i="6"/>
  <c r="I47" i="6"/>
  <c r="J47" i="6" s="1"/>
  <c r="K47" i="6" s="1"/>
  <c r="L47" i="6" s="1"/>
  <c r="M47" i="6" s="1"/>
  <c r="N47" i="6" s="1"/>
  <c r="O47" i="6" s="1"/>
  <c r="P47" i="6" s="1"/>
  <c r="Q47" i="6" s="1"/>
  <c r="R47" i="6" s="1"/>
  <c r="S47" i="6" s="1"/>
  <c r="T47" i="6" s="1"/>
  <c r="U47" i="6" s="1"/>
  <c r="I46" i="6"/>
  <c r="U40" i="6"/>
  <c r="T147" i="6"/>
  <c r="T107" i="6"/>
  <c r="L138" i="6"/>
  <c r="L41" i="6"/>
  <c r="M39" i="6"/>
  <c r="T55" i="6"/>
  <c r="T140" i="6"/>
  <c r="U54" i="6"/>
  <c r="U53" i="6"/>
  <c r="U77" i="6"/>
  <c r="U86" i="6"/>
  <c r="U87" i="6"/>
  <c r="U78" i="6"/>
  <c r="L128" i="6"/>
  <c r="S262" i="6"/>
  <c r="S163" i="6"/>
  <c r="S169" i="6"/>
  <c r="S268" i="6" s="1"/>
  <c r="S109" i="6"/>
  <c r="S283" i="6" s="1"/>
  <c r="T123" i="6"/>
  <c r="T285" i="6" s="1"/>
  <c r="T149" i="6"/>
  <c r="T121" i="6"/>
  <c r="T171" i="6" s="1"/>
  <c r="T270" i="6" s="1"/>
  <c r="S158" i="6"/>
  <c r="S257" i="6"/>
  <c r="T114" i="6"/>
  <c r="T170" i="6" s="1"/>
  <c r="T269" i="6" s="1"/>
  <c r="T148" i="6"/>
  <c r="T116" i="6"/>
  <c r="T284" i="6" s="1"/>
  <c r="S264" i="6"/>
  <c r="S165" i="6"/>
  <c r="T290" i="6"/>
  <c r="S168" i="6"/>
  <c r="S267" i="6"/>
  <c r="S102" i="6"/>
  <c r="S282" i="6" s="1"/>
  <c r="T136" i="6"/>
  <c r="T29" i="6"/>
  <c r="S255" i="6"/>
  <c r="S156" i="6"/>
  <c r="T64" i="6"/>
  <c r="T278" i="6" s="1"/>
  <c r="T62" i="6"/>
  <c r="T141" i="6"/>
  <c r="J160" i="6"/>
  <c r="J259" i="6"/>
  <c r="U226" i="6"/>
  <c r="U323" i="6" s="1"/>
  <c r="U225" i="6"/>
  <c r="U322" i="6" s="1"/>
  <c r="U181" i="6"/>
  <c r="U296" i="6" s="1"/>
  <c r="U179" i="6"/>
  <c r="U291" i="6" s="1"/>
  <c r="U182" i="6"/>
  <c r="U297" i="6" s="1"/>
  <c r="U178" i="6"/>
  <c r="U223" i="6"/>
  <c r="U320" i="6" s="1"/>
  <c r="U219" i="6"/>
  <c r="U316" i="6" s="1"/>
  <c r="U205" i="6"/>
  <c r="U302" i="6" s="1"/>
  <c r="U204" i="6"/>
  <c r="U301" i="6" s="1"/>
  <c r="U208" i="6"/>
  <c r="U305" i="6" s="1"/>
  <c r="U352" i="6" s="1"/>
  <c r="U222" i="6"/>
  <c r="U319" i="6" s="1"/>
  <c r="U180" i="6"/>
  <c r="U292" i="6" s="1"/>
  <c r="U212" i="6"/>
  <c r="U309" i="6" s="1"/>
  <c r="U217" i="6"/>
  <c r="U314" i="6" s="1"/>
  <c r="U211" i="6"/>
  <c r="U308" i="6" s="1"/>
  <c r="U209" i="6"/>
  <c r="U306" i="6" s="1"/>
  <c r="U206" i="6"/>
  <c r="U303" i="6" s="1"/>
  <c r="U213" i="6"/>
  <c r="U310" i="6" s="1"/>
  <c r="U210" i="6"/>
  <c r="U307" i="6" s="1"/>
  <c r="U224" i="6"/>
  <c r="U321" i="6" s="1"/>
  <c r="U221" i="6"/>
  <c r="U318" i="6" s="1"/>
  <c r="U216" i="6"/>
  <c r="U313" i="6" s="1"/>
  <c r="U214" i="6"/>
  <c r="U311" i="6" s="1"/>
  <c r="U215" i="6"/>
  <c r="U312" i="6" s="1"/>
  <c r="U218" i="6"/>
  <c r="U315" i="6" s="1"/>
  <c r="U220" i="6"/>
  <c r="U317" i="6" s="1"/>
  <c r="U207" i="6"/>
  <c r="U304" i="6" s="1"/>
  <c r="T72" i="6"/>
  <c r="T279" i="6" s="1"/>
  <c r="T70" i="6"/>
  <c r="T142" i="6"/>
  <c r="T90" i="6"/>
  <c r="T281" i="6" s="1"/>
  <c r="T88" i="6"/>
  <c r="T144" i="6"/>
  <c r="S266" i="6"/>
  <c r="S167" i="6"/>
  <c r="U68" i="6"/>
  <c r="U69" i="6"/>
  <c r="U61" i="6"/>
  <c r="U60" i="6"/>
  <c r="S265" i="6"/>
  <c r="S166" i="6"/>
  <c r="T324" i="6"/>
  <c r="V246" i="6"/>
  <c r="V348" i="6" s="1"/>
  <c r="V230" i="6"/>
  <c r="V333" i="6" s="1"/>
  <c r="V233" i="6"/>
  <c r="V336" i="6" s="1"/>
  <c r="V37" i="6"/>
  <c r="V245" i="6"/>
  <c r="V347" i="6" s="1"/>
  <c r="F243" i="6"/>
  <c r="V9" i="6"/>
  <c r="V2" i="6"/>
  <c r="V51" i="6"/>
  <c r="V44" i="6"/>
  <c r="V58" i="6"/>
  <c r="W4" i="6"/>
  <c r="V75" i="6"/>
  <c r="V234" i="6"/>
  <c r="V337" i="6" s="1"/>
  <c r="V126" i="6"/>
  <c r="V232" i="6"/>
  <c r="V335" i="6" s="1"/>
  <c r="V235" i="6"/>
  <c r="V338" i="6" s="1"/>
  <c r="V236" i="6"/>
  <c r="V339" i="6" s="1"/>
  <c r="V237" i="6"/>
  <c r="V340" i="6" s="1"/>
  <c r="V244" i="6"/>
  <c r="V346" i="6" s="1"/>
  <c r="V228" i="6"/>
  <c r="V238" i="6"/>
  <c r="V341" i="6" s="1"/>
  <c r="K259" i="6"/>
  <c r="K160" i="6"/>
  <c r="S164" i="6"/>
  <c r="S263" i="6"/>
  <c r="V242" i="6"/>
  <c r="V344" i="6" s="1"/>
  <c r="T22" i="6"/>
  <c r="T135" i="6"/>
  <c r="T24" i="6"/>
  <c r="T277" i="6" s="1"/>
  <c r="T146" i="6"/>
  <c r="T100" i="6"/>
  <c r="T81" i="6"/>
  <c r="T280" i="6" s="1"/>
  <c r="T79" i="6"/>
  <c r="T143" i="6"/>
  <c r="S193" i="6"/>
  <c r="S194" i="6"/>
  <c r="J46" i="6"/>
  <c r="S261" i="6"/>
  <c r="S162" i="6"/>
  <c r="J139" i="6" l="1"/>
  <c r="J151" i="6" s="1"/>
  <c r="J48" i="6"/>
  <c r="T194" i="6"/>
  <c r="T193" i="6"/>
  <c r="T195" i="6" s="1"/>
  <c r="T294" i="6" s="1"/>
  <c r="S195" i="6"/>
  <c r="S294" i="6" s="1"/>
  <c r="U95" i="6"/>
  <c r="U145" i="6"/>
  <c r="U153" i="6" s="1"/>
  <c r="U192" i="6" s="1"/>
  <c r="U142" i="6"/>
  <c r="U70" i="6"/>
  <c r="U72" i="6"/>
  <c r="U279" i="6" s="1"/>
  <c r="U116" i="6"/>
  <c r="U284" i="6" s="1"/>
  <c r="U114" i="6"/>
  <c r="U170" i="6" s="1"/>
  <c r="U269" i="6" s="1"/>
  <c r="U148" i="6"/>
  <c r="T267" i="6"/>
  <c r="T168" i="6"/>
  <c r="T102" i="6"/>
  <c r="T282" i="6" s="1"/>
  <c r="W230" i="6"/>
  <c r="W333" i="6" s="1"/>
  <c r="W245" i="6"/>
  <c r="W347" i="6" s="1"/>
  <c r="W75" i="6"/>
  <c r="W37" i="6"/>
  <c r="W2" i="6"/>
  <c r="W51" i="6"/>
  <c r="W126" i="6"/>
  <c r="W58" i="6"/>
  <c r="W246" i="6"/>
  <c r="W348" i="6" s="1"/>
  <c r="W233" i="6"/>
  <c r="W336" i="6" s="1"/>
  <c r="X4" i="6"/>
  <c r="X243" i="6" s="1"/>
  <c r="X345" i="6" s="1"/>
  <c r="W234" i="6"/>
  <c r="W337" i="6" s="1"/>
  <c r="W44" i="6"/>
  <c r="W9" i="6"/>
  <c r="W235" i="6"/>
  <c r="W338" i="6" s="1"/>
  <c r="W232" i="6"/>
  <c r="W335" i="6" s="1"/>
  <c r="W237" i="6"/>
  <c r="W340" i="6" s="1"/>
  <c r="W236" i="6"/>
  <c r="W339" i="6" s="1"/>
  <c r="W244" i="6"/>
  <c r="W346" i="6" s="1"/>
  <c r="W228" i="6"/>
  <c r="W238" i="6"/>
  <c r="W341" i="6" s="1"/>
  <c r="W242" i="6"/>
  <c r="W344" i="6" s="1"/>
  <c r="U324" i="6"/>
  <c r="T169" i="6"/>
  <c r="T268" i="6" s="1"/>
  <c r="T109" i="6"/>
  <c r="T283" i="6" s="1"/>
  <c r="T157" i="6"/>
  <c r="T256" i="6"/>
  <c r="U136" i="6"/>
  <c r="U29" i="6"/>
  <c r="T264" i="6"/>
  <c r="T165" i="6"/>
  <c r="V40" i="6"/>
  <c r="U137" i="6"/>
  <c r="U34" i="6"/>
  <c r="L259" i="6"/>
  <c r="L160" i="6"/>
  <c r="T258" i="6"/>
  <c r="T159" i="6"/>
  <c r="V69" i="6"/>
  <c r="V61" i="6"/>
  <c r="V68" i="6"/>
  <c r="V60" i="6"/>
  <c r="T265" i="6"/>
  <c r="T166" i="6"/>
  <c r="T262" i="6"/>
  <c r="T163" i="6"/>
  <c r="U107" i="6"/>
  <c r="U147" i="6"/>
  <c r="U146" i="6"/>
  <c r="U100" i="6"/>
  <c r="U290" i="6"/>
  <c r="U55" i="6"/>
  <c r="U140" i="6"/>
  <c r="U15" i="6"/>
  <c r="U134" i="6"/>
  <c r="U17" i="6"/>
  <c r="U276" i="6" s="1"/>
  <c r="U141" i="6"/>
  <c r="U62" i="6"/>
  <c r="U64" i="6"/>
  <c r="U278" i="6" s="1"/>
  <c r="T257" i="6"/>
  <c r="T158" i="6"/>
  <c r="T162" i="6"/>
  <c r="T261" i="6"/>
  <c r="M138" i="6"/>
  <c r="M41" i="6"/>
  <c r="N39" i="6"/>
  <c r="V77" i="6"/>
  <c r="V87" i="6"/>
  <c r="V86" i="6"/>
  <c r="V78" i="6"/>
  <c r="V47" i="6"/>
  <c r="K46" i="6"/>
  <c r="U144" i="6"/>
  <c r="U88" i="6"/>
  <c r="U90" i="6"/>
  <c r="U281" i="6" s="1"/>
  <c r="V225" i="6"/>
  <c r="V322" i="6" s="1"/>
  <c r="V179" i="6"/>
  <c r="V291" i="6" s="1"/>
  <c r="V226" i="6"/>
  <c r="V323" i="6" s="1"/>
  <c r="V223" i="6"/>
  <c r="V320" i="6" s="1"/>
  <c r="V182" i="6"/>
  <c r="V297" i="6" s="1"/>
  <c r="V178" i="6"/>
  <c r="V205" i="6"/>
  <c r="V302" i="6" s="1"/>
  <c r="V180" i="6"/>
  <c r="V292" i="6" s="1"/>
  <c r="V181" i="6"/>
  <c r="V296" i="6" s="1"/>
  <c r="V204" i="6"/>
  <c r="V301" i="6" s="1"/>
  <c r="V211" i="6"/>
  <c r="V308" i="6" s="1"/>
  <c r="V222" i="6"/>
  <c r="V319" i="6" s="1"/>
  <c r="V208" i="6"/>
  <c r="V305" i="6" s="1"/>
  <c r="V352" i="6" s="1"/>
  <c r="V209" i="6"/>
  <c r="V306" i="6" s="1"/>
  <c r="V219" i="6"/>
  <c r="V316" i="6" s="1"/>
  <c r="V206" i="6"/>
  <c r="V303" i="6" s="1"/>
  <c r="V212" i="6"/>
  <c r="V309" i="6" s="1"/>
  <c r="V217" i="6"/>
  <c r="V314" i="6" s="1"/>
  <c r="V221" i="6"/>
  <c r="V318" i="6" s="1"/>
  <c r="V214" i="6"/>
  <c r="V311" i="6" s="1"/>
  <c r="V213" i="6"/>
  <c r="V310" i="6" s="1"/>
  <c r="V215" i="6"/>
  <c r="V312" i="6" s="1"/>
  <c r="V216" i="6"/>
  <c r="V313" i="6" s="1"/>
  <c r="V207" i="6"/>
  <c r="V304" i="6" s="1"/>
  <c r="V220" i="6"/>
  <c r="V317" i="6" s="1"/>
  <c r="V218" i="6"/>
  <c r="V315" i="6" s="1"/>
  <c r="V210" i="6"/>
  <c r="V307" i="6" s="1"/>
  <c r="V224" i="6"/>
  <c r="V321" i="6" s="1"/>
  <c r="T263" i="6"/>
  <c r="T164" i="6"/>
  <c r="I48" i="6"/>
  <c r="I139" i="6"/>
  <c r="I151" i="6" s="1"/>
  <c r="V120" i="6"/>
  <c r="V119" i="6"/>
  <c r="V32" i="6"/>
  <c r="V20" i="6"/>
  <c r="V106" i="6"/>
  <c r="V98" i="6"/>
  <c r="V113" i="6"/>
  <c r="V112" i="6"/>
  <c r="V93" i="6"/>
  <c r="V21" i="6"/>
  <c r="V28" i="6"/>
  <c r="V105" i="6"/>
  <c r="V99" i="6"/>
  <c r="V27" i="6"/>
  <c r="V13" i="6"/>
  <c r="V94" i="6"/>
  <c r="V14" i="6"/>
  <c r="V33" i="6"/>
  <c r="V129" i="6"/>
  <c r="M243" i="6"/>
  <c r="M345" i="6" s="1"/>
  <c r="V243" i="6"/>
  <c r="V345" i="6" s="1"/>
  <c r="I243" i="6"/>
  <c r="I345" i="6" s="1"/>
  <c r="S243" i="6"/>
  <c r="S345" i="6" s="1"/>
  <c r="U243" i="6"/>
  <c r="U345" i="6" s="1"/>
  <c r="R243" i="6"/>
  <c r="R345" i="6" s="1"/>
  <c r="Q243" i="6"/>
  <c r="Q345" i="6" s="1"/>
  <c r="J243" i="6"/>
  <c r="J345" i="6" s="1"/>
  <c r="W243" i="6"/>
  <c r="W345" i="6" s="1"/>
  <c r="O243" i="6"/>
  <c r="O345" i="6" s="1"/>
  <c r="L243" i="6"/>
  <c r="L345" i="6" s="1"/>
  <c r="K243" i="6"/>
  <c r="K345" i="6" s="1"/>
  <c r="P243" i="6"/>
  <c r="P345" i="6" s="1"/>
  <c r="N243" i="6"/>
  <c r="N345" i="6" s="1"/>
  <c r="T243" i="6"/>
  <c r="T345" i="6" s="1"/>
  <c r="U123" i="6"/>
  <c r="U285" i="6" s="1"/>
  <c r="U121" i="6"/>
  <c r="U171" i="6" s="1"/>
  <c r="U270" i="6" s="1"/>
  <c r="U149" i="6"/>
  <c r="L150" i="6"/>
  <c r="L132" i="6"/>
  <c r="L286" i="6" s="1"/>
  <c r="L130" i="6"/>
  <c r="L172" i="6" s="1"/>
  <c r="M128" i="6"/>
  <c r="V331" i="6"/>
  <c r="V53" i="6"/>
  <c r="V54" i="6"/>
  <c r="U143" i="6"/>
  <c r="U79" i="6"/>
  <c r="U81" i="6"/>
  <c r="U280" i="6" s="1"/>
  <c r="T167" i="6"/>
  <c r="T266" i="6"/>
  <c r="U135" i="6"/>
  <c r="U22" i="6"/>
  <c r="U24" i="6"/>
  <c r="U277" i="6" s="1"/>
  <c r="T255" i="6"/>
  <c r="T156" i="6"/>
  <c r="W33" i="6" l="1"/>
  <c r="W32" i="6"/>
  <c r="W93" i="6"/>
  <c r="W113" i="6"/>
  <c r="W112" i="6"/>
  <c r="W13" i="6"/>
  <c r="W120" i="6"/>
  <c r="W129" i="6"/>
  <c r="W105" i="6"/>
  <c r="W20" i="6"/>
  <c r="W106" i="6"/>
  <c r="W94" i="6"/>
  <c r="W14" i="6"/>
  <c r="W27" i="6"/>
  <c r="W21" i="6"/>
  <c r="W119" i="6"/>
  <c r="W99" i="6"/>
  <c r="W28" i="6"/>
  <c r="W98" i="6"/>
  <c r="U264" i="6"/>
  <c r="U165" i="6"/>
  <c r="W47" i="6"/>
  <c r="U193" i="6"/>
  <c r="U194" i="6"/>
  <c r="V142" i="6"/>
  <c r="V70" i="6"/>
  <c r="V72" i="6"/>
  <c r="V279" i="6" s="1"/>
  <c r="U167" i="6"/>
  <c r="U266" i="6"/>
  <c r="V116" i="6"/>
  <c r="V284" i="6" s="1"/>
  <c r="V148" i="6"/>
  <c r="V114" i="6"/>
  <c r="V170" i="6" s="1"/>
  <c r="V269" i="6" s="1"/>
  <c r="U163" i="6"/>
  <c r="U262" i="6"/>
  <c r="U102" i="6"/>
  <c r="U282" i="6" s="1"/>
  <c r="U168" i="6"/>
  <c r="U267" i="6"/>
  <c r="W331" i="6"/>
  <c r="U257" i="6"/>
  <c r="U158" i="6"/>
  <c r="J260" i="6"/>
  <c r="J273" i="6" s="1"/>
  <c r="J288" i="6" s="1"/>
  <c r="J328" i="6" s="1"/>
  <c r="J161" i="6"/>
  <c r="J174" i="6" s="1"/>
  <c r="U256" i="6"/>
  <c r="U157" i="6"/>
  <c r="V135" i="6"/>
  <c r="V24" i="6"/>
  <c r="V277" i="6" s="1"/>
  <c r="V22" i="6"/>
  <c r="W53" i="6"/>
  <c r="W54" i="6"/>
  <c r="J252" i="6"/>
  <c r="J154" i="6"/>
  <c r="K139" i="6"/>
  <c r="K151" i="6" s="1"/>
  <c r="K48" i="6"/>
  <c r="L46" i="6"/>
  <c r="V141" i="6"/>
  <c r="V64" i="6"/>
  <c r="V278" i="6" s="1"/>
  <c r="V62" i="6"/>
  <c r="V95" i="6"/>
  <c r="V145" i="6"/>
  <c r="V153" i="6" s="1"/>
  <c r="V192" i="6" s="1"/>
  <c r="V290" i="6"/>
  <c r="V100" i="6"/>
  <c r="V146" i="6"/>
  <c r="W68" i="6"/>
  <c r="W60" i="6"/>
  <c r="W61" i="6"/>
  <c r="W69" i="6"/>
  <c r="V143" i="6"/>
  <c r="V79" i="6"/>
  <c r="V81" i="6"/>
  <c r="V280" i="6" s="1"/>
  <c r="V134" i="6"/>
  <c r="V17" i="6"/>
  <c r="V276" i="6" s="1"/>
  <c r="V15" i="6"/>
  <c r="V137" i="6"/>
  <c r="V34" i="6"/>
  <c r="N138" i="6"/>
  <c r="N41" i="6"/>
  <c r="O39" i="6"/>
  <c r="U156" i="6"/>
  <c r="U255" i="6"/>
  <c r="U169" i="6"/>
  <c r="U268" i="6" s="1"/>
  <c r="U109" i="6"/>
  <c r="U283" i="6" s="1"/>
  <c r="W225" i="6"/>
  <c r="W322" i="6" s="1"/>
  <c r="W182" i="6"/>
  <c r="W297" i="6" s="1"/>
  <c r="W181" i="6"/>
  <c r="W296" i="6" s="1"/>
  <c r="W205" i="6"/>
  <c r="W302" i="6" s="1"/>
  <c r="W179" i="6"/>
  <c r="W291" i="6" s="1"/>
  <c r="W178" i="6"/>
  <c r="W226" i="6"/>
  <c r="W323" i="6" s="1"/>
  <c r="W180" i="6"/>
  <c r="W292" i="6" s="1"/>
  <c r="W223" i="6"/>
  <c r="W320" i="6" s="1"/>
  <c r="W219" i="6"/>
  <c r="W316" i="6" s="1"/>
  <c r="W217" i="6"/>
  <c r="W314" i="6" s="1"/>
  <c r="W208" i="6"/>
  <c r="W305" i="6" s="1"/>
  <c r="W352" i="6" s="1"/>
  <c r="W222" i="6"/>
  <c r="W319" i="6" s="1"/>
  <c r="W212" i="6"/>
  <c r="W309" i="6" s="1"/>
  <c r="W206" i="6"/>
  <c r="W303" i="6" s="1"/>
  <c r="W209" i="6"/>
  <c r="W306" i="6" s="1"/>
  <c r="W204" i="6"/>
  <c r="W301" i="6" s="1"/>
  <c r="W211" i="6"/>
  <c r="W308" i="6" s="1"/>
  <c r="W220" i="6"/>
  <c r="W317" i="6" s="1"/>
  <c r="W210" i="6"/>
  <c r="W307" i="6" s="1"/>
  <c r="W215" i="6"/>
  <c r="W312" i="6" s="1"/>
  <c r="W224" i="6"/>
  <c r="W321" i="6" s="1"/>
  <c r="W214" i="6"/>
  <c r="W311" i="6" s="1"/>
  <c r="W221" i="6"/>
  <c r="W318" i="6" s="1"/>
  <c r="W207" i="6"/>
  <c r="W304" i="6" s="1"/>
  <c r="W216" i="6"/>
  <c r="W313" i="6" s="1"/>
  <c r="W218" i="6"/>
  <c r="W315" i="6" s="1"/>
  <c r="W213" i="6"/>
  <c r="W310" i="6" s="1"/>
  <c r="I252" i="6"/>
  <c r="I154" i="6"/>
  <c r="U258" i="6"/>
  <c r="U159" i="6"/>
  <c r="V140" i="6"/>
  <c r="V55" i="6"/>
  <c r="M130" i="6"/>
  <c r="M172" i="6" s="1"/>
  <c r="M271" i="6" s="1"/>
  <c r="M150" i="6"/>
  <c r="M132" i="6"/>
  <c r="M286" i="6" s="1"/>
  <c r="N128" i="6"/>
  <c r="V29" i="6"/>
  <c r="V136" i="6"/>
  <c r="V121" i="6"/>
  <c r="V171" i="6" s="1"/>
  <c r="V270" i="6" s="1"/>
  <c r="V123" i="6"/>
  <c r="V285" i="6" s="1"/>
  <c r="V149" i="6"/>
  <c r="U166" i="6"/>
  <c r="U265" i="6"/>
  <c r="M259" i="6"/>
  <c r="M160" i="6"/>
  <c r="W40" i="6"/>
  <c r="V147" i="6"/>
  <c r="V107" i="6"/>
  <c r="U263" i="6"/>
  <c r="U164" i="6"/>
  <c r="I161" i="6"/>
  <c r="I174" i="6" s="1"/>
  <c r="I260" i="6"/>
  <c r="X233" i="6"/>
  <c r="X336" i="6" s="1"/>
  <c r="X246" i="6"/>
  <c r="X348" i="6" s="1"/>
  <c r="X234" i="6"/>
  <c r="X337" i="6" s="1"/>
  <c r="X230" i="6"/>
  <c r="X333" i="6" s="1"/>
  <c r="X51" i="6"/>
  <c r="X37" i="6"/>
  <c r="X75" i="6"/>
  <c r="X44" i="6"/>
  <c r="X232" i="6"/>
  <c r="X335" i="6" s="1"/>
  <c r="X58" i="6"/>
  <c r="X126" i="6"/>
  <c r="Y4" i="6"/>
  <c r="X245" i="6"/>
  <c r="X347" i="6" s="1"/>
  <c r="X9" i="6"/>
  <c r="X2" i="6"/>
  <c r="X235" i="6"/>
  <c r="X338" i="6" s="1"/>
  <c r="X237" i="6"/>
  <c r="X340" i="6" s="1"/>
  <c r="X236" i="6"/>
  <c r="X339" i="6" s="1"/>
  <c r="X244" i="6"/>
  <c r="X346" i="6" s="1"/>
  <c r="X228" i="6"/>
  <c r="X238" i="6"/>
  <c r="X341" i="6" s="1"/>
  <c r="X242" i="6"/>
  <c r="X344" i="6" s="1"/>
  <c r="V90" i="6"/>
  <c r="V281" i="6" s="1"/>
  <c r="V88" i="6"/>
  <c r="V144" i="6"/>
  <c r="L271" i="6"/>
  <c r="V324" i="6"/>
  <c r="U261" i="6"/>
  <c r="U162" i="6"/>
  <c r="W87" i="6"/>
  <c r="W77" i="6"/>
  <c r="W86" i="6"/>
  <c r="W78" i="6"/>
  <c r="W290" i="6" l="1"/>
  <c r="X61" i="6"/>
  <c r="X60" i="6"/>
  <c r="X68" i="6"/>
  <c r="X69" i="6"/>
  <c r="W324" i="6"/>
  <c r="V258" i="6"/>
  <c r="V159" i="6"/>
  <c r="L139" i="6"/>
  <c r="L151" i="6" s="1"/>
  <c r="L48" i="6"/>
  <c r="M46" i="6"/>
  <c r="X47" i="6"/>
  <c r="V169" i="6"/>
  <c r="V268" i="6" s="1"/>
  <c r="V109" i="6"/>
  <c r="V283" i="6" s="1"/>
  <c r="V257" i="6"/>
  <c r="V158" i="6"/>
  <c r="V255" i="6"/>
  <c r="V156" i="6"/>
  <c r="K260" i="6"/>
  <c r="K273" i="6" s="1"/>
  <c r="K288" i="6" s="1"/>
  <c r="K328" i="6" s="1"/>
  <c r="K161" i="6"/>
  <c r="K174" i="6" s="1"/>
  <c r="X86" i="6"/>
  <c r="X78" i="6"/>
  <c r="X77" i="6"/>
  <c r="X87" i="6"/>
  <c r="N132" i="6"/>
  <c r="N286" i="6" s="1"/>
  <c r="N150" i="6"/>
  <c r="N130" i="6"/>
  <c r="N172" i="6" s="1"/>
  <c r="N271" i="6" s="1"/>
  <c r="O128" i="6"/>
  <c r="X40" i="6"/>
  <c r="X53" i="6"/>
  <c r="X54" i="6"/>
  <c r="W100" i="6"/>
  <c r="W146" i="6"/>
  <c r="W134" i="6"/>
  <c r="W17" i="6"/>
  <c r="W276" i="6" s="1"/>
  <c r="W15" i="6"/>
  <c r="X226" i="6"/>
  <c r="X323" i="6" s="1"/>
  <c r="X225" i="6"/>
  <c r="X322" i="6" s="1"/>
  <c r="X223" i="6"/>
  <c r="X320" i="6" s="1"/>
  <c r="X178" i="6"/>
  <c r="X182" i="6"/>
  <c r="X297" i="6" s="1"/>
  <c r="X181" i="6"/>
  <c r="X296" i="6" s="1"/>
  <c r="X179" i="6"/>
  <c r="X291" i="6" s="1"/>
  <c r="X208" i="6"/>
  <c r="X305" i="6" s="1"/>
  <c r="X352" i="6" s="1"/>
  <c r="X204" i="6"/>
  <c r="X301" i="6" s="1"/>
  <c r="X222" i="6"/>
  <c r="X319" i="6" s="1"/>
  <c r="X212" i="6"/>
  <c r="X309" i="6" s="1"/>
  <c r="X206" i="6"/>
  <c r="X303" i="6" s="1"/>
  <c r="X180" i="6"/>
  <c r="X292" i="6" s="1"/>
  <c r="X211" i="6"/>
  <c r="X308" i="6" s="1"/>
  <c r="X205" i="6"/>
  <c r="X302" i="6" s="1"/>
  <c r="X219" i="6"/>
  <c r="X316" i="6" s="1"/>
  <c r="X217" i="6"/>
  <c r="X314" i="6" s="1"/>
  <c r="X209" i="6"/>
  <c r="X306" i="6" s="1"/>
  <c r="X207" i="6"/>
  <c r="X304" i="6" s="1"/>
  <c r="X220" i="6"/>
  <c r="X317" i="6" s="1"/>
  <c r="X214" i="6"/>
  <c r="X311" i="6" s="1"/>
  <c r="X218" i="6"/>
  <c r="X315" i="6" s="1"/>
  <c r="X210" i="6"/>
  <c r="X307" i="6" s="1"/>
  <c r="X221" i="6"/>
  <c r="X318" i="6" s="1"/>
  <c r="X224" i="6"/>
  <c r="X321" i="6" s="1"/>
  <c r="X215" i="6"/>
  <c r="X312" i="6" s="1"/>
  <c r="X216" i="6"/>
  <c r="X313" i="6" s="1"/>
  <c r="X213" i="6"/>
  <c r="X310" i="6" s="1"/>
  <c r="V261" i="6"/>
  <c r="V162" i="6"/>
  <c r="V264" i="6"/>
  <c r="V165" i="6"/>
  <c r="W148" i="6"/>
  <c r="W114" i="6"/>
  <c r="W170" i="6" s="1"/>
  <c r="W269" i="6" s="1"/>
  <c r="W116" i="6"/>
  <c r="W284" i="6" s="1"/>
  <c r="W149" i="6"/>
  <c r="W123" i="6"/>
  <c r="W285" i="6" s="1"/>
  <c r="W121" i="6"/>
  <c r="W171" i="6" s="1"/>
  <c r="W270" i="6" s="1"/>
  <c r="O41" i="6"/>
  <c r="O138" i="6"/>
  <c r="P39" i="6"/>
  <c r="V266" i="6"/>
  <c r="V167" i="6"/>
  <c r="V256" i="6"/>
  <c r="V157" i="6"/>
  <c r="V263" i="6"/>
  <c r="V164" i="6"/>
  <c r="W145" i="6"/>
  <c r="W153" i="6" s="1"/>
  <c r="W192" i="6" s="1"/>
  <c r="W95" i="6"/>
  <c r="W79" i="6"/>
  <c r="W81" i="6"/>
  <c r="W280" i="6" s="1"/>
  <c r="W143" i="6"/>
  <c r="W141" i="6"/>
  <c r="W64" i="6"/>
  <c r="W278" i="6" s="1"/>
  <c r="W62" i="6"/>
  <c r="W142" i="6"/>
  <c r="W72" i="6"/>
  <c r="W279" i="6" s="1"/>
  <c r="W70" i="6"/>
  <c r="X331" i="6"/>
  <c r="V168" i="6"/>
  <c r="V267" i="6"/>
  <c r="V102" i="6"/>
  <c r="V282" i="6" s="1"/>
  <c r="W22" i="6"/>
  <c r="W135" i="6"/>
  <c r="W24" i="6"/>
  <c r="W277" i="6" s="1"/>
  <c r="K252" i="6"/>
  <c r="K154" i="6"/>
  <c r="W147" i="6"/>
  <c r="W107" i="6"/>
  <c r="W140" i="6"/>
  <c r="W55" i="6"/>
  <c r="X112" i="6"/>
  <c r="X99" i="6"/>
  <c r="X120" i="6"/>
  <c r="X119" i="6"/>
  <c r="X113" i="6"/>
  <c r="X13" i="6"/>
  <c r="X14" i="6"/>
  <c r="X28" i="6"/>
  <c r="X27" i="6"/>
  <c r="X20" i="6"/>
  <c r="X105" i="6"/>
  <c r="X93" i="6"/>
  <c r="X129" i="6"/>
  <c r="X33" i="6"/>
  <c r="X21" i="6"/>
  <c r="X32" i="6"/>
  <c r="X106" i="6"/>
  <c r="X94" i="6"/>
  <c r="X98" i="6"/>
  <c r="V194" i="6"/>
  <c r="V193" i="6"/>
  <c r="V166" i="6"/>
  <c r="V265" i="6"/>
  <c r="W90" i="6"/>
  <c r="W281" i="6" s="1"/>
  <c r="W88" i="6"/>
  <c r="W144" i="6"/>
  <c r="Y246" i="6"/>
  <c r="Y348" i="6" s="1"/>
  <c r="Y245" i="6"/>
  <c r="Y347" i="6" s="1"/>
  <c r="Y9" i="6"/>
  <c r="Z4" i="6"/>
  <c r="Y230" i="6"/>
  <c r="Y333" i="6" s="1"/>
  <c r="Y37" i="6"/>
  <c r="Y232" i="6"/>
  <c r="Y335" i="6" s="1"/>
  <c r="Y58" i="6"/>
  <c r="Y234" i="6"/>
  <c r="Y337" i="6" s="1"/>
  <c r="Y44" i="6"/>
  <c r="Y75" i="6"/>
  <c r="Y51" i="6"/>
  <c r="Y126" i="6"/>
  <c r="Y2" i="6"/>
  <c r="Y233" i="6"/>
  <c r="Y336" i="6" s="1"/>
  <c r="Y235" i="6"/>
  <c r="Y338" i="6" s="1"/>
  <c r="Y237" i="6"/>
  <c r="Y340" i="6" s="1"/>
  <c r="Y236" i="6"/>
  <c r="Y339" i="6" s="1"/>
  <c r="Y244" i="6"/>
  <c r="Y346" i="6" s="1"/>
  <c r="Y228" i="6"/>
  <c r="Y238" i="6"/>
  <c r="Y341" i="6" s="1"/>
  <c r="Y242" i="6"/>
  <c r="Y344" i="6" s="1"/>
  <c r="Y243" i="6"/>
  <c r="Y345" i="6" s="1"/>
  <c r="I273" i="6"/>
  <c r="N259" i="6"/>
  <c r="N160" i="6"/>
  <c r="V262" i="6"/>
  <c r="V163" i="6"/>
  <c r="W136" i="6"/>
  <c r="W29" i="6"/>
  <c r="W34" i="6"/>
  <c r="W137" i="6"/>
  <c r="U195" i="6"/>
  <c r="U294" i="6" s="1"/>
  <c r="W263" i="6" l="1"/>
  <c r="W164" i="6"/>
  <c r="X17" i="6"/>
  <c r="X276" i="6" s="1"/>
  <c r="X134" i="6"/>
  <c r="X15" i="6"/>
  <c r="O130" i="6"/>
  <c r="O172" i="6" s="1"/>
  <c r="O271" i="6" s="1"/>
  <c r="O132" i="6"/>
  <c r="O286" i="6" s="1"/>
  <c r="O150" i="6"/>
  <c r="P128" i="6"/>
  <c r="Y78" i="6"/>
  <c r="Y86" i="6"/>
  <c r="Y77" i="6"/>
  <c r="Y87" i="6"/>
  <c r="W256" i="6"/>
  <c r="W157" i="6"/>
  <c r="Y47" i="6"/>
  <c r="W261" i="6"/>
  <c r="W162" i="6"/>
  <c r="P41" i="6"/>
  <c r="P138" i="6"/>
  <c r="Q39" i="6"/>
  <c r="X147" i="6"/>
  <c r="X107" i="6"/>
  <c r="X324" i="6"/>
  <c r="X146" i="6"/>
  <c r="X100" i="6"/>
  <c r="L154" i="6"/>
  <c r="L252" i="6"/>
  <c r="X290" i="6"/>
  <c r="Y27" i="6"/>
  <c r="Y14" i="6"/>
  <c r="Y120" i="6"/>
  <c r="Y32" i="6"/>
  <c r="Y99" i="6"/>
  <c r="Y105" i="6"/>
  <c r="Y93" i="6"/>
  <c r="Y98" i="6"/>
  <c r="Y13" i="6"/>
  <c r="Y119" i="6"/>
  <c r="Y112" i="6"/>
  <c r="Y106" i="6"/>
  <c r="Y33" i="6"/>
  <c r="Y20" i="6"/>
  <c r="Y21" i="6"/>
  <c r="Y94" i="6"/>
  <c r="Y129" i="6"/>
  <c r="Y113" i="6"/>
  <c r="Y28" i="6"/>
  <c r="Y179" i="6"/>
  <c r="Y291" i="6" s="1"/>
  <c r="Y223" i="6"/>
  <c r="Y320" i="6" s="1"/>
  <c r="Y181" i="6"/>
  <c r="Y296" i="6" s="1"/>
  <c r="Y226" i="6"/>
  <c r="Y323" i="6" s="1"/>
  <c r="Y182" i="6"/>
  <c r="Y297" i="6" s="1"/>
  <c r="Y204" i="6"/>
  <c r="Y301" i="6" s="1"/>
  <c r="Y178" i="6"/>
  <c r="Y225" i="6"/>
  <c r="Y322" i="6" s="1"/>
  <c r="Y206" i="6"/>
  <c r="Y303" i="6" s="1"/>
  <c r="Y180" i="6"/>
  <c r="Y292" i="6" s="1"/>
  <c r="Y217" i="6"/>
  <c r="Y314" i="6" s="1"/>
  <c r="Y209" i="6"/>
  <c r="Y306" i="6" s="1"/>
  <c r="Y222" i="6"/>
  <c r="Y319" i="6" s="1"/>
  <c r="Y208" i="6"/>
  <c r="Y305" i="6" s="1"/>
  <c r="Y352" i="6" s="1"/>
  <c r="Y219" i="6"/>
  <c r="Y316" i="6" s="1"/>
  <c r="Y211" i="6"/>
  <c r="Y308" i="6" s="1"/>
  <c r="Y205" i="6"/>
  <c r="Y302" i="6" s="1"/>
  <c r="Y212" i="6"/>
  <c r="Y309" i="6" s="1"/>
  <c r="Y210" i="6"/>
  <c r="Y307" i="6" s="1"/>
  <c r="Y214" i="6"/>
  <c r="Y311" i="6" s="1"/>
  <c r="Y221" i="6"/>
  <c r="Y318" i="6" s="1"/>
  <c r="Y220" i="6"/>
  <c r="Y317" i="6" s="1"/>
  <c r="Y216" i="6"/>
  <c r="Y313" i="6" s="1"/>
  <c r="Y213" i="6"/>
  <c r="Y310" i="6" s="1"/>
  <c r="Y218" i="6"/>
  <c r="Y315" i="6" s="1"/>
  <c r="Y215" i="6"/>
  <c r="Y312" i="6" s="1"/>
  <c r="Y224" i="6"/>
  <c r="Y321" i="6" s="1"/>
  <c r="Y207" i="6"/>
  <c r="Y304" i="6" s="1"/>
  <c r="X34" i="6"/>
  <c r="X137" i="6"/>
  <c r="I288" i="6"/>
  <c r="W255" i="6"/>
  <c r="W156" i="6"/>
  <c r="W166" i="6"/>
  <c r="W265" i="6"/>
  <c r="X148" i="6"/>
  <c r="X116" i="6"/>
  <c r="X284" i="6" s="1"/>
  <c r="X114" i="6"/>
  <c r="X170" i="6" s="1"/>
  <c r="X269" i="6" s="1"/>
  <c r="X62" i="6"/>
  <c r="X64" i="6"/>
  <c r="X278" i="6" s="1"/>
  <c r="X141" i="6"/>
  <c r="X145" i="6"/>
  <c r="X153" i="6" s="1"/>
  <c r="X192" i="6" s="1"/>
  <c r="X95" i="6"/>
  <c r="W258" i="6"/>
  <c r="W159" i="6"/>
  <c r="Y331" i="6"/>
  <c r="Y69" i="6"/>
  <c r="Y61" i="6"/>
  <c r="Y60" i="6"/>
  <c r="Y68" i="6"/>
  <c r="X135" i="6"/>
  <c r="X22" i="6"/>
  <c r="X24" i="6"/>
  <c r="X277" i="6" s="1"/>
  <c r="W165" i="6"/>
  <c r="W264" i="6"/>
  <c r="O259" i="6"/>
  <c r="O160" i="6"/>
  <c r="X81" i="6"/>
  <c r="X280" i="6" s="1"/>
  <c r="X143" i="6"/>
  <c r="X79" i="6"/>
  <c r="W169" i="6"/>
  <c r="W268" i="6" s="1"/>
  <c r="W109" i="6"/>
  <c r="W283" i="6" s="1"/>
  <c r="X140" i="6"/>
  <c r="X55" i="6"/>
  <c r="Y54" i="6"/>
  <c r="Y53" i="6"/>
  <c r="X70" i="6"/>
  <c r="X72" i="6"/>
  <c r="X279" i="6" s="1"/>
  <c r="X142" i="6"/>
  <c r="W257" i="6"/>
  <c r="W158" i="6"/>
  <c r="V195" i="6"/>
  <c r="V294" i="6" s="1"/>
  <c r="X29" i="6"/>
  <c r="X136" i="6"/>
  <c r="W167" i="6"/>
  <c r="W266" i="6"/>
  <c r="W267" i="6"/>
  <c r="W168" i="6"/>
  <c r="W102" i="6"/>
  <c r="W282" i="6" s="1"/>
  <c r="M139" i="6"/>
  <c r="M151" i="6" s="1"/>
  <c r="M48" i="6"/>
  <c r="N46" i="6"/>
  <c r="Z230" i="6"/>
  <c r="Z333" i="6" s="1"/>
  <c r="Z234" i="6"/>
  <c r="Z337" i="6" s="1"/>
  <c r="Z245" i="6"/>
  <c r="Z347" i="6" s="1"/>
  <c r="Z75" i="6"/>
  <c r="Z126" i="6"/>
  <c r="Z44" i="6"/>
  <c r="Z233" i="6"/>
  <c r="Z336" i="6" s="1"/>
  <c r="Z246" i="6"/>
  <c r="Z348" i="6" s="1"/>
  <c r="Z58" i="6"/>
  <c r="Z2" i="6"/>
  <c r="Z51" i="6"/>
  <c r="AA4" i="6"/>
  <c r="Z9" i="6"/>
  <c r="Z37" i="6"/>
  <c r="Z232" i="6"/>
  <c r="Z335" i="6" s="1"/>
  <c r="Z235" i="6"/>
  <c r="Z338" i="6" s="1"/>
  <c r="Z236" i="6"/>
  <c r="Z339" i="6" s="1"/>
  <c r="Z237" i="6"/>
  <c r="Z340" i="6" s="1"/>
  <c r="Z244" i="6"/>
  <c r="Z346" i="6" s="1"/>
  <c r="Z228" i="6"/>
  <c r="Z238" i="6"/>
  <c r="Z341" i="6" s="1"/>
  <c r="Z242" i="6"/>
  <c r="Z344" i="6" s="1"/>
  <c r="Z243" i="6"/>
  <c r="Z345" i="6" s="1"/>
  <c r="X121" i="6"/>
  <c r="X171" i="6" s="1"/>
  <c r="X270" i="6" s="1"/>
  <c r="X123" i="6"/>
  <c r="X285" i="6" s="1"/>
  <c r="X149" i="6"/>
  <c r="W163" i="6"/>
  <c r="W262" i="6"/>
  <c r="Y40" i="6"/>
  <c r="W194" i="6"/>
  <c r="W193" i="6"/>
  <c r="W195" i="6" s="1"/>
  <c r="W294" i="6" s="1"/>
  <c r="X144" i="6"/>
  <c r="X90" i="6"/>
  <c r="X281" i="6" s="1"/>
  <c r="X88" i="6"/>
  <c r="L161" i="6"/>
  <c r="L174" i="6" s="1"/>
  <c r="L260" i="6"/>
  <c r="L273" i="6" s="1"/>
  <c r="L288" i="6" s="1"/>
  <c r="L328" i="6" s="1"/>
  <c r="N48" i="6" l="1"/>
  <c r="N139" i="6"/>
  <c r="N151" i="6" s="1"/>
  <c r="O46" i="6"/>
  <c r="Y144" i="6"/>
  <c r="Y90" i="6"/>
  <c r="Y281" i="6" s="1"/>
  <c r="Y88" i="6"/>
  <c r="M260" i="6"/>
  <c r="M273" i="6" s="1"/>
  <c r="M288" i="6" s="1"/>
  <c r="M328" i="6" s="1"/>
  <c r="M161" i="6"/>
  <c r="M174" i="6" s="1"/>
  <c r="Y121" i="6"/>
  <c r="Y171" i="6" s="1"/>
  <c r="Y270" i="6" s="1"/>
  <c r="Y149" i="6"/>
  <c r="Y123" i="6"/>
  <c r="Y285" i="6" s="1"/>
  <c r="Q138" i="6"/>
  <c r="Q41" i="6"/>
  <c r="R39" i="6"/>
  <c r="Z223" i="6"/>
  <c r="Z320" i="6" s="1"/>
  <c r="Z225" i="6"/>
  <c r="Z322" i="6" s="1"/>
  <c r="Z182" i="6"/>
  <c r="Z297" i="6" s="1"/>
  <c r="Z181" i="6"/>
  <c r="Z296" i="6" s="1"/>
  <c r="Z226" i="6"/>
  <c r="Z323" i="6" s="1"/>
  <c r="Z178" i="6"/>
  <c r="Z179" i="6"/>
  <c r="Z291" i="6" s="1"/>
  <c r="Z208" i="6"/>
  <c r="Z305" i="6" s="1"/>
  <c r="Z352" i="6" s="1"/>
  <c r="Z212" i="6"/>
  <c r="Z309" i="6" s="1"/>
  <c r="Z205" i="6"/>
  <c r="Z302" i="6" s="1"/>
  <c r="Z206" i="6"/>
  <c r="Z303" i="6" s="1"/>
  <c r="Z204" i="6"/>
  <c r="Z301" i="6" s="1"/>
  <c r="Z180" i="6"/>
  <c r="Z292" i="6" s="1"/>
  <c r="Z217" i="6"/>
  <c r="Z314" i="6" s="1"/>
  <c r="Z209" i="6"/>
  <c r="Z306" i="6" s="1"/>
  <c r="Z211" i="6"/>
  <c r="Z308" i="6" s="1"/>
  <c r="Z219" i="6"/>
  <c r="Z316" i="6" s="1"/>
  <c r="Z222" i="6"/>
  <c r="Z319" i="6" s="1"/>
  <c r="Z213" i="6"/>
  <c r="Z310" i="6" s="1"/>
  <c r="Z207" i="6"/>
  <c r="Z304" i="6" s="1"/>
  <c r="Z215" i="6"/>
  <c r="Z312" i="6" s="1"/>
  <c r="Z220" i="6"/>
  <c r="Z317" i="6" s="1"/>
  <c r="Z214" i="6"/>
  <c r="Z311" i="6" s="1"/>
  <c r="Z218" i="6"/>
  <c r="Z315" i="6" s="1"/>
  <c r="Z216" i="6"/>
  <c r="Z313" i="6" s="1"/>
  <c r="Z210" i="6"/>
  <c r="Z307" i="6" s="1"/>
  <c r="Z221" i="6"/>
  <c r="Z318" i="6" s="1"/>
  <c r="Z224" i="6"/>
  <c r="Z321" i="6" s="1"/>
  <c r="P150" i="6"/>
  <c r="P130" i="6"/>
  <c r="P172" i="6" s="1"/>
  <c r="P271" i="6" s="1"/>
  <c r="P132" i="6"/>
  <c r="P286" i="6" s="1"/>
  <c r="Q128" i="6"/>
  <c r="Z68" i="6"/>
  <c r="Z61" i="6"/>
  <c r="Z60" i="6"/>
  <c r="Z69" i="6"/>
  <c r="X164" i="6"/>
  <c r="X263" i="6"/>
  <c r="Y146" i="6"/>
  <c r="Y100" i="6"/>
  <c r="Y140" i="6"/>
  <c r="Y55" i="6"/>
  <c r="Y147" i="6"/>
  <c r="Y107" i="6"/>
  <c r="X156" i="6"/>
  <c r="X255" i="6"/>
  <c r="X194" i="6"/>
  <c r="X193" i="6"/>
  <c r="X195" i="6" s="1"/>
  <c r="X294" i="6" s="1"/>
  <c r="Z87" i="6"/>
  <c r="Z86" i="6"/>
  <c r="Z78" i="6"/>
  <c r="Z77" i="6"/>
  <c r="X261" i="6"/>
  <c r="X162" i="6"/>
  <c r="X256" i="6"/>
  <c r="X157" i="6"/>
  <c r="I328" i="6"/>
  <c r="Z105" i="6"/>
  <c r="Z129" i="6"/>
  <c r="Z98" i="6"/>
  <c r="Z94" i="6"/>
  <c r="Z106" i="6"/>
  <c r="Z120" i="6"/>
  <c r="Z32" i="6"/>
  <c r="Z99" i="6"/>
  <c r="Z20" i="6"/>
  <c r="Z119" i="6"/>
  <c r="Z93" i="6"/>
  <c r="Z27" i="6"/>
  <c r="Z113" i="6"/>
  <c r="Z112" i="6"/>
  <c r="Z33" i="6"/>
  <c r="Z14" i="6"/>
  <c r="Z21" i="6"/>
  <c r="Z13" i="6"/>
  <c r="Z28" i="6"/>
  <c r="Y62" i="6"/>
  <c r="Y64" i="6"/>
  <c r="Y278" i="6" s="1"/>
  <c r="Y141" i="6"/>
  <c r="AA233" i="6"/>
  <c r="AA336" i="6" s="1"/>
  <c r="AA234" i="6"/>
  <c r="AA337" i="6" s="1"/>
  <c r="AA245" i="6"/>
  <c r="AA347" i="6" s="1"/>
  <c r="AA126" i="6"/>
  <c r="AA230" i="6"/>
  <c r="AA333" i="6" s="1"/>
  <c r="AA246" i="6"/>
  <c r="AA348" i="6" s="1"/>
  <c r="AB4" i="6"/>
  <c r="AA58" i="6"/>
  <c r="AA2" i="6"/>
  <c r="AA75" i="6"/>
  <c r="AA51" i="6"/>
  <c r="AA9" i="6"/>
  <c r="AA44" i="6"/>
  <c r="AA37" i="6"/>
  <c r="AA235" i="6"/>
  <c r="AA338" i="6" s="1"/>
  <c r="AA232" i="6"/>
  <c r="AA335" i="6" s="1"/>
  <c r="AA237" i="6"/>
  <c r="AA340" i="6" s="1"/>
  <c r="AA236" i="6"/>
  <c r="AA339" i="6" s="1"/>
  <c r="AA244" i="6"/>
  <c r="AA346" i="6" s="1"/>
  <c r="AA228" i="6"/>
  <c r="AA238" i="6"/>
  <c r="AA341" i="6" s="1"/>
  <c r="AA242" i="6"/>
  <c r="AA344" i="6" s="1"/>
  <c r="AA243" i="6"/>
  <c r="AA345" i="6" s="1"/>
  <c r="X264" i="6"/>
  <c r="X165" i="6"/>
  <c r="Y134" i="6"/>
  <c r="Y17" i="6"/>
  <c r="Y276" i="6" s="1"/>
  <c r="Y15" i="6"/>
  <c r="P259" i="6"/>
  <c r="P160" i="6"/>
  <c r="Z331" i="6"/>
  <c r="Y137" i="6"/>
  <c r="Y34" i="6"/>
  <c r="X166" i="6"/>
  <c r="X265" i="6"/>
  <c r="X257" i="6"/>
  <c r="X158" i="6"/>
  <c r="Y290" i="6"/>
  <c r="Y22" i="6"/>
  <c r="Y135" i="6"/>
  <c r="Y24" i="6"/>
  <c r="Y277" i="6" s="1"/>
  <c r="Y79" i="6"/>
  <c r="Y143" i="6"/>
  <c r="Y81" i="6"/>
  <c r="Y280" i="6" s="1"/>
  <c r="Y116" i="6"/>
  <c r="Y284" i="6" s="1"/>
  <c r="Y148" i="6"/>
  <c r="Y114" i="6"/>
  <c r="Y170" i="6" s="1"/>
  <c r="Y269" i="6" s="1"/>
  <c r="Z54" i="6"/>
  <c r="Z53" i="6"/>
  <c r="M252" i="6"/>
  <c r="M154" i="6"/>
  <c r="Y95" i="6"/>
  <c r="Y145" i="6"/>
  <c r="Y153" i="6" s="1"/>
  <c r="Y192" i="6" s="1"/>
  <c r="Z47" i="6"/>
  <c r="X266" i="6"/>
  <c r="X167" i="6"/>
  <c r="X267" i="6"/>
  <c r="X168" i="6"/>
  <c r="X102" i="6"/>
  <c r="X282" i="6" s="1"/>
  <c r="Z40" i="6"/>
  <c r="Y72" i="6"/>
  <c r="Y279" i="6" s="1"/>
  <c r="Y70" i="6"/>
  <c r="Y142" i="6"/>
  <c r="X262" i="6"/>
  <c r="X163" i="6"/>
  <c r="X258" i="6"/>
  <c r="X159" i="6"/>
  <c r="Y324" i="6"/>
  <c r="Y136" i="6"/>
  <c r="Y29" i="6"/>
  <c r="X169" i="6"/>
  <c r="X268" i="6" s="1"/>
  <c r="X109" i="6"/>
  <c r="X283" i="6" s="1"/>
  <c r="Z55" i="6" l="1"/>
  <c r="Z140" i="6"/>
  <c r="AA129" i="6"/>
  <c r="AA99" i="6"/>
  <c r="AA94" i="6"/>
  <c r="AA28" i="6"/>
  <c r="AA21" i="6"/>
  <c r="AA14" i="6"/>
  <c r="AA20" i="6"/>
  <c r="AA93" i="6"/>
  <c r="AA27" i="6"/>
  <c r="AA113" i="6"/>
  <c r="AA112" i="6"/>
  <c r="AA98" i="6"/>
  <c r="AA119" i="6"/>
  <c r="AA13" i="6"/>
  <c r="AA120" i="6"/>
  <c r="AA106" i="6"/>
  <c r="AA33" i="6"/>
  <c r="AA32" i="6"/>
  <c r="AA105" i="6"/>
  <c r="AA54" i="6"/>
  <c r="AA53" i="6"/>
  <c r="Z142" i="6"/>
  <c r="Z70" i="6"/>
  <c r="Z72" i="6"/>
  <c r="Z279" i="6" s="1"/>
  <c r="AA78" i="6"/>
  <c r="AA86" i="6"/>
  <c r="AA77" i="6"/>
  <c r="AA87" i="6"/>
  <c r="Z137" i="6"/>
  <c r="Z34" i="6"/>
  <c r="Z17" i="6"/>
  <c r="Z276" i="6" s="1"/>
  <c r="Z134" i="6"/>
  <c r="Z15" i="6"/>
  <c r="Y263" i="6"/>
  <c r="Y164" i="6"/>
  <c r="AB245" i="6"/>
  <c r="AB347" i="6" s="1"/>
  <c r="AB246" i="6"/>
  <c r="AB348" i="6" s="1"/>
  <c r="AB233" i="6"/>
  <c r="AB336" i="6" s="1"/>
  <c r="AC4" i="6"/>
  <c r="AB58" i="6"/>
  <c r="AB75" i="6"/>
  <c r="AB51" i="6"/>
  <c r="AB2" i="6"/>
  <c r="AB37" i="6"/>
  <c r="AB44" i="6"/>
  <c r="AB9" i="6"/>
  <c r="AB126" i="6"/>
  <c r="AB234" i="6"/>
  <c r="AB337" i="6" s="1"/>
  <c r="AB230" i="6"/>
  <c r="AB333" i="6" s="1"/>
  <c r="AB235" i="6"/>
  <c r="AB338" i="6" s="1"/>
  <c r="AB232" i="6"/>
  <c r="AB335" i="6" s="1"/>
  <c r="AB236" i="6"/>
  <c r="AB339" i="6" s="1"/>
  <c r="AB237" i="6"/>
  <c r="AB340" i="6" s="1"/>
  <c r="AB244" i="6"/>
  <c r="AB346" i="6" s="1"/>
  <c r="AB228" i="6"/>
  <c r="AB238" i="6"/>
  <c r="AB341" i="6" s="1"/>
  <c r="AB242" i="6"/>
  <c r="AB344" i="6" s="1"/>
  <c r="AB243" i="6"/>
  <c r="AB345" i="6" s="1"/>
  <c r="Y265" i="6"/>
  <c r="Y166" i="6"/>
  <c r="Y266" i="6"/>
  <c r="Y167" i="6"/>
  <c r="Z146" i="6"/>
  <c r="Z100" i="6"/>
  <c r="Z116" i="6"/>
  <c r="Z284" i="6" s="1"/>
  <c r="Z114" i="6"/>
  <c r="Z170" i="6" s="1"/>
  <c r="Z269" i="6" s="1"/>
  <c r="Z148" i="6"/>
  <c r="Y257" i="6"/>
  <c r="Y158" i="6"/>
  <c r="Z107" i="6"/>
  <c r="Z147" i="6"/>
  <c r="O48" i="6"/>
  <c r="O139" i="6"/>
  <c r="O151" i="6" s="1"/>
  <c r="P46" i="6"/>
  <c r="Z24" i="6"/>
  <c r="Z277" i="6" s="1"/>
  <c r="Z135" i="6"/>
  <c r="Z22" i="6"/>
  <c r="Y262" i="6"/>
  <c r="Y163" i="6"/>
  <c r="Y169" i="6"/>
  <c r="Y268" i="6" s="1"/>
  <c r="Y109" i="6"/>
  <c r="Y283" i="6" s="1"/>
  <c r="AA331" i="6"/>
  <c r="Y194" i="6"/>
  <c r="Y193" i="6"/>
  <c r="Y195" i="6" s="1"/>
  <c r="Y294" i="6" s="1"/>
  <c r="Y264" i="6"/>
  <c r="Y165" i="6"/>
  <c r="Y258" i="6"/>
  <c r="Y159" i="6"/>
  <c r="Y255" i="6"/>
  <c r="Y156" i="6"/>
  <c r="Y256" i="6"/>
  <c r="Y157" i="6"/>
  <c r="Z324" i="6"/>
  <c r="R138" i="6"/>
  <c r="R41" i="6"/>
  <c r="S39" i="6"/>
  <c r="N252" i="6"/>
  <c r="N154" i="6"/>
  <c r="Z149" i="6"/>
  <c r="Z121" i="6"/>
  <c r="Z171" i="6" s="1"/>
  <c r="Z270" i="6" s="1"/>
  <c r="Z123" i="6"/>
  <c r="Z285" i="6" s="1"/>
  <c r="Q150" i="6"/>
  <c r="Q130" i="6"/>
  <c r="Q172" i="6" s="1"/>
  <c r="Q271" i="6" s="1"/>
  <c r="Q132" i="6"/>
  <c r="Q286" i="6" s="1"/>
  <c r="R128" i="6"/>
  <c r="AA178" i="6"/>
  <c r="AA179" i="6"/>
  <c r="AA291" i="6" s="1"/>
  <c r="AA204" i="6"/>
  <c r="AA301" i="6" s="1"/>
  <c r="AA181" i="6"/>
  <c r="AA296" i="6" s="1"/>
  <c r="AA223" i="6"/>
  <c r="AA320" i="6" s="1"/>
  <c r="AA226" i="6"/>
  <c r="AA323" i="6" s="1"/>
  <c r="AA225" i="6"/>
  <c r="AA322" i="6" s="1"/>
  <c r="AA182" i="6"/>
  <c r="AA297" i="6" s="1"/>
  <c r="AA209" i="6"/>
  <c r="AA306" i="6" s="1"/>
  <c r="AA211" i="6"/>
  <c r="AA308" i="6" s="1"/>
  <c r="AA208" i="6"/>
  <c r="AA305" i="6" s="1"/>
  <c r="AA352" i="6" s="1"/>
  <c r="AA222" i="6"/>
  <c r="AA319" i="6" s="1"/>
  <c r="AA206" i="6"/>
  <c r="AA303" i="6" s="1"/>
  <c r="AA212" i="6"/>
  <c r="AA309" i="6" s="1"/>
  <c r="AA205" i="6"/>
  <c r="AA302" i="6" s="1"/>
  <c r="AA217" i="6"/>
  <c r="AA314" i="6" s="1"/>
  <c r="AA180" i="6"/>
  <c r="AA292" i="6" s="1"/>
  <c r="AA219" i="6"/>
  <c r="AA316" i="6" s="1"/>
  <c r="AA213" i="6"/>
  <c r="AA310" i="6" s="1"/>
  <c r="AA224" i="6"/>
  <c r="AA321" i="6" s="1"/>
  <c r="AA220" i="6"/>
  <c r="AA317" i="6" s="1"/>
  <c r="AA214" i="6"/>
  <c r="AA311" i="6" s="1"/>
  <c r="AA216" i="6"/>
  <c r="AA313" i="6" s="1"/>
  <c r="AA210" i="6"/>
  <c r="AA307" i="6" s="1"/>
  <c r="AA215" i="6"/>
  <c r="AA312" i="6" s="1"/>
  <c r="AA218" i="6"/>
  <c r="AA315" i="6" s="1"/>
  <c r="AA221" i="6"/>
  <c r="AA318" i="6" s="1"/>
  <c r="AA207" i="6"/>
  <c r="AA304" i="6" s="1"/>
  <c r="AA60" i="6"/>
  <c r="AA68" i="6"/>
  <c r="AA61" i="6"/>
  <c r="AA69" i="6"/>
  <c r="Z81" i="6"/>
  <c r="Z280" i="6" s="1"/>
  <c r="Z143" i="6"/>
  <c r="Z79" i="6"/>
  <c r="Y261" i="6"/>
  <c r="Y162" i="6"/>
  <c r="Z290" i="6"/>
  <c r="Z144" i="6"/>
  <c r="Z88" i="6"/>
  <c r="Z90" i="6"/>
  <c r="Z281" i="6" s="1"/>
  <c r="Y102" i="6"/>
  <c r="Y282" i="6" s="1"/>
  <c r="Y267" i="6"/>
  <c r="Y168" i="6"/>
  <c r="AA40" i="6"/>
  <c r="Z136" i="6"/>
  <c r="Z29" i="6"/>
  <c r="AA47" i="6"/>
  <c r="Z95" i="6"/>
  <c r="Z145" i="6"/>
  <c r="Z153" i="6" s="1"/>
  <c r="Z192" i="6" s="1"/>
  <c r="Z62" i="6"/>
  <c r="Z141" i="6"/>
  <c r="Z64" i="6"/>
  <c r="Z278" i="6" s="1"/>
  <c r="Q259" i="6"/>
  <c r="Q160" i="6"/>
  <c r="N260" i="6"/>
  <c r="N161" i="6"/>
  <c r="N174" i="6" s="1"/>
  <c r="AA55" i="6" l="1"/>
  <c r="AA140" i="6"/>
  <c r="AB54" i="6"/>
  <c r="AB53" i="6"/>
  <c r="AA145" i="6"/>
  <c r="AA153" i="6" s="1"/>
  <c r="AA192" i="6" s="1"/>
  <c r="AA95" i="6"/>
  <c r="AA107" i="6"/>
  <c r="AA147" i="6"/>
  <c r="R259" i="6"/>
  <c r="R160" i="6"/>
  <c r="AB223" i="6"/>
  <c r="AB320" i="6" s="1"/>
  <c r="AB225" i="6"/>
  <c r="AB322" i="6" s="1"/>
  <c r="AB204" i="6"/>
  <c r="AB301" i="6" s="1"/>
  <c r="AB178" i="6"/>
  <c r="AB179" i="6"/>
  <c r="AB291" i="6" s="1"/>
  <c r="AB219" i="6"/>
  <c r="AB316" i="6" s="1"/>
  <c r="AB182" i="6"/>
  <c r="AB297" i="6" s="1"/>
  <c r="AB181" i="6"/>
  <c r="AB296" i="6" s="1"/>
  <c r="AB206" i="6"/>
  <c r="AB303" i="6" s="1"/>
  <c r="AB208" i="6"/>
  <c r="AB305" i="6" s="1"/>
  <c r="AB352" i="6" s="1"/>
  <c r="AB226" i="6"/>
  <c r="AB323" i="6" s="1"/>
  <c r="AB211" i="6"/>
  <c r="AB308" i="6" s="1"/>
  <c r="AB180" i="6"/>
  <c r="AB292" i="6" s="1"/>
  <c r="AB222" i="6"/>
  <c r="AB319" i="6" s="1"/>
  <c r="AB209" i="6"/>
  <c r="AB306" i="6" s="1"/>
  <c r="AB217" i="6"/>
  <c r="AB314" i="6" s="1"/>
  <c r="AB212" i="6"/>
  <c r="AB309" i="6" s="1"/>
  <c r="AB205" i="6"/>
  <c r="AB302" i="6" s="1"/>
  <c r="AB214" i="6"/>
  <c r="AB311" i="6" s="1"/>
  <c r="AB215" i="6"/>
  <c r="AB312" i="6" s="1"/>
  <c r="AB213" i="6"/>
  <c r="AB310" i="6" s="1"/>
  <c r="AB218" i="6"/>
  <c r="AB315" i="6" s="1"/>
  <c r="AB210" i="6"/>
  <c r="AB307" i="6" s="1"/>
  <c r="AB207" i="6"/>
  <c r="AB304" i="6" s="1"/>
  <c r="AB216" i="6"/>
  <c r="AB313" i="6" s="1"/>
  <c r="AB220" i="6"/>
  <c r="AB317" i="6" s="1"/>
  <c r="AB224" i="6"/>
  <c r="AB321" i="6" s="1"/>
  <c r="AB221" i="6"/>
  <c r="AB318" i="6" s="1"/>
  <c r="AA136" i="6"/>
  <c r="AA29" i="6"/>
  <c r="Z256" i="6"/>
  <c r="Z157" i="6"/>
  <c r="Z258" i="6"/>
  <c r="Z159" i="6"/>
  <c r="AB87" i="6"/>
  <c r="AB86" i="6"/>
  <c r="AB77" i="6"/>
  <c r="AB78" i="6"/>
  <c r="S138" i="6"/>
  <c r="S41" i="6"/>
  <c r="T39" i="6"/>
  <c r="AB69" i="6"/>
  <c r="AB61" i="6"/>
  <c r="AB60" i="6"/>
  <c r="AB68" i="6"/>
  <c r="Z194" i="6"/>
  <c r="Z193" i="6"/>
  <c r="Z195" i="6" s="1"/>
  <c r="Z294" i="6" s="1"/>
  <c r="Z264" i="6"/>
  <c r="Z165" i="6"/>
  <c r="AC234" i="6"/>
  <c r="AC337" i="6" s="1"/>
  <c r="AC246" i="6"/>
  <c r="AC348" i="6" s="1"/>
  <c r="AC230" i="6"/>
  <c r="AC333" i="6" s="1"/>
  <c r="AC233" i="6"/>
  <c r="AC336" i="6" s="1"/>
  <c r="AC2" i="6"/>
  <c r="AC51" i="6"/>
  <c r="AC58" i="6"/>
  <c r="AC126" i="6"/>
  <c r="AC75" i="6"/>
  <c r="AC44" i="6"/>
  <c r="AC245" i="6"/>
  <c r="AC347" i="6" s="1"/>
  <c r="AC9" i="6"/>
  <c r="AC37" i="6"/>
  <c r="AD4" i="6"/>
  <c r="AC232" i="6"/>
  <c r="AC335" i="6" s="1"/>
  <c r="AC235" i="6"/>
  <c r="AC338" i="6" s="1"/>
  <c r="AC236" i="6"/>
  <c r="AC339" i="6" s="1"/>
  <c r="AC237" i="6"/>
  <c r="AC340" i="6" s="1"/>
  <c r="AC244" i="6"/>
  <c r="AC346" i="6" s="1"/>
  <c r="AC228" i="6"/>
  <c r="AC238" i="6"/>
  <c r="AC341" i="6" s="1"/>
  <c r="AC242" i="6"/>
  <c r="AC344" i="6" s="1"/>
  <c r="AC243" i="6"/>
  <c r="AC345" i="6" s="1"/>
  <c r="AA79" i="6"/>
  <c r="AA143" i="6"/>
  <c r="AA81" i="6"/>
  <c r="AA280" i="6" s="1"/>
  <c r="O260" i="6"/>
  <c r="O273" i="6" s="1"/>
  <c r="O288" i="6" s="1"/>
  <c r="O328" i="6" s="1"/>
  <c r="O161" i="6"/>
  <c r="O174" i="6" s="1"/>
  <c r="AA88" i="6"/>
  <c r="AA144" i="6"/>
  <c r="AA90" i="6"/>
  <c r="AA281" i="6" s="1"/>
  <c r="N273" i="6"/>
  <c r="Z265" i="6"/>
  <c r="Z166" i="6"/>
  <c r="Z169" i="6"/>
  <c r="Z268" i="6" s="1"/>
  <c r="Z109" i="6"/>
  <c r="Z283" i="6" s="1"/>
  <c r="AA149" i="6"/>
  <c r="AA123" i="6"/>
  <c r="AA285" i="6" s="1"/>
  <c r="AA121" i="6"/>
  <c r="AA171" i="6" s="1"/>
  <c r="AA270" i="6" s="1"/>
  <c r="Z257" i="6"/>
  <c r="Z158" i="6"/>
  <c r="AA72" i="6"/>
  <c r="AA279" i="6" s="1"/>
  <c r="AA142" i="6"/>
  <c r="AA70" i="6"/>
  <c r="AB112" i="6"/>
  <c r="AB93" i="6"/>
  <c r="AB33" i="6"/>
  <c r="AB105" i="6"/>
  <c r="AB99" i="6"/>
  <c r="AB21" i="6"/>
  <c r="AB113" i="6"/>
  <c r="AB98" i="6"/>
  <c r="AB106" i="6"/>
  <c r="AB120" i="6"/>
  <c r="AB119" i="6"/>
  <c r="AB129" i="6"/>
  <c r="AB94" i="6"/>
  <c r="AB28" i="6"/>
  <c r="AB20" i="6"/>
  <c r="AB13" i="6"/>
  <c r="AB14" i="6"/>
  <c r="AB32" i="6"/>
  <c r="AB27" i="6"/>
  <c r="Z164" i="6"/>
  <c r="Z263" i="6"/>
  <c r="AA146" i="6"/>
  <c r="AA100" i="6"/>
  <c r="AB40" i="6"/>
  <c r="Z163" i="6"/>
  <c r="Z262" i="6"/>
  <c r="AB331" i="6"/>
  <c r="AA324" i="6"/>
  <c r="AA22" i="6"/>
  <c r="AA24" i="6"/>
  <c r="AA277" i="6" s="1"/>
  <c r="AA135" i="6"/>
  <c r="Z168" i="6"/>
  <c r="Z102" i="6"/>
  <c r="Z282" i="6" s="1"/>
  <c r="Z267" i="6"/>
  <c r="AA137" i="6"/>
  <c r="AA34" i="6"/>
  <c r="AA290" i="6"/>
  <c r="P48" i="6"/>
  <c r="P139" i="6"/>
  <c r="P151" i="6" s="1"/>
  <c r="Q46" i="6"/>
  <c r="Z167" i="6"/>
  <c r="Z266" i="6"/>
  <c r="R132" i="6"/>
  <c r="R286" i="6" s="1"/>
  <c r="R130" i="6"/>
  <c r="R172" i="6" s="1"/>
  <c r="R271" i="6" s="1"/>
  <c r="R150" i="6"/>
  <c r="S128" i="6"/>
  <c r="O154" i="6"/>
  <c r="O252" i="6"/>
  <c r="AA15" i="6"/>
  <c r="AA17" i="6"/>
  <c r="AA276" i="6" s="1"/>
  <c r="AA134" i="6"/>
  <c r="AA64" i="6"/>
  <c r="AA278" i="6" s="1"/>
  <c r="AA141" i="6"/>
  <c r="AA62" i="6"/>
  <c r="AB47" i="6"/>
  <c r="Z156" i="6"/>
  <c r="Z255" i="6"/>
  <c r="AA148" i="6"/>
  <c r="AA114" i="6"/>
  <c r="AA170" i="6" s="1"/>
  <c r="AA269" i="6" s="1"/>
  <c r="AA116" i="6"/>
  <c r="AA284" i="6" s="1"/>
  <c r="Z162" i="6"/>
  <c r="Z261" i="6"/>
  <c r="Q139" i="6" l="1"/>
  <c r="Q151" i="6" s="1"/>
  <c r="Q48" i="6"/>
  <c r="R46" i="6"/>
  <c r="AB144" i="6"/>
  <c r="AB88" i="6"/>
  <c r="AB90" i="6"/>
  <c r="AB281" i="6" s="1"/>
  <c r="P252" i="6"/>
  <c r="P154" i="6"/>
  <c r="P184" i="6" s="1"/>
  <c r="AC47" i="6"/>
  <c r="AA256" i="6"/>
  <c r="AA157" i="6"/>
  <c r="N288" i="6"/>
  <c r="AC77" i="6"/>
  <c r="AC87" i="6"/>
  <c r="AC86" i="6"/>
  <c r="AC78" i="6"/>
  <c r="AA255" i="6"/>
  <c r="AA156" i="6"/>
  <c r="AB141" i="6"/>
  <c r="AB62" i="6"/>
  <c r="AB64" i="6"/>
  <c r="AB278" i="6" s="1"/>
  <c r="AA265" i="6"/>
  <c r="AA166" i="6"/>
  <c r="AC53" i="6"/>
  <c r="AC54" i="6"/>
  <c r="AA159" i="6"/>
  <c r="AA258" i="6"/>
  <c r="AD246" i="6"/>
  <c r="AD348" i="6" s="1"/>
  <c r="AD234" i="6"/>
  <c r="AD337" i="6" s="1"/>
  <c r="AD245" i="6"/>
  <c r="AD347" i="6" s="1"/>
  <c r="AD233" i="6"/>
  <c r="AD336" i="6" s="1"/>
  <c r="AE4" i="6"/>
  <c r="AD2" i="6"/>
  <c r="AD126" i="6"/>
  <c r="AD75" i="6"/>
  <c r="AD44" i="6"/>
  <c r="AD230" i="6"/>
  <c r="AD333" i="6" s="1"/>
  <c r="AD51" i="6"/>
  <c r="AD37" i="6"/>
  <c r="AD9" i="6"/>
  <c r="AD235" i="6"/>
  <c r="AD338" i="6" s="1"/>
  <c r="AD58" i="6"/>
  <c r="AD232" i="6"/>
  <c r="AD335" i="6" s="1"/>
  <c r="AD237" i="6"/>
  <c r="AD340" i="6" s="1"/>
  <c r="AD236" i="6"/>
  <c r="AD339" i="6" s="1"/>
  <c r="AD244" i="6"/>
  <c r="AD346" i="6" s="1"/>
  <c r="AD228" i="6"/>
  <c r="AD238" i="6"/>
  <c r="AD341" i="6" s="1"/>
  <c r="AD242" i="6"/>
  <c r="AD344" i="6" s="1"/>
  <c r="AD243" i="6"/>
  <c r="AD345" i="6" s="1"/>
  <c r="AB324" i="6"/>
  <c r="P260" i="6"/>
  <c r="P273" i="6" s="1"/>
  <c r="P288" i="6" s="1"/>
  <c r="P161" i="6"/>
  <c r="P174" i="6" s="1"/>
  <c r="AB136" i="6"/>
  <c r="AB29" i="6"/>
  <c r="AC331" i="6"/>
  <c r="AB70" i="6"/>
  <c r="AB72" i="6"/>
  <c r="AB279" i="6" s="1"/>
  <c r="AB142" i="6"/>
  <c r="AC61" i="6"/>
  <c r="AC60" i="6"/>
  <c r="AC68" i="6"/>
  <c r="AC69" i="6"/>
  <c r="AA109" i="6"/>
  <c r="AA283" i="6" s="1"/>
  <c r="AA169" i="6"/>
  <c r="AA268" i="6" s="1"/>
  <c r="AB147" i="6"/>
  <c r="AB107" i="6"/>
  <c r="AC223" i="6"/>
  <c r="AC320" i="6" s="1"/>
  <c r="AC182" i="6"/>
  <c r="AC297" i="6" s="1"/>
  <c r="AC225" i="6"/>
  <c r="AC322" i="6" s="1"/>
  <c r="AC226" i="6"/>
  <c r="AC323" i="6" s="1"/>
  <c r="AC205" i="6"/>
  <c r="AC302" i="6" s="1"/>
  <c r="AC204" i="6"/>
  <c r="AC301" i="6" s="1"/>
  <c r="AC178" i="6"/>
  <c r="AC181" i="6"/>
  <c r="AC296" i="6" s="1"/>
  <c r="AC206" i="6"/>
  <c r="AC303" i="6" s="1"/>
  <c r="AC209" i="6"/>
  <c r="AC306" i="6" s="1"/>
  <c r="AC179" i="6"/>
  <c r="AC291" i="6" s="1"/>
  <c r="AC208" i="6"/>
  <c r="AC305" i="6" s="1"/>
  <c r="AC352" i="6" s="1"/>
  <c r="AC212" i="6"/>
  <c r="AC309" i="6" s="1"/>
  <c r="AC219" i="6"/>
  <c r="AC316" i="6" s="1"/>
  <c r="AC222" i="6"/>
  <c r="AC319" i="6" s="1"/>
  <c r="AC217" i="6"/>
  <c r="AC314" i="6" s="1"/>
  <c r="AC180" i="6"/>
  <c r="AC292" i="6" s="1"/>
  <c r="AC211" i="6"/>
  <c r="AC308" i="6" s="1"/>
  <c r="AC218" i="6"/>
  <c r="AC315" i="6" s="1"/>
  <c r="AC220" i="6"/>
  <c r="AC317" i="6" s="1"/>
  <c r="AC207" i="6"/>
  <c r="AC304" i="6" s="1"/>
  <c r="AC214" i="6"/>
  <c r="AC311" i="6" s="1"/>
  <c r="AC216" i="6"/>
  <c r="AC313" i="6" s="1"/>
  <c r="AC215" i="6"/>
  <c r="AC312" i="6" s="1"/>
  <c r="AC210" i="6"/>
  <c r="AC307" i="6" s="1"/>
  <c r="AC213" i="6"/>
  <c r="AC310" i="6" s="1"/>
  <c r="AC221" i="6"/>
  <c r="AC318" i="6" s="1"/>
  <c r="AC224" i="6"/>
  <c r="AC321" i="6" s="1"/>
  <c r="AA257" i="6"/>
  <c r="AA158" i="6"/>
  <c r="T138" i="6"/>
  <c r="T41" i="6"/>
  <c r="U39" i="6"/>
  <c r="AA193" i="6"/>
  <c r="AA194" i="6"/>
  <c r="AB140" i="6"/>
  <c r="AB55" i="6"/>
  <c r="AB114" i="6"/>
  <c r="AB170" i="6" s="1"/>
  <c r="AB269" i="6" s="1"/>
  <c r="AB116" i="6"/>
  <c r="AB284" i="6" s="1"/>
  <c r="AB148" i="6"/>
  <c r="AA263" i="6"/>
  <c r="AA164" i="6"/>
  <c r="AA264" i="6"/>
  <c r="AA165" i="6"/>
  <c r="AC40" i="6"/>
  <c r="AB146" i="6"/>
  <c r="AB100" i="6"/>
  <c r="AB137" i="6"/>
  <c r="AB34" i="6"/>
  <c r="S132" i="6"/>
  <c r="S286" i="6" s="1"/>
  <c r="S130" i="6"/>
  <c r="S172" i="6" s="1"/>
  <c r="S271" i="6" s="1"/>
  <c r="S150" i="6"/>
  <c r="T128" i="6"/>
  <c r="AB17" i="6"/>
  <c r="AB276" i="6" s="1"/>
  <c r="AB15" i="6"/>
  <c r="AB134" i="6"/>
  <c r="AA266" i="6"/>
  <c r="AA167" i="6"/>
  <c r="AB135" i="6"/>
  <c r="AB24" i="6"/>
  <c r="AB277" i="6" s="1"/>
  <c r="AB22" i="6"/>
  <c r="AB145" i="6"/>
  <c r="AB153" i="6" s="1"/>
  <c r="AB192" i="6" s="1"/>
  <c r="AB95" i="6"/>
  <c r="S259" i="6"/>
  <c r="S160" i="6"/>
  <c r="AB290" i="6"/>
  <c r="AA262" i="6"/>
  <c r="AA163" i="6"/>
  <c r="AA267" i="6"/>
  <c r="AA168" i="6"/>
  <c r="AA102" i="6"/>
  <c r="AA282" i="6" s="1"/>
  <c r="AB123" i="6"/>
  <c r="AB285" i="6" s="1"/>
  <c r="AB149" i="6"/>
  <c r="AB121" i="6"/>
  <c r="AB171" i="6" s="1"/>
  <c r="AB270" i="6" s="1"/>
  <c r="AC120" i="6"/>
  <c r="AC119" i="6"/>
  <c r="AC113" i="6"/>
  <c r="AC21" i="6"/>
  <c r="AC93" i="6"/>
  <c r="AC129" i="6"/>
  <c r="AC105" i="6"/>
  <c r="AC106" i="6"/>
  <c r="AC98" i="6"/>
  <c r="AC94" i="6"/>
  <c r="AC33" i="6"/>
  <c r="AC112" i="6"/>
  <c r="AC99" i="6"/>
  <c r="AC28" i="6"/>
  <c r="AC14" i="6"/>
  <c r="AC13" i="6"/>
  <c r="AC20" i="6"/>
  <c r="AC32" i="6"/>
  <c r="AC27" i="6"/>
  <c r="AB143" i="6"/>
  <c r="AB81" i="6"/>
  <c r="AB280" i="6" s="1"/>
  <c r="AB79" i="6"/>
  <c r="AA261" i="6"/>
  <c r="AA162" i="6"/>
  <c r="AD60" i="6" l="1"/>
  <c r="AD61" i="6"/>
  <c r="AD69" i="6"/>
  <c r="AD68" i="6"/>
  <c r="AC290" i="6"/>
  <c r="AC324" i="6"/>
  <c r="AD120" i="6"/>
  <c r="AD119" i="6"/>
  <c r="AD113" i="6"/>
  <c r="AD93" i="6"/>
  <c r="AD129" i="6"/>
  <c r="AD105" i="6"/>
  <c r="AD28" i="6"/>
  <c r="AD27" i="6"/>
  <c r="AD13" i="6"/>
  <c r="AD106" i="6"/>
  <c r="AD94" i="6"/>
  <c r="AD99" i="6"/>
  <c r="AD112" i="6"/>
  <c r="AD14" i="6"/>
  <c r="AD32" i="6"/>
  <c r="AD21" i="6"/>
  <c r="AD33" i="6"/>
  <c r="AD20" i="6"/>
  <c r="AD98" i="6"/>
  <c r="AC147" i="6"/>
  <c r="AC107" i="6"/>
  <c r="AD331" i="6"/>
  <c r="AB265" i="6"/>
  <c r="AB166" i="6"/>
  <c r="AC121" i="6"/>
  <c r="AC171" i="6" s="1"/>
  <c r="AC270" i="6" s="1"/>
  <c r="AC149" i="6"/>
  <c r="AC123" i="6"/>
  <c r="AC285" i="6" s="1"/>
  <c r="AB255" i="6"/>
  <c r="AB156" i="6"/>
  <c r="AB109" i="6"/>
  <c r="AB283" i="6" s="1"/>
  <c r="AB169" i="6"/>
  <c r="AB268" i="6" s="1"/>
  <c r="AC137" i="6"/>
  <c r="AC34" i="6"/>
  <c r="AC135" i="6"/>
  <c r="AC24" i="6"/>
  <c r="AC277" i="6" s="1"/>
  <c r="AC22" i="6"/>
  <c r="AC55" i="6"/>
  <c r="AC140" i="6"/>
  <c r="AA195" i="6"/>
  <c r="AA294" i="6" s="1"/>
  <c r="AD178" i="6"/>
  <c r="AD223" i="6"/>
  <c r="AD320" i="6" s="1"/>
  <c r="AD225" i="6"/>
  <c r="AD322" i="6" s="1"/>
  <c r="AD181" i="6"/>
  <c r="AD296" i="6" s="1"/>
  <c r="AD226" i="6"/>
  <c r="AD323" i="6" s="1"/>
  <c r="AD204" i="6"/>
  <c r="AD301" i="6" s="1"/>
  <c r="AD209" i="6"/>
  <c r="AD306" i="6" s="1"/>
  <c r="AD208" i="6"/>
  <c r="AD305" i="6" s="1"/>
  <c r="AD352" i="6" s="1"/>
  <c r="AD182" i="6"/>
  <c r="AD297" i="6" s="1"/>
  <c r="AD179" i="6"/>
  <c r="AD291" i="6" s="1"/>
  <c r="AD219" i="6"/>
  <c r="AD316" i="6" s="1"/>
  <c r="AD211" i="6"/>
  <c r="AD308" i="6" s="1"/>
  <c r="AD212" i="6"/>
  <c r="AD309" i="6" s="1"/>
  <c r="AD206" i="6"/>
  <c r="AD303" i="6" s="1"/>
  <c r="AD180" i="6"/>
  <c r="AD292" i="6" s="1"/>
  <c r="AD217" i="6"/>
  <c r="AD314" i="6" s="1"/>
  <c r="AD222" i="6"/>
  <c r="AD319" i="6" s="1"/>
  <c r="AD205" i="6"/>
  <c r="AD302" i="6" s="1"/>
  <c r="AD224" i="6"/>
  <c r="AD321" i="6" s="1"/>
  <c r="AD207" i="6"/>
  <c r="AD304" i="6" s="1"/>
  <c r="AD215" i="6"/>
  <c r="AD312" i="6" s="1"/>
  <c r="AD221" i="6"/>
  <c r="AD318" i="6" s="1"/>
  <c r="AD214" i="6"/>
  <c r="AD311" i="6" s="1"/>
  <c r="AD220" i="6"/>
  <c r="AD317" i="6" s="1"/>
  <c r="AD213" i="6"/>
  <c r="AD310" i="6" s="1"/>
  <c r="AD216" i="6"/>
  <c r="AD313" i="6" s="1"/>
  <c r="AD210" i="6"/>
  <c r="AD307" i="6" s="1"/>
  <c r="AD218" i="6"/>
  <c r="AD315" i="6" s="1"/>
  <c r="AC143" i="6"/>
  <c r="AC79" i="6"/>
  <c r="AC81" i="6"/>
  <c r="AC280" i="6" s="1"/>
  <c r="R139" i="6"/>
  <c r="R151" i="6" s="1"/>
  <c r="R48" i="6"/>
  <c r="S46" i="6"/>
  <c r="AB193" i="6"/>
  <c r="AB194" i="6"/>
  <c r="AB258" i="6"/>
  <c r="AB159" i="6"/>
  <c r="AC136" i="6"/>
  <c r="AC29" i="6"/>
  <c r="AC141" i="6"/>
  <c r="AC62" i="6"/>
  <c r="AC64" i="6"/>
  <c r="AC278" i="6" s="1"/>
  <c r="AD40" i="6"/>
  <c r="P189" i="6"/>
  <c r="P187" i="6"/>
  <c r="P185" i="6"/>
  <c r="P186" i="6"/>
  <c r="P188" i="6"/>
  <c r="AC145" i="6"/>
  <c r="AC153" i="6" s="1"/>
  <c r="AC192" i="6" s="1"/>
  <c r="AC95" i="6"/>
  <c r="AC134" i="6"/>
  <c r="AC17" i="6"/>
  <c r="AC276" i="6" s="1"/>
  <c r="AC15" i="6"/>
  <c r="AB261" i="6"/>
  <c r="AB162" i="6"/>
  <c r="AB263" i="6"/>
  <c r="AB164" i="6"/>
  <c r="AC144" i="6"/>
  <c r="AC88" i="6"/>
  <c r="AC90" i="6"/>
  <c r="AC281" i="6" s="1"/>
  <c r="AC116" i="6"/>
  <c r="AC284" i="6" s="1"/>
  <c r="AC114" i="6"/>
  <c r="AC170" i="6" s="1"/>
  <c r="AC269" i="6" s="1"/>
  <c r="AC148" i="6"/>
  <c r="T130" i="6"/>
  <c r="T172" i="6" s="1"/>
  <c r="T271" i="6" s="1"/>
  <c r="T150" i="6"/>
  <c r="T132" i="6"/>
  <c r="T286" i="6" s="1"/>
  <c r="U128" i="6"/>
  <c r="U138" i="6"/>
  <c r="U41" i="6"/>
  <c r="V39" i="6"/>
  <c r="AB257" i="6"/>
  <c r="AB158" i="6"/>
  <c r="AE245" i="6"/>
  <c r="AE347" i="6" s="1"/>
  <c r="AE234" i="6"/>
  <c r="AE337" i="6" s="1"/>
  <c r="AE230" i="6"/>
  <c r="AE333" i="6" s="1"/>
  <c r="AE233" i="6"/>
  <c r="AE336" i="6" s="1"/>
  <c r="AE126" i="6"/>
  <c r="AE58" i="6"/>
  <c r="AE75" i="6"/>
  <c r="AE44" i="6"/>
  <c r="AE51" i="6"/>
  <c r="AE37" i="6"/>
  <c r="AE2" i="6"/>
  <c r="AE246" i="6"/>
  <c r="AE348" i="6" s="1"/>
  <c r="AE9" i="6"/>
  <c r="AF4" i="6"/>
  <c r="AE235" i="6"/>
  <c r="AE338" i="6" s="1"/>
  <c r="AE232" i="6"/>
  <c r="AE335" i="6" s="1"/>
  <c r="AE236" i="6"/>
  <c r="AE339" i="6" s="1"/>
  <c r="AE237" i="6"/>
  <c r="AE340" i="6" s="1"/>
  <c r="AE244" i="6"/>
  <c r="AE346" i="6" s="1"/>
  <c r="AE228" i="6"/>
  <c r="AE238" i="6"/>
  <c r="AE341" i="6" s="1"/>
  <c r="AE242" i="6"/>
  <c r="AE344" i="6" s="1"/>
  <c r="AE243" i="6"/>
  <c r="AE345" i="6" s="1"/>
  <c r="Q260" i="6"/>
  <c r="Q273" i="6" s="1"/>
  <c r="Q288" i="6" s="1"/>
  <c r="Q161" i="6"/>
  <c r="Q174" i="6" s="1"/>
  <c r="AB264" i="6"/>
  <c r="AB165" i="6"/>
  <c r="AB266" i="6"/>
  <c r="AB167" i="6"/>
  <c r="AB262" i="6"/>
  <c r="AB163" i="6"/>
  <c r="AC146" i="6"/>
  <c r="AC100" i="6"/>
  <c r="AB256" i="6"/>
  <c r="AB157" i="6"/>
  <c r="AC142" i="6"/>
  <c r="AC70" i="6"/>
  <c r="AC72" i="6"/>
  <c r="AC279" i="6" s="1"/>
  <c r="AD53" i="6"/>
  <c r="AD54" i="6"/>
  <c r="AB267" i="6"/>
  <c r="AB168" i="6"/>
  <c r="AB102" i="6"/>
  <c r="AB282" i="6" s="1"/>
  <c r="AD47" i="6"/>
  <c r="AD87" i="6"/>
  <c r="AD77" i="6"/>
  <c r="AD86" i="6"/>
  <c r="AD78" i="6"/>
  <c r="T160" i="6"/>
  <c r="T259" i="6"/>
  <c r="N328" i="6"/>
  <c r="Q252" i="6"/>
  <c r="Q154" i="6"/>
  <c r="Q184" i="6" s="1"/>
  <c r="AD90" i="6" l="1"/>
  <c r="AD281" i="6" s="1"/>
  <c r="AD144" i="6"/>
  <c r="AD88" i="6"/>
  <c r="AC258" i="6"/>
  <c r="AC159" i="6"/>
  <c r="AE226" i="6"/>
  <c r="AE323" i="6" s="1"/>
  <c r="AE178" i="6"/>
  <c r="AE225" i="6"/>
  <c r="AE322" i="6" s="1"/>
  <c r="AE179" i="6"/>
  <c r="AE291" i="6" s="1"/>
  <c r="AE205" i="6"/>
  <c r="AE302" i="6" s="1"/>
  <c r="AE223" i="6"/>
  <c r="AE320" i="6" s="1"/>
  <c r="AE209" i="6"/>
  <c r="AE306" i="6" s="1"/>
  <c r="AE206" i="6"/>
  <c r="AE303" i="6" s="1"/>
  <c r="AE182" i="6"/>
  <c r="AE297" i="6" s="1"/>
  <c r="AE181" i="6"/>
  <c r="AE296" i="6" s="1"/>
  <c r="AE222" i="6"/>
  <c r="AE319" i="6" s="1"/>
  <c r="AE211" i="6"/>
  <c r="AE308" i="6" s="1"/>
  <c r="AE217" i="6"/>
  <c r="AE314" i="6" s="1"/>
  <c r="AE212" i="6"/>
  <c r="AE309" i="6" s="1"/>
  <c r="AE204" i="6"/>
  <c r="AE301" i="6" s="1"/>
  <c r="AE208" i="6"/>
  <c r="AE305" i="6" s="1"/>
  <c r="AE352" i="6" s="1"/>
  <c r="AE219" i="6"/>
  <c r="AE316" i="6" s="1"/>
  <c r="AE180" i="6"/>
  <c r="AE292" i="6" s="1"/>
  <c r="AE224" i="6"/>
  <c r="AE321" i="6" s="1"/>
  <c r="AE220" i="6"/>
  <c r="AE317" i="6" s="1"/>
  <c r="AE207" i="6"/>
  <c r="AE304" i="6" s="1"/>
  <c r="AE213" i="6"/>
  <c r="AE310" i="6" s="1"/>
  <c r="AE214" i="6"/>
  <c r="AE311" i="6" s="1"/>
  <c r="AE216" i="6"/>
  <c r="AE313" i="6" s="1"/>
  <c r="AE215" i="6"/>
  <c r="AE312" i="6" s="1"/>
  <c r="AE221" i="6"/>
  <c r="AE318" i="6" s="1"/>
  <c r="AE218" i="6"/>
  <c r="AE315" i="6" s="1"/>
  <c r="AE210" i="6"/>
  <c r="AE307" i="6" s="1"/>
  <c r="AC265" i="6"/>
  <c r="AC166" i="6"/>
  <c r="Q186" i="6"/>
  <c r="Q188" i="6"/>
  <c r="Q185" i="6"/>
  <c r="Q189" i="6"/>
  <c r="Q187" i="6"/>
  <c r="AE331" i="6"/>
  <c r="AE78" i="6"/>
  <c r="AE87" i="6"/>
  <c r="AE86" i="6"/>
  <c r="AE77" i="6"/>
  <c r="AD134" i="6"/>
  <c r="AD15" i="6"/>
  <c r="AD17" i="6"/>
  <c r="AD276" i="6" s="1"/>
  <c r="R260" i="6"/>
  <c r="R273" i="6" s="1"/>
  <c r="R288" i="6" s="1"/>
  <c r="R161" i="6"/>
  <c r="R174" i="6" s="1"/>
  <c r="AC255" i="6"/>
  <c r="AC156" i="6"/>
  <c r="R252" i="6"/>
  <c r="R154" i="6"/>
  <c r="R184" i="6" s="1"/>
  <c r="AC261" i="6"/>
  <c r="AC162" i="6"/>
  <c r="AD146" i="6"/>
  <c r="AD100" i="6"/>
  <c r="AD142" i="6"/>
  <c r="AD70" i="6"/>
  <c r="AD72" i="6"/>
  <c r="AD279" i="6" s="1"/>
  <c r="AC266" i="6"/>
  <c r="AC167" i="6"/>
  <c r="AD143" i="6"/>
  <c r="AD81" i="6"/>
  <c r="AD280" i="6" s="1"/>
  <c r="AD79" i="6"/>
  <c r="AD121" i="6"/>
  <c r="AD171" i="6" s="1"/>
  <c r="AD270" i="6" s="1"/>
  <c r="AD149" i="6"/>
  <c r="AD123" i="6"/>
  <c r="AD285" i="6" s="1"/>
  <c r="AC267" i="6"/>
  <c r="AC102" i="6"/>
  <c r="AC282" i="6" s="1"/>
  <c r="AC168" i="6"/>
  <c r="P190" i="6"/>
  <c r="AD140" i="6"/>
  <c r="AD55" i="6"/>
  <c r="AC256" i="6"/>
  <c r="AC157" i="6"/>
  <c r="AD24" i="6"/>
  <c r="AD277" i="6" s="1"/>
  <c r="AD135" i="6"/>
  <c r="AD22" i="6"/>
  <c r="AD107" i="6"/>
  <c r="AD147" i="6"/>
  <c r="AC257" i="6"/>
  <c r="AC158" i="6"/>
  <c r="AE40" i="6"/>
  <c r="AD116" i="6"/>
  <c r="AD284" i="6" s="1"/>
  <c r="AD148" i="6"/>
  <c r="AD114" i="6"/>
  <c r="AD170" i="6" s="1"/>
  <c r="AD269" i="6" s="1"/>
  <c r="U259" i="6"/>
  <c r="U160" i="6"/>
  <c r="AD290" i="6"/>
  <c r="AB195" i="6"/>
  <c r="AB294" i="6" s="1"/>
  <c r="S139" i="6"/>
  <c r="S151" i="6" s="1"/>
  <c r="S48" i="6"/>
  <c r="T46" i="6"/>
  <c r="AC169" i="6"/>
  <c r="AC268" i="6" s="1"/>
  <c r="AC109" i="6"/>
  <c r="AC283" i="6" s="1"/>
  <c r="AD136" i="6"/>
  <c r="AD29" i="6"/>
  <c r="AF246" i="6"/>
  <c r="AF348" i="6" s="1"/>
  <c r="AF245" i="6"/>
  <c r="AF347" i="6" s="1"/>
  <c r="AF233" i="6"/>
  <c r="AF336" i="6" s="1"/>
  <c r="AF126" i="6"/>
  <c r="AF58" i="6"/>
  <c r="AF75" i="6"/>
  <c r="AF37" i="6"/>
  <c r="AF44" i="6"/>
  <c r="AG4" i="6"/>
  <c r="AF51" i="6"/>
  <c r="AF9" i="6"/>
  <c r="AF2" i="6"/>
  <c r="AF232" i="6"/>
  <c r="AF335" i="6" s="1"/>
  <c r="AF234" i="6"/>
  <c r="AF337" i="6" s="1"/>
  <c r="AF235" i="6"/>
  <c r="AF338" i="6" s="1"/>
  <c r="AF230" i="6"/>
  <c r="AF333" i="6" s="1"/>
  <c r="AF237" i="6"/>
  <c r="AF340" i="6" s="1"/>
  <c r="AF236" i="6"/>
  <c r="AF339" i="6" s="1"/>
  <c r="AF244" i="6"/>
  <c r="AF346" i="6" s="1"/>
  <c r="AF228" i="6"/>
  <c r="AF238" i="6"/>
  <c r="AF341" i="6" s="1"/>
  <c r="AF242" i="6"/>
  <c r="AF344" i="6" s="1"/>
  <c r="AF243" i="6"/>
  <c r="AF345" i="6" s="1"/>
  <c r="AC262" i="6"/>
  <c r="AC163" i="6"/>
  <c r="AC165" i="6"/>
  <c r="AC264" i="6"/>
  <c r="AD324" i="6"/>
  <c r="AD34" i="6"/>
  <c r="AD137" i="6"/>
  <c r="AC194" i="6"/>
  <c r="AC193" i="6"/>
  <c r="AC195" i="6" s="1"/>
  <c r="AC294" i="6" s="1"/>
  <c r="V41" i="6"/>
  <c r="V138" i="6"/>
  <c r="W39" i="6"/>
  <c r="AE53" i="6"/>
  <c r="AE54" i="6"/>
  <c r="AE47" i="6"/>
  <c r="U150" i="6"/>
  <c r="U130" i="6"/>
  <c r="U172" i="6" s="1"/>
  <c r="U271" i="6" s="1"/>
  <c r="U132" i="6"/>
  <c r="U286" i="6" s="1"/>
  <c r="V128" i="6"/>
  <c r="AE61" i="6"/>
  <c r="AE60" i="6"/>
  <c r="AE69" i="6"/>
  <c r="AE68" i="6"/>
  <c r="AC263" i="6"/>
  <c r="AC164" i="6"/>
  <c r="AE129" i="6"/>
  <c r="AE106" i="6"/>
  <c r="AE14" i="6"/>
  <c r="AE105" i="6"/>
  <c r="AE28" i="6"/>
  <c r="AE27" i="6"/>
  <c r="AE112" i="6"/>
  <c r="AE94" i="6"/>
  <c r="AE33" i="6"/>
  <c r="AE99" i="6"/>
  <c r="AE32" i="6"/>
  <c r="AE21" i="6"/>
  <c r="AE98" i="6"/>
  <c r="AE93" i="6"/>
  <c r="AE13" i="6"/>
  <c r="AE20" i="6"/>
  <c r="AE120" i="6"/>
  <c r="AE119" i="6"/>
  <c r="AE113" i="6"/>
  <c r="AD95" i="6"/>
  <c r="AD145" i="6"/>
  <c r="AD153" i="6" s="1"/>
  <c r="AD192" i="6" s="1"/>
  <c r="AD141" i="6"/>
  <c r="AD62" i="6"/>
  <c r="AD64" i="6"/>
  <c r="AD278" i="6" s="1"/>
  <c r="AE146" i="6" l="1"/>
  <c r="AE100" i="6"/>
  <c r="AF86" i="6"/>
  <c r="AF87" i="6"/>
  <c r="AF77" i="6"/>
  <c r="AF78" i="6"/>
  <c r="AD261" i="6"/>
  <c r="AD162" i="6"/>
  <c r="AE137" i="6"/>
  <c r="AE34" i="6"/>
  <c r="AE145" i="6"/>
  <c r="AE153" i="6" s="1"/>
  <c r="AE192" i="6" s="1"/>
  <c r="AE95" i="6"/>
  <c r="S260" i="6"/>
  <c r="S273" i="6" s="1"/>
  <c r="S288" i="6" s="1"/>
  <c r="S161" i="6"/>
  <c r="S174" i="6" s="1"/>
  <c r="AD264" i="6"/>
  <c r="AD165" i="6"/>
  <c r="AE143" i="6"/>
  <c r="AE79" i="6"/>
  <c r="AE81" i="6"/>
  <c r="AE280" i="6" s="1"/>
  <c r="AF61" i="6"/>
  <c r="AF68" i="6"/>
  <c r="AF60" i="6"/>
  <c r="AF69" i="6"/>
  <c r="AE144" i="6"/>
  <c r="AE88" i="6"/>
  <c r="AE90" i="6"/>
  <c r="AE281" i="6" s="1"/>
  <c r="AD193" i="6"/>
  <c r="AD194" i="6"/>
  <c r="AE290" i="6"/>
  <c r="AD167" i="6"/>
  <c r="AD266" i="6"/>
  <c r="AE142" i="6"/>
  <c r="AE72" i="6"/>
  <c r="AE279" i="6" s="1"/>
  <c r="AE70" i="6"/>
  <c r="AE148" i="6"/>
  <c r="AE114" i="6"/>
  <c r="AE170" i="6" s="1"/>
  <c r="AE269" i="6" s="1"/>
  <c r="AE116" i="6"/>
  <c r="AE284" i="6" s="1"/>
  <c r="W41" i="6"/>
  <c r="W138" i="6"/>
  <c r="X39" i="6"/>
  <c r="AF226" i="6"/>
  <c r="AF323" i="6" s="1"/>
  <c r="AF179" i="6"/>
  <c r="AF291" i="6" s="1"/>
  <c r="AF223" i="6"/>
  <c r="AF320" i="6" s="1"/>
  <c r="AF181" i="6"/>
  <c r="AF296" i="6" s="1"/>
  <c r="AF178" i="6"/>
  <c r="AF225" i="6"/>
  <c r="AF322" i="6" s="1"/>
  <c r="AF182" i="6"/>
  <c r="AF297" i="6" s="1"/>
  <c r="AF222" i="6"/>
  <c r="AF319" i="6" s="1"/>
  <c r="AF180" i="6"/>
  <c r="AF292" i="6" s="1"/>
  <c r="AF217" i="6"/>
  <c r="AF314" i="6" s="1"/>
  <c r="AF208" i="6"/>
  <c r="AF305" i="6" s="1"/>
  <c r="AF352" i="6" s="1"/>
  <c r="AF209" i="6"/>
  <c r="AF306" i="6" s="1"/>
  <c r="AF205" i="6"/>
  <c r="AF302" i="6" s="1"/>
  <c r="AF211" i="6"/>
  <c r="AF308" i="6" s="1"/>
  <c r="AF204" i="6"/>
  <c r="AF301" i="6" s="1"/>
  <c r="AF219" i="6"/>
  <c r="AF316" i="6" s="1"/>
  <c r="AF212" i="6"/>
  <c r="AF309" i="6" s="1"/>
  <c r="AF206" i="6"/>
  <c r="AF303" i="6" s="1"/>
  <c r="AF214" i="6"/>
  <c r="AF311" i="6" s="1"/>
  <c r="AF210" i="6"/>
  <c r="AF307" i="6" s="1"/>
  <c r="AF213" i="6"/>
  <c r="AF310" i="6" s="1"/>
  <c r="AF218" i="6"/>
  <c r="AF315" i="6" s="1"/>
  <c r="AF220" i="6"/>
  <c r="AF317" i="6" s="1"/>
  <c r="AF216" i="6"/>
  <c r="AF313" i="6" s="1"/>
  <c r="AF221" i="6"/>
  <c r="AF318" i="6" s="1"/>
  <c r="AF215" i="6"/>
  <c r="AF312" i="6" s="1"/>
  <c r="AF207" i="6"/>
  <c r="AF304" i="6" s="1"/>
  <c r="AF224" i="6"/>
  <c r="AF321" i="6" s="1"/>
  <c r="AE29" i="6"/>
  <c r="AE136" i="6"/>
  <c r="AD169" i="6"/>
  <c r="AD268" i="6" s="1"/>
  <c r="AD109" i="6"/>
  <c r="AD283" i="6" s="1"/>
  <c r="Q190" i="6"/>
  <c r="AE135" i="6"/>
  <c r="AE24" i="6"/>
  <c r="AE277" i="6" s="1"/>
  <c r="AE22" i="6"/>
  <c r="AE147" i="6"/>
  <c r="AE107" i="6"/>
  <c r="AG233" i="6"/>
  <c r="AG336" i="6" s="1"/>
  <c r="AG246" i="6"/>
  <c r="AG348" i="6" s="1"/>
  <c r="AG245" i="6"/>
  <c r="AG347" i="6" s="1"/>
  <c r="AG230" i="6"/>
  <c r="AG333" i="6" s="1"/>
  <c r="AG51" i="6"/>
  <c r="AG44" i="6"/>
  <c r="F229" i="6"/>
  <c r="AG234" i="6"/>
  <c r="AG337" i="6" s="1"/>
  <c r="F231" i="6"/>
  <c r="AG126" i="6"/>
  <c r="AG75" i="6"/>
  <c r="AH4" i="6"/>
  <c r="AG37" i="6"/>
  <c r="AG58" i="6"/>
  <c r="AG232" i="6"/>
  <c r="AG335" i="6" s="1"/>
  <c r="AG2" i="6"/>
  <c r="AG9" i="6"/>
  <c r="AG235" i="6"/>
  <c r="AG338" i="6" s="1"/>
  <c r="AG237" i="6"/>
  <c r="AG340" i="6" s="1"/>
  <c r="AG236" i="6"/>
  <c r="AG339" i="6" s="1"/>
  <c r="AG244" i="6"/>
  <c r="AG346" i="6" s="1"/>
  <c r="AG228" i="6"/>
  <c r="AG238" i="6"/>
  <c r="AG341" i="6" s="1"/>
  <c r="AG242" i="6"/>
  <c r="AG344" i="6" s="1"/>
  <c r="AG243" i="6"/>
  <c r="AG345" i="6" s="1"/>
  <c r="AF40" i="6"/>
  <c r="AD159" i="6"/>
  <c r="AD258" i="6"/>
  <c r="S154" i="6"/>
  <c r="S184" i="6" s="1"/>
  <c r="S252" i="6"/>
  <c r="R185" i="6"/>
  <c r="R190" i="6" s="1"/>
  <c r="R187" i="6"/>
  <c r="R189" i="6"/>
  <c r="R186" i="6"/>
  <c r="R188" i="6"/>
  <c r="AD262" i="6"/>
  <c r="AD163" i="6"/>
  <c r="AE324" i="6"/>
  <c r="AE140" i="6"/>
  <c r="AE55" i="6"/>
  <c r="P293" i="6"/>
  <c r="P199" i="6"/>
  <c r="P198" i="6"/>
  <c r="P200" i="6"/>
  <c r="AD158" i="6"/>
  <c r="AD257" i="6"/>
  <c r="AD263" i="6"/>
  <c r="AD164" i="6"/>
  <c r="AE149" i="6"/>
  <c r="AE121" i="6"/>
  <c r="AE171" i="6" s="1"/>
  <c r="AE270" i="6" s="1"/>
  <c r="AE123" i="6"/>
  <c r="AE285" i="6" s="1"/>
  <c r="AE64" i="6"/>
  <c r="AE278" i="6" s="1"/>
  <c r="AE141" i="6"/>
  <c r="AE62" i="6"/>
  <c r="AF129" i="6"/>
  <c r="AF98" i="6"/>
  <c r="AF93" i="6"/>
  <c r="AF20" i="6"/>
  <c r="AF13" i="6"/>
  <c r="AF112" i="6"/>
  <c r="AF99" i="6"/>
  <c r="AF119" i="6"/>
  <c r="AF113" i="6"/>
  <c r="AF32" i="6"/>
  <c r="AF106" i="6"/>
  <c r="AF94" i="6"/>
  <c r="AF33" i="6"/>
  <c r="AF14" i="6"/>
  <c r="AF28" i="6"/>
  <c r="AF105" i="6"/>
  <c r="AF27" i="6"/>
  <c r="AF21" i="6"/>
  <c r="AF120" i="6"/>
  <c r="V160" i="6"/>
  <c r="V259" i="6"/>
  <c r="AF53" i="6"/>
  <c r="AF54" i="6"/>
  <c r="AD256" i="6"/>
  <c r="AD157" i="6"/>
  <c r="AD168" i="6"/>
  <c r="AD267" i="6"/>
  <c r="AD102" i="6"/>
  <c r="AD282" i="6" s="1"/>
  <c r="AD166" i="6"/>
  <c r="AD265" i="6"/>
  <c r="AE15" i="6"/>
  <c r="AE17" i="6"/>
  <c r="AE276" i="6" s="1"/>
  <c r="AE134" i="6"/>
  <c r="V150" i="6"/>
  <c r="V130" i="6"/>
  <c r="V172" i="6" s="1"/>
  <c r="V271" i="6" s="1"/>
  <c r="V132" i="6"/>
  <c r="V286" i="6" s="1"/>
  <c r="W128" i="6"/>
  <c r="AF331" i="6"/>
  <c r="AF47" i="6"/>
  <c r="T139" i="6"/>
  <c r="T151" i="6" s="1"/>
  <c r="T48" i="6"/>
  <c r="U46" i="6"/>
  <c r="AD156" i="6"/>
  <c r="AD255" i="6"/>
  <c r="X41" i="6" l="1"/>
  <c r="X138" i="6"/>
  <c r="Y39" i="6"/>
  <c r="AF55" i="6"/>
  <c r="AF140" i="6"/>
  <c r="S187" i="6"/>
  <c r="S186" i="6"/>
  <c r="S185" i="6"/>
  <c r="S188" i="6"/>
  <c r="S189" i="6"/>
  <c r="AE255" i="6"/>
  <c r="AE156" i="6"/>
  <c r="AD195" i="6"/>
  <c r="AD294" i="6" s="1"/>
  <c r="W130" i="6"/>
  <c r="W172" i="6" s="1"/>
  <c r="W271" i="6" s="1"/>
  <c r="W132" i="6"/>
  <c r="W286" i="6" s="1"/>
  <c r="W150" i="6"/>
  <c r="X128" i="6"/>
  <c r="AF146" i="6"/>
  <c r="AF100" i="6"/>
  <c r="AH234" i="6"/>
  <c r="AH337" i="6" s="1"/>
  <c r="AH233" i="6"/>
  <c r="AH336" i="6" s="1"/>
  <c r="AH230" i="6"/>
  <c r="AH333" i="6" s="1"/>
  <c r="AH246" i="6"/>
  <c r="AH348" i="6" s="1"/>
  <c r="AH37" i="6"/>
  <c r="AH9" i="6"/>
  <c r="AH44" i="6"/>
  <c r="AH245" i="6"/>
  <c r="AH347" i="6" s="1"/>
  <c r="AH75" i="6"/>
  <c r="AH58" i="6"/>
  <c r="AH51" i="6"/>
  <c r="AI4" i="6"/>
  <c r="AH235" i="6"/>
  <c r="AH338" i="6" s="1"/>
  <c r="AH2" i="6"/>
  <c r="AH126" i="6"/>
  <c r="AH232" i="6"/>
  <c r="AH335" i="6" s="1"/>
  <c r="AH237" i="6"/>
  <c r="AH340" i="6" s="1"/>
  <c r="AH236" i="6"/>
  <c r="AH339" i="6" s="1"/>
  <c r="AH244" i="6"/>
  <c r="AH346" i="6" s="1"/>
  <c r="AH228" i="6"/>
  <c r="AH238" i="6"/>
  <c r="AH341" i="6" s="1"/>
  <c r="AH242" i="6"/>
  <c r="AH344" i="6" s="1"/>
  <c r="AH243" i="6"/>
  <c r="AH345" i="6" s="1"/>
  <c r="AE169" i="6"/>
  <c r="AE268" i="6" s="1"/>
  <c r="AE109" i="6"/>
  <c r="AE283" i="6" s="1"/>
  <c r="AF144" i="6"/>
  <c r="AF90" i="6"/>
  <c r="AF281" i="6" s="1"/>
  <c r="AF88" i="6"/>
  <c r="AE266" i="6"/>
  <c r="AE167" i="6"/>
  <c r="AE194" i="6"/>
  <c r="AE193" i="6"/>
  <c r="AE195" i="6" s="1"/>
  <c r="AE294" i="6" s="1"/>
  <c r="AF142" i="6"/>
  <c r="AF72" i="6"/>
  <c r="AF279" i="6" s="1"/>
  <c r="AF70" i="6"/>
  <c r="T161" i="6"/>
  <c r="T174" i="6" s="1"/>
  <c r="T260" i="6"/>
  <c r="T273" i="6" s="1"/>
  <c r="T288" i="6" s="1"/>
  <c r="AG47" i="6"/>
  <c r="W259" i="6"/>
  <c r="W160" i="6"/>
  <c r="T252" i="6"/>
  <c r="T154" i="6"/>
  <c r="T184" i="6" s="1"/>
  <c r="AG54" i="6"/>
  <c r="AG53" i="6"/>
  <c r="AF148" i="6"/>
  <c r="AF116" i="6"/>
  <c r="AF284" i="6" s="1"/>
  <c r="AF114" i="6"/>
  <c r="AF170" i="6" s="1"/>
  <c r="AF269" i="6" s="1"/>
  <c r="AE264" i="6"/>
  <c r="AE165" i="6"/>
  <c r="AF15" i="6"/>
  <c r="AF17" i="6"/>
  <c r="AF276" i="6" s="1"/>
  <c r="AF134" i="6"/>
  <c r="AF22" i="6"/>
  <c r="AF24" i="6"/>
  <c r="AF277" i="6" s="1"/>
  <c r="AF135" i="6"/>
  <c r="AF81" i="6"/>
  <c r="AF280" i="6" s="1"/>
  <c r="AF79" i="6"/>
  <c r="AF143" i="6"/>
  <c r="AF145" i="6"/>
  <c r="AF153" i="6" s="1"/>
  <c r="AF192" i="6" s="1"/>
  <c r="AF95" i="6"/>
  <c r="AF290" i="6"/>
  <c r="AE263" i="6"/>
  <c r="AE164" i="6"/>
  <c r="P201" i="6"/>
  <c r="P295" i="6" s="1"/>
  <c r="P298" i="6" s="1"/>
  <c r="AG77" i="6"/>
  <c r="AG86" i="6"/>
  <c r="AG87" i="6"/>
  <c r="AG78" i="6"/>
  <c r="AF324" i="6"/>
  <c r="AE265" i="6"/>
  <c r="AE166" i="6"/>
  <c r="AE267" i="6"/>
  <c r="AE168" i="6"/>
  <c r="AE102" i="6"/>
  <c r="AE282" i="6" s="1"/>
  <c r="R293" i="6"/>
  <c r="R199" i="6"/>
  <c r="R198" i="6"/>
  <c r="R200" i="6"/>
  <c r="AE231" i="6"/>
  <c r="AE334" i="6" s="1"/>
  <c r="S231" i="6"/>
  <c r="S334" i="6" s="1"/>
  <c r="AC231" i="6"/>
  <c r="AC334" i="6" s="1"/>
  <c r="P231" i="6"/>
  <c r="P334" i="6" s="1"/>
  <c r="Z231" i="6"/>
  <c r="Z334" i="6" s="1"/>
  <c r="M231" i="6"/>
  <c r="M334" i="6" s="1"/>
  <c r="U231" i="6"/>
  <c r="U334" i="6" s="1"/>
  <c r="AH231" i="6"/>
  <c r="AH334" i="6" s="1"/>
  <c r="R231" i="6"/>
  <c r="R334" i="6" s="1"/>
  <c r="AG231" i="6"/>
  <c r="AG334" i="6" s="1"/>
  <c r="Q231" i="6"/>
  <c r="Q334" i="6" s="1"/>
  <c r="AD231" i="6"/>
  <c r="AD334" i="6" s="1"/>
  <c r="J231" i="6"/>
  <c r="J334" i="6" s="1"/>
  <c r="Y231" i="6"/>
  <c r="Y334" i="6" s="1"/>
  <c r="W231" i="6"/>
  <c r="W334" i="6" s="1"/>
  <c r="X231" i="6"/>
  <c r="X334" i="6" s="1"/>
  <c r="V231" i="6"/>
  <c r="V334" i="6" s="1"/>
  <c r="L231" i="6"/>
  <c r="L334" i="6" s="1"/>
  <c r="N231" i="6"/>
  <c r="N334" i="6" s="1"/>
  <c r="K231" i="6"/>
  <c r="K334" i="6" s="1"/>
  <c r="I231" i="6"/>
  <c r="I334" i="6" s="1"/>
  <c r="T231" i="6"/>
  <c r="T334" i="6" s="1"/>
  <c r="O231" i="6"/>
  <c r="O334" i="6" s="1"/>
  <c r="AA231" i="6"/>
  <c r="AA334" i="6" s="1"/>
  <c r="AF231" i="6"/>
  <c r="AF334" i="6" s="1"/>
  <c r="AB231" i="6"/>
  <c r="AB334" i="6" s="1"/>
  <c r="AF34" i="6"/>
  <c r="AF137" i="6"/>
  <c r="AE261" i="6"/>
  <c r="AE162" i="6"/>
  <c r="AF64" i="6"/>
  <c r="AF278" i="6" s="1"/>
  <c r="AF62" i="6"/>
  <c r="AF141" i="6"/>
  <c r="U48" i="6"/>
  <c r="U139" i="6"/>
  <c r="U151" i="6" s="1"/>
  <c r="V46" i="6"/>
  <c r="AG229" i="6"/>
  <c r="AG332" i="6" s="1"/>
  <c r="U229" i="6"/>
  <c r="I229" i="6"/>
  <c r="X229" i="6"/>
  <c r="K229" i="6"/>
  <c r="AH229" i="6"/>
  <c r="AH332" i="6" s="1"/>
  <c r="T229" i="6"/>
  <c r="Z229" i="6"/>
  <c r="J229" i="6"/>
  <c r="W229" i="6"/>
  <c r="V229" i="6"/>
  <c r="AA229" i="6"/>
  <c r="R229" i="6"/>
  <c r="P229" i="6"/>
  <c r="N229" i="6"/>
  <c r="M229" i="6"/>
  <c r="AD229" i="6"/>
  <c r="AI229" i="6"/>
  <c r="AI332" i="6" s="1"/>
  <c r="AB229" i="6"/>
  <c r="L229" i="6"/>
  <c r="AE229" i="6"/>
  <c r="AF229" i="6"/>
  <c r="AC229" i="6"/>
  <c r="O229" i="6"/>
  <c r="Y229" i="6"/>
  <c r="S229" i="6"/>
  <c r="Q229" i="6"/>
  <c r="Q293" i="6"/>
  <c r="Q199" i="6"/>
  <c r="Q200" i="6"/>
  <c r="Q198" i="6"/>
  <c r="AE159" i="6"/>
  <c r="AE258" i="6"/>
  <c r="AF123" i="6"/>
  <c r="AF285" i="6" s="1"/>
  <c r="AF121" i="6"/>
  <c r="AF171" i="6" s="1"/>
  <c r="AF270" i="6" s="1"/>
  <c r="AF149" i="6"/>
  <c r="AG120" i="6"/>
  <c r="AG119" i="6"/>
  <c r="AG106" i="6"/>
  <c r="AG27" i="6"/>
  <c r="AG105" i="6"/>
  <c r="AG21" i="6"/>
  <c r="AG13" i="6"/>
  <c r="AG129" i="6"/>
  <c r="AG94" i="6"/>
  <c r="AG14" i="6"/>
  <c r="AG99" i="6"/>
  <c r="AG20" i="6"/>
  <c r="AG112" i="6"/>
  <c r="AG28" i="6"/>
  <c r="AG98" i="6"/>
  <c r="AG32" i="6"/>
  <c r="AG33" i="6"/>
  <c r="AG113" i="6"/>
  <c r="AG93" i="6"/>
  <c r="AG226" i="6"/>
  <c r="AG323" i="6" s="1"/>
  <c r="AG225" i="6"/>
  <c r="AG322" i="6" s="1"/>
  <c r="AG223" i="6"/>
  <c r="AG320" i="6" s="1"/>
  <c r="AG182" i="6"/>
  <c r="AG297" i="6" s="1"/>
  <c r="AG181" i="6"/>
  <c r="AG296" i="6" s="1"/>
  <c r="AG209" i="6"/>
  <c r="AG306" i="6" s="1"/>
  <c r="AG178" i="6"/>
  <c r="AG179" i="6"/>
  <c r="AG291" i="6" s="1"/>
  <c r="AG217" i="6"/>
  <c r="AG314" i="6" s="1"/>
  <c r="AG205" i="6"/>
  <c r="AG302" i="6" s="1"/>
  <c r="AG211" i="6"/>
  <c r="AG308" i="6" s="1"/>
  <c r="AG180" i="6"/>
  <c r="AG292" i="6" s="1"/>
  <c r="AG204" i="6"/>
  <c r="AG301" i="6" s="1"/>
  <c r="AG219" i="6"/>
  <c r="AG316" i="6" s="1"/>
  <c r="AG212" i="6"/>
  <c r="AG309" i="6" s="1"/>
  <c r="AG208" i="6"/>
  <c r="AG305" i="6" s="1"/>
  <c r="AG352" i="6" s="1"/>
  <c r="AG206" i="6"/>
  <c r="AG303" i="6" s="1"/>
  <c r="AG222" i="6"/>
  <c r="AG319" i="6" s="1"/>
  <c r="AG224" i="6"/>
  <c r="AG321" i="6" s="1"/>
  <c r="AG220" i="6"/>
  <c r="AG317" i="6" s="1"/>
  <c r="AG218" i="6"/>
  <c r="AG315" i="6" s="1"/>
  <c r="AG216" i="6"/>
  <c r="AG313" i="6" s="1"/>
  <c r="AG210" i="6"/>
  <c r="AG307" i="6" s="1"/>
  <c r="AG221" i="6"/>
  <c r="AG318" i="6" s="1"/>
  <c r="AG207" i="6"/>
  <c r="AG304" i="6" s="1"/>
  <c r="AG213" i="6"/>
  <c r="AG310" i="6" s="1"/>
  <c r="AG214" i="6"/>
  <c r="AG311" i="6" s="1"/>
  <c r="AG215" i="6"/>
  <c r="AG312" i="6" s="1"/>
  <c r="AF136" i="6"/>
  <c r="AF29" i="6"/>
  <c r="AF147" i="6"/>
  <c r="AF107" i="6"/>
  <c r="AG69" i="6"/>
  <c r="AG68" i="6"/>
  <c r="AG60" i="6"/>
  <c r="AG61" i="6"/>
  <c r="AG40" i="6"/>
  <c r="AE158" i="6"/>
  <c r="AE257" i="6"/>
  <c r="AE262" i="6"/>
  <c r="AE163" i="6"/>
  <c r="AG331" i="6"/>
  <c r="AG349" i="6" s="1"/>
  <c r="AG247" i="6"/>
  <c r="AE256" i="6"/>
  <c r="AE157" i="6"/>
  <c r="P326" i="6" l="1"/>
  <c r="P328" i="6" s="1"/>
  <c r="R332" i="6"/>
  <c r="R349" i="6" s="1"/>
  <c r="R247" i="6"/>
  <c r="R201" i="6"/>
  <c r="R295" i="6" s="1"/>
  <c r="AH179" i="6"/>
  <c r="AH291" i="6" s="1"/>
  <c r="AH225" i="6"/>
  <c r="AH322" i="6" s="1"/>
  <c r="AH226" i="6"/>
  <c r="AH323" i="6" s="1"/>
  <c r="AH181" i="6"/>
  <c r="AH296" i="6" s="1"/>
  <c r="AH223" i="6"/>
  <c r="AH320" i="6" s="1"/>
  <c r="AH204" i="6"/>
  <c r="AH301" i="6" s="1"/>
  <c r="AH324" i="6" s="1"/>
  <c r="AH182" i="6"/>
  <c r="AH297" i="6" s="1"/>
  <c r="AH178" i="6"/>
  <c r="AH219" i="6"/>
  <c r="AH316" i="6" s="1"/>
  <c r="AH222" i="6"/>
  <c r="AH319" i="6" s="1"/>
  <c r="AH211" i="6"/>
  <c r="AH308" i="6" s="1"/>
  <c r="AH217" i="6"/>
  <c r="AH314" i="6" s="1"/>
  <c r="AH206" i="6"/>
  <c r="AH303" i="6" s="1"/>
  <c r="AH212" i="6"/>
  <c r="AH309" i="6" s="1"/>
  <c r="AH209" i="6"/>
  <c r="AH306" i="6" s="1"/>
  <c r="AH180" i="6"/>
  <c r="AH292" i="6" s="1"/>
  <c r="AH208" i="6"/>
  <c r="AH305" i="6" s="1"/>
  <c r="AH352" i="6" s="1"/>
  <c r="AH205" i="6"/>
  <c r="AH302" i="6" s="1"/>
  <c r="AH213" i="6"/>
  <c r="AH310" i="6" s="1"/>
  <c r="AH214" i="6"/>
  <c r="AH311" i="6" s="1"/>
  <c r="AH207" i="6"/>
  <c r="AH304" i="6" s="1"/>
  <c r="AH216" i="6"/>
  <c r="AH313" i="6" s="1"/>
  <c r="AH215" i="6"/>
  <c r="AH312" i="6" s="1"/>
  <c r="AH210" i="6"/>
  <c r="AH307" i="6" s="1"/>
  <c r="AH221" i="6"/>
  <c r="AH318" i="6" s="1"/>
  <c r="AH220" i="6"/>
  <c r="AH317" i="6" s="1"/>
  <c r="AH218" i="6"/>
  <c r="AH315" i="6" s="1"/>
  <c r="AH224" i="6"/>
  <c r="AH321" i="6" s="1"/>
  <c r="S332" i="6"/>
  <c r="S349" i="6" s="1"/>
  <c r="S247" i="6"/>
  <c r="T332" i="6"/>
  <c r="T349" i="6" s="1"/>
  <c r="T247" i="6"/>
  <c r="AI246" i="6"/>
  <c r="AI348" i="6" s="1"/>
  <c r="AI245" i="6"/>
  <c r="AI347" i="6" s="1"/>
  <c r="AI230" i="6"/>
  <c r="AI333" i="6" s="1"/>
  <c r="AI234" i="6"/>
  <c r="AI337" i="6" s="1"/>
  <c r="AI9" i="6"/>
  <c r="AJ4" i="6"/>
  <c r="AI126" i="6"/>
  <c r="AI75" i="6"/>
  <c r="AI58" i="6"/>
  <c r="AI51" i="6"/>
  <c r="AI233" i="6"/>
  <c r="AI336" i="6" s="1"/>
  <c r="AI44" i="6"/>
  <c r="AI2" i="6"/>
  <c r="AI37" i="6"/>
  <c r="AI232" i="6"/>
  <c r="AI335" i="6" s="1"/>
  <c r="AI235" i="6"/>
  <c r="AI338" i="6" s="1"/>
  <c r="AI236" i="6"/>
  <c r="AI339" i="6" s="1"/>
  <c r="AI237" i="6"/>
  <c r="AI340" i="6" s="1"/>
  <c r="AI244" i="6"/>
  <c r="AI346" i="6" s="1"/>
  <c r="AI228" i="6"/>
  <c r="AI238" i="6"/>
  <c r="AI341" i="6" s="1"/>
  <c r="AI242" i="6"/>
  <c r="AI344" i="6" s="1"/>
  <c r="AI243" i="6"/>
  <c r="AI345" i="6" s="1"/>
  <c r="AD332" i="6"/>
  <c r="AD349" i="6" s="1"/>
  <c r="AD247" i="6"/>
  <c r="M332" i="6"/>
  <c r="M349" i="6" s="1"/>
  <c r="M354" i="6" s="1"/>
  <c r="M360" i="6" s="1"/>
  <c r="M247" i="6"/>
  <c r="AF256" i="6"/>
  <c r="AF157" i="6"/>
  <c r="W332" i="6"/>
  <c r="W349" i="6" s="1"/>
  <c r="W247" i="6"/>
  <c r="AG95" i="6"/>
  <c r="AG145" i="6"/>
  <c r="AG153" i="6" s="1"/>
  <c r="AG192" i="6" s="1"/>
  <c r="AG134" i="6"/>
  <c r="AG17" i="6"/>
  <c r="AG276" i="6" s="1"/>
  <c r="AG15" i="6"/>
  <c r="N332" i="6"/>
  <c r="N349" i="6" s="1"/>
  <c r="N354" i="6" s="1"/>
  <c r="N360" i="6" s="1"/>
  <c r="N247" i="6"/>
  <c r="AI231" i="6"/>
  <c r="AI334" i="6" s="1"/>
  <c r="AH47" i="6"/>
  <c r="AF261" i="6"/>
  <c r="AF162" i="6"/>
  <c r="Q298" i="6"/>
  <c r="Q326" i="6" s="1"/>
  <c r="Q328" i="6" s="1"/>
  <c r="Q354" i="6" s="1"/>
  <c r="Q360" i="6" s="1"/>
  <c r="AB332" i="6"/>
  <c r="AB349" i="6" s="1"/>
  <c r="AB247" i="6"/>
  <c r="AG88" i="6"/>
  <c r="AG90" i="6"/>
  <c r="AG281" i="6" s="1"/>
  <c r="AG144" i="6"/>
  <c r="AF264" i="6"/>
  <c r="AF165" i="6"/>
  <c r="R298" i="6"/>
  <c r="R326" i="6" s="1"/>
  <c r="R328" i="6" s="1"/>
  <c r="R354" i="6" s="1"/>
  <c r="R360" i="6" s="1"/>
  <c r="S190" i="6"/>
  <c r="V332" i="6"/>
  <c r="V349" i="6" s="1"/>
  <c r="V247" i="6"/>
  <c r="T186" i="6"/>
  <c r="T189" i="6"/>
  <c r="T188" i="6"/>
  <c r="T185" i="6"/>
  <c r="T187" i="6"/>
  <c r="AH68" i="6"/>
  <c r="AH69" i="6"/>
  <c r="AH60" i="6"/>
  <c r="AH61" i="6"/>
  <c r="AC332" i="6"/>
  <c r="AC349" i="6" s="1"/>
  <c r="AC247" i="6"/>
  <c r="AF163" i="6"/>
  <c r="AF262" i="6"/>
  <c r="AG324" i="6"/>
  <c r="AF332" i="6"/>
  <c r="AF349" i="6" s="1"/>
  <c r="AF247" i="6"/>
  <c r="AH331" i="6"/>
  <c r="AH349" i="6" s="1"/>
  <c r="AH247" i="6"/>
  <c r="AG64" i="6"/>
  <c r="AG278" i="6" s="1"/>
  <c r="AG141" i="6"/>
  <c r="AG62" i="6"/>
  <c r="Q201" i="6"/>
  <c r="Q295" i="6" s="1"/>
  <c r="AE332" i="6"/>
  <c r="AE349" i="6" s="1"/>
  <c r="AE247" i="6"/>
  <c r="I332" i="6"/>
  <c r="I247" i="6"/>
  <c r="AF255" i="6"/>
  <c r="AF156" i="6"/>
  <c r="AH120" i="6"/>
  <c r="AH119" i="6"/>
  <c r="AH32" i="6"/>
  <c r="AH28" i="6"/>
  <c r="AH98" i="6"/>
  <c r="AH94" i="6"/>
  <c r="AH33" i="6"/>
  <c r="AH20" i="6"/>
  <c r="AH99" i="6"/>
  <c r="AH14" i="6"/>
  <c r="AH129" i="6"/>
  <c r="AH105" i="6"/>
  <c r="AH113" i="6"/>
  <c r="AH21" i="6"/>
  <c r="AH13" i="6"/>
  <c r="AH106" i="6"/>
  <c r="AH93" i="6"/>
  <c r="AH112" i="6"/>
  <c r="AH27" i="6"/>
  <c r="Y138" i="6"/>
  <c r="Y41" i="6"/>
  <c r="Z39" i="6"/>
  <c r="AG146" i="6"/>
  <c r="AG100" i="6"/>
  <c r="L332" i="6"/>
  <c r="L349" i="6" s="1"/>
  <c r="L354" i="6" s="1"/>
  <c r="L360" i="6" s="1"/>
  <c r="L247" i="6"/>
  <c r="AG123" i="6"/>
  <c r="AG285" i="6" s="1"/>
  <c r="AG121" i="6"/>
  <c r="AG171" i="6" s="1"/>
  <c r="AG270" i="6" s="1"/>
  <c r="AG149" i="6"/>
  <c r="AF263" i="6"/>
  <c r="AF164" i="6"/>
  <c r="AG116" i="6"/>
  <c r="AG284" i="6" s="1"/>
  <c r="AG148" i="6"/>
  <c r="AG114" i="6"/>
  <c r="AG170" i="6" s="1"/>
  <c r="AG269" i="6" s="1"/>
  <c r="AA332" i="6"/>
  <c r="AA349" i="6" s="1"/>
  <c r="AA247" i="6"/>
  <c r="U154" i="6"/>
  <c r="U184" i="6" s="1"/>
  <c r="U252" i="6"/>
  <c r="AF267" i="6"/>
  <c r="AF168" i="6"/>
  <c r="AF102" i="6"/>
  <c r="AF282" i="6" s="1"/>
  <c r="AH53" i="6"/>
  <c r="AH54" i="6"/>
  <c r="K332" i="6"/>
  <c r="K349" i="6" s="1"/>
  <c r="K354" i="6" s="1"/>
  <c r="K360" i="6" s="1"/>
  <c r="K247" i="6"/>
  <c r="X132" i="6"/>
  <c r="X286" i="6" s="1"/>
  <c r="X150" i="6"/>
  <c r="X130" i="6"/>
  <c r="X172" i="6" s="1"/>
  <c r="X271" i="6" s="1"/>
  <c r="Y128" i="6"/>
  <c r="AG142" i="6"/>
  <c r="AG72" i="6"/>
  <c r="AG279" i="6" s="1"/>
  <c r="AG70" i="6"/>
  <c r="AG147" i="6"/>
  <c r="AG107" i="6"/>
  <c r="P332" i="6"/>
  <c r="P349" i="6" s="1"/>
  <c r="P247" i="6"/>
  <c r="J332" i="6"/>
  <c r="J349" i="6" s="1"/>
  <c r="J354" i="6" s="1"/>
  <c r="J360" i="6" s="1"/>
  <c r="J247" i="6"/>
  <c r="U332" i="6"/>
  <c r="U349" i="6" s="1"/>
  <c r="U247" i="6"/>
  <c r="AF266" i="6"/>
  <c r="AF167" i="6"/>
  <c r="AH40" i="6"/>
  <c r="AF169" i="6"/>
  <c r="AF268" i="6" s="1"/>
  <c r="AF109" i="6"/>
  <c r="AF283" i="6" s="1"/>
  <c r="AG290" i="6"/>
  <c r="Q332" i="6"/>
  <c r="Q349" i="6" s="1"/>
  <c r="Q247" i="6"/>
  <c r="AF257" i="6"/>
  <c r="AF158" i="6"/>
  <c r="V48" i="6"/>
  <c r="V139" i="6"/>
  <c r="V151" i="6" s="1"/>
  <c r="W46" i="6"/>
  <c r="AG79" i="6"/>
  <c r="AG143" i="6"/>
  <c r="AG81" i="6"/>
  <c r="AG280" i="6" s="1"/>
  <c r="AG135" i="6"/>
  <c r="AG22" i="6"/>
  <c r="AG24" i="6"/>
  <c r="AG277" i="6" s="1"/>
  <c r="Y332" i="6"/>
  <c r="Y349" i="6" s="1"/>
  <c r="Y247" i="6"/>
  <c r="AG55" i="6"/>
  <c r="AG140" i="6"/>
  <c r="U161" i="6"/>
  <c r="U174" i="6" s="1"/>
  <c r="U260" i="6"/>
  <c r="U273" i="6" s="1"/>
  <c r="U288" i="6" s="1"/>
  <c r="O332" i="6"/>
  <c r="O349" i="6" s="1"/>
  <c r="O354" i="6" s="1"/>
  <c r="O360" i="6" s="1"/>
  <c r="O247" i="6"/>
  <c r="X332" i="6"/>
  <c r="X349" i="6" s="1"/>
  <c r="X247" i="6"/>
  <c r="AH86" i="6"/>
  <c r="AH78" i="6"/>
  <c r="AH87" i="6"/>
  <c r="AH77" i="6"/>
  <c r="AG137" i="6"/>
  <c r="AG34" i="6"/>
  <c r="AG136" i="6"/>
  <c r="AG29" i="6"/>
  <c r="Z332" i="6"/>
  <c r="Z349" i="6" s="1"/>
  <c r="Z247" i="6"/>
  <c r="AF258" i="6"/>
  <c r="AF159" i="6"/>
  <c r="AF193" i="6"/>
  <c r="AF194" i="6"/>
  <c r="AF265" i="6"/>
  <c r="AF166" i="6"/>
  <c r="X160" i="6"/>
  <c r="X259" i="6"/>
  <c r="AG169" i="6" l="1"/>
  <c r="AG268" i="6" s="1"/>
  <c r="AG109" i="6"/>
  <c r="AG283" i="6" s="1"/>
  <c r="AH55" i="6"/>
  <c r="AH140" i="6"/>
  <c r="AG167" i="6"/>
  <c r="AG266" i="6"/>
  <c r="AH100" i="6"/>
  <c r="AH146" i="6"/>
  <c r="AH121" i="6"/>
  <c r="AH171" i="6" s="1"/>
  <c r="AH270" i="6" s="1"/>
  <c r="AH149" i="6"/>
  <c r="AH123" i="6"/>
  <c r="AH285" i="6" s="1"/>
  <c r="AI33" i="6"/>
  <c r="AI20" i="6"/>
  <c r="AI119" i="6"/>
  <c r="AI94" i="6"/>
  <c r="AI106" i="6"/>
  <c r="AI98" i="6"/>
  <c r="AI99" i="6"/>
  <c r="AI13" i="6"/>
  <c r="AI129" i="6"/>
  <c r="AI32" i="6"/>
  <c r="AI14" i="6"/>
  <c r="AI93" i="6"/>
  <c r="AI113" i="6"/>
  <c r="AI21" i="6"/>
  <c r="AI27" i="6"/>
  <c r="AI120" i="6"/>
  <c r="AI105" i="6"/>
  <c r="AI112" i="6"/>
  <c r="AI28" i="6"/>
  <c r="U189" i="6"/>
  <c r="U187" i="6"/>
  <c r="U188" i="6"/>
  <c r="U185" i="6"/>
  <c r="U186" i="6"/>
  <c r="AG267" i="6"/>
  <c r="AG168" i="6"/>
  <c r="AG102" i="6"/>
  <c r="AG282" i="6" s="1"/>
  <c r="AI40" i="6"/>
  <c r="AH29" i="6"/>
  <c r="AH136" i="6"/>
  <c r="AG258" i="6"/>
  <c r="AG159" i="6"/>
  <c r="V260" i="6"/>
  <c r="V273" i="6" s="1"/>
  <c r="V288" i="6" s="1"/>
  <c r="V161" i="6"/>
  <c r="V174" i="6" s="1"/>
  <c r="AI68" i="6"/>
  <c r="AI69" i="6"/>
  <c r="AI61" i="6"/>
  <c r="AI60" i="6"/>
  <c r="AG261" i="6"/>
  <c r="AG162" i="6"/>
  <c r="AH143" i="6"/>
  <c r="AH79" i="6"/>
  <c r="AH81" i="6"/>
  <c r="AH280" i="6" s="1"/>
  <c r="AG262" i="6"/>
  <c r="AG163" i="6"/>
  <c r="AH137" i="6"/>
  <c r="AH34" i="6"/>
  <c r="AF195" i="6"/>
  <c r="AF294" i="6" s="1"/>
  <c r="Y150" i="6"/>
  <c r="Y132" i="6"/>
  <c r="Y286" i="6" s="1"/>
  <c r="Y130" i="6"/>
  <c r="Y172" i="6" s="1"/>
  <c r="Y271" i="6" s="1"/>
  <c r="Z128" i="6"/>
  <c r="AH107" i="6"/>
  <c r="AH147" i="6"/>
  <c r="Z138" i="6"/>
  <c r="Z41" i="6"/>
  <c r="AA39" i="6"/>
  <c r="T190" i="6"/>
  <c r="AG166" i="6"/>
  <c r="AG265" i="6"/>
  <c r="AG255" i="6"/>
  <c r="AG156" i="6"/>
  <c r="AI226" i="6"/>
  <c r="AI323" i="6" s="1"/>
  <c r="AI182" i="6"/>
  <c r="AI297" i="6" s="1"/>
  <c r="AI181" i="6"/>
  <c r="AI296" i="6" s="1"/>
  <c r="AI223" i="6"/>
  <c r="AI320" i="6" s="1"/>
  <c r="AI225" i="6"/>
  <c r="AI322" i="6" s="1"/>
  <c r="AI179" i="6"/>
  <c r="AI291" i="6" s="1"/>
  <c r="AI219" i="6"/>
  <c r="AI316" i="6" s="1"/>
  <c r="AI211" i="6"/>
  <c r="AI308" i="6" s="1"/>
  <c r="AI180" i="6"/>
  <c r="AI292" i="6" s="1"/>
  <c r="AI178" i="6"/>
  <c r="AI212" i="6"/>
  <c r="AI309" i="6" s="1"/>
  <c r="AI222" i="6"/>
  <c r="AI319" i="6" s="1"/>
  <c r="AI208" i="6"/>
  <c r="AI305" i="6" s="1"/>
  <c r="AI352" i="6" s="1"/>
  <c r="AI205" i="6"/>
  <c r="AI302" i="6" s="1"/>
  <c r="AI209" i="6"/>
  <c r="AI306" i="6" s="1"/>
  <c r="AI204" i="6"/>
  <c r="AI301" i="6" s="1"/>
  <c r="AI206" i="6"/>
  <c r="AI303" i="6" s="1"/>
  <c r="AI217" i="6"/>
  <c r="AI314" i="6" s="1"/>
  <c r="AI218" i="6"/>
  <c r="AI315" i="6" s="1"/>
  <c r="AI215" i="6"/>
  <c r="AI312" i="6" s="1"/>
  <c r="AI220" i="6"/>
  <c r="AI317" i="6" s="1"/>
  <c r="AI214" i="6"/>
  <c r="AI311" i="6" s="1"/>
  <c r="AI216" i="6"/>
  <c r="AI313" i="6" s="1"/>
  <c r="AI221" i="6"/>
  <c r="AI318" i="6" s="1"/>
  <c r="AI207" i="6"/>
  <c r="AI304" i="6" s="1"/>
  <c r="AI213" i="6"/>
  <c r="AI310" i="6" s="1"/>
  <c r="AI224" i="6"/>
  <c r="AI321" i="6" s="1"/>
  <c r="AI210" i="6"/>
  <c r="AI307" i="6" s="1"/>
  <c r="AI54" i="6"/>
  <c r="AI53" i="6"/>
  <c r="AH116" i="6"/>
  <c r="AH284" i="6" s="1"/>
  <c r="AH114" i="6"/>
  <c r="AH170" i="6" s="1"/>
  <c r="AH269" i="6" s="1"/>
  <c r="AH148" i="6"/>
  <c r="AG263" i="6"/>
  <c r="AG164" i="6"/>
  <c r="AI331" i="6"/>
  <c r="AI349" i="6" s="1"/>
  <c r="AI247" i="6"/>
  <c r="AI77" i="6"/>
  <c r="AI87" i="6"/>
  <c r="AI78" i="6"/>
  <c r="AI86" i="6"/>
  <c r="S293" i="6"/>
  <c r="S199" i="6"/>
  <c r="S198" i="6"/>
  <c r="S200" i="6"/>
  <c r="AH15" i="6"/>
  <c r="AH134" i="6"/>
  <c r="AH17" i="6"/>
  <c r="AH276" i="6" s="1"/>
  <c r="AH144" i="6"/>
  <c r="AH88" i="6"/>
  <c r="AH90" i="6"/>
  <c r="AH281" i="6" s="1"/>
  <c r="AG264" i="6"/>
  <c r="AG165" i="6"/>
  <c r="Y160" i="6"/>
  <c r="Y259" i="6"/>
  <c r="AI47" i="6"/>
  <c r="AH290" i="6"/>
  <c r="V252" i="6"/>
  <c r="V154" i="6"/>
  <c r="V184" i="6" s="1"/>
  <c r="AG193" i="6"/>
  <c r="AG194" i="6"/>
  <c r="AH145" i="6"/>
  <c r="AH153" i="6" s="1"/>
  <c r="AH192" i="6" s="1"/>
  <c r="AH95" i="6"/>
  <c r="AJ230" i="6"/>
  <c r="AJ333" i="6" s="1"/>
  <c r="AJ233" i="6"/>
  <c r="AJ336" i="6" s="1"/>
  <c r="AJ234" i="6"/>
  <c r="AJ337" i="6" s="1"/>
  <c r="AJ75" i="6"/>
  <c r="AJ37" i="6"/>
  <c r="AJ126" i="6"/>
  <c r="AJ9" i="6"/>
  <c r="AJ2" i="6"/>
  <c r="AJ51" i="6"/>
  <c r="AJ245" i="6"/>
  <c r="AJ347" i="6" s="1"/>
  <c r="AJ58" i="6"/>
  <c r="AJ246" i="6"/>
  <c r="AJ348" i="6" s="1"/>
  <c r="AJ44" i="6"/>
  <c r="AK4" i="6"/>
  <c r="AJ235" i="6"/>
  <c r="AJ338" i="6" s="1"/>
  <c r="AJ232" i="6"/>
  <c r="AJ335" i="6" s="1"/>
  <c r="AJ236" i="6"/>
  <c r="AJ339" i="6" s="1"/>
  <c r="AJ237" i="6"/>
  <c r="AJ340" i="6" s="1"/>
  <c r="AJ244" i="6"/>
  <c r="AJ346" i="6" s="1"/>
  <c r="AJ228" i="6"/>
  <c r="AJ238" i="6"/>
  <c r="AJ341" i="6" s="1"/>
  <c r="AJ242" i="6"/>
  <c r="AJ344" i="6" s="1"/>
  <c r="AJ243" i="6"/>
  <c r="AJ345" i="6" s="1"/>
  <c r="AJ229" i="6"/>
  <c r="AJ332" i="6" s="1"/>
  <c r="AJ231" i="6"/>
  <c r="AJ334" i="6" s="1"/>
  <c r="AH141" i="6"/>
  <c r="AH64" i="6"/>
  <c r="AH278" i="6" s="1"/>
  <c r="AH62" i="6"/>
  <c r="AG256" i="6"/>
  <c r="AG157" i="6"/>
  <c r="AH142" i="6"/>
  <c r="AH72" i="6"/>
  <c r="AH279" i="6" s="1"/>
  <c r="AH70" i="6"/>
  <c r="AG257" i="6"/>
  <c r="AG158" i="6"/>
  <c r="W139" i="6"/>
  <c r="W151" i="6" s="1"/>
  <c r="W48" i="6"/>
  <c r="X46" i="6"/>
  <c r="AH22" i="6"/>
  <c r="AH24" i="6"/>
  <c r="AH277" i="6" s="1"/>
  <c r="AH135" i="6"/>
  <c r="I349" i="6"/>
  <c r="I354" i="6" s="1"/>
  <c r="P354" i="6"/>
  <c r="P360" i="6" s="1"/>
  <c r="AJ53" i="6" l="1"/>
  <c r="AJ54" i="6"/>
  <c r="V188" i="6"/>
  <c r="V185" i="6"/>
  <c r="V187" i="6"/>
  <c r="V189" i="6"/>
  <c r="V186" i="6"/>
  <c r="AI34" i="6"/>
  <c r="AI137" i="6"/>
  <c r="AH168" i="6"/>
  <c r="AH267" i="6"/>
  <c r="AH102" i="6"/>
  <c r="AH282" i="6" s="1"/>
  <c r="I360" i="6"/>
  <c r="AI142" i="6"/>
  <c r="AI70" i="6"/>
  <c r="AI72" i="6"/>
  <c r="AI279" i="6" s="1"/>
  <c r="AG195" i="6"/>
  <c r="AG294" i="6" s="1"/>
  <c r="Z259" i="6"/>
  <c r="Z160" i="6"/>
  <c r="AJ331" i="6"/>
  <c r="AJ349" i="6" s="1"/>
  <c r="AJ247" i="6"/>
  <c r="U190" i="6"/>
  <c r="AH265" i="6"/>
  <c r="AH166" i="6"/>
  <c r="AJ40" i="6"/>
  <c r="AH165" i="6"/>
  <c r="AH264" i="6"/>
  <c r="X139" i="6"/>
  <c r="X151" i="6" s="1"/>
  <c r="X48" i="6"/>
  <c r="Y46" i="6"/>
  <c r="AI148" i="6"/>
  <c r="AI116" i="6"/>
  <c r="AI284" i="6" s="1"/>
  <c r="AI114" i="6"/>
  <c r="AI170" i="6" s="1"/>
  <c r="AI269" i="6" s="1"/>
  <c r="AK246" i="6"/>
  <c r="AK348" i="6" s="1"/>
  <c r="AK245" i="6"/>
  <c r="AK347" i="6" s="1"/>
  <c r="AK233" i="6"/>
  <c r="AK336" i="6" s="1"/>
  <c r="AK9" i="6"/>
  <c r="AL4" i="6"/>
  <c r="AK2" i="6"/>
  <c r="AK51" i="6"/>
  <c r="AK37" i="6"/>
  <c r="AK58" i="6"/>
  <c r="AK44" i="6"/>
  <c r="AK230" i="6"/>
  <c r="AK333" i="6" s="1"/>
  <c r="AK126" i="6"/>
  <c r="AK75" i="6"/>
  <c r="AK234" i="6"/>
  <c r="AK337" i="6" s="1"/>
  <c r="AK235" i="6"/>
  <c r="AK338" i="6" s="1"/>
  <c r="AK232" i="6"/>
  <c r="AK335" i="6" s="1"/>
  <c r="AK236" i="6"/>
  <c r="AK339" i="6" s="1"/>
  <c r="AK237" i="6"/>
  <c r="AK340" i="6" s="1"/>
  <c r="AK244" i="6"/>
  <c r="AK346" i="6" s="1"/>
  <c r="AK228" i="6"/>
  <c r="AK238" i="6"/>
  <c r="AK341" i="6" s="1"/>
  <c r="AK242" i="6"/>
  <c r="AK344" i="6" s="1"/>
  <c r="AK243" i="6"/>
  <c r="AK345" i="6" s="1"/>
  <c r="AK231" i="6"/>
  <c r="AK334" i="6" s="1"/>
  <c r="AK229" i="6"/>
  <c r="AK332" i="6" s="1"/>
  <c r="AI290" i="6"/>
  <c r="AI141" i="6"/>
  <c r="AI64" i="6"/>
  <c r="AI278" i="6" s="1"/>
  <c r="AI62" i="6"/>
  <c r="AH261" i="6"/>
  <c r="AH162" i="6"/>
  <c r="AA138" i="6"/>
  <c r="AA41" i="6"/>
  <c r="AB39" i="6"/>
  <c r="AH263" i="6"/>
  <c r="AH164" i="6"/>
  <c r="AI140" i="6"/>
  <c r="AI55" i="6"/>
  <c r="AI145" i="6"/>
  <c r="AI153" i="6" s="1"/>
  <c r="AI192" i="6" s="1"/>
  <c r="AI95" i="6"/>
  <c r="AI88" i="6"/>
  <c r="AI144" i="6"/>
  <c r="AI90" i="6"/>
  <c r="AI281" i="6" s="1"/>
  <c r="AJ32" i="6"/>
  <c r="AJ129" i="6"/>
  <c r="AJ93" i="6"/>
  <c r="AJ119" i="6"/>
  <c r="AJ94" i="6"/>
  <c r="AJ33" i="6"/>
  <c r="AJ106" i="6"/>
  <c r="AJ98" i="6"/>
  <c r="AJ113" i="6"/>
  <c r="AJ112" i="6"/>
  <c r="AJ120" i="6"/>
  <c r="AJ21" i="6"/>
  <c r="AJ13" i="6"/>
  <c r="AJ27" i="6"/>
  <c r="AJ14" i="6"/>
  <c r="AJ20" i="6"/>
  <c r="AJ28" i="6"/>
  <c r="AJ99" i="6"/>
  <c r="AJ105" i="6"/>
  <c r="AI324" i="6"/>
  <c r="AH256" i="6"/>
  <c r="AH157" i="6"/>
  <c r="AI134" i="6"/>
  <c r="AI17" i="6"/>
  <c r="AI276" i="6" s="1"/>
  <c r="AI15" i="6"/>
  <c r="AH257" i="6"/>
  <c r="AH158" i="6"/>
  <c r="W260" i="6"/>
  <c r="W273" i="6" s="1"/>
  <c r="W288" i="6" s="1"/>
  <c r="W161" i="6"/>
  <c r="W174" i="6" s="1"/>
  <c r="Z132" i="6"/>
  <c r="Z286" i="6" s="1"/>
  <c r="Z130" i="6"/>
  <c r="Z172" i="6" s="1"/>
  <c r="Z271" i="6" s="1"/>
  <c r="Z150" i="6"/>
  <c r="AA128" i="6"/>
  <c r="AI100" i="6"/>
  <c r="AI146" i="6"/>
  <c r="AJ47" i="6"/>
  <c r="AH266" i="6"/>
  <c r="AH167" i="6"/>
  <c r="AI136" i="6"/>
  <c r="AI29" i="6"/>
  <c r="AI149" i="6"/>
  <c r="AI121" i="6"/>
  <c r="AI171" i="6" s="1"/>
  <c r="AI270" i="6" s="1"/>
  <c r="AI123" i="6"/>
  <c r="AI285" i="6" s="1"/>
  <c r="AH159" i="6"/>
  <c r="AH258" i="6"/>
  <c r="AJ226" i="6"/>
  <c r="AJ323" i="6" s="1"/>
  <c r="AJ225" i="6"/>
  <c r="AJ322" i="6" s="1"/>
  <c r="AJ181" i="6"/>
  <c r="AJ296" i="6" s="1"/>
  <c r="AJ223" i="6"/>
  <c r="AJ320" i="6" s="1"/>
  <c r="AJ182" i="6"/>
  <c r="AJ297" i="6" s="1"/>
  <c r="AJ180" i="6"/>
  <c r="AJ292" i="6" s="1"/>
  <c r="AJ179" i="6"/>
  <c r="AJ291" i="6" s="1"/>
  <c r="AJ217" i="6"/>
  <c r="AJ314" i="6" s="1"/>
  <c r="AJ205" i="6"/>
  <c r="AJ302" i="6" s="1"/>
  <c r="AJ178" i="6"/>
  <c r="AJ204" i="6"/>
  <c r="AJ301" i="6" s="1"/>
  <c r="AJ206" i="6"/>
  <c r="AJ303" i="6" s="1"/>
  <c r="AJ222" i="6"/>
  <c r="AJ319" i="6" s="1"/>
  <c r="AJ209" i="6"/>
  <c r="AJ306" i="6" s="1"/>
  <c r="AJ212" i="6"/>
  <c r="AJ309" i="6" s="1"/>
  <c r="AJ208" i="6"/>
  <c r="AJ305" i="6" s="1"/>
  <c r="AJ352" i="6" s="1"/>
  <c r="AJ211" i="6"/>
  <c r="AJ308" i="6" s="1"/>
  <c r="AJ219" i="6"/>
  <c r="AJ316" i="6" s="1"/>
  <c r="AJ218" i="6"/>
  <c r="AJ315" i="6" s="1"/>
  <c r="AJ216" i="6"/>
  <c r="AJ313" i="6" s="1"/>
  <c r="AJ210" i="6"/>
  <c r="AJ307" i="6" s="1"/>
  <c r="AJ215" i="6"/>
  <c r="AJ312" i="6" s="1"/>
  <c r="AJ224" i="6"/>
  <c r="AJ321" i="6" s="1"/>
  <c r="AJ213" i="6"/>
  <c r="AJ310" i="6" s="1"/>
  <c r="AJ220" i="6"/>
  <c r="AJ317" i="6" s="1"/>
  <c r="AJ207" i="6"/>
  <c r="AJ304" i="6" s="1"/>
  <c r="AJ214" i="6"/>
  <c r="AJ311" i="6" s="1"/>
  <c r="AJ221" i="6"/>
  <c r="AJ318" i="6" s="1"/>
  <c r="AI143" i="6"/>
  <c r="AI81" i="6"/>
  <c r="AI280" i="6" s="1"/>
  <c r="AI79" i="6"/>
  <c r="AH163" i="6"/>
  <c r="AH262" i="6"/>
  <c r="AJ87" i="6"/>
  <c r="AJ77" i="6"/>
  <c r="AJ78" i="6"/>
  <c r="AJ86" i="6"/>
  <c r="AH169" i="6"/>
  <c r="AH268" i="6" s="1"/>
  <c r="AH109" i="6"/>
  <c r="AH283" i="6" s="1"/>
  <c r="W252" i="6"/>
  <c r="W154" i="6"/>
  <c r="W184" i="6" s="1"/>
  <c r="AH255" i="6"/>
  <c r="AH156" i="6"/>
  <c r="AI107" i="6"/>
  <c r="AI147" i="6"/>
  <c r="AJ68" i="6"/>
  <c r="AJ69" i="6"/>
  <c r="AJ61" i="6"/>
  <c r="AJ60" i="6"/>
  <c r="AH194" i="6"/>
  <c r="AH193" i="6"/>
  <c r="AH195" i="6" s="1"/>
  <c r="AH294" i="6" s="1"/>
  <c r="S201" i="6"/>
  <c r="S295" i="6" s="1"/>
  <c r="S298" i="6" s="1"/>
  <c r="S326" i="6" s="1"/>
  <c r="S328" i="6" s="1"/>
  <c r="T293" i="6"/>
  <c r="T198" i="6"/>
  <c r="T201" i="6" s="1"/>
  <c r="T295" i="6" s="1"/>
  <c r="T200" i="6"/>
  <c r="T199" i="6"/>
  <c r="AI22" i="6"/>
  <c r="AI24" i="6"/>
  <c r="AI277" i="6" s="1"/>
  <c r="AI135" i="6"/>
  <c r="S354" i="6" l="1"/>
  <c r="AJ134" i="6"/>
  <c r="AJ17" i="6"/>
  <c r="AJ276" i="6" s="1"/>
  <c r="AJ15" i="6"/>
  <c r="T298" i="6"/>
  <c r="T326" i="6" s="1"/>
  <c r="T328" i="6" s="1"/>
  <c r="T354" i="6" s="1"/>
  <c r="T360" i="6" s="1"/>
  <c r="AJ290" i="6"/>
  <c r="AA130" i="6"/>
  <c r="AA172" i="6" s="1"/>
  <c r="AA271" i="6" s="1"/>
  <c r="AA150" i="6"/>
  <c r="AA132" i="6"/>
  <c r="AA286" i="6" s="1"/>
  <c r="AB128" i="6"/>
  <c r="AI266" i="6"/>
  <c r="AI167" i="6"/>
  <c r="X252" i="6"/>
  <c r="X154" i="6"/>
  <c r="X184" i="6" s="1"/>
  <c r="AL230" i="6"/>
  <c r="AL333" i="6" s="1"/>
  <c r="AL245" i="6"/>
  <c r="AL347" i="6" s="1"/>
  <c r="AL233" i="6"/>
  <c r="AL336" i="6" s="1"/>
  <c r="AL75" i="6"/>
  <c r="AL51" i="6"/>
  <c r="AL37" i="6"/>
  <c r="AL234" i="6"/>
  <c r="AL337" i="6" s="1"/>
  <c r="AL44" i="6"/>
  <c r="AL58" i="6"/>
  <c r="AL2" i="6"/>
  <c r="AL9" i="6"/>
  <c r="AM4" i="6"/>
  <c r="AL126" i="6"/>
  <c r="AL246" i="6"/>
  <c r="AL348" i="6" s="1"/>
  <c r="AL232" i="6"/>
  <c r="AL335" i="6" s="1"/>
  <c r="AL235" i="6"/>
  <c r="AL338" i="6" s="1"/>
  <c r="AL237" i="6"/>
  <c r="AL340" i="6" s="1"/>
  <c r="AL236" i="6"/>
  <c r="AL339" i="6" s="1"/>
  <c r="AL244" i="6"/>
  <c r="AL346" i="6" s="1"/>
  <c r="AL228" i="6"/>
  <c r="AL238" i="6"/>
  <c r="AL341" i="6" s="1"/>
  <c r="AL242" i="6"/>
  <c r="AL344" i="6" s="1"/>
  <c r="AL243" i="6"/>
  <c r="AL345" i="6" s="1"/>
  <c r="AL229" i="6"/>
  <c r="AL332" i="6" s="1"/>
  <c r="AL231" i="6"/>
  <c r="AL334" i="6" s="1"/>
  <c r="AI263" i="6"/>
  <c r="AI164" i="6"/>
  <c r="AJ90" i="6"/>
  <c r="AJ281" i="6" s="1"/>
  <c r="AJ144" i="6"/>
  <c r="AJ88" i="6"/>
  <c r="V190" i="6"/>
  <c r="AJ137" i="6"/>
  <c r="AJ34" i="6"/>
  <c r="AJ324" i="6"/>
  <c r="AI264" i="6"/>
  <c r="AI165" i="6"/>
  <c r="AI265" i="6"/>
  <c r="AI166" i="6"/>
  <c r="AI159" i="6"/>
  <c r="AI258" i="6"/>
  <c r="AK53" i="6"/>
  <c r="AK54" i="6"/>
  <c r="AJ100" i="6"/>
  <c r="AJ146" i="6"/>
  <c r="AI261" i="6"/>
  <c r="AI162" i="6"/>
  <c r="AK112" i="6"/>
  <c r="AK99" i="6"/>
  <c r="AK113" i="6"/>
  <c r="AK106" i="6"/>
  <c r="AK98" i="6"/>
  <c r="AK13" i="6"/>
  <c r="AK129" i="6"/>
  <c r="AK120" i="6"/>
  <c r="AK105" i="6"/>
  <c r="AK94" i="6"/>
  <c r="AK93" i="6"/>
  <c r="AK20" i="6"/>
  <c r="AK33" i="6"/>
  <c r="AK27" i="6"/>
  <c r="AK21" i="6"/>
  <c r="AK32" i="6"/>
  <c r="AK28" i="6"/>
  <c r="AK119" i="6"/>
  <c r="AK14" i="6"/>
  <c r="AI256" i="6"/>
  <c r="AI157" i="6"/>
  <c r="AJ72" i="6"/>
  <c r="AJ279" i="6" s="1"/>
  <c r="AJ142" i="6"/>
  <c r="AJ70" i="6"/>
  <c r="AJ135" i="6"/>
  <c r="AJ22" i="6"/>
  <c r="AJ24" i="6"/>
  <c r="AJ277" i="6" s="1"/>
  <c r="AJ149" i="6"/>
  <c r="AJ121" i="6"/>
  <c r="AJ171" i="6" s="1"/>
  <c r="AJ270" i="6" s="1"/>
  <c r="AJ123" i="6"/>
  <c r="AJ285" i="6" s="1"/>
  <c r="AK47" i="6"/>
  <c r="Y139" i="6"/>
  <c r="Y151" i="6" s="1"/>
  <c r="Y48" i="6"/>
  <c r="Z46" i="6"/>
  <c r="AI267" i="6"/>
  <c r="AI168" i="6"/>
  <c r="AI102" i="6"/>
  <c r="AI282" i="6" s="1"/>
  <c r="AK247" i="6"/>
  <c r="AK331" i="6"/>
  <c r="AK349" i="6" s="1"/>
  <c r="X260" i="6"/>
  <c r="X273" i="6" s="1"/>
  <c r="X288" i="6" s="1"/>
  <c r="X161" i="6"/>
  <c r="X174" i="6" s="1"/>
  <c r="AK179" i="6"/>
  <c r="AK291" i="6" s="1"/>
  <c r="AK225" i="6"/>
  <c r="AK322" i="6" s="1"/>
  <c r="AK223" i="6"/>
  <c r="AK320" i="6" s="1"/>
  <c r="AK182" i="6"/>
  <c r="AK297" i="6" s="1"/>
  <c r="AK178" i="6"/>
  <c r="AK181" i="6"/>
  <c r="AK296" i="6" s="1"/>
  <c r="AK226" i="6"/>
  <c r="AK323" i="6" s="1"/>
  <c r="AK204" i="6"/>
  <c r="AK301" i="6" s="1"/>
  <c r="AK180" i="6"/>
  <c r="AK292" i="6" s="1"/>
  <c r="AK205" i="6"/>
  <c r="AK302" i="6" s="1"/>
  <c r="AK212" i="6"/>
  <c r="AK309" i="6" s="1"/>
  <c r="AK217" i="6"/>
  <c r="AK314" i="6" s="1"/>
  <c r="AK219" i="6"/>
  <c r="AK316" i="6" s="1"/>
  <c r="AK208" i="6"/>
  <c r="AK305" i="6" s="1"/>
  <c r="AK352" i="6" s="1"/>
  <c r="AK209" i="6"/>
  <c r="AK306" i="6" s="1"/>
  <c r="AK222" i="6"/>
  <c r="AK319" i="6" s="1"/>
  <c r="AK206" i="6"/>
  <c r="AK303" i="6" s="1"/>
  <c r="AK211" i="6"/>
  <c r="AK308" i="6" s="1"/>
  <c r="AK224" i="6"/>
  <c r="AK321" i="6" s="1"/>
  <c r="AK218" i="6"/>
  <c r="AK315" i="6" s="1"/>
  <c r="AK210" i="6"/>
  <c r="AK307" i="6" s="1"/>
  <c r="AK221" i="6"/>
  <c r="AK318" i="6" s="1"/>
  <c r="AK220" i="6"/>
  <c r="AK317" i="6" s="1"/>
  <c r="AK216" i="6"/>
  <c r="AK313" i="6" s="1"/>
  <c r="AK213" i="6"/>
  <c r="AK310" i="6" s="1"/>
  <c r="AK215" i="6"/>
  <c r="AK312" i="6" s="1"/>
  <c r="AK207" i="6"/>
  <c r="AK304" i="6" s="1"/>
  <c r="AK214" i="6"/>
  <c r="AK311" i="6" s="1"/>
  <c r="AJ107" i="6"/>
  <c r="AJ147" i="6"/>
  <c r="AJ81" i="6"/>
  <c r="AJ280" i="6" s="1"/>
  <c r="AJ79" i="6"/>
  <c r="AJ143" i="6"/>
  <c r="AJ145" i="6"/>
  <c r="AJ153" i="6" s="1"/>
  <c r="AJ192" i="6" s="1"/>
  <c r="AJ95" i="6"/>
  <c r="AB138" i="6"/>
  <c r="AB41" i="6"/>
  <c r="AC39" i="6"/>
  <c r="AK77" i="6"/>
  <c r="AK78" i="6"/>
  <c r="AK87" i="6"/>
  <c r="AK86" i="6"/>
  <c r="I361" i="6"/>
  <c r="J358" i="6" s="1"/>
  <c r="J361" i="6" s="1"/>
  <c r="K358" i="6" s="1"/>
  <c r="K361" i="6" s="1"/>
  <c r="L358" i="6" s="1"/>
  <c r="L361" i="6" s="1"/>
  <c r="M358" i="6" s="1"/>
  <c r="M361" i="6" s="1"/>
  <c r="N358" i="6" s="1"/>
  <c r="N361" i="6" s="1"/>
  <c r="O358" i="6" s="1"/>
  <c r="O361" i="6" s="1"/>
  <c r="P358" i="6" s="1"/>
  <c r="P361" i="6" s="1"/>
  <c r="Q358" i="6" s="1"/>
  <c r="Q361" i="6" s="1"/>
  <c r="R358" i="6" s="1"/>
  <c r="R361" i="6" s="1"/>
  <c r="S358" i="6" s="1"/>
  <c r="AI255" i="6"/>
  <c r="AI156" i="6"/>
  <c r="W186" i="6"/>
  <c r="W188" i="6"/>
  <c r="W185" i="6"/>
  <c r="W187" i="6"/>
  <c r="W189" i="6"/>
  <c r="AK69" i="6"/>
  <c r="AK68" i="6"/>
  <c r="AK60" i="6"/>
  <c r="AK61" i="6"/>
  <c r="AJ148" i="6"/>
  <c r="AJ114" i="6"/>
  <c r="AJ170" i="6" s="1"/>
  <c r="AJ269" i="6" s="1"/>
  <c r="AJ116" i="6"/>
  <c r="AJ284" i="6" s="1"/>
  <c r="AI262" i="6"/>
  <c r="AI163" i="6"/>
  <c r="AK40" i="6"/>
  <c r="AI193" i="6"/>
  <c r="AI194" i="6"/>
  <c r="AJ141" i="6"/>
  <c r="AJ64" i="6"/>
  <c r="AJ278" i="6" s="1"/>
  <c r="AJ62" i="6"/>
  <c r="AI257" i="6"/>
  <c r="AI158" i="6"/>
  <c r="AI109" i="6"/>
  <c r="AI283" i="6" s="1"/>
  <c r="AI169" i="6"/>
  <c r="AI268" i="6" s="1"/>
  <c r="AJ29" i="6"/>
  <c r="AJ136" i="6"/>
  <c r="AA259" i="6"/>
  <c r="AA160" i="6"/>
  <c r="U293" i="6"/>
  <c r="U199" i="6"/>
  <c r="U200" i="6"/>
  <c r="U198" i="6"/>
  <c r="U201" i="6" s="1"/>
  <c r="U295" i="6" s="1"/>
  <c r="AJ140" i="6"/>
  <c r="AJ55" i="6"/>
  <c r="Z139" i="6" l="1"/>
  <c r="Z151" i="6" s="1"/>
  <c r="Z48" i="6"/>
  <c r="AA46" i="6"/>
  <c r="AM230" i="6"/>
  <c r="AM333" i="6" s="1"/>
  <c r="AM234" i="6"/>
  <c r="AM337" i="6" s="1"/>
  <c r="AM245" i="6"/>
  <c r="AM347" i="6" s="1"/>
  <c r="AM126" i="6"/>
  <c r="AM44" i="6"/>
  <c r="AM246" i="6"/>
  <c r="AM348" i="6" s="1"/>
  <c r="AM37" i="6"/>
  <c r="AM9" i="6"/>
  <c r="AM58" i="6"/>
  <c r="AN4" i="6"/>
  <c r="AM2" i="6"/>
  <c r="AM233" i="6"/>
  <c r="AM336" i="6" s="1"/>
  <c r="AM75" i="6"/>
  <c r="AM51" i="6"/>
  <c r="AM235" i="6"/>
  <c r="AM338" i="6" s="1"/>
  <c r="AM232" i="6"/>
  <c r="AM335" i="6" s="1"/>
  <c r="AM237" i="6"/>
  <c r="AM340" i="6" s="1"/>
  <c r="AM236" i="6"/>
  <c r="AM339" i="6" s="1"/>
  <c r="AM244" i="6"/>
  <c r="AM346" i="6" s="1"/>
  <c r="AM228" i="6"/>
  <c r="AM238" i="6"/>
  <c r="AM341" i="6" s="1"/>
  <c r="AM242" i="6"/>
  <c r="AM344" i="6" s="1"/>
  <c r="AM243" i="6"/>
  <c r="AM345" i="6" s="1"/>
  <c r="AM231" i="6"/>
  <c r="AM334" i="6" s="1"/>
  <c r="AM229" i="6"/>
  <c r="AM332" i="6" s="1"/>
  <c r="AJ263" i="6"/>
  <c r="AJ164" i="6"/>
  <c r="AJ162" i="6"/>
  <c r="AJ261" i="6"/>
  <c r="AJ258" i="6"/>
  <c r="AJ159" i="6"/>
  <c r="AJ266" i="6"/>
  <c r="AJ167" i="6"/>
  <c r="AJ267" i="6"/>
  <c r="AJ168" i="6"/>
  <c r="AJ102" i="6"/>
  <c r="AJ282" i="6" s="1"/>
  <c r="AL47" i="6"/>
  <c r="AJ193" i="6"/>
  <c r="AJ194" i="6"/>
  <c r="V293" i="6"/>
  <c r="V199" i="6"/>
  <c r="V200" i="6"/>
  <c r="V198" i="6"/>
  <c r="AK290" i="6"/>
  <c r="W190" i="6"/>
  <c r="AJ158" i="6"/>
  <c r="AJ257" i="6"/>
  <c r="Y252" i="6"/>
  <c r="Y154" i="6"/>
  <c r="Y184" i="6" s="1"/>
  <c r="AK95" i="6"/>
  <c r="AK145" i="6"/>
  <c r="AK153" i="6" s="1"/>
  <c r="AK192" i="6" s="1"/>
  <c r="AJ255" i="6"/>
  <c r="AJ156" i="6"/>
  <c r="AK147" i="6"/>
  <c r="AK107" i="6"/>
  <c r="AL331" i="6"/>
  <c r="AL349" i="6" s="1"/>
  <c r="AL247" i="6"/>
  <c r="AK55" i="6"/>
  <c r="AK140" i="6"/>
  <c r="AJ166" i="6"/>
  <c r="AJ265" i="6"/>
  <c r="AL40" i="6"/>
  <c r="AK90" i="6"/>
  <c r="AK281" i="6" s="1"/>
  <c r="AK144" i="6"/>
  <c r="AK88" i="6"/>
  <c r="AK137" i="6"/>
  <c r="AK34" i="6"/>
  <c r="AK29" i="6"/>
  <c r="AK136" i="6"/>
  <c r="X188" i="6"/>
  <c r="X185" i="6"/>
  <c r="X189" i="6"/>
  <c r="X187" i="6"/>
  <c r="X186" i="6"/>
  <c r="AB150" i="6"/>
  <c r="AB132" i="6"/>
  <c r="AB286" i="6" s="1"/>
  <c r="AB130" i="6"/>
  <c r="AB172" i="6" s="1"/>
  <c r="AB271" i="6" s="1"/>
  <c r="AC128" i="6"/>
  <c r="AJ262" i="6"/>
  <c r="AJ163" i="6"/>
  <c r="AK141" i="6"/>
  <c r="AK64" i="6"/>
  <c r="AK278" i="6" s="1"/>
  <c r="AK62" i="6"/>
  <c r="AJ264" i="6"/>
  <c r="AJ165" i="6"/>
  <c r="AK123" i="6"/>
  <c r="AK285" i="6" s="1"/>
  <c r="AK149" i="6"/>
  <c r="AK121" i="6"/>
  <c r="AK171" i="6" s="1"/>
  <c r="AK270" i="6" s="1"/>
  <c r="AK134" i="6"/>
  <c r="AK17" i="6"/>
  <c r="AK276" i="6" s="1"/>
  <c r="AK15" i="6"/>
  <c r="AL54" i="6"/>
  <c r="AL53" i="6"/>
  <c r="AI195" i="6"/>
  <c r="AI294" i="6" s="1"/>
  <c r="AJ109" i="6"/>
  <c r="AJ283" i="6" s="1"/>
  <c r="AJ169" i="6"/>
  <c r="AJ268" i="6" s="1"/>
  <c r="AJ157" i="6"/>
  <c r="AJ256" i="6"/>
  <c r="AK81" i="6"/>
  <c r="AK280" i="6" s="1"/>
  <c r="AK79" i="6"/>
  <c r="AK143" i="6"/>
  <c r="Y161" i="6"/>
  <c r="Y174" i="6" s="1"/>
  <c r="Y260" i="6"/>
  <c r="Y273" i="6" s="1"/>
  <c r="Y288" i="6" s="1"/>
  <c r="AK148" i="6"/>
  <c r="AK114" i="6"/>
  <c r="AK170" i="6" s="1"/>
  <c r="AK269" i="6" s="1"/>
  <c r="AK116" i="6"/>
  <c r="AK284" i="6" s="1"/>
  <c r="AC138" i="6"/>
  <c r="AC41" i="6"/>
  <c r="AD39" i="6"/>
  <c r="AK135" i="6"/>
  <c r="AK24" i="6"/>
  <c r="AK277" i="6" s="1"/>
  <c r="AK22" i="6"/>
  <c r="AL105" i="6"/>
  <c r="AL27" i="6"/>
  <c r="AL13" i="6"/>
  <c r="AL113" i="6"/>
  <c r="AL112" i="6"/>
  <c r="AL14" i="6"/>
  <c r="AL93" i="6"/>
  <c r="AL28" i="6"/>
  <c r="AL129" i="6"/>
  <c r="AL21" i="6"/>
  <c r="AL119" i="6"/>
  <c r="AL98" i="6"/>
  <c r="AL94" i="6"/>
  <c r="AL20" i="6"/>
  <c r="AL33" i="6"/>
  <c r="AL106" i="6"/>
  <c r="AL120" i="6"/>
  <c r="AL99" i="6"/>
  <c r="AL32" i="6"/>
  <c r="AB259" i="6"/>
  <c r="AB160" i="6"/>
  <c r="AL223" i="6"/>
  <c r="AL320" i="6" s="1"/>
  <c r="AL182" i="6"/>
  <c r="AL297" i="6" s="1"/>
  <c r="AL181" i="6"/>
  <c r="AL296" i="6" s="1"/>
  <c r="AL225" i="6"/>
  <c r="AL322" i="6" s="1"/>
  <c r="AL226" i="6"/>
  <c r="AL323" i="6" s="1"/>
  <c r="AL178" i="6"/>
  <c r="AL179" i="6"/>
  <c r="AL291" i="6" s="1"/>
  <c r="AL204" i="6"/>
  <c r="AL301" i="6" s="1"/>
  <c r="AL180" i="6"/>
  <c r="AL292" i="6" s="1"/>
  <c r="AL205" i="6"/>
  <c r="AL302" i="6" s="1"/>
  <c r="AL206" i="6"/>
  <c r="AL303" i="6" s="1"/>
  <c r="AL212" i="6"/>
  <c r="AL309" i="6" s="1"/>
  <c r="AL217" i="6"/>
  <c r="AL314" i="6" s="1"/>
  <c r="AL209" i="6"/>
  <c r="AL306" i="6" s="1"/>
  <c r="AL211" i="6"/>
  <c r="AL308" i="6" s="1"/>
  <c r="AL219" i="6"/>
  <c r="AL316" i="6" s="1"/>
  <c r="AL208" i="6"/>
  <c r="AL305" i="6" s="1"/>
  <c r="AL352" i="6" s="1"/>
  <c r="AL222" i="6"/>
  <c r="AL319" i="6" s="1"/>
  <c r="AL215" i="6"/>
  <c r="AL312" i="6" s="1"/>
  <c r="AL224" i="6"/>
  <c r="AL321" i="6" s="1"/>
  <c r="AL213" i="6"/>
  <c r="AL310" i="6" s="1"/>
  <c r="AL207" i="6"/>
  <c r="AL304" i="6" s="1"/>
  <c r="AL210" i="6"/>
  <c r="AL307" i="6" s="1"/>
  <c r="AL214" i="6"/>
  <c r="AL311" i="6" s="1"/>
  <c r="AL221" i="6"/>
  <c r="AL318" i="6" s="1"/>
  <c r="AL220" i="6"/>
  <c r="AL317" i="6" s="1"/>
  <c r="AL218" i="6"/>
  <c r="AL315" i="6" s="1"/>
  <c r="AL216" i="6"/>
  <c r="AL313" i="6" s="1"/>
  <c r="AL68" i="6"/>
  <c r="AL69" i="6"/>
  <c r="AL61" i="6"/>
  <c r="AL60" i="6"/>
  <c r="U298" i="6"/>
  <c r="U326" i="6" s="1"/>
  <c r="U328" i="6" s="1"/>
  <c r="U354" i="6" s="1"/>
  <c r="U360" i="6" s="1"/>
  <c r="AK70" i="6"/>
  <c r="AK142" i="6"/>
  <c r="AK72" i="6"/>
  <c r="AK279" i="6" s="1"/>
  <c r="S361" i="6"/>
  <c r="T358" i="6" s="1"/>
  <c r="T361" i="6" s="1"/>
  <c r="U358" i="6" s="1"/>
  <c r="U361" i="6" s="1"/>
  <c r="V358" i="6" s="1"/>
  <c r="AK324" i="6"/>
  <c r="AK146" i="6"/>
  <c r="AK100" i="6"/>
  <c r="AL87" i="6"/>
  <c r="AL78" i="6"/>
  <c r="AL77" i="6"/>
  <c r="AL86" i="6"/>
  <c r="S360" i="6"/>
  <c r="AL17" i="6" l="1"/>
  <c r="AL276" i="6" s="1"/>
  <c r="AL15" i="6"/>
  <c r="AL134" i="6"/>
  <c r="AK257" i="6"/>
  <c r="AK158" i="6"/>
  <c r="AM331" i="6"/>
  <c r="AM349" i="6" s="1"/>
  <c r="AM247" i="6"/>
  <c r="AL70" i="6"/>
  <c r="AL142" i="6"/>
  <c r="AL72" i="6"/>
  <c r="AL279" i="6" s="1"/>
  <c r="AL24" i="6"/>
  <c r="AL277" i="6" s="1"/>
  <c r="AL135" i="6"/>
  <c r="AL22" i="6"/>
  <c r="AC150" i="6"/>
  <c r="AC132" i="6"/>
  <c r="AC286" i="6" s="1"/>
  <c r="AC130" i="6"/>
  <c r="AC172" i="6" s="1"/>
  <c r="AC271" i="6" s="1"/>
  <c r="AD128" i="6"/>
  <c r="AL146" i="6"/>
  <c r="AL100" i="6"/>
  <c r="AK109" i="6"/>
  <c r="AK283" i="6" s="1"/>
  <c r="AK169" i="6"/>
  <c r="AK268" i="6" s="1"/>
  <c r="AM54" i="6"/>
  <c r="AM53" i="6"/>
  <c r="AK164" i="6"/>
  <c r="AK263" i="6"/>
  <c r="AL137" i="6"/>
  <c r="AL34" i="6"/>
  <c r="AL145" i="6"/>
  <c r="AL153" i="6" s="1"/>
  <c r="AL192" i="6" s="1"/>
  <c r="AL95" i="6"/>
  <c r="AK266" i="6"/>
  <c r="AK167" i="6"/>
  <c r="AL290" i="6"/>
  <c r="AM129" i="6"/>
  <c r="AM99" i="6"/>
  <c r="AM94" i="6"/>
  <c r="AM28" i="6"/>
  <c r="AM21" i="6"/>
  <c r="AM14" i="6"/>
  <c r="AM98" i="6"/>
  <c r="AM120" i="6"/>
  <c r="AM119" i="6"/>
  <c r="AM106" i="6"/>
  <c r="AM113" i="6"/>
  <c r="AM112" i="6"/>
  <c r="AM32" i="6"/>
  <c r="AM105" i="6"/>
  <c r="AM27" i="6"/>
  <c r="AM93" i="6"/>
  <c r="AM33" i="6"/>
  <c r="AM13" i="6"/>
  <c r="AM20" i="6"/>
  <c r="AL29" i="6"/>
  <c r="AL136" i="6"/>
  <c r="AK258" i="6"/>
  <c r="AK159" i="6"/>
  <c r="AM40" i="6"/>
  <c r="AM47" i="6"/>
  <c r="AK165" i="6"/>
  <c r="AK264" i="6"/>
  <c r="AC259" i="6"/>
  <c r="AC160" i="6"/>
  <c r="AK194" i="6"/>
  <c r="AK193" i="6"/>
  <c r="AK195" i="6" s="1"/>
  <c r="AK294" i="6" s="1"/>
  <c r="AK262" i="6"/>
  <c r="AK163" i="6"/>
  <c r="X190" i="6"/>
  <c r="Y189" i="6"/>
  <c r="Y187" i="6"/>
  <c r="Y185" i="6"/>
  <c r="Y186" i="6"/>
  <c r="Y188" i="6"/>
  <c r="V201" i="6"/>
  <c r="V295" i="6" s="1"/>
  <c r="V298" i="6" s="1"/>
  <c r="V326" i="6" s="1"/>
  <c r="V328" i="6" s="1"/>
  <c r="V354" i="6" s="1"/>
  <c r="V360" i="6" s="1"/>
  <c r="V361" i="6" s="1"/>
  <c r="W358" i="6" s="1"/>
  <c r="AM223" i="6"/>
  <c r="AM320" i="6" s="1"/>
  <c r="AM178" i="6"/>
  <c r="AM179" i="6"/>
  <c r="AM291" i="6" s="1"/>
  <c r="AM226" i="6"/>
  <c r="AM323" i="6" s="1"/>
  <c r="AM182" i="6"/>
  <c r="AM297" i="6" s="1"/>
  <c r="AM208" i="6"/>
  <c r="AM305" i="6" s="1"/>
  <c r="AM352" i="6" s="1"/>
  <c r="AM180" i="6"/>
  <c r="AM292" i="6" s="1"/>
  <c r="AM217" i="6"/>
  <c r="AM314" i="6" s="1"/>
  <c r="AM204" i="6"/>
  <c r="AM301" i="6" s="1"/>
  <c r="AM225" i="6"/>
  <c r="AM322" i="6" s="1"/>
  <c r="AM181" i="6"/>
  <c r="AM296" i="6" s="1"/>
  <c r="AM222" i="6"/>
  <c r="AM319" i="6" s="1"/>
  <c r="AM205" i="6"/>
  <c r="AM302" i="6" s="1"/>
  <c r="AM211" i="6"/>
  <c r="AM308" i="6" s="1"/>
  <c r="AM219" i="6"/>
  <c r="AM316" i="6" s="1"/>
  <c r="AM206" i="6"/>
  <c r="AM303" i="6" s="1"/>
  <c r="AM212" i="6"/>
  <c r="AM309" i="6" s="1"/>
  <c r="AM209" i="6"/>
  <c r="AM306" i="6" s="1"/>
  <c r="AM224" i="6"/>
  <c r="AM321" i="6" s="1"/>
  <c r="AM221" i="6"/>
  <c r="AM318" i="6" s="1"/>
  <c r="AM210" i="6"/>
  <c r="AM307" i="6" s="1"/>
  <c r="AM220" i="6"/>
  <c r="AM317" i="6" s="1"/>
  <c r="AM207" i="6"/>
  <c r="AM304" i="6" s="1"/>
  <c r="AM214" i="6"/>
  <c r="AM311" i="6" s="1"/>
  <c r="AM215" i="6"/>
  <c r="AM312" i="6" s="1"/>
  <c r="AM218" i="6"/>
  <c r="AM315" i="6" s="1"/>
  <c r="AM213" i="6"/>
  <c r="AM310" i="6" s="1"/>
  <c r="AM216" i="6"/>
  <c r="AM313" i="6" s="1"/>
  <c r="AA48" i="6"/>
  <c r="AA139" i="6"/>
  <c r="AA151" i="6" s="1"/>
  <c r="AB46" i="6"/>
  <c r="AK255" i="6"/>
  <c r="AK156" i="6"/>
  <c r="AK267" i="6"/>
  <c r="AK168" i="6"/>
  <c r="AK102" i="6"/>
  <c r="AK282" i="6" s="1"/>
  <c r="AL147" i="6"/>
  <c r="AL107" i="6"/>
  <c r="AJ195" i="6"/>
  <c r="AJ294" i="6" s="1"/>
  <c r="AL123" i="6"/>
  <c r="AL285" i="6" s="1"/>
  <c r="AL149" i="6"/>
  <c r="AL121" i="6"/>
  <c r="AL171" i="6" s="1"/>
  <c r="AL270" i="6" s="1"/>
  <c r="AL144" i="6"/>
  <c r="AL88" i="6"/>
  <c r="AL90" i="6"/>
  <c r="AL281" i="6" s="1"/>
  <c r="AL62" i="6"/>
  <c r="AL141" i="6"/>
  <c r="AL64" i="6"/>
  <c r="AL278" i="6" s="1"/>
  <c r="AL324" i="6"/>
  <c r="AL148" i="6"/>
  <c r="AL114" i="6"/>
  <c r="AL170" i="6" s="1"/>
  <c r="AL269" i="6" s="1"/>
  <c r="AL116" i="6"/>
  <c r="AL284" i="6" s="1"/>
  <c r="AN233" i="6"/>
  <c r="AN336" i="6" s="1"/>
  <c r="AN230" i="6"/>
  <c r="AN333" i="6" s="1"/>
  <c r="AN245" i="6"/>
  <c r="AN347" i="6" s="1"/>
  <c r="AN246" i="6"/>
  <c r="AN348" i="6" s="1"/>
  <c r="AN75" i="6"/>
  <c r="AN9" i="6"/>
  <c r="AN2" i="6"/>
  <c r="AN126" i="6"/>
  <c r="AN44" i="6"/>
  <c r="AN51" i="6"/>
  <c r="AO4" i="6"/>
  <c r="AN58" i="6"/>
  <c r="AN37" i="6"/>
  <c r="AN234" i="6"/>
  <c r="AN337" i="6" s="1"/>
  <c r="AN232" i="6"/>
  <c r="AN335" i="6" s="1"/>
  <c r="AN235" i="6"/>
  <c r="AN338" i="6" s="1"/>
  <c r="AN236" i="6"/>
  <c r="AN339" i="6" s="1"/>
  <c r="AN237" i="6"/>
  <c r="AN340" i="6" s="1"/>
  <c r="AN244" i="6"/>
  <c r="AN346" i="6" s="1"/>
  <c r="AN228" i="6"/>
  <c r="AN238" i="6"/>
  <c r="AN341" i="6" s="1"/>
  <c r="AN242" i="6"/>
  <c r="AN344" i="6" s="1"/>
  <c r="AN243" i="6"/>
  <c r="AN345" i="6" s="1"/>
  <c r="AN231" i="6"/>
  <c r="AN334" i="6" s="1"/>
  <c r="AN229" i="6"/>
  <c r="AN332" i="6" s="1"/>
  <c r="Z260" i="6"/>
  <c r="Z273" i="6" s="1"/>
  <c r="Z288" i="6" s="1"/>
  <c r="Z161" i="6"/>
  <c r="Z174" i="6" s="1"/>
  <c r="W293" i="6"/>
  <c r="W200" i="6"/>
  <c r="W199" i="6"/>
  <c r="W198" i="6"/>
  <c r="W201" i="6" s="1"/>
  <c r="W295" i="6" s="1"/>
  <c r="AK157" i="6"/>
  <c r="AK256" i="6"/>
  <c r="AK265" i="6"/>
  <c r="AK166" i="6"/>
  <c r="AD41" i="6"/>
  <c r="AD138" i="6"/>
  <c r="AE39" i="6"/>
  <c r="AM78" i="6"/>
  <c r="AM86" i="6"/>
  <c r="AM87" i="6"/>
  <c r="AM77" i="6"/>
  <c r="AL81" i="6"/>
  <c r="AL280" i="6" s="1"/>
  <c r="AL79" i="6"/>
  <c r="AL143" i="6"/>
  <c r="AL55" i="6"/>
  <c r="AL140" i="6"/>
  <c r="AK261" i="6"/>
  <c r="AK162" i="6"/>
  <c r="AM60" i="6"/>
  <c r="AM61" i="6"/>
  <c r="AM68" i="6"/>
  <c r="AM69" i="6"/>
  <c r="Z252" i="6"/>
  <c r="Z154" i="6"/>
  <c r="Z184" i="6" s="1"/>
  <c r="AD259" i="6" l="1"/>
  <c r="AD160" i="6"/>
  <c r="AM324" i="6"/>
  <c r="AM146" i="6"/>
  <c r="AM100" i="6"/>
  <c r="AL261" i="6"/>
  <c r="AL162" i="6"/>
  <c r="AA252" i="6"/>
  <c r="AA154" i="6"/>
  <c r="AA184" i="6" s="1"/>
  <c r="AL168" i="6"/>
  <c r="AL102" i="6"/>
  <c r="AL282" i="6" s="1"/>
  <c r="AL267" i="6"/>
  <c r="AM145" i="6"/>
  <c r="AM153" i="6" s="1"/>
  <c r="AM192" i="6" s="1"/>
  <c r="AM95" i="6"/>
  <c r="Z186" i="6"/>
  <c r="Z188" i="6"/>
  <c r="Z189" i="6"/>
  <c r="Z187" i="6"/>
  <c r="Z185" i="6"/>
  <c r="Z190" i="6" s="1"/>
  <c r="AD150" i="6"/>
  <c r="AD132" i="6"/>
  <c r="AD286" i="6" s="1"/>
  <c r="AD130" i="6"/>
  <c r="AD172" i="6" s="1"/>
  <c r="AD271" i="6" s="1"/>
  <c r="AE128" i="6"/>
  <c r="AM79" i="6"/>
  <c r="AM143" i="6"/>
  <c r="AM81" i="6"/>
  <c r="AM280" i="6" s="1"/>
  <c r="AN331" i="6"/>
  <c r="AN349" i="6" s="1"/>
  <c r="AN247" i="6"/>
  <c r="AL169" i="6"/>
  <c r="AL268" i="6" s="1"/>
  <c r="AL109" i="6"/>
  <c r="AL283" i="6" s="1"/>
  <c r="AM147" i="6"/>
  <c r="AM107" i="6"/>
  <c r="AM62" i="6"/>
  <c r="AM141" i="6"/>
  <c r="AM64" i="6"/>
  <c r="AM278" i="6" s="1"/>
  <c r="Y190" i="6"/>
  <c r="AN69" i="6"/>
  <c r="AN68" i="6"/>
  <c r="AN61" i="6"/>
  <c r="AN60" i="6"/>
  <c r="AO245" i="6"/>
  <c r="AO347" i="6" s="1"/>
  <c r="AO246" i="6"/>
  <c r="AO348" i="6" s="1"/>
  <c r="AO234" i="6"/>
  <c r="AO337" i="6" s="1"/>
  <c r="AO233" i="6"/>
  <c r="AO336" i="6" s="1"/>
  <c r="AO2" i="6"/>
  <c r="AP4" i="6"/>
  <c r="AO58" i="6"/>
  <c r="AO126" i="6"/>
  <c r="AO51" i="6"/>
  <c r="AO9" i="6"/>
  <c r="AO230" i="6"/>
  <c r="AO333" i="6" s="1"/>
  <c r="AO44" i="6"/>
  <c r="AO37" i="6"/>
  <c r="AO235" i="6"/>
  <c r="AO338" i="6" s="1"/>
  <c r="AO75" i="6"/>
  <c r="AO232" i="6"/>
  <c r="AO335" i="6" s="1"/>
  <c r="AO236" i="6"/>
  <c r="AO339" i="6" s="1"/>
  <c r="AO237" i="6"/>
  <c r="AO340" i="6" s="1"/>
  <c r="AO244" i="6"/>
  <c r="AO346" i="6" s="1"/>
  <c r="AO228" i="6"/>
  <c r="AO238" i="6"/>
  <c r="AO341" i="6" s="1"/>
  <c r="AO242" i="6"/>
  <c r="AO344" i="6" s="1"/>
  <c r="AO243" i="6"/>
  <c r="AO345" i="6" s="1"/>
  <c r="AO231" i="6"/>
  <c r="AO334" i="6" s="1"/>
  <c r="AO229" i="6"/>
  <c r="AO332" i="6" s="1"/>
  <c r="AL165" i="6"/>
  <c r="AL264" i="6"/>
  <c r="AN54" i="6"/>
  <c r="AN53" i="6"/>
  <c r="X293" i="6"/>
  <c r="X200" i="6"/>
  <c r="X199" i="6"/>
  <c r="X198" i="6"/>
  <c r="X201" i="6" s="1"/>
  <c r="X295" i="6" s="1"/>
  <c r="AL194" i="6"/>
  <c r="AL193" i="6"/>
  <c r="AL195" i="6" s="1"/>
  <c r="AL294" i="6" s="1"/>
  <c r="AM136" i="6"/>
  <c r="AM29" i="6"/>
  <c r="AL258" i="6"/>
  <c r="AL159" i="6"/>
  <c r="AN225" i="6"/>
  <c r="AN322" i="6" s="1"/>
  <c r="AN223" i="6"/>
  <c r="AN320" i="6" s="1"/>
  <c r="AN226" i="6"/>
  <c r="AN323" i="6" s="1"/>
  <c r="AN182" i="6"/>
  <c r="AN297" i="6" s="1"/>
  <c r="AN204" i="6"/>
  <c r="AN301" i="6" s="1"/>
  <c r="AN179" i="6"/>
  <c r="AN291" i="6" s="1"/>
  <c r="AN181" i="6"/>
  <c r="AN296" i="6" s="1"/>
  <c r="AN206" i="6"/>
  <c r="AN303" i="6" s="1"/>
  <c r="AN209" i="6"/>
  <c r="AN306" i="6" s="1"/>
  <c r="AN178" i="6"/>
  <c r="AN212" i="6"/>
  <c r="AN309" i="6" s="1"/>
  <c r="AN222" i="6"/>
  <c r="AN319" i="6" s="1"/>
  <c r="AN211" i="6"/>
  <c r="AN308" i="6" s="1"/>
  <c r="AN208" i="6"/>
  <c r="AN305" i="6" s="1"/>
  <c r="AN352" i="6" s="1"/>
  <c r="AN205" i="6"/>
  <c r="AN302" i="6" s="1"/>
  <c r="AN180" i="6"/>
  <c r="AN292" i="6" s="1"/>
  <c r="AN219" i="6"/>
  <c r="AN316" i="6" s="1"/>
  <c r="AN217" i="6"/>
  <c r="AN314" i="6" s="1"/>
  <c r="AN210" i="6"/>
  <c r="AN307" i="6" s="1"/>
  <c r="AN216" i="6"/>
  <c r="AN313" i="6" s="1"/>
  <c r="AN218" i="6"/>
  <c r="AN315" i="6" s="1"/>
  <c r="AN224" i="6"/>
  <c r="AN321" i="6" s="1"/>
  <c r="AN221" i="6"/>
  <c r="AN318" i="6" s="1"/>
  <c r="AN213" i="6"/>
  <c r="AN310" i="6" s="1"/>
  <c r="AN220" i="6"/>
  <c r="AN317" i="6" s="1"/>
  <c r="AN215" i="6"/>
  <c r="AN312" i="6" s="1"/>
  <c r="AN214" i="6"/>
  <c r="AN311" i="6" s="1"/>
  <c r="AN207" i="6"/>
  <c r="AN304" i="6" s="1"/>
  <c r="AM137" i="6"/>
  <c r="AM34" i="6"/>
  <c r="AL265" i="6"/>
  <c r="AL166" i="6"/>
  <c r="AE138" i="6"/>
  <c r="AE41" i="6"/>
  <c r="AF39" i="6"/>
  <c r="AL257" i="6"/>
  <c r="AL158" i="6"/>
  <c r="AN40" i="6"/>
  <c r="AM22" i="6"/>
  <c r="AM135" i="6"/>
  <c r="AM24" i="6"/>
  <c r="AM277" i="6" s="1"/>
  <c r="AB48" i="6"/>
  <c r="AB139" i="6"/>
  <c r="AB151" i="6" s="1"/>
  <c r="AC46" i="6"/>
  <c r="AM15" i="6"/>
  <c r="AM134" i="6"/>
  <c r="AM17" i="6"/>
  <c r="AM276" i="6" s="1"/>
  <c r="AM72" i="6"/>
  <c r="AM279" i="6" s="1"/>
  <c r="AM142" i="6"/>
  <c r="AM70" i="6"/>
  <c r="AM144" i="6"/>
  <c r="AM90" i="6"/>
  <c r="AM281" i="6" s="1"/>
  <c r="AM88" i="6"/>
  <c r="AN112" i="6"/>
  <c r="AN94" i="6"/>
  <c r="AN32" i="6"/>
  <c r="AN14" i="6"/>
  <c r="AN20" i="6"/>
  <c r="AN21" i="6"/>
  <c r="AN119" i="6"/>
  <c r="AN28" i="6"/>
  <c r="AN129" i="6"/>
  <c r="AN93" i="6"/>
  <c r="AN106" i="6"/>
  <c r="AN120" i="6"/>
  <c r="AN33" i="6"/>
  <c r="AN99" i="6"/>
  <c r="AN113" i="6"/>
  <c r="AN105" i="6"/>
  <c r="AN27" i="6"/>
  <c r="AN98" i="6"/>
  <c r="AN13" i="6"/>
  <c r="AL262" i="6"/>
  <c r="AL163" i="6"/>
  <c r="AM290" i="6"/>
  <c r="AM116" i="6"/>
  <c r="AM284" i="6" s="1"/>
  <c r="AM148" i="6"/>
  <c r="AM114" i="6"/>
  <c r="AM170" i="6" s="1"/>
  <c r="AM269" i="6" s="1"/>
  <c r="AL255" i="6"/>
  <c r="AL156" i="6"/>
  <c r="AM149" i="6"/>
  <c r="AM121" i="6"/>
  <c r="AM171" i="6" s="1"/>
  <c r="AM270" i="6" s="1"/>
  <c r="AM123" i="6"/>
  <c r="AM285" i="6" s="1"/>
  <c r="AL164" i="6"/>
  <c r="AL263" i="6"/>
  <c r="AL266" i="6"/>
  <c r="AL167" i="6"/>
  <c r="AA161" i="6"/>
  <c r="AA174" i="6" s="1"/>
  <c r="AA260" i="6"/>
  <c r="AA273" i="6" s="1"/>
  <c r="AA288" i="6" s="1"/>
  <c r="AN47" i="6"/>
  <c r="W298" i="6"/>
  <c r="W326" i="6" s="1"/>
  <c r="W328" i="6" s="1"/>
  <c r="W354" i="6" s="1"/>
  <c r="W360" i="6" s="1"/>
  <c r="W361" i="6" s="1"/>
  <c r="X358" i="6" s="1"/>
  <c r="AN86" i="6"/>
  <c r="AN78" i="6"/>
  <c r="AN87" i="6"/>
  <c r="AN77" i="6"/>
  <c r="AM140" i="6"/>
  <c r="AM55" i="6"/>
  <c r="AL256" i="6"/>
  <c r="AL157" i="6"/>
  <c r="AM169" i="6" l="1"/>
  <c r="AM268" i="6" s="1"/>
  <c r="AM109" i="6"/>
  <c r="AM283" i="6" s="1"/>
  <c r="AN143" i="6"/>
  <c r="AN81" i="6"/>
  <c r="AN280" i="6" s="1"/>
  <c r="AN79" i="6"/>
  <c r="AM257" i="6"/>
  <c r="AM158" i="6"/>
  <c r="AO47" i="6"/>
  <c r="AO54" i="6"/>
  <c r="AO53" i="6"/>
  <c r="AM255" i="6"/>
  <c r="AM156" i="6"/>
  <c r="AF138" i="6"/>
  <c r="AF41" i="6"/>
  <c r="AG39" i="6"/>
  <c r="AP234" i="6"/>
  <c r="AP337" i="6" s="1"/>
  <c r="AP233" i="6"/>
  <c r="AP336" i="6" s="1"/>
  <c r="AP246" i="6"/>
  <c r="AP348" i="6" s="1"/>
  <c r="AP126" i="6"/>
  <c r="AP51" i="6"/>
  <c r="AQ4" i="6"/>
  <c r="AP58" i="6"/>
  <c r="AP230" i="6"/>
  <c r="AP333" i="6" s="1"/>
  <c r="AP75" i="6"/>
  <c r="AP44" i="6"/>
  <c r="AP37" i="6"/>
  <c r="AP2" i="6"/>
  <c r="AP245" i="6"/>
  <c r="AP347" i="6" s="1"/>
  <c r="AP9" i="6"/>
  <c r="AP232" i="6"/>
  <c r="AP335" i="6" s="1"/>
  <c r="AP235" i="6"/>
  <c r="AP338" i="6" s="1"/>
  <c r="AP237" i="6"/>
  <c r="AP340" i="6" s="1"/>
  <c r="AP236" i="6"/>
  <c r="AP339" i="6" s="1"/>
  <c r="AP244" i="6"/>
  <c r="AP346" i="6" s="1"/>
  <c r="AP228" i="6"/>
  <c r="AP238" i="6"/>
  <c r="AP341" i="6" s="1"/>
  <c r="AP242" i="6"/>
  <c r="AP344" i="6" s="1"/>
  <c r="AP243" i="6"/>
  <c r="AP345" i="6" s="1"/>
  <c r="AP229" i="6"/>
  <c r="AP332" i="6" s="1"/>
  <c r="AP231" i="6"/>
  <c r="AP334" i="6" s="1"/>
  <c r="AM193" i="6"/>
  <c r="AM194" i="6"/>
  <c r="Z293" i="6"/>
  <c r="Z198" i="6"/>
  <c r="Z200" i="6"/>
  <c r="Z199" i="6"/>
  <c r="AN149" i="6"/>
  <c r="AN123" i="6"/>
  <c r="AN285" i="6" s="1"/>
  <c r="AN121" i="6"/>
  <c r="AN171" i="6" s="1"/>
  <c r="AN270" i="6" s="1"/>
  <c r="AN324" i="6"/>
  <c r="AO331" i="6"/>
  <c r="AO349" i="6" s="1"/>
  <c r="AO247" i="6"/>
  <c r="AN135" i="6"/>
  <c r="AN24" i="6"/>
  <c r="AN277" i="6" s="1"/>
  <c r="AN22" i="6"/>
  <c r="AC48" i="6"/>
  <c r="AC139" i="6"/>
  <c r="AC151" i="6" s="1"/>
  <c r="AD46" i="6"/>
  <c r="AN140" i="6"/>
  <c r="AN55" i="6"/>
  <c r="AO223" i="6"/>
  <c r="AO320" i="6" s="1"/>
  <c r="AO179" i="6"/>
  <c r="AO291" i="6" s="1"/>
  <c r="AO182" i="6"/>
  <c r="AO297" i="6" s="1"/>
  <c r="AO181" i="6"/>
  <c r="AO296" i="6" s="1"/>
  <c r="AO204" i="6"/>
  <c r="AO301" i="6" s="1"/>
  <c r="AO178" i="6"/>
  <c r="AO225" i="6"/>
  <c r="AO322" i="6" s="1"/>
  <c r="AO205" i="6"/>
  <c r="AO302" i="6" s="1"/>
  <c r="AO226" i="6"/>
  <c r="AO323" i="6" s="1"/>
  <c r="AO212" i="6"/>
  <c r="AO309" i="6" s="1"/>
  <c r="AO211" i="6"/>
  <c r="AO308" i="6" s="1"/>
  <c r="AO180" i="6"/>
  <c r="AO292" i="6" s="1"/>
  <c r="AO219" i="6"/>
  <c r="AO316" i="6" s="1"/>
  <c r="AO217" i="6"/>
  <c r="AO314" i="6" s="1"/>
  <c r="AO222" i="6"/>
  <c r="AO319" i="6" s="1"/>
  <c r="AO206" i="6"/>
  <c r="AO303" i="6" s="1"/>
  <c r="AO209" i="6"/>
  <c r="AO306" i="6" s="1"/>
  <c r="AO208" i="6"/>
  <c r="AO305" i="6" s="1"/>
  <c r="AO352" i="6" s="1"/>
  <c r="AO221" i="6"/>
  <c r="AO318" i="6" s="1"/>
  <c r="AO218" i="6"/>
  <c r="AO315" i="6" s="1"/>
  <c r="AO207" i="6"/>
  <c r="AO304" i="6" s="1"/>
  <c r="AO220" i="6"/>
  <c r="AO317" i="6" s="1"/>
  <c r="AO210" i="6"/>
  <c r="AO307" i="6" s="1"/>
  <c r="AO216" i="6"/>
  <c r="AO313" i="6" s="1"/>
  <c r="AO215" i="6"/>
  <c r="AO312" i="6" s="1"/>
  <c r="AO224" i="6"/>
  <c r="AO321" i="6" s="1"/>
  <c r="AO213" i="6"/>
  <c r="AO310" i="6" s="1"/>
  <c r="AO214" i="6"/>
  <c r="AO311" i="6" s="1"/>
  <c r="AM264" i="6"/>
  <c r="AM165" i="6"/>
  <c r="AM265" i="6"/>
  <c r="AM166" i="6"/>
  <c r="AN62" i="6"/>
  <c r="AN141" i="6"/>
  <c r="AN64" i="6"/>
  <c r="AN278" i="6" s="1"/>
  <c r="AN144" i="6"/>
  <c r="AN88" i="6"/>
  <c r="AN90" i="6"/>
  <c r="AN281" i="6" s="1"/>
  <c r="AO120" i="6"/>
  <c r="AO119" i="6"/>
  <c r="AO113" i="6"/>
  <c r="AO93" i="6"/>
  <c r="AO33" i="6"/>
  <c r="AO105" i="6"/>
  <c r="AO20" i="6"/>
  <c r="AO99" i="6"/>
  <c r="AO129" i="6"/>
  <c r="AO28" i="6"/>
  <c r="AO32" i="6"/>
  <c r="AO98" i="6"/>
  <c r="AO106" i="6"/>
  <c r="AO112" i="6"/>
  <c r="AO21" i="6"/>
  <c r="AO94" i="6"/>
  <c r="AO27" i="6"/>
  <c r="AO13" i="6"/>
  <c r="AO14" i="6"/>
  <c r="Y293" i="6"/>
  <c r="Y198" i="6"/>
  <c r="Y199" i="6"/>
  <c r="Y200" i="6"/>
  <c r="AN107" i="6"/>
  <c r="AN147" i="6"/>
  <c r="X298" i="6"/>
  <c r="X326" i="6" s="1"/>
  <c r="X328" i="6" s="1"/>
  <c r="X354" i="6" s="1"/>
  <c r="X360" i="6" s="1"/>
  <c r="X361" i="6" s="1"/>
  <c r="Y358" i="6" s="1"/>
  <c r="AN34" i="6"/>
  <c r="AN137" i="6"/>
  <c r="AE259" i="6"/>
  <c r="AE160" i="6"/>
  <c r="AB252" i="6"/>
  <c r="AB154" i="6"/>
  <c r="AB184" i="6" s="1"/>
  <c r="AE132" i="6"/>
  <c r="AE286" i="6" s="1"/>
  <c r="AE130" i="6"/>
  <c r="AE172" i="6" s="1"/>
  <c r="AE271" i="6" s="1"/>
  <c r="AE150" i="6"/>
  <c r="AF128" i="6"/>
  <c r="AA188" i="6"/>
  <c r="AA185" i="6"/>
  <c r="AA189" i="6"/>
  <c r="AA187" i="6"/>
  <c r="AA186" i="6"/>
  <c r="AN290" i="6"/>
  <c r="AO40" i="6"/>
  <c r="AN145" i="6"/>
  <c r="AN153" i="6" s="1"/>
  <c r="AN192" i="6" s="1"/>
  <c r="AN95" i="6"/>
  <c r="AM256" i="6"/>
  <c r="AM157" i="6"/>
  <c r="AM263" i="6"/>
  <c r="AM164" i="6"/>
  <c r="AM258" i="6"/>
  <c r="AM159" i="6"/>
  <c r="AN70" i="6"/>
  <c r="AN142" i="6"/>
  <c r="AN72" i="6"/>
  <c r="AN279" i="6" s="1"/>
  <c r="AM168" i="6"/>
  <c r="AM267" i="6"/>
  <c r="AM102" i="6"/>
  <c r="AM282" i="6" s="1"/>
  <c r="AN17" i="6"/>
  <c r="AN276" i="6" s="1"/>
  <c r="AN15" i="6"/>
  <c r="AN134" i="6"/>
  <c r="AN100" i="6"/>
  <c r="AN146" i="6"/>
  <c r="AN136" i="6"/>
  <c r="AN29" i="6"/>
  <c r="AO69" i="6"/>
  <c r="AO60" i="6"/>
  <c r="AO68" i="6"/>
  <c r="AO61" i="6"/>
  <c r="AM266" i="6"/>
  <c r="AM167" i="6"/>
  <c r="AM162" i="6"/>
  <c r="AM261" i="6"/>
  <c r="AN148" i="6"/>
  <c r="AN114" i="6"/>
  <c r="AN170" i="6" s="1"/>
  <c r="AN269" i="6" s="1"/>
  <c r="AN116" i="6"/>
  <c r="AN284" i="6" s="1"/>
  <c r="AB260" i="6"/>
  <c r="AB273" i="6" s="1"/>
  <c r="AB288" i="6" s="1"/>
  <c r="AB161" i="6"/>
  <c r="AB174" i="6" s="1"/>
  <c r="AO86" i="6"/>
  <c r="AO78" i="6"/>
  <c r="AO87" i="6"/>
  <c r="AO77" i="6"/>
  <c r="AM163" i="6"/>
  <c r="AM262" i="6"/>
  <c r="AO116" i="6" l="1"/>
  <c r="AO284" i="6" s="1"/>
  <c r="AO114" i="6"/>
  <c r="AO170" i="6" s="1"/>
  <c r="AO269" i="6" s="1"/>
  <c r="AO148" i="6"/>
  <c r="AO290" i="6"/>
  <c r="AO55" i="6"/>
  <c r="AO140" i="6"/>
  <c r="AO146" i="6"/>
  <c r="AO100" i="6"/>
  <c r="AM195" i="6"/>
  <c r="AM294" i="6" s="1"/>
  <c r="AN257" i="6"/>
  <c r="AN158" i="6"/>
  <c r="AP178" i="6"/>
  <c r="AP181" i="6"/>
  <c r="AP296" i="6" s="1"/>
  <c r="AP223" i="6"/>
  <c r="AP320" i="6" s="1"/>
  <c r="AP182" i="6"/>
  <c r="AP297" i="6" s="1"/>
  <c r="AP225" i="6"/>
  <c r="AP322" i="6" s="1"/>
  <c r="AP179" i="6"/>
  <c r="AP291" i="6" s="1"/>
  <c r="AP211" i="6"/>
  <c r="AP308" i="6" s="1"/>
  <c r="AP226" i="6"/>
  <c r="AP323" i="6" s="1"/>
  <c r="AP222" i="6"/>
  <c r="AP319" i="6" s="1"/>
  <c r="AP206" i="6"/>
  <c r="AP303" i="6" s="1"/>
  <c r="AP217" i="6"/>
  <c r="AP314" i="6" s="1"/>
  <c r="AP208" i="6"/>
  <c r="AP305" i="6" s="1"/>
  <c r="AP352" i="6" s="1"/>
  <c r="AP209" i="6"/>
  <c r="AP306" i="6" s="1"/>
  <c r="AP180" i="6"/>
  <c r="AP292" i="6" s="1"/>
  <c r="AP205" i="6"/>
  <c r="AP302" i="6" s="1"/>
  <c r="AP212" i="6"/>
  <c r="AP309" i="6" s="1"/>
  <c r="AP219" i="6"/>
  <c r="AP316" i="6" s="1"/>
  <c r="AP204" i="6"/>
  <c r="AP301" i="6" s="1"/>
  <c r="AP216" i="6"/>
  <c r="AP313" i="6" s="1"/>
  <c r="AP215" i="6"/>
  <c r="AP312" i="6" s="1"/>
  <c r="AP221" i="6"/>
  <c r="AP318" i="6" s="1"/>
  <c r="AP224" i="6"/>
  <c r="AP321" i="6" s="1"/>
  <c r="AP210" i="6"/>
  <c r="AP307" i="6" s="1"/>
  <c r="AP213" i="6"/>
  <c r="AP310" i="6" s="1"/>
  <c r="AP218" i="6"/>
  <c r="AP315" i="6" s="1"/>
  <c r="AP207" i="6"/>
  <c r="AP304" i="6" s="1"/>
  <c r="AP220" i="6"/>
  <c r="AP317" i="6" s="1"/>
  <c r="AP214" i="6"/>
  <c r="AP311" i="6" s="1"/>
  <c r="Y201" i="6"/>
  <c r="Y295" i="6" s="1"/>
  <c r="AN262" i="6"/>
  <c r="AN163" i="6"/>
  <c r="AP77" i="6"/>
  <c r="AP78" i="6"/>
  <c r="AP86" i="6"/>
  <c r="AP87" i="6"/>
  <c r="AN255" i="6"/>
  <c r="AN156" i="6"/>
  <c r="AO134" i="6"/>
  <c r="AO17" i="6"/>
  <c r="AO276" i="6" s="1"/>
  <c r="AO15" i="6"/>
  <c r="AO147" i="6"/>
  <c r="AO107" i="6"/>
  <c r="AD48" i="6"/>
  <c r="AD139" i="6"/>
  <c r="AD151" i="6" s="1"/>
  <c r="AE46" i="6"/>
  <c r="AP331" i="6"/>
  <c r="AP349" i="6" s="1"/>
  <c r="AP247" i="6"/>
  <c r="AO88" i="6"/>
  <c r="AO144" i="6"/>
  <c r="AO90" i="6"/>
  <c r="AO281" i="6" s="1"/>
  <c r="AP129" i="6"/>
  <c r="AP99" i="6"/>
  <c r="AP21" i="6"/>
  <c r="AP120" i="6"/>
  <c r="AP119" i="6"/>
  <c r="AP32" i="6"/>
  <c r="AP20" i="6"/>
  <c r="AP113" i="6"/>
  <c r="AP112" i="6"/>
  <c r="AP33" i="6"/>
  <c r="AP106" i="6"/>
  <c r="AP105" i="6"/>
  <c r="AP93" i="6"/>
  <c r="AP27" i="6"/>
  <c r="AP94" i="6"/>
  <c r="AP98" i="6"/>
  <c r="AP28" i="6"/>
  <c r="AP13" i="6"/>
  <c r="AP14" i="6"/>
  <c r="AF160" i="6"/>
  <c r="AF259" i="6"/>
  <c r="AN264" i="6"/>
  <c r="AN165" i="6"/>
  <c r="AO135" i="6"/>
  <c r="AO24" i="6"/>
  <c r="AO277" i="6" s="1"/>
  <c r="AO22" i="6"/>
  <c r="AO143" i="6"/>
  <c r="AO81" i="6"/>
  <c r="AO280" i="6" s="1"/>
  <c r="AO79" i="6"/>
  <c r="AA190" i="6"/>
  <c r="AN258" i="6"/>
  <c r="AN159" i="6"/>
  <c r="AO136" i="6"/>
  <c r="AO29" i="6"/>
  <c r="AC252" i="6"/>
  <c r="AC154" i="6"/>
  <c r="AC184" i="6" s="1"/>
  <c r="AP60" i="6"/>
  <c r="AP68" i="6"/>
  <c r="AP61" i="6"/>
  <c r="AP69" i="6"/>
  <c r="AO121" i="6"/>
  <c r="AO171" i="6" s="1"/>
  <c r="AO270" i="6" s="1"/>
  <c r="AO123" i="6"/>
  <c r="AO285" i="6" s="1"/>
  <c r="AO149" i="6"/>
  <c r="AN164" i="6"/>
  <c r="AN263" i="6"/>
  <c r="AO34" i="6"/>
  <c r="AO137" i="6"/>
  <c r="AN265" i="6"/>
  <c r="AN166" i="6"/>
  <c r="AB189" i="6"/>
  <c r="AB187" i="6"/>
  <c r="AB186" i="6"/>
  <c r="AB185" i="6"/>
  <c r="AB188" i="6"/>
  <c r="AG138" i="6"/>
  <c r="AG41" i="6"/>
  <c r="AH39" i="6"/>
  <c r="AP40" i="6"/>
  <c r="AN267" i="6"/>
  <c r="AN168" i="6"/>
  <c r="AN102" i="6"/>
  <c r="AN282" i="6" s="1"/>
  <c r="AP47" i="6"/>
  <c r="AN266" i="6"/>
  <c r="AN167" i="6"/>
  <c r="AO145" i="6"/>
  <c r="AO153" i="6" s="1"/>
  <c r="AO192" i="6" s="1"/>
  <c r="AO95" i="6"/>
  <c r="AC161" i="6"/>
  <c r="AC174" i="6" s="1"/>
  <c r="AC260" i="6"/>
  <c r="AC273" i="6" s="1"/>
  <c r="AC288" i="6" s="1"/>
  <c r="Z201" i="6"/>
  <c r="Z295" i="6" s="1"/>
  <c r="AQ246" i="6"/>
  <c r="AQ348" i="6" s="1"/>
  <c r="AQ234" i="6"/>
  <c r="AQ337" i="6" s="1"/>
  <c r="AQ233" i="6"/>
  <c r="AQ336" i="6" s="1"/>
  <c r="AQ230" i="6"/>
  <c r="AQ333" i="6" s="1"/>
  <c r="AQ126" i="6"/>
  <c r="AR4" i="6"/>
  <c r="AQ2" i="6"/>
  <c r="AQ245" i="6"/>
  <c r="AQ347" i="6" s="1"/>
  <c r="AQ58" i="6"/>
  <c r="AQ44" i="6"/>
  <c r="AQ9" i="6"/>
  <c r="AQ37" i="6"/>
  <c r="AQ51" i="6"/>
  <c r="AQ75" i="6"/>
  <c r="AQ232" i="6"/>
  <c r="AQ335" i="6" s="1"/>
  <c r="AQ235" i="6"/>
  <c r="AQ338" i="6" s="1"/>
  <c r="AQ236" i="6"/>
  <c r="AQ339" i="6" s="1"/>
  <c r="AQ237" i="6"/>
  <c r="AQ340" i="6" s="1"/>
  <c r="AQ244" i="6"/>
  <c r="AQ346" i="6" s="1"/>
  <c r="AQ228" i="6"/>
  <c r="AQ238" i="6"/>
  <c r="AQ341" i="6" s="1"/>
  <c r="AQ242" i="6"/>
  <c r="AQ344" i="6" s="1"/>
  <c r="AQ243" i="6"/>
  <c r="AQ345" i="6" s="1"/>
  <c r="AQ231" i="6"/>
  <c r="AQ334" i="6" s="1"/>
  <c r="AQ229" i="6"/>
  <c r="AQ332" i="6" s="1"/>
  <c r="AO141" i="6"/>
  <c r="AO64" i="6"/>
  <c r="AO278" i="6" s="1"/>
  <c r="AO62" i="6"/>
  <c r="AN169" i="6"/>
  <c r="AN268" i="6" s="1"/>
  <c r="AN109" i="6"/>
  <c r="AN283" i="6" s="1"/>
  <c r="AO324" i="6"/>
  <c r="Y298" i="6"/>
  <c r="Y326" i="6" s="1"/>
  <c r="Y328" i="6" s="1"/>
  <c r="Y354" i="6" s="1"/>
  <c r="Y360" i="6" s="1"/>
  <c r="Y361" i="6" s="1"/>
  <c r="Z358" i="6" s="1"/>
  <c r="Z361" i="6" s="1"/>
  <c r="AA358" i="6" s="1"/>
  <c r="AN261" i="6"/>
  <c r="AN162" i="6"/>
  <c r="AO72" i="6"/>
  <c r="AO279" i="6" s="1"/>
  <c r="AO142" i="6"/>
  <c r="AO70" i="6"/>
  <c r="AN194" i="6"/>
  <c r="AN193" i="6"/>
  <c r="AN195" i="6" s="1"/>
  <c r="AN294" i="6" s="1"/>
  <c r="AF130" i="6"/>
  <c r="AF172" i="6" s="1"/>
  <c r="AF271" i="6" s="1"/>
  <c r="AF150" i="6"/>
  <c r="AF132" i="6"/>
  <c r="AF286" i="6" s="1"/>
  <c r="AG128" i="6"/>
  <c r="AN157" i="6"/>
  <c r="AN256" i="6"/>
  <c r="Z298" i="6"/>
  <c r="Z326" i="6" s="1"/>
  <c r="Z328" i="6" s="1"/>
  <c r="Z354" i="6" s="1"/>
  <c r="Z360" i="6" s="1"/>
  <c r="AP54" i="6"/>
  <c r="AP53" i="6"/>
  <c r="AP142" i="6" l="1"/>
  <c r="AP72" i="6"/>
  <c r="AP279" i="6" s="1"/>
  <c r="AP70" i="6"/>
  <c r="AO169" i="6"/>
  <c r="AO268" i="6" s="1"/>
  <c r="AO109" i="6"/>
  <c r="AO283" i="6" s="1"/>
  <c r="AP141" i="6"/>
  <c r="AP62" i="6"/>
  <c r="AP64" i="6"/>
  <c r="AP278" i="6" s="1"/>
  <c r="AC186" i="6"/>
  <c r="AC185" i="6"/>
  <c r="AC187" i="6"/>
  <c r="AC188" i="6"/>
  <c r="AC189" i="6"/>
  <c r="AP145" i="6"/>
  <c r="AP153" i="6" s="1"/>
  <c r="AP192" i="6" s="1"/>
  <c r="AP95" i="6"/>
  <c r="AO255" i="6"/>
  <c r="AO156" i="6"/>
  <c r="AQ331" i="6"/>
  <c r="AQ349" i="6" s="1"/>
  <c r="AQ247" i="6"/>
  <c r="AH41" i="6"/>
  <c r="AH138" i="6"/>
  <c r="AI39" i="6"/>
  <c r="AO163" i="6"/>
  <c r="AO262" i="6"/>
  <c r="AB190" i="6"/>
  <c r="AP290" i="6"/>
  <c r="AQ40" i="6"/>
  <c r="AO256" i="6"/>
  <c r="AO157" i="6"/>
  <c r="AG130" i="6"/>
  <c r="AG172" i="6" s="1"/>
  <c r="AG271" i="6" s="1"/>
  <c r="AG132" i="6"/>
  <c r="AG286" i="6" s="1"/>
  <c r="AG150" i="6"/>
  <c r="AH128" i="6"/>
  <c r="AQ60" i="6"/>
  <c r="AQ61" i="6"/>
  <c r="AQ68" i="6"/>
  <c r="AQ69" i="6"/>
  <c r="AO258" i="6"/>
  <c r="AO159" i="6"/>
  <c r="AO261" i="6"/>
  <c r="AO162" i="6"/>
  <c r="AQ223" i="6"/>
  <c r="AQ320" i="6" s="1"/>
  <c r="AQ226" i="6"/>
  <c r="AQ323" i="6" s="1"/>
  <c r="AQ182" i="6"/>
  <c r="AQ297" i="6" s="1"/>
  <c r="AQ204" i="6"/>
  <c r="AQ301" i="6" s="1"/>
  <c r="AQ178" i="6"/>
  <c r="AQ225" i="6"/>
  <c r="AQ322" i="6" s="1"/>
  <c r="AQ181" i="6"/>
  <c r="AQ296" i="6" s="1"/>
  <c r="AQ205" i="6"/>
  <c r="AQ302" i="6" s="1"/>
  <c r="AQ208" i="6"/>
  <c r="AQ305" i="6" s="1"/>
  <c r="AQ352" i="6" s="1"/>
  <c r="AQ209" i="6"/>
  <c r="AQ306" i="6" s="1"/>
  <c r="AQ179" i="6"/>
  <c r="AQ291" i="6" s="1"/>
  <c r="AQ219" i="6"/>
  <c r="AQ316" i="6" s="1"/>
  <c r="AQ211" i="6"/>
  <c r="AQ308" i="6" s="1"/>
  <c r="AQ212" i="6"/>
  <c r="AQ309" i="6" s="1"/>
  <c r="AQ217" i="6"/>
  <c r="AQ314" i="6" s="1"/>
  <c r="AQ222" i="6"/>
  <c r="AQ319" i="6" s="1"/>
  <c r="AQ180" i="6"/>
  <c r="AQ292" i="6" s="1"/>
  <c r="AQ206" i="6"/>
  <c r="AQ303" i="6" s="1"/>
  <c r="AQ214" i="6"/>
  <c r="AQ311" i="6" s="1"/>
  <c r="AQ213" i="6"/>
  <c r="AQ310" i="6" s="1"/>
  <c r="AQ220" i="6"/>
  <c r="AQ317" i="6" s="1"/>
  <c r="AQ218" i="6"/>
  <c r="AQ315" i="6" s="1"/>
  <c r="AQ207" i="6"/>
  <c r="AQ304" i="6" s="1"/>
  <c r="AQ210" i="6"/>
  <c r="AQ307" i="6" s="1"/>
  <c r="AQ221" i="6"/>
  <c r="AQ318" i="6" s="1"/>
  <c r="AQ216" i="6"/>
  <c r="AQ313" i="6" s="1"/>
  <c r="AQ224" i="6"/>
  <c r="AQ321" i="6" s="1"/>
  <c r="AQ215" i="6"/>
  <c r="AQ312" i="6" s="1"/>
  <c r="AG259" i="6"/>
  <c r="AG160" i="6"/>
  <c r="AO265" i="6"/>
  <c r="AO166" i="6"/>
  <c r="AP114" i="6"/>
  <c r="AP170" i="6" s="1"/>
  <c r="AP269" i="6" s="1"/>
  <c r="AP116" i="6"/>
  <c r="AP284" i="6" s="1"/>
  <c r="AP148" i="6"/>
  <c r="AO263" i="6"/>
  <c r="AO164" i="6"/>
  <c r="AA293" i="6"/>
  <c r="AA199" i="6"/>
  <c r="AA198" i="6"/>
  <c r="AA200" i="6"/>
  <c r="AP135" i="6"/>
  <c r="AP22" i="6"/>
  <c r="AP24" i="6"/>
  <c r="AP277" i="6" s="1"/>
  <c r="AP88" i="6"/>
  <c r="AP144" i="6"/>
  <c r="AP90" i="6"/>
  <c r="AP281" i="6" s="1"/>
  <c r="AP146" i="6"/>
  <c r="AP100" i="6"/>
  <c r="AD260" i="6"/>
  <c r="AD273" i="6" s="1"/>
  <c r="AD288" i="6" s="1"/>
  <c r="AD161" i="6"/>
  <c r="AD174" i="6" s="1"/>
  <c r="AO267" i="6"/>
  <c r="AO168" i="6"/>
  <c r="AO102" i="6"/>
  <c r="AO282" i="6" s="1"/>
  <c r="AQ129" i="6"/>
  <c r="AQ113" i="6"/>
  <c r="AQ99" i="6"/>
  <c r="AQ21" i="6"/>
  <c r="AQ120" i="6"/>
  <c r="AQ93" i="6"/>
  <c r="AQ33" i="6"/>
  <c r="AQ20" i="6"/>
  <c r="AQ27" i="6"/>
  <c r="AQ106" i="6"/>
  <c r="AQ14" i="6"/>
  <c r="AQ105" i="6"/>
  <c r="AQ28" i="6"/>
  <c r="AQ112" i="6"/>
  <c r="AQ119" i="6"/>
  <c r="AQ32" i="6"/>
  <c r="AQ94" i="6"/>
  <c r="AQ98" i="6"/>
  <c r="AQ13" i="6"/>
  <c r="AP136" i="6"/>
  <c r="AP29" i="6"/>
  <c r="AO266" i="6"/>
  <c r="AO167" i="6"/>
  <c r="AP324" i="6"/>
  <c r="AO194" i="6"/>
  <c r="AO193" i="6"/>
  <c r="AP147" i="6"/>
  <c r="AP107" i="6"/>
  <c r="AO257" i="6"/>
  <c r="AO158" i="6"/>
  <c r="AP55" i="6"/>
  <c r="AP140" i="6"/>
  <c r="AQ87" i="6"/>
  <c r="AQ78" i="6"/>
  <c r="AQ86" i="6"/>
  <c r="AQ77" i="6"/>
  <c r="AO264" i="6"/>
  <c r="AO165" i="6"/>
  <c r="AP134" i="6"/>
  <c r="AP17" i="6"/>
  <c r="AP276" i="6" s="1"/>
  <c r="AP15" i="6"/>
  <c r="AP34" i="6"/>
  <c r="AP137" i="6"/>
  <c r="AE139" i="6"/>
  <c r="AE151" i="6" s="1"/>
  <c r="AE48" i="6"/>
  <c r="AF46" i="6"/>
  <c r="AQ47" i="6"/>
  <c r="AR245" i="6"/>
  <c r="AR347" i="6" s="1"/>
  <c r="AR246" i="6"/>
  <c r="AR348" i="6" s="1"/>
  <c r="AR126" i="6"/>
  <c r="AR58" i="6"/>
  <c r="AR75" i="6"/>
  <c r="AR44" i="6"/>
  <c r="AR233" i="6"/>
  <c r="AR336" i="6" s="1"/>
  <c r="AS4" i="6"/>
  <c r="AR37" i="6"/>
  <c r="AR51" i="6"/>
  <c r="AR2" i="6"/>
  <c r="AR232" i="6"/>
  <c r="AR335" i="6" s="1"/>
  <c r="AR9" i="6"/>
  <c r="AR234" i="6"/>
  <c r="AR337" i="6" s="1"/>
  <c r="AR230" i="6"/>
  <c r="AR333" i="6" s="1"/>
  <c r="AR235" i="6"/>
  <c r="AR338" i="6" s="1"/>
  <c r="AR236" i="6"/>
  <c r="AR339" i="6" s="1"/>
  <c r="AR237" i="6"/>
  <c r="AR340" i="6" s="1"/>
  <c r="AR244" i="6"/>
  <c r="AR346" i="6" s="1"/>
  <c r="AR228" i="6"/>
  <c r="AR238" i="6"/>
  <c r="AR341" i="6" s="1"/>
  <c r="AR242" i="6"/>
  <c r="AR344" i="6" s="1"/>
  <c r="AR243" i="6"/>
  <c r="AR345" i="6" s="1"/>
  <c r="AR231" i="6"/>
  <c r="AR334" i="6" s="1"/>
  <c r="AR229" i="6"/>
  <c r="AR332" i="6" s="1"/>
  <c r="AQ54" i="6"/>
  <c r="AQ53" i="6"/>
  <c r="AP123" i="6"/>
  <c r="AP285" i="6" s="1"/>
  <c r="AP149" i="6"/>
  <c r="AP121" i="6"/>
  <c r="AP171" i="6" s="1"/>
  <c r="AP270" i="6" s="1"/>
  <c r="AD154" i="6"/>
  <c r="AD184" i="6" s="1"/>
  <c r="AD252" i="6"/>
  <c r="AP79" i="6"/>
  <c r="AP143" i="6"/>
  <c r="AP81" i="6"/>
  <c r="AP280" i="6" s="1"/>
  <c r="AQ90" i="6" l="1"/>
  <c r="AQ281" i="6" s="1"/>
  <c r="AQ144" i="6"/>
  <c r="AQ88" i="6"/>
  <c r="AR53" i="6"/>
  <c r="AR54" i="6"/>
  <c r="AQ107" i="6"/>
  <c r="AQ147" i="6"/>
  <c r="AC190" i="6"/>
  <c r="AR40" i="6"/>
  <c r="AE260" i="6"/>
  <c r="AE273" i="6" s="1"/>
  <c r="AE288" i="6" s="1"/>
  <c r="AE161" i="6"/>
  <c r="AE174" i="6" s="1"/>
  <c r="AE154" i="6"/>
  <c r="AE184" i="6" s="1"/>
  <c r="AE252" i="6"/>
  <c r="AP257" i="6"/>
  <c r="AP158" i="6"/>
  <c r="AR47" i="6"/>
  <c r="AP159" i="6"/>
  <c r="AP258" i="6"/>
  <c r="AA298" i="6"/>
  <c r="AA326" i="6" s="1"/>
  <c r="AA328" i="6" s="1"/>
  <c r="AA354" i="6" s="1"/>
  <c r="AA360" i="6" s="1"/>
  <c r="AA361" i="6" s="1"/>
  <c r="AB358" i="6" s="1"/>
  <c r="AR86" i="6"/>
  <c r="AR78" i="6"/>
  <c r="AR87" i="6"/>
  <c r="AR77" i="6"/>
  <c r="AR61" i="6"/>
  <c r="AR60" i="6"/>
  <c r="AR68" i="6"/>
  <c r="AR69" i="6"/>
  <c r="AQ146" i="6"/>
  <c r="AQ100" i="6"/>
  <c r="AQ140" i="6"/>
  <c r="AQ55" i="6"/>
  <c r="AP167" i="6"/>
  <c r="AP266" i="6"/>
  <c r="AP263" i="6"/>
  <c r="AP164" i="6"/>
  <c r="AF139" i="6"/>
  <c r="AF151" i="6" s="1"/>
  <c r="AF48" i="6"/>
  <c r="AG46" i="6"/>
  <c r="AI41" i="6"/>
  <c r="AI138" i="6"/>
  <c r="AJ39" i="6"/>
  <c r="AR331" i="6"/>
  <c r="AR349" i="6" s="1"/>
  <c r="AR247" i="6"/>
  <c r="AH259" i="6"/>
  <c r="AH160" i="6"/>
  <c r="AQ136" i="6"/>
  <c r="AQ29" i="6"/>
  <c r="AQ324" i="6"/>
  <c r="AP262" i="6"/>
  <c r="AP163" i="6"/>
  <c r="AQ134" i="6"/>
  <c r="AQ17" i="6"/>
  <c r="AQ276" i="6" s="1"/>
  <c r="AQ15" i="6"/>
  <c r="AP267" i="6"/>
  <c r="AP168" i="6"/>
  <c r="AP102" i="6"/>
  <c r="AP282" i="6" s="1"/>
  <c r="AB293" i="6"/>
  <c r="AB200" i="6"/>
  <c r="AB199" i="6"/>
  <c r="AB198" i="6"/>
  <c r="AB201" i="6" s="1"/>
  <c r="AB295" i="6" s="1"/>
  <c r="AQ95" i="6"/>
  <c r="AQ145" i="6"/>
  <c r="AQ153" i="6" s="1"/>
  <c r="AQ192" i="6" s="1"/>
  <c r="AP169" i="6"/>
  <c r="AP268" i="6" s="1"/>
  <c r="AP109" i="6"/>
  <c r="AP283" i="6" s="1"/>
  <c r="AQ137" i="6"/>
  <c r="AQ34" i="6"/>
  <c r="AP193" i="6"/>
  <c r="AP194" i="6"/>
  <c r="AQ70" i="6"/>
  <c r="AQ142" i="6"/>
  <c r="AQ72" i="6"/>
  <c r="AQ279" i="6" s="1"/>
  <c r="AQ62" i="6"/>
  <c r="AQ141" i="6"/>
  <c r="AQ64" i="6"/>
  <c r="AQ278" i="6" s="1"/>
  <c r="AD185" i="6"/>
  <c r="AD190" i="6" s="1"/>
  <c r="AD187" i="6"/>
  <c r="AD186" i="6"/>
  <c r="AD188" i="6"/>
  <c r="AD189" i="6"/>
  <c r="AH150" i="6"/>
  <c r="AH130" i="6"/>
  <c r="AH172" i="6" s="1"/>
  <c r="AH271" i="6" s="1"/>
  <c r="AH132" i="6"/>
  <c r="AH286" i="6" s="1"/>
  <c r="AI128" i="6"/>
  <c r="AQ135" i="6"/>
  <c r="AQ24" i="6"/>
  <c r="AQ277" i="6" s="1"/>
  <c r="AQ22" i="6"/>
  <c r="AR129" i="6"/>
  <c r="AR98" i="6"/>
  <c r="AR93" i="6"/>
  <c r="AR20" i="6"/>
  <c r="AR13" i="6"/>
  <c r="AR106" i="6"/>
  <c r="AR14" i="6"/>
  <c r="AR120" i="6"/>
  <c r="AR28" i="6"/>
  <c r="AR27" i="6"/>
  <c r="AR105" i="6"/>
  <c r="AR119" i="6"/>
  <c r="AR94" i="6"/>
  <c r="AR112" i="6"/>
  <c r="AR32" i="6"/>
  <c r="AR99" i="6"/>
  <c r="AR33" i="6"/>
  <c r="AR113" i="6"/>
  <c r="AR21" i="6"/>
  <c r="AQ123" i="6"/>
  <c r="AQ285" i="6" s="1"/>
  <c r="AQ149" i="6"/>
  <c r="AQ121" i="6"/>
  <c r="AQ171" i="6" s="1"/>
  <c r="AQ270" i="6" s="1"/>
  <c r="AP265" i="6"/>
  <c r="AP166" i="6"/>
  <c r="AR223" i="6"/>
  <c r="AR320" i="6" s="1"/>
  <c r="AR181" i="6"/>
  <c r="AR296" i="6" s="1"/>
  <c r="AR178" i="6"/>
  <c r="AR225" i="6"/>
  <c r="AR322" i="6" s="1"/>
  <c r="AR182" i="6"/>
  <c r="AR297" i="6" s="1"/>
  <c r="AR226" i="6"/>
  <c r="AR323" i="6" s="1"/>
  <c r="AR179" i="6"/>
  <c r="AR291" i="6" s="1"/>
  <c r="AR209" i="6"/>
  <c r="AR306" i="6" s="1"/>
  <c r="AR205" i="6"/>
  <c r="AR302" i="6" s="1"/>
  <c r="AR204" i="6"/>
  <c r="AR301" i="6" s="1"/>
  <c r="AR212" i="6"/>
  <c r="AR309" i="6" s="1"/>
  <c r="AR211" i="6"/>
  <c r="AR308" i="6" s="1"/>
  <c r="AR206" i="6"/>
  <c r="AR303" i="6" s="1"/>
  <c r="AR217" i="6"/>
  <c r="AR314" i="6" s="1"/>
  <c r="AR222" i="6"/>
  <c r="AR319" i="6" s="1"/>
  <c r="AR180" i="6"/>
  <c r="AR292" i="6" s="1"/>
  <c r="AR208" i="6"/>
  <c r="AR305" i="6" s="1"/>
  <c r="AR352" i="6" s="1"/>
  <c r="AR219" i="6"/>
  <c r="AR316" i="6" s="1"/>
  <c r="AR214" i="6"/>
  <c r="AR311" i="6" s="1"/>
  <c r="AR207" i="6"/>
  <c r="AR304" i="6" s="1"/>
  <c r="AR216" i="6"/>
  <c r="AR313" i="6" s="1"/>
  <c r="AR218" i="6"/>
  <c r="AR315" i="6" s="1"/>
  <c r="AR215" i="6"/>
  <c r="AR312" i="6" s="1"/>
  <c r="AR210" i="6"/>
  <c r="AR307" i="6" s="1"/>
  <c r="AR224" i="6"/>
  <c r="AR321" i="6" s="1"/>
  <c r="AR220" i="6"/>
  <c r="AR317" i="6" s="1"/>
  <c r="AR221" i="6"/>
  <c r="AR318" i="6" s="1"/>
  <c r="AR213" i="6"/>
  <c r="AR310" i="6" s="1"/>
  <c r="AP256" i="6"/>
  <c r="AP157" i="6"/>
  <c r="AP264" i="6"/>
  <c r="AP165" i="6"/>
  <c r="AS233" i="6"/>
  <c r="AS336" i="6" s="1"/>
  <c r="AS246" i="6"/>
  <c r="AS348" i="6" s="1"/>
  <c r="AS234" i="6"/>
  <c r="AS337" i="6" s="1"/>
  <c r="AS230" i="6"/>
  <c r="AS333" i="6" s="1"/>
  <c r="AS51" i="6"/>
  <c r="AS44" i="6"/>
  <c r="AS58" i="6"/>
  <c r="AS245" i="6"/>
  <c r="AS347" i="6" s="1"/>
  <c r="AS75" i="6"/>
  <c r="AS37" i="6"/>
  <c r="AS2" i="6"/>
  <c r="AS126" i="6"/>
  <c r="AT4" i="6"/>
  <c r="AS9" i="6"/>
  <c r="AS232" i="6"/>
  <c r="AS335" i="6" s="1"/>
  <c r="AS235" i="6"/>
  <c r="AS338" i="6" s="1"/>
  <c r="AS236" i="6"/>
  <c r="AS339" i="6" s="1"/>
  <c r="AS237" i="6"/>
  <c r="AS340" i="6" s="1"/>
  <c r="AS244" i="6"/>
  <c r="AS346" i="6" s="1"/>
  <c r="AS228" i="6"/>
  <c r="AS238" i="6"/>
  <c r="AS341" i="6" s="1"/>
  <c r="AS242" i="6"/>
  <c r="AS344" i="6" s="1"/>
  <c r="AS243" i="6"/>
  <c r="AS345" i="6" s="1"/>
  <c r="AS231" i="6"/>
  <c r="AS334" i="6" s="1"/>
  <c r="AS229" i="6"/>
  <c r="AS332" i="6" s="1"/>
  <c r="AA201" i="6"/>
  <c r="AA295" i="6" s="1"/>
  <c r="AQ290" i="6"/>
  <c r="AP261" i="6"/>
  <c r="AP162" i="6"/>
  <c r="AP156" i="6"/>
  <c r="AP255" i="6"/>
  <c r="AQ143" i="6"/>
  <c r="AQ81" i="6"/>
  <c r="AQ280" i="6" s="1"/>
  <c r="AQ79" i="6"/>
  <c r="AO195" i="6"/>
  <c r="AO294" i="6" s="1"/>
  <c r="AQ148" i="6"/>
  <c r="AQ116" i="6"/>
  <c r="AQ284" i="6" s="1"/>
  <c r="AQ114" i="6"/>
  <c r="AQ170" i="6" s="1"/>
  <c r="AQ269" i="6" s="1"/>
  <c r="AR90" i="6" l="1"/>
  <c r="AR281" i="6" s="1"/>
  <c r="AR88" i="6"/>
  <c r="AR144" i="6"/>
  <c r="AQ266" i="6"/>
  <c r="AQ167" i="6"/>
  <c r="AQ168" i="6"/>
  <c r="AQ102" i="6"/>
  <c r="AQ282" i="6" s="1"/>
  <c r="AQ267" i="6"/>
  <c r="AQ163" i="6"/>
  <c r="AQ262" i="6"/>
  <c r="AS226" i="6"/>
  <c r="AS323" i="6" s="1"/>
  <c r="AS225" i="6"/>
  <c r="AS322" i="6" s="1"/>
  <c r="AS178" i="6"/>
  <c r="AS223" i="6"/>
  <c r="AS320" i="6" s="1"/>
  <c r="AS204" i="6"/>
  <c r="AS301" i="6" s="1"/>
  <c r="AS182" i="6"/>
  <c r="AS297" i="6" s="1"/>
  <c r="AS179" i="6"/>
  <c r="AS291" i="6" s="1"/>
  <c r="AS181" i="6"/>
  <c r="AS296" i="6" s="1"/>
  <c r="AS180" i="6"/>
  <c r="AS292" i="6" s="1"/>
  <c r="AS219" i="6"/>
  <c r="AS316" i="6" s="1"/>
  <c r="AS209" i="6"/>
  <c r="AS306" i="6" s="1"/>
  <c r="AS222" i="6"/>
  <c r="AS319" i="6" s="1"/>
  <c r="AS206" i="6"/>
  <c r="AS303" i="6" s="1"/>
  <c r="AS208" i="6"/>
  <c r="AS305" i="6" s="1"/>
  <c r="AS352" i="6" s="1"/>
  <c r="AS212" i="6"/>
  <c r="AS309" i="6" s="1"/>
  <c r="AS205" i="6"/>
  <c r="AS302" i="6" s="1"/>
  <c r="AS217" i="6"/>
  <c r="AS314" i="6" s="1"/>
  <c r="AS211" i="6"/>
  <c r="AS308" i="6" s="1"/>
  <c r="AS207" i="6"/>
  <c r="AS304" i="6" s="1"/>
  <c r="AS220" i="6"/>
  <c r="AS317" i="6" s="1"/>
  <c r="AS210" i="6"/>
  <c r="AS307" i="6" s="1"/>
  <c r="AS215" i="6"/>
  <c r="AS312" i="6" s="1"/>
  <c r="AS224" i="6"/>
  <c r="AS321" i="6" s="1"/>
  <c r="AS216" i="6"/>
  <c r="AS313" i="6" s="1"/>
  <c r="AS214" i="6"/>
  <c r="AS311" i="6" s="1"/>
  <c r="AS218" i="6"/>
  <c r="AS315" i="6" s="1"/>
  <c r="AS221" i="6"/>
  <c r="AS318" i="6" s="1"/>
  <c r="AS213" i="6"/>
  <c r="AS310" i="6" s="1"/>
  <c r="AB298" i="6"/>
  <c r="AB326" i="6" s="1"/>
  <c r="AB328" i="6" s="1"/>
  <c r="AB354" i="6" s="1"/>
  <c r="AB360" i="6" s="1"/>
  <c r="AB361" i="6" s="1"/>
  <c r="AC358" i="6" s="1"/>
  <c r="AQ169" i="6"/>
  <c r="AQ268" i="6" s="1"/>
  <c r="AQ109" i="6"/>
  <c r="AQ283" i="6" s="1"/>
  <c r="AS331" i="6"/>
  <c r="AS349" i="6" s="1"/>
  <c r="AS247" i="6"/>
  <c r="AR134" i="6"/>
  <c r="AR15" i="6"/>
  <c r="AR17" i="6"/>
  <c r="AR276" i="6" s="1"/>
  <c r="AP195" i="6"/>
  <c r="AP294" i="6" s="1"/>
  <c r="AR55" i="6"/>
  <c r="AR140" i="6"/>
  <c r="AQ165" i="6"/>
  <c r="AQ264" i="6"/>
  <c r="AG48" i="6"/>
  <c r="AG139" i="6"/>
  <c r="AG151" i="6" s="1"/>
  <c r="AH46" i="6"/>
  <c r="AT246" i="6"/>
  <c r="AT348" i="6" s="1"/>
  <c r="AT234" i="6"/>
  <c r="AT337" i="6" s="1"/>
  <c r="AT37" i="6"/>
  <c r="AT230" i="6"/>
  <c r="AT333" i="6" s="1"/>
  <c r="AT44" i="6"/>
  <c r="AT245" i="6"/>
  <c r="AT347" i="6" s="1"/>
  <c r="AT75" i="6"/>
  <c r="AT233" i="6"/>
  <c r="AT336" i="6" s="1"/>
  <c r="AT51" i="6"/>
  <c r="AT126" i="6"/>
  <c r="AT2" i="6"/>
  <c r="AT58" i="6"/>
  <c r="AT9" i="6"/>
  <c r="AU4" i="6"/>
  <c r="AT232" i="6"/>
  <c r="AT335" i="6" s="1"/>
  <c r="AT235" i="6"/>
  <c r="AT338" i="6" s="1"/>
  <c r="AT237" i="6"/>
  <c r="AT340" i="6" s="1"/>
  <c r="AT236" i="6"/>
  <c r="AT339" i="6" s="1"/>
  <c r="AT244" i="6"/>
  <c r="AT346" i="6" s="1"/>
  <c r="AT228" i="6"/>
  <c r="AT238" i="6"/>
  <c r="AT341" i="6" s="1"/>
  <c r="AT242" i="6"/>
  <c r="AT344" i="6" s="1"/>
  <c r="AT243" i="6"/>
  <c r="AT345" i="6" s="1"/>
  <c r="AT231" i="6"/>
  <c r="AT334" i="6" s="1"/>
  <c r="AT229" i="6"/>
  <c r="AT332" i="6" s="1"/>
  <c r="AR29" i="6"/>
  <c r="AR136" i="6"/>
  <c r="AQ257" i="6"/>
  <c r="AQ158" i="6"/>
  <c r="AC293" i="6"/>
  <c r="AC199" i="6"/>
  <c r="AC198" i="6"/>
  <c r="AC200" i="6"/>
  <c r="AS40" i="6"/>
  <c r="AQ263" i="6"/>
  <c r="AQ164" i="6"/>
  <c r="AS77" i="6"/>
  <c r="AS87" i="6"/>
  <c r="AS86" i="6"/>
  <c r="AS78" i="6"/>
  <c r="AS68" i="6"/>
  <c r="AS61" i="6"/>
  <c r="AS60" i="6"/>
  <c r="AS69" i="6"/>
  <c r="AR24" i="6"/>
  <c r="AR277" i="6" s="1"/>
  <c r="AR22" i="6"/>
  <c r="AR135" i="6"/>
  <c r="AQ258" i="6"/>
  <c r="AQ159" i="6"/>
  <c r="AR81" i="6"/>
  <c r="AR280" i="6" s="1"/>
  <c r="AR143" i="6"/>
  <c r="AR79" i="6"/>
  <c r="AQ166" i="6"/>
  <c r="AQ265" i="6"/>
  <c r="AD293" i="6"/>
  <c r="AD199" i="6"/>
  <c r="AD200" i="6"/>
  <c r="AD198" i="6"/>
  <c r="AD201" i="6" s="1"/>
  <c r="AD295" i="6" s="1"/>
  <c r="AR123" i="6"/>
  <c r="AR285" i="6" s="1"/>
  <c r="AR121" i="6"/>
  <c r="AR171" i="6" s="1"/>
  <c r="AR270" i="6" s="1"/>
  <c r="AR149" i="6"/>
  <c r="AQ256" i="6"/>
  <c r="AQ157" i="6"/>
  <c r="AI259" i="6"/>
  <c r="AI160" i="6"/>
  <c r="AF252" i="6"/>
  <c r="AF154" i="6"/>
  <c r="AF184" i="6" s="1"/>
  <c r="AR64" i="6"/>
  <c r="AR278" i="6" s="1"/>
  <c r="AR62" i="6"/>
  <c r="AR141" i="6"/>
  <c r="AS47" i="6"/>
  <c r="AR290" i="6"/>
  <c r="AR137" i="6"/>
  <c r="AR34" i="6"/>
  <c r="AR95" i="6"/>
  <c r="AR145" i="6"/>
  <c r="AR153" i="6" s="1"/>
  <c r="AR192" i="6" s="1"/>
  <c r="AQ255" i="6"/>
  <c r="AQ156" i="6"/>
  <c r="AE187" i="6"/>
  <c r="AE186" i="6"/>
  <c r="AE185" i="6"/>
  <c r="AE189" i="6"/>
  <c r="AE188" i="6"/>
  <c r="AQ194" i="6"/>
  <c r="AQ193" i="6"/>
  <c r="AQ195" i="6" s="1"/>
  <c r="AQ294" i="6" s="1"/>
  <c r="AS120" i="6"/>
  <c r="AS119" i="6"/>
  <c r="AS106" i="6"/>
  <c r="AS27" i="6"/>
  <c r="AS112" i="6"/>
  <c r="AS99" i="6"/>
  <c r="AS28" i="6"/>
  <c r="AS105" i="6"/>
  <c r="AS93" i="6"/>
  <c r="AS98" i="6"/>
  <c r="AS13" i="6"/>
  <c r="AS94" i="6"/>
  <c r="AS32" i="6"/>
  <c r="AS14" i="6"/>
  <c r="AS129" i="6"/>
  <c r="AS33" i="6"/>
  <c r="AS113" i="6"/>
  <c r="AS20" i="6"/>
  <c r="AS21" i="6"/>
  <c r="AR107" i="6"/>
  <c r="AR147" i="6"/>
  <c r="AR324" i="6"/>
  <c r="AF260" i="6"/>
  <c r="AF273" i="6" s="1"/>
  <c r="AF288" i="6" s="1"/>
  <c r="AF161" i="6"/>
  <c r="AF174" i="6" s="1"/>
  <c r="AI132" i="6"/>
  <c r="AI286" i="6" s="1"/>
  <c r="AI150" i="6"/>
  <c r="AI130" i="6"/>
  <c r="AI172" i="6" s="1"/>
  <c r="AI271" i="6" s="1"/>
  <c r="AJ128" i="6"/>
  <c r="AR70" i="6"/>
  <c r="AR72" i="6"/>
  <c r="AR279" i="6" s="1"/>
  <c r="AR142" i="6"/>
  <c r="AS54" i="6"/>
  <c r="AS53" i="6"/>
  <c r="AR148" i="6"/>
  <c r="AR116" i="6"/>
  <c r="AR284" i="6" s="1"/>
  <c r="AR114" i="6"/>
  <c r="AR170" i="6" s="1"/>
  <c r="AR269" i="6" s="1"/>
  <c r="AR146" i="6"/>
  <c r="AR100" i="6"/>
  <c r="AJ41" i="6"/>
  <c r="AJ138" i="6"/>
  <c r="AK39" i="6"/>
  <c r="AQ261" i="6"/>
  <c r="AQ162" i="6"/>
  <c r="AU234" i="6" l="1"/>
  <c r="AU337" i="6" s="1"/>
  <c r="AU245" i="6"/>
  <c r="AU347" i="6" s="1"/>
  <c r="AU246" i="6"/>
  <c r="AU348" i="6" s="1"/>
  <c r="AU9" i="6"/>
  <c r="AU75" i="6"/>
  <c r="AU230" i="6"/>
  <c r="AU333" i="6" s="1"/>
  <c r="AU126" i="6"/>
  <c r="AU2" i="6"/>
  <c r="AU233" i="6"/>
  <c r="AU336" i="6" s="1"/>
  <c r="AU58" i="6"/>
  <c r="AU37" i="6"/>
  <c r="AU235" i="6"/>
  <c r="AU338" i="6" s="1"/>
  <c r="AU44" i="6"/>
  <c r="AV4" i="6"/>
  <c r="AU51" i="6"/>
  <c r="AU232" i="6"/>
  <c r="AU335" i="6" s="1"/>
  <c r="AU237" i="6"/>
  <c r="AU340" i="6" s="1"/>
  <c r="AU236" i="6"/>
  <c r="AU339" i="6" s="1"/>
  <c r="AU244" i="6"/>
  <c r="AU346" i="6" s="1"/>
  <c r="AU228" i="6"/>
  <c r="AU238" i="6"/>
  <c r="AU341" i="6" s="1"/>
  <c r="AU242" i="6"/>
  <c r="AU344" i="6" s="1"/>
  <c r="AU243" i="6"/>
  <c r="AU345" i="6" s="1"/>
  <c r="AU229" i="6"/>
  <c r="AU332" i="6" s="1"/>
  <c r="AU231" i="6"/>
  <c r="AU334" i="6" s="1"/>
  <c r="AF187" i="6"/>
  <c r="AF189" i="6"/>
  <c r="AF188" i="6"/>
  <c r="AF185" i="6"/>
  <c r="AF186" i="6"/>
  <c r="AH139" i="6"/>
  <c r="AH151" i="6" s="1"/>
  <c r="AH48" i="6"/>
  <c r="AI46" i="6"/>
  <c r="AT226" i="6"/>
  <c r="AT323" i="6" s="1"/>
  <c r="AT179" i="6"/>
  <c r="AT291" i="6" s="1"/>
  <c r="AT225" i="6"/>
  <c r="AT322" i="6" s="1"/>
  <c r="AT178" i="6"/>
  <c r="AT182" i="6"/>
  <c r="AT297" i="6" s="1"/>
  <c r="AT219" i="6"/>
  <c r="AT316" i="6" s="1"/>
  <c r="AT223" i="6"/>
  <c r="AT320" i="6" s="1"/>
  <c r="AT206" i="6"/>
  <c r="AT303" i="6" s="1"/>
  <c r="AT208" i="6"/>
  <c r="AT305" i="6" s="1"/>
  <c r="AT352" i="6" s="1"/>
  <c r="AT181" i="6"/>
  <c r="AT296" i="6" s="1"/>
  <c r="AT180" i="6"/>
  <c r="AT292" i="6" s="1"/>
  <c r="AT205" i="6"/>
  <c r="AT302" i="6" s="1"/>
  <c r="AT209" i="6"/>
  <c r="AT306" i="6" s="1"/>
  <c r="AT204" i="6"/>
  <c r="AT301" i="6" s="1"/>
  <c r="AT324" i="6" s="1"/>
  <c r="AT217" i="6"/>
  <c r="AT314" i="6" s="1"/>
  <c r="AT211" i="6"/>
  <c r="AT308" i="6" s="1"/>
  <c r="AT222" i="6"/>
  <c r="AT319" i="6" s="1"/>
  <c r="AT212" i="6"/>
  <c r="AT309" i="6" s="1"/>
  <c r="AT210" i="6"/>
  <c r="AT307" i="6" s="1"/>
  <c r="AT220" i="6"/>
  <c r="AT317" i="6" s="1"/>
  <c r="AT207" i="6"/>
  <c r="AT304" i="6" s="1"/>
  <c r="AT213" i="6"/>
  <c r="AT310" i="6" s="1"/>
  <c r="AT214" i="6"/>
  <c r="AT311" i="6" s="1"/>
  <c r="AT215" i="6"/>
  <c r="AT312" i="6" s="1"/>
  <c r="AT221" i="6"/>
  <c r="AT318" i="6" s="1"/>
  <c r="AT218" i="6"/>
  <c r="AT315" i="6" s="1"/>
  <c r="AT216" i="6"/>
  <c r="AT313" i="6" s="1"/>
  <c r="AT224" i="6"/>
  <c r="AT321" i="6" s="1"/>
  <c r="AS146" i="6"/>
  <c r="AS100" i="6"/>
  <c r="AS141" i="6"/>
  <c r="AS64" i="6"/>
  <c r="AS278" i="6" s="1"/>
  <c r="AS62" i="6"/>
  <c r="AS55" i="6"/>
  <c r="AS140" i="6"/>
  <c r="AR169" i="6"/>
  <c r="AR268" i="6" s="1"/>
  <c r="AR109" i="6"/>
  <c r="AR283" i="6" s="1"/>
  <c r="AT331" i="6"/>
  <c r="AT349" i="6" s="1"/>
  <c r="AT247" i="6"/>
  <c r="AE190" i="6"/>
  <c r="AT87" i="6"/>
  <c r="AT77" i="6"/>
  <c r="AT78" i="6"/>
  <c r="AT86" i="6"/>
  <c r="AS22" i="6"/>
  <c r="AS135" i="6"/>
  <c r="AS24" i="6"/>
  <c r="AS277" i="6" s="1"/>
  <c r="AS90" i="6"/>
  <c r="AS281" i="6" s="1"/>
  <c r="AS88" i="6"/>
  <c r="AS144" i="6"/>
  <c r="AS34" i="6"/>
  <c r="AS137" i="6"/>
  <c r="AR266" i="6"/>
  <c r="AR167" i="6"/>
  <c r="AT69" i="6"/>
  <c r="AT61" i="6"/>
  <c r="AT60" i="6"/>
  <c r="AT68" i="6"/>
  <c r="AD298" i="6"/>
  <c r="AD326" i="6" s="1"/>
  <c r="AD328" i="6" s="1"/>
  <c r="AD354" i="6" s="1"/>
  <c r="AD360" i="6" s="1"/>
  <c r="AS145" i="6"/>
  <c r="AS153" i="6" s="1"/>
  <c r="AS192" i="6" s="1"/>
  <c r="AS95" i="6"/>
  <c r="AT53" i="6"/>
  <c r="AT54" i="6"/>
  <c r="AR264" i="6"/>
  <c r="AR165" i="6"/>
  <c r="AS116" i="6"/>
  <c r="AS284" i="6" s="1"/>
  <c r="AS114" i="6"/>
  <c r="AS170" i="6" s="1"/>
  <c r="AS269" i="6" s="1"/>
  <c r="AS148" i="6"/>
  <c r="AT47" i="6"/>
  <c r="AR162" i="6"/>
  <c r="AR261" i="6"/>
  <c r="AS290" i="6"/>
  <c r="AR194" i="6"/>
  <c r="AR193" i="6"/>
  <c r="AR195" i="6" s="1"/>
  <c r="AR294" i="6" s="1"/>
  <c r="AR256" i="6"/>
  <c r="AR157" i="6"/>
  <c r="AT120" i="6"/>
  <c r="AT119" i="6"/>
  <c r="AT32" i="6"/>
  <c r="AT105" i="6"/>
  <c r="AT21" i="6"/>
  <c r="AT13" i="6"/>
  <c r="AT93" i="6"/>
  <c r="AT27" i="6"/>
  <c r="AT106" i="6"/>
  <c r="AT113" i="6"/>
  <c r="AT112" i="6"/>
  <c r="AT28" i="6"/>
  <c r="AT14" i="6"/>
  <c r="AT99" i="6"/>
  <c r="AT129" i="6"/>
  <c r="AT98" i="6"/>
  <c r="AT33" i="6"/>
  <c r="AT94" i="6"/>
  <c r="AT20" i="6"/>
  <c r="AR159" i="6"/>
  <c r="AR258" i="6"/>
  <c r="AG252" i="6"/>
  <c r="AG154" i="6"/>
  <c r="AG184" i="6" s="1"/>
  <c r="AS147" i="6"/>
  <c r="AS107" i="6"/>
  <c r="AS72" i="6"/>
  <c r="AS279" i="6" s="1"/>
  <c r="AS142" i="6"/>
  <c r="AS70" i="6"/>
  <c r="AS324" i="6"/>
  <c r="AR263" i="6"/>
  <c r="AR164" i="6"/>
  <c r="AJ130" i="6"/>
  <c r="AJ172" i="6" s="1"/>
  <c r="AJ271" i="6" s="1"/>
  <c r="AJ150" i="6"/>
  <c r="AJ132" i="6"/>
  <c r="AJ286" i="6" s="1"/>
  <c r="AK128" i="6"/>
  <c r="AS136" i="6"/>
  <c r="AS29" i="6"/>
  <c r="AS81" i="6"/>
  <c r="AS280" i="6" s="1"/>
  <c r="AS79" i="6"/>
  <c r="AS143" i="6"/>
  <c r="AR265" i="6"/>
  <c r="AR166" i="6"/>
  <c r="AR267" i="6"/>
  <c r="AR102" i="6"/>
  <c r="AR282" i="6" s="1"/>
  <c r="AR168" i="6"/>
  <c r="AS123" i="6"/>
  <c r="AS285" i="6" s="1"/>
  <c r="AS121" i="6"/>
  <c r="AS171" i="6" s="1"/>
  <c r="AS270" i="6" s="1"/>
  <c r="AS149" i="6"/>
  <c r="AR257" i="6"/>
  <c r="AR158" i="6"/>
  <c r="AR156" i="6"/>
  <c r="AR255" i="6"/>
  <c r="AS15" i="6"/>
  <c r="AS17" i="6"/>
  <c r="AS276" i="6" s="1"/>
  <c r="AS134" i="6"/>
  <c r="AG260" i="6"/>
  <c r="AG273" i="6" s="1"/>
  <c r="AG288" i="6" s="1"/>
  <c r="AG161" i="6"/>
  <c r="AG174" i="6" s="1"/>
  <c r="AC201" i="6"/>
  <c r="AC295" i="6" s="1"/>
  <c r="AC298" i="6" s="1"/>
  <c r="AC326" i="6" s="1"/>
  <c r="AC328" i="6" s="1"/>
  <c r="AC354" i="6" s="1"/>
  <c r="AC360" i="6" s="1"/>
  <c r="AC361" i="6" s="1"/>
  <c r="AD358" i="6" s="1"/>
  <c r="AD361" i="6" s="1"/>
  <c r="AE358" i="6" s="1"/>
  <c r="AK138" i="6"/>
  <c r="AK41" i="6"/>
  <c r="AL39" i="6"/>
  <c r="AJ259" i="6"/>
  <c r="AJ160" i="6"/>
  <c r="AR262" i="6"/>
  <c r="AR163" i="6"/>
  <c r="AT40" i="6"/>
  <c r="AS265" i="6" l="1"/>
  <c r="AS166" i="6"/>
  <c r="AT142" i="6"/>
  <c r="AT72" i="6"/>
  <c r="AT279" i="6" s="1"/>
  <c r="AT70" i="6"/>
  <c r="AH260" i="6"/>
  <c r="AH273" i="6" s="1"/>
  <c r="AH288" i="6" s="1"/>
  <c r="AH161" i="6"/>
  <c r="AH174" i="6" s="1"/>
  <c r="AS156" i="6"/>
  <c r="AS255" i="6"/>
  <c r="AS262" i="6"/>
  <c r="AS163" i="6"/>
  <c r="AS264" i="6"/>
  <c r="AS165" i="6"/>
  <c r="AT135" i="6"/>
  <c r="AT24" i="6"/>
  <c r="AT277" i="6" s="1"/>
  <c r="AT22" i="6"/>
  <c r="AU33" i="6"/>
  <c r="AU120" i="6"/>
  <c r="AU119" i="6"/>
  <c r="AU28" i="6"/>
  <c r="AU98" i="6"/>
  <c r="AU94" i="6"/>
  <c r="AU105" i="6"/>
  <c r="AU113" i="6"/>
  <c r="AU112" i="6"/>
  <c r="AU32" i="6"/>
  <c r="AU14" i="6"/>
  <c r="AU27" i="6"/>
  <c r="AU99" i="6"/>
  <c r="AU13" i="6"/>
  <c r="AU21" i="6"/>
  <c r="AU129" i="6"/>
  <c r="AU93" i="6"/>
  <c r="AU106" i="6"/>
  <c r="AU20" i="6"/>
  <c r="AL138" i="6"/>
  <c r="AL41" i="6"/>
  <c r="AM39" i="6"/>
  <c r="AS263" i="6"/>
  <c r="AS164" i="6"/>
  <c r="AT15" i="6"/>
  <c r="AT134" i="6"/>
  <c r="AT17" i="6"/>
  <c r="AT276" i="6" s="1"/>
  <c r="AT143" i="6"/>
  <c r="AT79" i="6"/>
  <c r="AT81" i="6"/>
  <c r="AT280" i="6" s="1"/>
  <c r="AS267" i="6"/>
  <c r="AS102" i="6"/>
  <c r="AS282" i="6" s="1"/>
  <c r="AS168" i="6"/>
  <c r="AU53" i="6"/>
  <c r="AU54" i="6"/>
  <c r="AS193" i="6"/>
  <c r="AS194" i="6"/>
  <c r="AU40" i="6"/>
  <c r="AI139" i="6"/>
  <c r="AI151" i="6" s="1"/>
  <c r="AI48" i="6"/>
  <c r="AJ46" i="6"/>
  <c r="AU226" i="6"/>
  <c r="AU323" i="6" s="1"/>
  <c r="AU182" i="6"/>
  <c r="AU297" i="6" s="1"/>
  <c r="AU181" i="6"/>
  <c r="AU296" i="6" s="1"/>
  <c r="AU223" i="6"/>
  <c r="AU320" i="6" s="1"/>
  <c r="AU179" i="6"/>
  <c r="AU291" i="6" s="1"/>
  <c r="AU178" i="6"/>
  <c r="AU225" i="6"/>
  <c r="AU322" i="6" s="1"/>
  <c r="AU217" i="6"/>
  <c r="AU314" i="6" s="1"/>
  <c r="AU208" i="6"/>
  <c r="AU305" i="6" s="1"/>
  <c r="AU352" i="6" s="1"/>
  <c r="AU180" i="6"/>
  <c r="AU292" i="6" s="1"/>
  <c r="AU212" i="6"/>
  <c r="AU309" i="6" s="1"/>
  <c r="AU204" i="6"/>
  <c r="AU301" i="6" s="1"/>
  <c r="AU205" i="6"/>
  <c r="AU302" i="6" s="1"/>
  <c r="AU209" i="6"/>
  <c r="AU306" i="6" s="1"/>
  <c r="AU206" i="6"/>
  <c r="AU303" i="6" s="1"/>
  <c r="AU219" i="6"/>
  <c r="AU316" i="6" s="1"/>
  <c r="AU211" i="6"/>
  <c r="AU308" i="6" s="1"/>
  <c r="AU222" i="6"/>
  <c r="AU319" i="6" s="1"/>
  <c r="AU224" i="6"/>
  <c r="AU321" i="6" s="1"/>
  <c r="AU218" i="6"/>
  <c r="AU315" i="6" s="1"/>
  <c r="AU210" i="6"/>
  <c r="AU307" i="6" s="1"/>
  <c r="AU221" i="6"/>
  <c r="AU318" i="6" s="1"/>
  <c r="AU220" i="6"/>
  <c r="AU317" i="6" s="1"/>
  <c r="AU207" i="6"/>
  <c r="AU304" i="6" s="1"/>
  <c r="AU216" i="6"/>
  <c r="AU313" i="6" s="1"/>
  <c r="AU213" i="6"/>
  <c r="AU310" i="6" s="1"/>
  <c r="AU215" i="6"/>
  <c r="AU312" i="6" s="1"/>
  <c r="AU214" i="6"/>
  <c r="AU311" i="6" s="1"/>
  <c r="AT141" i="6"/>
  <c r="AT64" i="6"/>
  <c r="AT278" i="6" s="1"/>
  <c r="AT62" i="6"/>
  <c r="AS261" i="6"/>
  <c r="AS162" i="6"/>
  <c r="AH154" i="6"/>
  <c r="AH184" i="6" s="1"/>
  <c r="AH252" i="6"/>
  <c r="AF190" i="6"/>
  <c r="AT95" i="6"/>
  <c r="AT145" i="6"/>
  <c r="AT153" i="6" s="1"/>
  <c r="AT192" i="6" s="1"/>
  <c r="AK259" i="6"/>
  <c r="AK160" i="6"/>
  <c r="AT140" i="6"/>
  <c r="AT55" i="6"/>
  <c r="AV246" i="6"/>
  <c r="AV348" i="6" s="1"/>
  <c r="AV245" i="6"/>
  <c r="AV347" i="6" s="1"/>
  <c r="AV233" i="6"/>
  <c r="AV336" i="6" s="1"/>
  <c r="AV230" i="6"/>
  <c r="AV333" i="6" s="1"/>
  <c r="AV234" i="6"/>
  <c r="AV337" i="6" s="1"/>
  <c r="AV126" i="6"/>
  <c r="AV58" i="6"/>
  <c r="AV9" i="6"/>
  <c r="AV75" i="6"/>
  <c r="AW4" i="6"/>
  <c r="AV37" i="6"/>
  <c r="AV2" i="6"/>
  <c r="AV44" i="6"/>
  <c r="AV51" i="6"/>
  <c r="AV232" i="6"/>
  <c r="AV335" i="6" s="1"/>
  <c r="AV235" i="6"/>
  <c r="AV338" i="6" s="1"/>
  <c r="AV237" i="6"/>
  <c r="AV340" i="6" s="1"/>
  <c r="AV236" i="6"/>
  <c r="AV339" i="6" s="1"/>
  <c r="AV244" i="6"/>
  <c r="AV346" i="6" s="1"/>
  <c r="AV228" i="6"/>
  <c r="AV238" i="6"/>
  <c r="AV341" i="6" s="1"/>
  <c r="AV242" i="6"/>
  <c r="AV344" i="6" s="1"/>
  <c r="AV243" i="6"/>
  <c r="AV345" i="6" s="1"/>
  <c r="AV231" i="6"/>
  <c r="AV334" i="6" s="1"/>
  <c r="AV229" i="6"/>
  <c r="AV332" i="6" s="1"/>
  <c r="AT121" i="6"/>
  <c r="AT171" i="6" s="1"/>
  <c r="AT270" i="6" s="1"/>
  <c r="AT123" i="6"/>
  <c r="AT285" i="6" s="1"/>
  <c r="AT149" i="6"/>
  <c r="AG185" i="6"/>
  <c r="AG188" i="6"/>
  <c r="AG189" i="6"/>
  <c r="AG187" i="6"/>
  <c r="AG186" i="6"/>
  <c r="AU69" i="6"/>
  <c r="AU61" i="6"/>
  <c r="AU60" i="6"/>
  <c r="AU68" i="6"/>
  <c r="AS256" i="6"/>
  <c r="AS157" i="6"/>
  <c r="AT88" i="6"/>
  <c r="AT90" i="6"/>
  <c r="AT281" i="6" s="1"/>
  <c r="AT144" i="6"/>
  <c r="AU86" i="6"/>
  <c r="AU87" i="6"/>
  <c r="AU78" i="6"/>
  <c r="AU77" i="6"/>
  <c r="AS158" i="6"/>
  <c r="AS257" i="6"/>
  <c r="AT100" i="6"/>
  <c r="AT146" i="6"/>
  <c r="AT147" i="6"/>
  <c r="AT107" i="6"/>
  <c r="AS258" i="6"/>
  <c r="AS159" i="6"/>
  <c r="AE293" i="6"/>
  <c r="AE198" i="6"/>
  <c r="AE199" i="6"/>
  <c r="AE200" i="6"/>
  <c r="AT290" i="6"/>
  <c r="AU47" i="6"/>
  <c r="AK150" i="6"/>
  <c r="AK130" i="6"/>
  <c r="AK172" i="6" s="1"/>
  <c r="AK271" i="6" s="1"/>
  <c r="AK132" i="6"/>
  <c r="AK286" i="6" s="1"/>
  <c r="AL128" i="6"/>
  <c r="AT116" i="6"/>
  <c r="AT284" i="6" s="1"/>
  <c r="AT148" i="6"/>
  <c r="AT114" i="6"/>
  <c r="AT170" i="6" s="1"/>
  <c r="AT269" i="6" s="1"/>
  <c r="AU331" i="6"/>
  <c r="AU349" i="6" s="1"/>
  <c r="AU247" i="6"/>
  <c r="AT136" i="6"/>
  <c r="AT29" i="6"/>
  <c r="AS169" i="6"/>
  <c r="AS268" i="6" s="1"/>
  <c r="AS109" i="6"/>
  <c r="AS283" i="6" s="1"/>
  <c r="AT137" i="6"/>
  <c r="AT34" i="6"/>
  <c r="AS167" i="6"/>
  <c r="AS266" i="6"/>
  <c r="AU15" i="6" l="1"/>
  <c r="AU17" i="6"/>
  <c r="AU276" i="6" s="1"/>
  <c r="AU134" i="6"/>
  <c r="AU290" i="6"/>
  <c r="AT256" i="6"/>
  <c r="AT157" i="6"/>
  <c r="AV77" i="6"/>
  <c r="AV78" i="6"/>
  <c r="AV87" i="6"/>
  <c r="AV86" i="6"/>
  <c r="AU34" i="6"/>
  <c r="AU137" i="6"/>
  <c r="AU116" i="6"/>
  <c r="AU284" i="6" s="1"/>
  <c r="AU114" i="6"/>
  <c r="AU170" i="6" s="1"/>
  <c r="AU269" i="6" s="1"/>
  <c r="AU148" i="6"/>
  <c r="AT158" i="6"/>
  <c r="AT257" i="6"/>
  <c r="AF293" i="6"/>
  <c r="AF298" i="6" s="1"/>
  <c r="AF326" i="6" s="1"/>
  <c r="AF328" i="6" s="1"/>
  <c r="AF354" i="6" s="1"/>
  <c r="AF360" i="6" s="1"/>
  <c r="AF198" i="6"/>
  <c r="AF201" i="6" s="1"/>
  <c r="AF295" i="6" s="1"/>
  <c r="AF200" i="6"/>
  <c r="AF199" i="6"/>
  <c r="AU142" i="6"/>
  <c r="AU72" i="6"/>
  <c r="AU279" i="6" s="1"/>
  <c r="AU70" i="6"/>
  <c r="AV47" i="6"/>
  <c r="AU149" i="6"/>
  <c r="AU121" i="6"/>
  <c r="AU171" i="6" s="1"/>
  <c r="AU270" i="6" s="1"/>
  <c r="AU123" i="6"/>
  <c r="AU285" i="6" s="1"/>
  <c r="AU141" i="6"/>
  <c r="AU64" i="6"/>
  <c r="AU278" i="6" s="1"/>
  <c r="AU62" i="6"/>
  <c r="AV226" i="6"/>
  <c r="AV323" i="6" s="1"/>
  <c r="AV225" i="6"/>
  <c r="AV322" i="6" s="1"/>
  <c r="AV204" i="6"/>
  <c r="AV301" i="6" s="1"/>
  <c r="AV179" i="6"/>
  <c r="AV291" i="6" s="1"/>
  <c r="AV181" i="6"/>
  <c r="AV296" i="6" s="1"/>
  <c r="AV219" i="6"/>
  <c r="AV316" i="6" s="1"/>
  <c r="AV205" i="6"/>
  <c r="AV302" i="6" s="1"/>
  <c r="AV223" i="6"/>
  <c r="AV320" i="6" s="1"/>
  <c r="AV206" i="6"/>
  <c r="AV303" i="6" s="1"/>
  <c r="AV182" i="6"/>
  <c r="AV297" i="6" s="1"/>
  <c r="AV178" i="6"/>
  <c r="AV217" i="6"/>
  <c r="AV314" i="6" s="1"/>
  <c r="AV209" i="6"/>
  <c r="AV306" i="6" s="1"/>
  <c r="AV180" i="6"/>
  <c r="AV292" i="6" s="1"/>
  <c r="AV208" i="6"/>
  <c r="AV305" i="6" s="1"/>
  <c r="AV352" i="6" s="1"/>
  <c r="AV212" i="6"/>
  <c r="AV309" i="6" s="1"/>
  <c r="AV222" i="6"/>
  <c r="AV319" i="6" s="1"/>
  <c r="AV211" i="6"/>
  <c r="AV308" i="6" s="1"/>
  <c r="AV213" i="6"/>
  <c r="AV310" i="6" s="1"/>
  <c r="AV224" i="6"/>
  <c r="AV321" i="6" s="1"/>
  <c r="AV216" i="6"/>
  <c r="AV313" i="6" s="1"/>
  <c r="AV215" i="6"/>
  <c r="AV312" i="6" s="1"/>
  <c r="AV210" i="6"/>
  <c r="AV307" i="6" s="1"/>
  <c r="AV220" i="6"/>
  <c r="AV317" i="6" s="1"/>
  <c r="AV207" i="6"/>
  <c r="AV304" i="6" s="1"/>
  <c r="AV214" i="6"/>
  <c r="AV311" i="6" s="1"/>
  <c r="AV218" i="6"/>
  <c r="AV315" i="6" s="1"/>
  <c r="AV221" i="6"/>
  <c r="AV318" i="6" s="1"/>
  <c r="AT162" i="6"/>
  <c r="AT261" i="6"/>
  <c r="AT258" i="6"/>
  <c r="AT159" i="6"/>
  <c r="AU143" i="6"/>
  <c r="AU79" i="6"/>
  <c r="AU81" i="6"/>
  <c r="AU280" i="6" s="1"/>
  <c r="AU144" i="6"/>
  <c r="AU88" i="6"/>
  <c r="AU90" i="6"/>
  <c r="AU281" i="6" s="1"/>
  <c r="AV331" i="6"/>
  <c r="AV349" i="6" s="1"/>
  <c r="AV247" i="6"/>
  <c r="AU140" i="6"/>
  <c r="AU55" i="6"/>
  <c r="AM138" i="6"/>
  <c r="AM41" i="6"/>
  <c r="AN39" i="6"/>
  <c r="AT169" i="6"/>
  <c r="AT268" i="6" s="1"/>
  <c r="AT109" i="6"/>
  <c r="AT283" i="6" s="1"/>
  <c r="AV61" i="6"/>
  <c r="AV60" i="6"/>
  <c r="AV68" i="6"/>
  <c r="AV69" i="6"/>
  <c r="AT266" i="6"/>
  <c r="AT167" i="6"/>
  <c r="AL160" i="6"/>
  <c r="AL259" i="6"/>
  <c r="AT265" i="6"/>
  <c r="AT166" i="6"/>
  <c r="AG190" i="6"/>
  <c r="AU324" i="6"/>
  <c r="AU24" i="6"/>
  <c r="AU277" i="6" s="1"/>
  <c r="AU135" i="6"/>
  <c r="AU22" i="6"/>
  <c r="AU147" i="6"/>
  <c r="AU107" i="6"/>
  <c r="AV53" i="6"/>
  <c r="AV54" i="6"/>
  <c r="AT262" i="6"/>
  <c r="AT163" i="6"/>
  <c r="AE201" i="6"/>
  <c r="AE295" i="6" s="1"/>
  <c r="AE298" i="6" s="1"/>
  <c r="AE326" i="6" s="1"/>
  <c r="AE328" i="6" s="1"/>
  <c r="AE354" i="6" s="1"/>
  <c r="AE360" i="6" s="1"/>
  <c r="AE361" i="6" s="1"/>
  <c r="AF358" i="6" s="1"/>
  <c r="AF361" i="6" s="1"/>
  <c r="AG358" i="6" s="1"/>
  <c r="AV40" i="6"/>
  <c r="AT255" i="6"/>
  <c r="AT156" i="6"/>
  <c r="AU136" i="6"/>
  <c r="AU29" i="6"/>
  <c r="AT263" i="6"/>
  <c r="AT164" i="6"/>
  <c r="AT193" i="6"/>
  <c r="AT194" i="6"/>
  <c r="AT168" i="6"/>
  <c r="AT267" i="6"/>
  <c r="AT102" i="6"/>
  <c r="AT282" i="6" s="1"/>
  <c r="AJ139" i="6"/>
  <c r="AJ151" i="6" s="1"/>
  <c r="AJ48" i="6"/>
  <c r="AK46" i="6"/>
  <c r="AI154" i="6"/>
  <c r="AI184" i="6" s="1"/>
  <c r="AI252" i="6"/>
  <c r="AL150" i="6"/>
  <c r="AL132" i="6"/>
  <c r="AL286" i="6" s="1"/>
  <c r="AL130" i="6"/>
  <c r="AL172" i="6" s="1"/>
  <c r="AL271" i="6" s="1"/>
  <c r="AM128" i="6"/>
  <c r="AW246" i="6"/>
  <c r="AW348" i="6" s="1"/>
  <c r="AW245" i="6"/>
  <c r="AW347" i="6" s="1"/>
  <c r="AW230" i="6"/>
  <c r="AW333" i="6" s="1"/>
  <c r="AW234" i="6"/>
  <c r="AW337" i="6" s="1"/>
  <c r="AW233" i="6"/>
  <c r="AW336" i="6" s="1"/>
  <c r="AW9" i="6"/>
  <c r="AX4" i="6"/>
  <c r="AW75" i="6"/>
  <c r="AW37" i="6"/>
  <c r="AW126" i="6"/>
  <c r="AW58" i="6"/>
  <c r="AW51" i="6"/>
  <c r="AW44" i="6"/>
  <c r="AW2" i="6"/>
  <c r="AW235" i="6"/>
  <c r="AW338" i="6" s="1"/>
  <c r="AW232" i="6"/>
  <c r="AW335" i="6" s="1"/>
  <c r="AW237" i="6"/>
  <c r="AW340" i="6" s="1"/>
  <c r="AW236" i="6"/>
  <c r="AW339" i="6" s="1"/>
  <c r="AW244" i="6"/>
  <c r="AW346" i="6" s="1"/>
  <c r="AW228" i="6"/>
  <c r="AW238" i="6"/>
  <c r="AW341" i="6" s="1"/>
  <c r="AW242" i="6"/>
  <c r="AW344" i="6" s="1"/>
  <c r="AW243" i="6"/>
  <c r="AW345" i="6" s="1"/>
  <c r="AW231" i="6"/>
  <c r="AW334" i="6" s="1"/>
  <c r="AW229" i="6"/>
  <c r="AW332" i="6" s="1"/>
  <c r="AS195" i="6"/>
  <c r="AS294" i="6" s="1"/>
  <c r="AV20" i="6"/>
  <c r="AV129" i="6"/>
  <c r="AV113" i="6"/>
  <c r="AV112" i="6"/>
  <c r="AV105" i="6"/>
  <c r="AV98" i="6"/>
  <c r="AV93" i="6"/>
  <c r="AV21" i="6"/>
  <c r="AV13" i="6"/>
  <c r="AV27" i="6"/>
  <c r="AV120" i="6"/>
  <c r="AV99" i="6"/>
  <c r="AV32" i="6"/>
  <c r="AV94" i="6"/>
  <c r="AV33" i="6"/>
  <c r="AV119" i="6"/>
  <c r="AV106" i="6"/>
  <c r="AV28" i="6"/>
  <c r="AV14" i="6"/>
  <c r="AH186" i="6"/>
  <c r="AH189" i="6"/>
  <c r="AH188" i="6"/>
  <c r="AH187" i="6"/>
  <c r="AH185" i="6"/>
  <c r="AH190" i="6" s="1"/>
  <c r="AI260" i="6"/>
  <c r="AI273" i="6" s="1"/>
  <c r="AI288" i="6" s="1"/>
  <c r="AI161" i="6"/>
  <c r="AI174" i="6" s="1"/>
  <c r="AT264" i="6"/>
  <c r="AT165" i="6"/>
  <c r="AU145" i="6"/>
  <c r="AU153" i="6" s="1"/>
  <c r="AU192" i="6" s="1"/>
  <c r="AU95" i="6"/>
  <c r="AU100" i="6"/>
  <c r="AU146" i="6"/>
  <c r="AU167" i="6" l="1"/>
  <c r="AU266" i="6"/>
  <c r="AW87" i="6"/>
  <c r="AW86" i="6"/>
  <c r="AW78" i="6"/>
  <c r="AW77" i="6"/>
  <c r="AI189" i="6"/>
  <c r="AI186" i="6"/>
  <c r="AI188" i="6"/>
  <c r="AI187" i="6"/>
  <c r="AI185" i="6"/>
  <c r="AV148" i="6"/>
  <c r="AV114" i="6"/>
  <c r="AV170" i="6" s="1"/>
  <c r="AV269" i="6" s="1"/>
  <c r="AV116" i="6"/>
  <c r="AV284" i="6" s="1"/>
  <c r="AJ260" i="6"/>
  <c r="AJ273" i="6" s="1"/>
  <c r="AJ288" i="6" s="1"/>
  <c r="AJ161" i="6"/>
  <c r="AJ174" i="6" s="1"/>
  <c r="AV72" i="6"/>
  <c r="AV279" i="6" s="1"/>
  <c r="AV70" i="6"/>
  <c r="AV142" i="6"/>
  <c r="AV135" i="6"/>
  <c r="AV22" i="6"/>
  <c r="AV24" i="6"/>
  <c r="AV277" i="6" s="1"/>
  <c r="AW54" i="6"/>
  <c r="AW53" i="6"/>
  <c r="AM130" i="6"/>
  <c r="AM172" i="6" s="1"/>
  <c r="AM271" i="6" s="1"/>
  <c r="AM150" i="6"/>
  <c r="AM132" i="6"/>
  <c r="AM286" i="6" s="1"/>
  <c r="AN128" i="6"/>
  <c r="AG293" i="6"/>
  <c r="AG200" i="6"/>
  <c r="AG199" i="6"/>
  <c r="AG198" i="6"/>
  <c r="AG201" i="6" s="1"/>
  <c r="AG295" i="6" s="1"/>
  <c r="AU159" i="6"/>
  <c r="AU258" i="6"/>
  <c r="AW331" i="6"/>
  <c r="AW349" i="6" s="1"/>
  <c r="AW247" i="6"/>
  <c r="AV140" i="6"/>
  <c r="AV55" i="6"/>
  <c r="AV143" i="6"/>
  <c r="AV79" i="6"/>
  <c r="AV81" i="6"/>
  <c r="AV280" i="6" s="1"/>
  <c r="AV147" i="6"/>
  <c r="AV107" i="6"/>
  <c r="AU158" i="6"/>
  <c r="AU257" i="6"/>
  <c r="AV149" i="6"/>
  <c r="AV121" i="6"/>
  <c r="AV171" i="6" s="1"/>
  <c r="AV270" i="6" s="1"/>
  <c r="AV123" i="6"/>
  <c r="AV285" i="6" s="1"/>
  <c r="AU109" i="6"/>
  <c r="AU283" i="6" s="1"/>
  <c r="AU169" i="6"/>
  <c r="AU268" i="6" s="1"/>
  <c r="AJ252" i="6"/>
  <c r="AJ154" i="6"/>
  <c r="AJ184" i="6" s="1"/>
  <c r="AU157" i="6"/>
  <c r="AU256" i="6"/>
  <c r="AV64" i="6"/>
  <c r="AV278" i="6" s="1"/>
  <c r="AV62" i="6"/>
  <c r="AV141" i="6"/>
  <c r="AU265" i="6"/>
  <c r="AU166" i="6"/>
  <c r="AW179" i="6"/>
  <c r="AW291" i="6" s="1"/>
  <c r="AW225" i="6"/>
  <c r="AW322" i="6" s="1"/>
  <c r="AW204" i="6"/>
  <c r="AW301" i="6" s="1"/>
  <c r="AW219" i="6"/>
  <c r="AW316" i="6" s="1"/>
  <c r="AW226" i="6"/>
  <c r="AW323" i="6" s="1"/>
  <c r="AW208" i="6"/>
  <c r="AW305" i="6" s="1"/>
  <c r="AW352" i="6" s="1"/>
  <c r="AW178" i="6"/>
  <c r="AW223" i="6"/>
  <c r="AW320" i="6" s="1"/>
  <c r="AW206" i="6"/>
  <c r="AW303" i="6" s="1"/>
  <c r="AW181" i="6"/>
  <c r="AW296" i="6" s="1"/>
  <c r="AW182" i="6"/>
  <c r="AW297" i="6" s="1"/>
  <c r="AW212" i="6"/>
  <c r="AW309" i="6" s="1"/>
  <c r="AW180" i="6"/>
  <c r="AW292" i="6" s="1"/>
  <c r="AW209" i="6"/>
  <c r="AW306" i="6" s="1"/>
  <c r="AW222" i="6"/>
  <c r="AW319" i="6" s="1"/>
  <c r="AW217" i="6"/>
  <c r="AW314" i="6" s="1"/>
  <c r="AW205" i="6"/>
  <c r="AW302" i="6" s="1"/>
  <c r="AW211" i="6"/>
  <c r="AW308" i="6" s="1"/>
  <c r="AW220" i="6"/>
  <c r="AW317" i="6" s="1"/>
  <c r="AW218" i="6"/>
  <c r="AW315" i="6" s="1"/>
  <c r="AW216" i="6"/>
  <c r="AW313" i="6" s="1"/>
  <c r="AW213" i="6"/>
  <c r="AW310" i="6" s="1"/>
  <c r="AW207" i="6"/>
  <c r="AW304" i="6" s="1"/>
  <c r="AW224" i="6"/>
  <c r="AW321" i="6" s="1"/>
  <c r="AW215" i="6"/>
  <c r="AW312" i="6" s="1"/>
  <c r="AW214" i="6"/>
  <c r="AW311" i="6" s="1"/>
  <c r="AW210" i="6"/>
  <c r="AW307" i="6" s="1"/>
  <c r="AW221" i="6"/>
  <c r="AW318" i="6" s="1"/>
  <c r="AV324" i="6"/>
  <c r="AW47" i="6"/>
  <c r="AV134" i="6"/>
  <c r="AV15" i="6"/>
  <c r="AV17" i="6"/>
  <c r="AV276" i="6" s="1"/>
  <c r="AW68" i="6"/>
  <c r="AW61" i="6"/>
  <c r="AW60" i="6"/>
  <c r="AW69" i="6"/>
  <c r="AT195" i="6"/>
  <c r="AT294" i="6" s="1"/>
  <c r="AN41" i="6"/>
  <c r="AN138" i="6"/>
  <c r="AO39" i="6"/>
  <c r="AU262" i="6"/>
  <c r="AU163" i="6"/>
  <c r="AV144" i="6"/>
  <c r="AV90" i="6"/>
  <c r="AV281" i="6" s="1"/>
  <c r="AV88" i="6"/>
  <c r="AX233" i="6"/>
  <c r="AX336" i="6" s="1"/>
  <c r="AX246" i="6"/>
  <c r="AX348" i="6" s="1"/>
  <c r="AX230" i="6"/>
  <c r="AX333" i="6" s="1"/>
  <c r="AX234" i="6"/>
  <c r="AX337" i="6" s="1"/>
  <c r="AX245" i="6"/>
  <c r="AX347" i="6" s="1"/>
  <c r="AX75" i="6"/>
  <c r="AX126" i="6"/>
  <c r="AX9" i="6"/>
  <c r="AX2" i="6"/>
  <c r="AX51" i="6"/>
  <c r="AY4" i="6"/>
  <c r="AX44" i="6"/>
  <c r="AX37" i="6"/>
  <c r="AX232" i="6"/>
  <c r="AX335" i="6" s="1"/>
  <c r="AX58" i="6"/>
  <c r="AX235" i="6"/>
  <c r="AX338" i="6" s="1"/>
  <c r="AX237" i="6"/>
  <c r="AX340" i="6" s="1"/>
  <c r="AX236" i="6"/>
  <c r="AX339" i="6" s="1"/>
  <c r="AX244" i="6"/>
  <c r="AX346" i="6" s="1"/>
  <c r="AX228" i="6"/>
  <c r="AX238" i="6"/>
  <c r="AX341" i="6" s="1"/>
  <c r="AX242" i="6"/>
  <c r="AX344" i="6" s="1"/>
  <c r="AX243" i="6"/>
  <c r="AX345" i="6" s="1"/>
  <c r="AX231" i="6"/>
  <c r="AX334" i="6" s="1"/>
  <c r="AX229" i="6"/>
  <c r="AX332" i="6" s="1"/>
  <c r="AW32" i="6"/>
  <c r="AW93" i="6"/>
  <c r="AW129" i="6"/>
  <c r="AW33" i="6"/>
  <c r="AW94" i="6"/>
  <c r="AW20" i="6"/>
  <c r="AW113" i="6"/>
  <c r="AW112" i="6"/>
  <c r="AW105" i="6"/>
  <c r="AW98" i="6"/>
  <c r="AW120" i="6"/>
  <c r="AW21" i="6"/>
  <c r="AW13" i="6"/>
  <c r="AW27" i="6"/>
  <c r="AW119" i="6"/>
  <c r="AW28" i="6"/>
  <c r="AW14" i="6"/>
  <c r="AW106" i="6"/>
  <c r="AW99" i="6"/>
  <c r="AU263" i="6"/>
  <c r="AU164" i="6"/>
  <c r="AV136" i="6"/>
  <c r="AV29" i="6"/>
  <c r="AM259" i="6"/>
  <c r="AM160" i="6"/>
  <c r="AU264" i="6"/>
  <c r="AU165" i="6"/>
  <c r="AV290" i="6"/>
  <c r="AU255" i="6"/>
  <c r="AU156" i="6"/>
  <c r="AV146" i="6"/>
  <c r="AV100" i="6"/>
  <c r="AU261" i="6"/>
  <c r="AU162" i="6"/>
  <c r="AU193" i="6"/>
  <c r="AU194" i="6"/>
  <c r="AK139" i="6"/>
  <c r="AK151" i="6" s="1"/>
  <c r="AK48" i="6"/>
  <c r="AL46" i="6"/>
  <c r="AV137" i="6"/>
  <c r="AV34" i="6"/>
  <c r="AH293" i="6"/>
  <c r="AH198" i="6"/>
  <c r="AH200" i="6"/>
  <c r="AH199" i="6"/>
  <c r="AU168" i="6"/>
  <c r="AU102" i="6"/>
  <c r="AU282" i="6" s="1"/>
  <c r="AU267" i="6"/>
  <c r="AV145" i="6"/>
  <c r="AV153" i="6" s="1"/>
  <c r="AV192" i="6" s="1"/>
  <c r="AV95" i="6"/>
  <c r="AW40" i="6"/>
  <c r="AV266" i="6" l="1"/>
  <c r="AV167" i="6"/>
  <c r="AV194" i="6"/>
  <c r="AV193" i="6"/>
  <c r="AV195" i="6" s="1"/>
  <c r="AV294" i="6" s="1"/>
  <c r="AW148" i="6"/>
  <c r="AW114" i="6"/>
  <c r="AW170" i="6" s="1"/>
  <c r="AW269" i="6" s="1"/>
  <c r="AW116" i="6"/>
  <c r="AW284" i="6" s="1"/>
  <c r="AV163" i="6"/>
  <c r="AV262" i="6"/>
  <c r="AK260" i="6"/>
  <c r="AK273" i="6" s="1"/>
  <c r="AK288" i="6" s="1"/>
  <c r="AK161" i="6"/>
  <c r="AK174" i="6" s="1"/>
  <c r="AJ188" i="6"/>
  <c r="AJ186" i="6"/>
  <c r="AJ185" i="6"/>
  <c r="AJ189" i="6"/>
  <c r="AJ187" i="6"/>
  <c r="AV264" i="6"/>
  <c r="AV165" i="6"/>
  <c r="AW136" i="6"/>
  <c r="AW29" i="6"/>
  <c r="AX68" i="6"/>
  <c r="AX69" i="6"/>
  <c r="AX61" i="6"/>
  <c r="AX60" i="6"/>
  <c r="AW134" i="6"/>
  <c r="AW15" i="6"/>
  <c r="AW17" i="6"/>
  <c r="AW276" i="6" s="1"/>
  <c r="AW137" i="6"/>
  <c r="AW34" i="6"/>
  <c r="AW64" i="6"/>
  <c r="AW278" i="6" s="1"/>
  <c r="AW62" i="6"/>
  <c r="AW141" i="6"/>
  <c r="AV255" i="6"/>
  <c r="AV156" i="6"/>
  <c r="AL139" i="6"/>
  <c r="AL151" i="6" s="1"/>
  <c r="AL48" i="6"/>
  <c r="AM46" i="6"/>
  <c r="AX223" i="6"/>
  <c r="AX320" i="6" s="1"/>
  <c r="AX226" i="6"/>
  <c r="AX323" i="6" s="1"/>
  <c r="AX182" i="6"/>
  <c r="AX297" i="6" s="1"/>
  <c r="AX181" i="6"/>
  <c r="AX296" i="6" s="1"/>
  <c r="AX179" i="6"/>
  <c r="AX291" i="6" s="1"/>
  <c r="AX225" i="6"/>
  <c r="AX322" i="6" s="1"/>
  <c r="AX180" i="6"/>
  <c r="AX292" i="6" s="1"/>
  <c r="AX219" i="6"/>
  <c r="AX316" i="6" s="1"/>
  <c r="AX178" i="6"/>
  <c r="AX209" i="6"/>
  <c r="AX306" i="6" s="1"/>
  <c r="AX208" i="6"/>
  <c r="AX305" i="6" s="1"/>
  <c r="AX352" i="6" s="1"/>
  <c r="AX211" i="6"/>
  <c r="AX308" i="6" s="1"/>
  <c r="AX217" i="6"/>
  <c r="AX314" i="6" s="1"/>
  <c r="AX206" i="6"/>
  <c r="AX303" i="6" s="1"/>
  <c r="AX205" i="6"/>
  <c r="AX302" i="6" s="1"/>
  <c r="AX222" i="6"/>
  <c r="AX319" i="6" s="1"/>
  <c r="AX204" i="6"/>
  <c r="AX301" i="6" s="1"/>
  <c r="AX212" i="6"/>
  <c r="AX309" i="6" s="1"/>
  <c r="AX214" i="6"/>
  <c r="AX311" i="6" s="1"/>
  <c r="AX218" i="6"/>
  <c r="AX315" i="6" s="1"/>
  <c r="AX221" i="6"/>
  <c r="AX318" i="6" s="1"/>
  <c r="AX213" i="6"/>
  <c r="AX310" i="6" s="1"/>
  <c r="AX210" i="6"/>
  <c r="AX307" i="6" s="1"/>
  <c r="AX216" i="6"/>
  <c r="AX313" i="6" s="1"/>
  <c r="AX207" i="6"/>
  <c r="AX304" i="6" s="1"/>
  <c r="AX224" i="6"/>
  <c r="AX321" i="6" s="1"/>
  <c r="AX220" i="6"/>
  <c r="AX317" i="6" s="1"/>
  <c r="AX215" i="6"/>
  <c r="AX312" i="6" s="1"/>
  <c r="AX105" i="6"/>
  <c r="AX112" i="6"/>
  <c r="AX99" i="6"/>
  <c r="AX113" i="6"/>
  <c r="AX129" i="6"/>
  <c r="AX33" i="6"/>
  <c r="AX94" i="6"/>
  <c r="AX106" i="6"/>
  <c r="AX98" i="6"/>
  <c r="AX21" i="6"/>
  <c r="AX120" i="6"/>
  <c r="AX93" i="6"/>
  <c r="AX14" i="6"/>
  <c r="AX28" i="6"/>
  <c r="AX27" i="6"/>
  <c r="AX119" i="6"/>
  <c r="AX20" i="6"/>
  <c r="AX32" i="6"/>
  <c r="AX13" i="6"/>
  <c r="AO138" i="6"/>
  <c r="AO41" i="6"/>
  <c r="AP39" i="6"/>
  <c r="AV263" i="6"/>
  <c r="AV164" i="6"/>
  <c r="AN259" i="6"/>
  <c r="AN160" i="6"/>
  <c r="AG298" i="6"/>
  <c r="AG326" i="6" s="1"/>
  <c r="AG328" i="6" s="1"/>
  <c r="AG354" i="6" s="1"/>
  <c r="AG360" i="6" s="1"/>
  <c r="AG361" i="6" s="1"/>
  <c r="AH358" i="6" s="1"/>
  <c r="AH361" i="6" s="1"/>
  <c r="AI358" i="6" s="1"/>
  <c r="AN130" i="6"/>
  <c r="AN172" i="6" s="1"/>
  <c r="AN271" i="6" s="1"/>
  <c r="AN132" i="6"/>
  <c r="AN286" i="6" s="1"/>
  <c r="AN150" i="6"/>
  <c r="AO128" i="6"/>
  <c r="AH201" i="6"/>
  <c r="AH295" i="6" s="1"/>
  <c r="AW145" i="6"/>
  <c r="AW153" i="6" s="1"/>
  <c r="AW192" i="6" s="1"/>
  <c r="AW95" i="6"/>
  <c r="AW324" i="6"/>
  <c r="AV261" i="6"/>
  <c r="AV162" i="6"/>
  <c r="AW90" i="6"/>
  <c r="AW281" i="6" s="1"/>
  <c r="AW144" i="6"/>
  <c r="AW88" i="6"/>
  <c r="AH298" i="6"/>
  <c r="AH326" i="6" s="1"/>
  <c r="AH328" i="6" s="1"/>
  <c r="AH354" i="6" s="1"/>
  <c r="AH360" i="6" s="1"/>
  <c r="AV267" i="6"/>
  <c r="AV168" i="6"/>
  <c r="AV102" i="6"/>
  <c r="AV282" i="6" s="1"/>
  <c r="AV258" i="6"/>
  <c r="AV159" i="6"/>
  <c r="AV158" i="6"/>
  <c r="AV257" i="6"/>
  <c r="AX40" i="6"/>
  <c r="AX331" i="6"/>
  <c r="AX349" i="6" s="1"/>
  <c r="AX247" i="6"/>
  <c r="AW22" i="6"/>
  <c r="AW24" i="6"/>
  <c r="AW277" i="6" s="1"/>
  <c r="AW135" i="6"/>
  <c r="AU195" i="6"/>
  <c r="AU294" i="6" s="1"/>
  <c r="AW149" i="6"/>
  <c r="AW123" i="6"/>
  <c r="AW285" i="6" s="1"/>
  <c r="AW121" i="6"/>
  <c r="AW171" i="6" s="1"/>
  <c r="AW270" i="6" s="1"/>
  <c r="AX47" i="6"/>
  <c r="AV166" i="6"/>
  <c r="AV265" i="6"/>
  <c r="AW142" i="6"/>
  <c r="AW72" i="6"/>
  <c r="AW279" i="6" s="1"/>
  <c r="AW70" i="6"/>
  <c r="AW140" i="6"/>
  <c r="AW55" i="6"/>
  <c r="AW147" i="6"/>
  <c r="AW107" i="6"/>
  <c r="AX53" i="6"/>
  <c r="AX54" i="6"/>
  <c r="AV256" i="6"/>
  <c r="AV157" i="6"/>
  <c r="AV169" i="6"/>
  <c r="AV268" i="6" s="1"/>
  <c r="AV109" i="6"/>
  <c r="AV283" i="6" s="1"/>
  <c r="AK252" i="6"/>
  <c r="AK154" i="6"/>
  <c r="AK184" i="6" s="1"/>
  <c r="AW290" i="6"/>
  <c r="AX87" i="6"/>
  <c r="AX86" i="6"/>
  <c r="AX78" i="6"/>
  <c r="AX77" i="6"/>
  <c r="AW143" i="6"/>
  <c r="AW81" i="6"/>
  <c r="AW280" i="6" s="1"/>
  <c r="AW79" i="6"/>
  <c r="AW146" i="6"/>
  <c r="AW100" i="6"/>
  <c r="AY245" i="6"/>
  <c r="AY347" i="6" s="1"/>
  <c r="AY230" i="6"/>
  <c r="AY333" i="6" s="1"/>
  <c r="AY126" i="6"/>
  <c r="AY246" i="6"/>
  <c r="AY348" i="6" s="1"/>
  <c r="AY234" i="6"/>
  <c r="AY337" i="6" s="1"/>
  <c r="AY233" i="6"/>
  <c r="AY336" i="6" s="1"/>
  <c r="AY9" i="6"/>
  <c r="AY2" i="6"/>
  <c r="AY51" i="6"/>
  <c r="AY37" i="6"/>
  <c r="AY58" i="6"/>
  <c r="AY44" i="6"/>
  <c r="AZ4" i="6"/>
  <c r="AY75" i="6"/>
  <c r="AY232" i="6"/>
  <c r="AY335" i="6" s="1"/>
  <c r="AY235" i="6"/>
  <c r="AY338" i="6" s="1"/>
  <c r="AY237" i="6"/>
  <c r="AY340" i="6" s="1"/>
  <c r="AY236" i="6"/>
  <c r="AY339" i="6" s="1"/>
  <c r="AY244" i="6"/>
  <c r="AY346" i="6" s="1"/>
  <c r="AY228" i="6"/>
  <c r="AY238" i="6"/>
  <c r="AY341" i="6" s="1"/>
  <c r="AY242" i="6"/>
  <c r="AY344" i="6" s="1"/>
  <c r="AY243" i="6"/>
  <c r="AY345" i="6" s="1"/>
  <c r="AY231" i="6"/>
  <c r="AY334" i="6" s="1"/>
  <c r="AY229" i="6"/>
  <c r="AY332" i="6" s="1"/>
  <c r="AI190" i="6"/>
  <c r="AW265" i="6" l="1"/>
  <c r="AW166" i="6"/>
  <c r="AX290" i="6"/>
  <c r="AI293" i="6"/>
  <c r="AI198" i="6"/>
  <c r="AI199" i="6"/>
  <c r="AI200" i="6"/>
  <c r="AX149" i="6"/>
  <c r="AX123" i="6"/>
  <c r="AX285" i="6" s="1"/>
  <c r="AX121" i="6"/>
  <c r="AX171" i="6" s="1"/>
  <c r="AX270" i="6" s="1"/>
  <c r="AW168" i="6"/>
  <c r="AW267" i="6"/>
  <c r="AW102" i="6"/>
  <c r="AW282" i="6" s="1"/>
  <c r="AW169" i="6"/>
  <c r="AW268" i="6" s="1"/>
  <c r="AW109" i="6"/>
  <c r="AW283" i="6" s="1"/>
  <c r="AY60" i="6"/>
  <c r="AY69" i="6"/>
  <c r="AY68" i="6"/>
  <c r="AY61" i="6"/>
  <c r="AK189" i="6"/>
  <c r="AK187" i="6"/>
  <c r="AK186" i="6"/>
  <c r="AK188" i="6"/>
  <c r="AK185" i="6"/>
  <c r="AK190" i="6" s="1"/>
  <c r="AW266" i="6"/>
  <c r="AW167" i="6"/>
  <c r="AY225" i="6"/>
  <c r="AY322" i="6" s="1"/>
  <c r="AY178" i="6"/>
  <c r="AY181" i="6"/>
  <c r="AY296" i="6" s="1"/>
  <c r="AY226" i="6"/>
  <c r="AY323" i="6" s="1"/>
  <c r="AY182" i="6"/>
  <c r="AY297" i="6" s="1"/>
  <c r="AY179" i="6"/>
  <c r="AY291" i="6" s="1"/>
  <c r="AY205" i="6"/>
  <c r="AY302" i="6" s="1"/>
  <c r="AY223" i="6"/>
  <c r="AY320" i="6" s="1"/>
  <c r="AY208" i="6"/>
  <c r="AY305" i="6" s="1"/>
  <c r="AY352" i="6" s="1"/>
  <c r="AY219" i="6"/>
  <c r="AY316" i="6" s="1"/>
  <c r="AY217" i="6"/>
  <c r="AY314" i="6" s="1"/>
  <c r="AY180" i="6"/>
  <c r="AY292" i="6" s="1"/>
  <c r="AY222" i="6"/>
  <c r="AY319" i="6" s="1"/>
  <c r="AY211" i="6"/>
  <c r="AY308" i="6" s="1"/>
  <c r="AY206" i="6"/>
  <c r="AY303" i="6" s="1"/>
  <c r="AY209" i="6"/>
  <c r="AY306" i="6" s="1"/>
  <c r="AY204" i="6"/>
  <c r="AY301" i="6" s="1"/>
  <c r="AY212" i="6"/>
  <c r="AY309" i="6" s="1"/>
  <c r="AY216" i="6"/>
  <c r="AY313" i="6" s="1"/>
  <c r="AY218" i="6"/>
  <c r="AY315" i="6" s="1"/>
  <c r="AY220" i="6"/>
  <c r="AY317" i="6" s="1"/>
  <c r="AY215" i="6"/>
  <c r="AY312" i="6" s="1"/>
  <c r="AY213" i="6"/>
  <c r="AY310" i="6" s="1"/>
  <c r="AY207" i="6"/>
  <c r="AY304" i="6" s="1"/>
  <c r="AY221" i="6"/>
  <c r="AY318" i="6" s="1"/>
  <c r="AY214" i="6"/>
  <c r="AY311" i="6" s="1"/>
  <c r="AY210" i="6"/>
  <c r="AY307" i="6" s="1"/>
  <c r="AY224" i="6"/>
  <c r="AY321" i="6" s="1"/>
  <c r="AW263" i="6"/>
  <c r="AW164" i="6"/>
  <c r="AP138" i="6"/>
  <c r="AP41" i="6"/>
  <c r="AQ39" i="6"/>
  <c r="AY129" i="6"/>
  <c r="AY99" i="6"/>
  <c r="AY94" i="6"/>
  <c r="AY28" i="6"/>
  <c r="AY21" i="6"/>
  <c r="AY14" i="6"/>
  <c r="AY27" i="6"/>
  <c r="AY106" i="6"/>
  <c r="AY98" i="6"/>
  <c r="AY13" i="6"/>
  <c r="AY119" i="6"/>
  <c r="AY120" i="6"/>
  <c r="AY113" i="6"/>
  <c r="AY112" i="6"/>
  <c r="AY105" i="6"/>
  <c r="AY93" i="6"/>
  <c r="AY33" i="6"/>
  <c r="AY32" i="6"/>
  <c r="AY20" i="6"/>
  <c r="AO160" i="6"/>
  <c r="AO259" i="6"/>
  <c r="AX146" i="6"/>
  <c r="AX100" i="6"/>
  <c r="AW255" i="6"/>
  <c r="AW156" i="6"/>
  <c r="AZ230" i="6"/>
  <c r="AZ333" i="6" s="1"/>
  <c r="AZ234" i="6"/>
  <c r="AZ337" i="6" s="1"/>
  <c r="AZ233" i="6"/>
  <c r="AZ336" i="6" s="1"/>
  <c r="AZ246" i="6"/>
  <c r="AZ348" i="6" s="1"/>
  <c r="AZ44" i="6"/>
  <c r="AZ126" i="6"/>
  <c r="AZ245" i="6"/>
  <c r="AZ347" i="6" s="1"/>
  <c r="AZ51" i="6"/>
  <c r="AZ37" i="6"/>
  <c r="BA4" i="6"/>
  <c r="AZ75" i="6"/>
  <c r="AZ9" i="6"/>
  <c r="AZ2" i="6"/>
  <c r="AZ58" i="6"/>
  <c r="AZ235" i="6"/>
  <c r="AZ338" i="6" s="1"/>
  <c r="AZ232" i="6"/>
  <c r="AZ335" i="6" s="1"/>
  <c r="AZ236" i="6"/>
  <c r="AZ339" i="6" s="1"/>
  <c r="AZ237" i="6"/>
  <c r="AZ340" i="6" s="1"/>
  <c r="AZ244" i="6"/>
  <c r="AZ346" i="6" s="1"/>
  <c r="AZ228" i="6"/>
  <c r="AZ238" i="6"/>
  <c r="AZ341" i="6" s="1"/>
  <c r="AZ242" i="6"/>
  <c r="AZ344" i="6" s="1"/>
  <c r="AZ243" i="6"/>
  <c r="AZ345" i="6" s="1"/>
  <c r="AZ231" i="6"/>
  <c r="AZ334" i="6" s="1"/>
  <c r="AZ229" i="6"/>
  <c r="AZ332" i="6" s="1"/>
  <c r="AX29" i="6"/>
  <c r="AX136" i="6"/>
  <c r="AW262" i="6"/>
  <c r="AW163" i="6"/>
  <c r="AX95" i="6"/>
  <c r="AX145" i="6"/>
  <c r="AX153" i="6" s="1"/>
  <c r="AX192" i="6" s="1"/>
  <c r="AW159" i="6"/>
  <c r="AW258" i="6"/>
  <c r="AY331" i="6"/>
  <c r="AY349" i="6" s="1"/>
  <c r="AY247" i="6"/>
  <c r="AW193" i="6"/>
  <c r="AW194" i="6"/>
  <c r="AX81" i="6"/>
  <c r="AX280" i="6" s="1"/>
  <c r="AX79" i="6"/>
  <c r="AX143" i="6"/>
  <c r="AM48" i="6"/>
  <c r="AM139" i="6"/>
  <c r="AM151" i="6" s="1"/>
  <c r="AN46" i="6"/>
  <c r="AY78" i="6"/>
  <c r="AY77" i="6"/>
  <c r="AY86" i="6"/>
  <c r="AY87" i="6"/>
  <c r="AX140" i="6"/>
  <c r="AX55" i="6"/>
  <c r="AY47" i="6"/>
  <c r="AX148" i="6"/>
  <c r="AX114" i="6"/>
  <c r="AX170" i="6" s="1"/>
  <c r="AX269" i="6" s="1"/>
  <c r="AX116" i="6"/>
  <c r="AX284" i="6" s="1"/>
  <c r="AX147" i="6"/>
  <c r="AX107" i="6"/>
  <c r="AY40" i="6"/>
  <c r="AW165" i="6"/>
  <c r="AW264" i="6"/>
  <c r="AW157" i="6"/>
  <c r="AW256" i="6"/>
  <c r="AO132" i="6"/>
  <c r="AO286" i="6" s="1"/>
  <c r="AO130" i="6"/>
  <c r="AO172" i="6" s="1"/>
  <c r="AO271" i="6" s="1"/>
  <c r="AO150" i="6"/>
  <c r="AP128" i="6"/>
  <c r="AX17" i="6"/>
  <c r="AX276" i="6" s="1"/>
  <c r="AX134" i="6"/>
  <c r="AX15" i="6"/>
  <c r="AL260" i="6"/>
  <c r="AL273" i="6" s="1"/>
  <c r="AL288" i="6" s="1"/>
  <c r="AL161" i="6"/>
  <c r="AL174" i="6" s="1"/>
  <c r="AJ190" i="6"/>
  <c r="AX24" i="6"/>
  <c r="AX277" i="6" s="1"/>
  <c r="AX22" i="6"/>
  <c r="AX135" i="6"/>
  <c r="AX142" i="6"/>
  <c r="AX70" i="6"/>
  <c r="AX72" i="6"/>
  <c r="AX279" i="6" s="1"/>
  <c r="AW257" i="6"/>
  <c r="AW158" i="6"/>
  <c r="AX324" i="6"/>
  <c r="AW261" i="6"/>
  <c r="AW162" i="6"/>
  <c r="AY54" i="6"/>
  <c r="AY53" i="6"/>
  <c r="AX88" i="6"/>
  <c r="AX144" i="6"/>
  <c r="AX90" i="6"/>
  <c r="AX281" i="6" s="1"/>
  <c r="AX137" i="6"/>
  <c r="AX34" i="6"/>
  <c r="AL252" i="6"/>
  <c r="AL154" i="6"/>
  <c r="AL184" i="6" s="1"/>
  <c r="AX62" i="6"/>
  <c r="AX141" i="6"/>
  <c r="AX64" i="6"/>
  <c r="AX278" i="6" s="1"/>
  <c r="AX264" i="6" l="1"/>
  <c r="AX165" i="6"/>
  <c r="AY136" i="6"/>
  <c r="AY29" i="6"/>
  <c r="AY72" i="6"/>
  <c r="AY279" i="6" s="1"/>
  <c r="AY70" i="6"/>
  <c r="AY142" i="6"/>
  <c r="AX156" i="6"/>
  <c r="AX255" i="6"/>
  <c r="AY141" i="6"/>
  <c r="AY62" i="6"/>
  <c r="AY64" i="6"/>
  <c r="AY278" i="6" s="1"/>
  <c r="AY144" i="6"/>
  <c r="AY90" i="6"/>
  <c r="AY281" i="6" s="1"/>
  <c r="AY88" i="6"/>
  <c r="AY148" i="6"/>
  <c r="AY114" i="6"/>
  <c r="AY170" i="6" s="1"/>
  <c r="AY269" i="6" s="1"/>
  <c r="AY116" i="6"/>
  <c r="AY284" i="6" s="1"/>
  <c r="AZ86" i="6"/>
  <c r="AZ78" i="6"/>
  <c r="AZ77" i="6"/>
  <c r="AZ87" i="6"/>
  <c r="BA233" i="6"/>
  <c r="BA336" i="6" s="1"/>
  <c r="BA245" i="6"/>
  <c r="BA347" i="6" s="1"/>
  <c r="BA2" i="6"/>
  <c r="BA234" i="6"/>
  <c r="BA337" i="6" s="1"/>
  <c r="BA37" i="6"/>
  <c r="BA230" i="6"/>
  <c r="BA333" i="6" s="1"/>
  <c r="BA246" i="6"/>
  <c r="BA348" i="6" s="1"/>
  <c r="BA44" i="6"/>
  <c r="BA51" i="6"/>
  <c r="BA75" i="6"/>
  <c r="BA235" i="6"/>
  <c r="BA338" i="6" s="1"/>
  <c r="BA126" i="6"/>
  <c r="BA9" i="6"/>
  <c r="BB4" i="6"/>
  <c r="BA58" i="6"/>
  <c r="BA232" i="6"/>
  <c r="BA335" i="6" s="1"/>
  <c r="BA236" i="6"/>
  <c r="BA339" i="6" s="1"/>
  <c r="BA237" i="6"/>
  <c r="BA340" i="6" s="1"/>
  <c r="BA244" i="6"/>
  <c r="BA346" i="6" s="1"/>
  <c r="BA228" i="6"/>
  <c r="BA238" i="6"/>
  <c r="BA341" i="6" s="1"/>
  <c r="BA242" i="6"/>
  <c r="BA344" i="6" s="1"/>
  <c r="BA243" i="6"/>
  <c r="BA345" i="6" s="1"/>
  <c r="BA229" i="6"/>
  <c r="BA332" i="6" s="1"/>
  <c r="BA231" i="6"/>
  <c r="BA334" i="6" s="1"/>
  <c r="AM252" i="6"/>
  <c r="AM154" i="6"/>
  <c r="AM184" i="6" s="1"/>
  <c r="AX194" i="6"/>
  <c r="AX193" i="6"/>
  <c r="AZ40" i="6"/>
  <c r="AX267" i="6"/>
  <c r="AX168" i="6"/>
  <c r="AX102" i="6"/>
  <c r="AX282" i="6" s="1"/>
  <c r="AY149" i="6"/>
  <c r="AY121" i="6"/>
  <c r="AY171" i="6" s="1"/>
  <c r="AY270" i="6" s="1"/>
  <c r="AY123" i="6"/>
  <c r="AY285" i="6" s="1"/>
  <c r="AP259" i="6"/>
  <c r="AP160" i="6"/>
  <c r="AX162" i="6"/>
  <c r="AX261" i="6"/>
  <c r="AZ47" i="6"/>
  <c r="AX262" i="6"/>
  <c r="AX163" i="6"/>
  <c r="AX169" i="6"/>
  <c r="AX268" i="6" s="1"/>
  <c r="AX109" i="6"/>
  <c r="AX283" i="6" s="1"/>
  <c r="AY145" i="6"/>
  <c r="AY153" i="6" s="1"/>
  <c r="AY192" i="6" s="1"/>
  <c r="AY95" i="6"/>
  <c r="AI201" i="6"/>
  <c r="AI295" i="6" s="1"/>
  <c r="AZ225" i="6"/>
  <c r="AZ322" i="6" s="1"/>
  <c r="AZ182" i="6"/>
  <c r="AZ297" i="6" s="1"/>
  <c r="AZ223" i="6"/>
  <c r="AZ320" i="6" s="1"/>
  <c r="AZ226" i="6"/>
  <c r="AZ323" i="6" s="1"/>
  <c r="AZ209" i="6"/>
  <c r="AZ306" i="6" s="1"/>
  <c r="AZ206" i="6"/>
  <c r="AZ303" i="6" s="1"/>
  <c r="AZ181" i="6"/>
  <c r="AZ296" i="6" s="1"/>
  <c r="AZ178" i="6"/>
  <c r="AZ204" i="6"/>
  <c r="AZ301" i="6" s="1"/>
  <c r="AZ179" i="6"/>
  <c r="AZ291" i="6" s="1"/>
  <c r="AZ212" i="6"/>
  <c r="AZ309" i="6" s="1"/>
  <c r="AZ208" i="6"/>
  <c r="AZ305" i="6" s="1"/>
  <c r="AZ352" i="6" s="1"/>
  <c r="AZ180" i="6"/>
  <c r="AZ292" i="6" s="1"/>
  <c r="AZ205" i="6"/>
  <c r="AZ302" i="6" s="1"/>
  <c r="AZ211" i="6"/>
  <c r="AZ308" i="6" s="1"/>
  <c r="AZ217" i="6"/>
  <c r="AZ314" i="6" s="1"/>
  <c r="AZ222" i="6"/>
  <c r="AZ319" i="6" s="1"/>
  <c r="AZ219" i="6"/>
  <c r="AZ316" i="6" s="1"/>
  <c r="AZ214" i="6"/>
  <c r="AZ311" i="6" s="1"/>
  <c r="AZ224" i="6"/>
  <c r="AZ321" i="6" s="1"/>
  <c r="AZ207" i="6"/>
  <c r="AZ304" i="6" s="1"/>
  <c r="AZ215" i="6"/>
  <c r="AZ312" i="6" s="1"/>
  <c r="AZ221" i="6"/>
  <c r="AZ318" i="6" s="1"/>
  <c r="AZ213" i="6"/>
  <c r="AZ310" i="6" s="1"/>
  <c r="AZ216" i="6"/>
  <c r="AZ313" i="6" s="1"/>
  <c r="AZ218" i="6"/>
  <c r="AZ315" i="6" s="1"/>
  <c r="AZ210" i="6"/>
  <c r="AZ307" i="6" s="1"/>
  <c r="AZ220" i="6"/>
  <c r="AZ317" i="6" s="1"/>
  <c r="AP150" i="6"/>
  <c r="AP132" i="6"/>
  <c r="AP286" i="6" s="1"/>
  <c r="AP130" i="6"/>
  <c r="AP172" i="6" s="1"/>
  <c r="AP271" i="6" s="1"/>
  <c r="AQ128" i="6"/>
  <c r="AX263" i="6"/>
  <c r="AX164" i="6"/>
  <c r="AN139" i="6"/>
  <c r="AN151" i="6" s="1"/>
  <c r="AN48" i="6"/>
  <c r="AO46" i="6"/>
  <c r="AX265" i="6"/>
  <c r="AX166" i="6"/>
  <c r="AX256" i="6"/>
  <c r="AX157" i="6"/>
  <c r="AM260" i="6"/>
  <c r="AM273" i="6" s="1"/>
  <c r="AM288" i="6" s="1"/>
  <c r="AM161" i="6"/>
  <c r="AM174" i="6" s="1"/>
  <c r="AX266" i="6"/>
  <c r="AX167" i="6"/>
  <c r="AZ331" i="6"/>
  <c r="AZ349" i="6" s="1"/>
  <c r="AZ247" i="6"/>
  <c r="AZ54" i="6"/>
  <c r="AZ53" i="6"/>
  <c r="AY15" i="6"/>
  <c r="AY17" i="6"/>
  <c r="AY276" i="6" s="1"/>
  <c r="AY134" i="6"/>
  <c r="AY290" i="6"/>
  <c r="AZ69" i="6"/>
  <c r="AZ61" i="6"/>
  <c r="AZ68" i="6"/>
  <c r="AZ60" i="6"/>
  <c r="AK293" i="6"/>
  <c r="AK198" i="6"/>
  <c r="AK200" i="6"/>
  <c r="AK199" i="6"/>
  <c r="AY55" i="6"/>
  <c r="AY140" i="6"/>
  <c r="AY146" i="6"/>
  <c r="AY100" i="6"/>
  <c r="AY22" i="6"/>
  <c r="AY135" i="6"/>
  <c r="AY24" i="6"/>
  <c r="AY277" i="6" s="1"/>
  <c r="AY137" i="6"/>
  <c r="AY34" i="6"/>
  <c r="AL186" i="6"/>
  <c r="AL187" i="6"/>
  <c r="AL189" i="6"/>
  <c r="AL188" i="6"/>
  <c r="AL185" i="6"/>
  <c r="AL190" i="6" s="1"/>
  <c r="AW195" i="6"/>
  <c r="AW294" i="6" s="1"/>
  <c r="AX257" i="6"/>
  <c r="AX158" i="6"/>
  <c r="AY79" i="6"/>
  <c r="AY81" i="6"/>
  <c r="AY280" i="6" s="1"/>
  <c r="AY143" i="6"/>
  <c r="AY107" i="6"/>
  <c r="AY147" i="6"/>
  <c r="AI298" i="6"/>
  <c r="AI326" i="6" s="1"/>
  <c r="AI328" i="6" s="1"/>
  <c r="AI354" i="6" s="1"/>
  <c r="AI360" i="6" s="1"/>
  <c r="AI361" i="6" s="1"/>
  <c r="AJ358" i="6" s="1"/>
  <c r="AX258" i="6"/>
  <c r="AX159" i="6"/>
  <c r="AZ112" i="6"/>
  <c r="AZ98" i="6"/>
  <c r="AZ129" i="6"/>
  <c r="AZ106" i="6"/>
  <c r="AZ94" i="6"/>
  <c r="AZ13" i="6"/>
  <c r="AZ119" i="6"/>
  <c r="AZ113" i="6"/>
  <c r="AZ99" i="6"/>
  <c r="AZ33" i="6"/>
  <c r="AZ14" i="6"/>
  <c r="AZ20" i="6"/>
  <c r="AZ105" i="6"/>
  <c r="AZ120" i="6"/>
  <c r="AZ32" i="6"/>
  <c r="AZ28" i="6"/>
  <c r="AZ27" i="6"/>
  <c r="AZ21" i="6"/>
  <c r="AZ93" i="6"/>
  <c r="AQ138" i="6"/>
  <c r="AQ41" i="6"/>
  <c r="AR39" i="6"/>
  <c r="AJ293" i="6"/>
  <c r="AJ198" i="6"/>
  <c r="AJ201" i="6" s="1"/>
  <c r="AJ295" i="6" s="1"/>
  <c r="AJ199" i="6"/>
  <c r="AJ200" i="6"/>
  <c r="AY324" i="6"/>
  <c r="AZ148" i="6" l="1"/>
  <c r="AZ114" i="6"/>
  <c r="AZ170" i="6" s="1"/>
  <c r="AZ269" i="6" s="1"/>
  <c r="AZ116" i="6"/>
  <c r="AZ284" i="6" s="1"/>
  <c r="AY193" i="6"/>
  <c r="AY194" i="6"/>
  <c r="AY159" i="6"/>
  <c r="AY258" i="6"/>
  <c r="AK298" i="6"/>
  <c r="AK326" i="6" s="1"/>
  <c r="AK328" i="6" s="1"/>
  <c r="AK354" i="6" s="1"/>
  <c r="AK360" i="6" s="1"/>
  <c r="AY264" i="6"/>
  <c r="AY165" i="6"/>
  <c r="AZ141" i="6"/>
  <c r="AZ62" i="6"/>
  <c r="AZ64" i="6"/>
  <c r="AZ278" i="6" s="1"/>
  <c r="AY255" i="6"/>
  <c r="AY156" i="6"/>
  <c r="AY257" i="6"/>
  <c r="AY158" i="6"/>
  <c r="AL293" i="6"/>
  <c r="AL199" i="6"/>
  <c r="AL198" i="6"/>
  <c r="AL200" i="6"/>
  <c r="AN252" i="6"/>
  <c r="AN154" i="6"/>
  <c r="AN184" i="6" s="1"/>
  <c r="AY266" i="6"/>
  <c r="AY167" i="6"/>
  <c r="AJ298" i="6"/>
  <c r="AJ326" i="6" s="1"/>
  <c r="AJ328" i="6" s="1"/>
  <c r="AJ354" i="6" s="1"/>
  <c r="AJ360" i="6" s="1"/>
  <c r="AJ361" i="6" s="1"/>
  <c r="AK358" i="6" s="1"/>
  <c r="AK361" i="6" s="1"/>
  <c r="AL358" i="6" s="1"/>
  <c r="AY163" i="6"/>
  <c r="AY262" i="6"/>
  <c r="AZ324" i="6"/>
  <c r="AY261" i="6"/>
  <c r="AY162" i="6"/>
  <c r="AZ290" i="6"/>
  <c r="AZ144" i="6"/>
  <c r="AZ88" i="6"/>
  <c r="AZ90" i="6"/>
  <c r="AZ281" i="6" s="1"/>
  <c r="AZ95" i="6"/>
  <c r="AZ145" i="6"/>
  <c r="AZ153" i="6" s="1"/>
  <c r="AZ192" i="6" s="1"/>
  <c r="AY164" i="6"/>
  <c r="AY263" i="6"/>
  <c r="AZ134" i="6"/>
  <c r="AZ17" i="6"/>
  <c r="AZ276" i="6" s="1"/>
  <c r="AZ15" i="6"/>
  <c r="AZ70" i="6"/>
  <c r="AZ142" i="6"/>
  <c r="AZ72" i="6"/>
  <c r="AZ279" i="6" s="1"/>
  <c r="AZ140" i="6"/>
  <c r="AZ55" i="6"/>
  <c r="AX195" i="6"/>
  <c r="AX294" i="6" s="1"/>
  <c r="BA40" i="6"/>
  <c r="AY265" i="6"/>
  <c r="AY166" i="6"/>
  <c r="BB245" i="6"/>
  <c r="BB347" i="6" s="1"/>
  <c r="BB230" i="6"/>
  <c r="BB333" i="6" s="1"/>
  <c r="BB234" i="6"/>
  <c r="BB337" i="6" s="1"/>
  <c r="BB246" i="6"/>
  <c r="BB348" i="6" s="1"/>
  <c r="BB233" i="6"/>
  <c r="BB336" i="6" s="1"/>
  <c r="BB75" i="6"/>
  <c r="BB44" i="6"/>
  <c r="BB37" i="6"/>
  <c r="BB51" i="6"/>
  <c r="BB58" i="6"/>
  <c r="BB2" i="6"/>
  <c r="BB126" i="6"/>
  <c r="BB9" i="6"/>
  <c r="BC4" i="6"/>
  <c r="BB232" i="6"/>
  <c r="BB335" i="6" s="1"/>
  <c r="BB235" i="6"/>
  <c r="BB338" i="6" s="1"/>
  <c r="BB236" i="6"/>
  <c r="BB339" i="6" s="1"/>
  <c r="BB237" i="6"/>
  <c r="BB340" i="6" s="1"/>
  <c r="BB244" i="6"/>
  <c r="BB346" i="6" s="1"/>
  <c r="BB228" i="6"/>
  <c r="BB238" i="6"/>
  <c r="BB341" i="6" s="1"/>
  <c r="BB242" i="6"/>
  <c r="BB344" i="6" s="1"/>
  <c r="BB243" i="6"/>
  <c r="BB345" i="6" s="1"/>
  <c r="BB229" i="6"/>
  <c r="BB332" i="6" s="1"/>
  <c r="BB231" i="6"/>
  <c r="BB334" i="6" s="1"/>
  <c r="BA120" i="6"/>
  <c r="BA119" i="6"/>
  <c r="BA113" i="6"/>
  <c r="BA94" i="6"/>
  <c r="BA106" i="6"/>
  <c r="BA98" i="6"/>
  <c r="BA32" i="6"/>
  <c r="BA14" i="6"/>
  <c r="BA112" i="6"/>
  <c r="BA93" i="6"/>
  <c r="BA28" i="6"/>
  <c r="BA27" i="6"/>
  <c r="BA33" i="6"/>
  <c r="BA105" i="6"/>
  <c r="BA20" i="6"/>
  <c r="BA21" i="6"/>
  <c r="BA129" i="6"/>
  <c r="BA13" i="6"/>
  <c r="BA99" i="6"/>
  <c r="AQ259" i="6"/>
  <c r="AQ160" i="6"/>
  <c r="BA77" i="6"/>
  <c r="BA86" i="6"/>
  <c r="BA87" i="6"/>
  <c r="BA78" i="6"/>
  <c r="AY109" i="6"/>
  <c r="AY283" i="6" s="1"/>
  <c r="AY169" i="6"/>
  <c r="AY268" i="6" s="1"/>
  <c r="AZ149" i="6"/>
  <c r="AZ123" i="6"/>
  <c r="AZ285" i="6" s="1"/>
  <c r="AZ121" i="6"/>
  <c r="AZ171" i="6" s="1"/>
  <c r="AZ270" i="6" s="1"/>
  <c r="BA47" i="6"/>
  <c r="AZ137" i="6"/>
  <c r="AZ34" i="6"/>
  <c r="AY256" i="6"/>
  <c r="AY157" i="6"/>
  <c r="AO139" i="6"/>
  <c r="AO151" i="6" s="1"/>
  <c r="AO48" i="6"/>
  <c r="AP46" i="6"/>
  <c r="AZ107" i="6"/>
  <c r="AZ147" i="6"/>
  <c r="AZ135" i="6"/>
  <c r="AZ24" i="6"/>
  <c r="AZ277" i="6" s="1"/>
  <c r="AZ22" i="6"/>
  <c r="AR41" i="6"/>
  <c r="AR138" i="6"/>
  <c r="AS39" i="6"/>
  <c r="AQ150" i="6"/>
  <c r="AQ132" i="6"/>
  <c r="AQ286" i="6" s="1"/>
  <c r="AQ130" i="6"/>
  <c r="AQ172" i="6" s="1"/>
  <c r="AQ271" i="6" s="1"/>
  <c r="AR128" i="6"/>
  <c r="AZ143" i="6"/>
  <c r="AZ81" i="6"/>
  <c r="AZ280" i="6" s="1"/>
  <c r="AZ79" i="6"/>
  <c r="BA54" i="6"/>
  <c r="BA53" i="6"/>
  <c r="AK201" i="6"/>
  <c r="AK295" i="6" s="1"/>
  <c r="BA331" i="6"/>
  <c r="BA349" i="6" s="1"/>
  <c r="BA247" i="6"/>
  <c r="AZ136" i="6"/>
  <c r="AZ29" i="6"/>
  <c r="AZ146" i="6"/>
  <c r="AZ100" i="6"/>
  <c r="AY267" i="6"/>
  <c r="AY102" i="6"/>
  <c r="AY282" i="6" s="1"/>
  <c r="AY168" i="6"/>
  <c r="AN260" i="6"/>
  <c r="AN273" i="6" s="1"/>
  <c r="AN288" i="6" s="1"/>
  <c r="AN161" i="6"/>
  <c r="AN174" i="6" s="1"/>
  <c r="AM188" i="6"/>
  <c r="AM185" i="6"/>
  <c r="AM186" i="6"/>
  <c r="AM189" i="6"/>
  <c r="AM187" i="6"/>
  <c r="BA68" i="6"/>
  <c r="BA69" i="6"/>
  <c r="BA61" i="6"/>
  <c r="BA60" i="6"/>
  <c r="BA223" i="6"/>
  <c r="BA320" i="6" s="1"/>
  <c r="BA178" i="6"/>
  <c r="BA181" i="6"/>
  <c r="BA296" i="6" s="1"/>
  <c r="BA226" i="6"/>
  <c r="BA323" i="6" s="1"/>
  <c r="BA225" i="6"/>
  <c r="BA322" i="6" s="1"/>
  <c r="BA179" i="6"/>
  <c r="BA291" i="6" s="1"/>
  <c r="BA204" i="6"/>
  <c r="BA301" i="6" s="1"/>
  <c r="BA182" i="6"/>
  <c r="BA297" i="6" s="1"/>
  <c r="BA217" i="6"/>
  <c r="BA314" i="6" s="1"/>
  <c r="BA219" i="6"/>
  <c r="BA316" i="6" s="1"/>
  <c r="BA206" i="6"/>
  <c r="BA303" i="6" s="1"/>
  <c r="BA212" i="6"/>
  <c r="BA309" i="6" s="1"/>
  <c r="BA211" i="6"/>
  <c r="BA308" i="6" s="1"/>
  <c r="BA208" i="6"/>
  <c r="BA305" i="6" s="1"/>
  <c r="BA352" i="6" s="1"/>
  <c r="BA222" i="6"/>
  <c r="BA319" i="6" s="1"/>
  <c r="BA180" i="6"/>
  <c r="BA292" i="6" s="1"/>
  <c r="BA209" i="6"/>
  <c r="BA306" i="6" s="1"/>
  <c r="BA205" i="6"/>
  <c r="BA302" i="6" s="1"/>
  <c r="BA207" i="6"/>
  <c r="BA304" i="6" s="1"/>
  <c r="BA214" i="6"/>
  <c r="BA311" i="6" s="1"/>
  <c r="BA210" i="6"/>
  <c r="BA307" i="6" s="1"/>
  <c r="BA220" i="6"/>
  <c r="BA317" i="6" s="1"/>
  <c r="BA216" i="6"/>
  <c r="BA313" i="6" s="1"/>
  <c r="BA218" i="6"/>
  <c r="BA315" i="6" s="1"/>
  <c r="BA221" i="6"/>
  <c r="BA318" i="6" s="1"/>
  <c r="BA213" i="6"/>
  <c r="BA310" i="6" s="1"/>
  <c r="BA215" i="6"/>
  <c r="BA312" i="6" s="1"/>
  <c r="BA224" i="6"/>
  <c r="BA321" i="6" s="1"/>
  <c r="BC234" i="6" l="1"/>
  <c r="BC337" i="6" s="1"/>
  <c r="BC230" i="6"/>
  <c r="BC333" i="6" s="1"/>
  <c r="BC233" i="6"/>
  <c r="BC336" i="6" s="1"/>
  <c r="BC126" i="6"/>
  <c r="BC51" i="6"/>
  <c r="BC245" i="6"/>
  <c r="BC347" i="6" s="1"/>
  <c r="BC246" i="6"/>
  <c r="BC348" i="6" s="1"/>
  <c r="BD4" i="6"/>
  <c r="BC58" i="6"/>
  <c r="BC75" i="6"/>
  <c r="BC37" i="6"/>
  <c r="BC44" i="6"/>
  <c r="BC9" i="6"/>
  <c r="BC2" i="6"/>
  <c r="BC235" i="6"/>
  <c r="BC338" i="6" s="1"/>
  <c r="BC232" i="6"/>
  <c r="BC335" i="6" s="1"/>
  <c r="BC236" i="6"/>
  <c r="BC339" i="6" s="1"/>
  <c r="BC237" i="6"/>
  <c r="BC340" i="6" s="1"/>
  <c r="BC244" i="6"/>
  <c r="BC346" i="6" s="1"/>
  <c r="BC228" i="6"/>
  <c r="BC238" i="6"/>
  <c r="BC341" i="6" s="1"/>
  <c r="BC242" i="6"/>
  <c r="BC344" i="6" s="1"/>
  <c r="BC243" i="6"/>
  <c r="BC345" i="6" s="1"/>
  <c r="BC231" i="6"/>
  <c r="BC334" i="6" s="1"/>
  <c r="BC229" i="6"/>
  <c r="BC332" i="6" s="1"/>
  <c r="BA62" i="6"/>
  <c r="BA141" i="6"/>
  <c r="BA64" i="6"/>
  <c r="BA278" i="6" s="1"/>
  <c r="BA29" i="6"/>
  <c r="BA136" i="6"/>
  <c r="AZ267" i="6"/>
  <c r="AZ168" i="6"/>
  <c r="AZ102" i="6"/>
  <c r="AZ282" i="6" s="1"/>
  <c r="BB69" i="6"/>
  <c r="BB61" i="6"/>
  <c r="BB60" i="6"/>
  <c r="BB68" i="6"/>
  <c r="BA137" i="6"/>
  <c r="BA34" i="6"/>
  <c r="BB40" i="6"/>
  <c r="AZ266" i="6"/>
  <c r="AZ167" i="6"/>
  <c r="AP48" i="6"/>
  <c r="AP139" i="6"/>
  <c r="AP151" i="6" s="1"/>
  <c r="AQ46" i="6"/>
  <c r="BA134" i="6"/>
  <c r="BA17" i="6"/>
  <c r="BA276" i="6" s="1"/>
  <c r="BA15" i="6"/>
  <c r="AM190" i="6"/>
  <c r="AO260" i="6"/>
  <c r="AO273" i="6" s="1"/>
  <c r="AO288" i="6" s="1"/>
  <c r="AO161" i="6"/>
  <c r="AO174" i="6" s="1"/>
  <c r="BB86" i="6"/>
  <c r="BB87" i="6"/>
  <c r="BB78" i="6"/>
  <c r="BB77" i="6"/>
  <c r="AZ265" i="6"/>
  <c r="AZ166" i="6"/>
  <c r="AY195" i="6"/>
  <c r="AY294" i="6" s="1"/>
  <c r="AZ258" i="6"/>
  <c r="AZ159" i="6"/>
  <c r="AZ264" i="6"/>
  <c r="AZ165" i="6"/>
  <c r="BB225" i="6"/>
  <c r="BB322" i="6" s="1"/>
  <c r="BB178" i="6"/>
  <c r="BB223" i="6"/>
  <c r="BB320" i="6" s="1"/>
  <c r="BB179" i="6"/>
  <c r="BB291" i="6" s="1"/>
  <c r="BB204" i="6"/>
  <c r="BB301" i="6" s="1"/>
  <c r="BB181" i="6"/>
  <c r="BB296" i="6" s="1"/>
  <c r="BB226" i="6"/>
  <c r="BB323" i="6" s="1"/>
  <c r="BB182" i="6"/>
  <c r="BB297" i="6" s="1"/>
  <c r="BB205" i="6"/>
  <c r="BB302" i="6" s="1"/>
  <c r="BB211" i="6"/>
  <c r="BB308" i="6" s="1"/>
  <c r="BB180" i="6"/>
  <c r="BB292" i="6" s="1"/>
  <c r="BB217" i="6"/>
  <c r="BB314" i="6" s="1"/>
  <c r="BB206" i="6"/>
  <c r="BB303" i="6" s="1"/>
  <c r="BB222" i="6"/>
  <c r="BB319" i="6" s="1"/>
  <c r="BB219" i="6"/>
  <c r="BB316" i="6" s="1"/>
  <c r="BB209" i="6"/>
  <c r="BB306" i="6" s="1"/>
  <c r="BB212" i="6"/>
  <c r="BB309" i="6" s="1"/>
  <c r="BB208" i="6"/>
  <c r="BB305" i="6" s="1"/>
  <c r="BB352" i="6" s="1"/>
  <c r="BB221" i="6"/>
  <c r="BB318" i="6" s="1"/>
  <c r="BB215" i="6"/>
  <c r="BB312" i="6" s="1"/>
  <c r="BB218" i="6"/>
  <c r="BB315" i="6" s="1"/>
  <c r="BB214" i="6"/>
  <c r="BB311" i="6" s="1"/>
  <c r="BB207" i="6"/>
  <c r="BB304" i="6" s="1"/>
  <c r="BB210" i="6"/>
  <c r="BB307" i="6" s="1"/>
  <c r="BB224" i="6"/>
  <c r="BB321" i="6" s="1"/>
  <c r="BB213" i="6"/>
  <c r="BB310" i="6" s="1"/>
  <c r="BB220" i="6"/>
  <c r="BB317" i="6" s="1"/>
  <c r="BB216" i="6"/>
  <c r="BB313" i="6" s="1"/>
  <c r="BA142" i="6"/>
  <c r="BA70" i="6"/>
  <c r="BA72" i="6"/>
  <c r="BA279" i="6" s="1"/>
  <c r="AZ169" i="6"/>
  <c r="AZ268" i="6" s="1"/>
  <c r="AZ109" i="6"/>
  <c r="AZ283" i="6" s="1"/>
  <c r="BB331" i="6"/>
  <c r="BB349" i="6" s="1"/>
  <c r="BB247" i="6"/>
  <c r="BA146" i="6"/>
  <c r="BA100" i="6"/>
  <c r="BB47" i="6"/>
  <c r="AZ261" i="6"/>
  <c r="AZ162" i="6"/>
  <c r="AO154" i="6"/>
  <c r="AO184" i="6" s="1"/>
  <c r="AO252" i="6"/>
  <c r="BA81" i="6"/>
  <c r="BA280" i="6" s="1"/>
  <c r="BA79" i="6"/>
  <c r="BA143" i="6"/>
  <c r="AZ157" i="6"/>
  <c r="AZ256" i="6"/>
  <c r="BB93" i="6"/>
  <c r="BB33" i="6"/>
  <c r="BB105" i="6"/>
  <c r="BB119" i="6"/>
  <c r="BB32" i="6"/>
  <c r="BB14" i="6"/>
  <c r="BB113" i="6"/>
  <c r="BB112" i="6"/>
  <c r="BB20" i="6"/>
  <c r="BB120" i="6"/>
  <c r="BB98" i="6"/>
  <c r="BB13" i="6"/>
  <c r="BB106" i="6"/>
  <c r="BB99" i="6"/>
  <c r="BB129" i="6"/>
  <c r="BB28" i="6"/>
  <c r="BB94" i="6"/>
  <c r="BB21" i="6"/>
  <c r="BB27" i="6"/>
  <c r="BA116" i="6"/>
  <c r="BA284" i="6" s="1"/>
  <c r="BA114" i="6"/>
  <c r="BA170" i="6" s="1"/>
  <c r="BA269" i="6" s="1"/>
  <c r="BA148" i="6"/>
  <c r="AL298" i="6"/>
  <c r="AL326" i="6" s="1"/>
  <c r="AL328" i="6" s="1"/>
  <c r="AL354" i="6" s="1"/>
  <c r="AL360" i="6" s="1"/>
  <c r="AL361" i="6" s="1"/>
  <c r="AM358" i="6" s="1"/>
  <c r="AR130" i="6"/>
  <c r="AR172" i="6" s="1"/>
  <c r="AR271" i="6" s="1"/>
  <c r="AR150" i="6"/>
  <c r="AR132" i="6"/>
  <c r="AR286" i="6" s="1"/>
  <c r="AS128" i="6"/>
  <c r="BB54" i="6"/>
  <c r="BB53" i="6"/>
  <c r="AZ257" i="6"/>
  <c r="AZ158" i="6"/>
  <c r="AS138" i="6"/>
  <c r="AS41" i="6"/>
  <c r="AT39" i="6"/>
  <c r="BA135" i="6"/>
  <c r="BA24" i="6"/>
  <c r="BA277" i="6" s="1"/>
  <c r="BA22" i="6"/>
  <c r="AZ262" i="6"/>
  <c r="AZ163" i="6"/>
  <c r="AR259" i="6"/>
  <c r="AR160" i="6"/>
  <c r="AZ255" i="6"/>
  <c r="AZ156" i="6"/>
  <c r="AL201" i="6"/>
  <c r="AL295" i="6" s="1"/>
  <c r="BA145" i="6"/>
  <c r="BA153" i="6" s="1"/>
  <c r="BA192" i="6" s="1"/>
  <c r="BA95" i="6"/>
  <c r="AZ194" i="6"/>
  <c r="AZ193" i="6"/>
  <c r="AZ195" i="6" s="1"/>
  <c r="AZ294" i="6" s="1"/>
  <c r="BA324" i="6"/>
  <c r="BA290" i="6"/>
  <c r="BA140" i="6"/>
  <c r="BA55" i="6"/>
  <c r="BA144" i="6"/>
  <c r="BA88" i="6"/>
  <c r="BA90" i="6"/>
  <c r="BA281" i="6" s="1"/>
  <c r="BA147" i="6"/>
  <c r="BA107" i="6"/>
  <c r="BA149" i="6"/>
  <c r="BA121" i="6"/>
  <c r="BA171" i="6" s="1"/>
  <c r="BA270" i="6" s="1"/>
  <c r="BA123" i="6"/>
  <c r="BA285" i="6" s="1"/>
  <c r="AZ164" i="6"/>
  <c r="AZ263" i="6"/>
  <c r="AN189" i="6"/>
  <c r="AN187" i="6"/>
  <c r="AN185" i="6"/>
  <c r="AN186" i="6"/>
  <c r="AN188" i="6"/>
  <c r="BB134" i="6" l="1"/>
  <c r="BB17" i="6"/>
  <c r="BB276" i="6" s="1"/>
  <c r="BB15" i="6"/>
  <c r="BA266" i="6"/>
  <c r="BA167" i="6"/>
  <c r="BA162" i="6"/>
  <c r="BA261" i="6"/>
  <c r="BB142" i="6"/>
  <c r="BB72" i="6"/>
  <c r="BB279" i="6" s="1"/>
  <c r="BB70" i="6"/>
  <c r="BB137" i="6"/>
  <c r="BB34" i="6"/>
  <c r="AO186" i="6"/>
  <c r="AO188" i="6"/>
  <c r="AO189" i="6"/>
  <c r="AO185" i="6"/>
  <c r="AO187" i="6"/>
  <c r="BA263" i="6"/>
  <c r="BA164" i="6"/>
  <c r="BB141" i="6"/>
  <c r="BB62" i="6"/>
  <c r="BB64" i="6"/>
  <c r="BB278" i="6" s="1"/>
  <c r="AP161" i="6"/>
  <c r="AP174" i="6" s="1"/>
  <c r="AP260" i="6"/>
  <c r="AP273" i="6" s="1"/>
  <c r="AP288" i="6" s="1"/>
  <c r="BA267" i="6"/>
  <c r="BA168" i="6"/>
  <c r="BA102" i="6"/>
  <c r="BA282" i="6" s="1"/>
  <c r="BB146" i="6"/>
  <c r="BB100" i="6"/>
  <c r="BC69" i="6"/>
  <c r="BC61" i="6"/>
  <c r="BC68" i="6"/>
  <c r="BC60" i="6"/>
  <c r="BA194" i="6"/>
  <c r="BA193" i="6"/>
  <c r="BA195" i="6" s="1"/>
  <c r="BA294" i="6" s="1"/>
  <c r="AS259" i="6"/>
  <c r="AS160" i="6"/>
  <c r="BB135" i="6"/>
  <c r="BB22" i="6"/>
  <c r="BB24" i="6"/>
  <c r="BB277" i="6" s="1"/>
  <c r="BA165" i="6"/>
  <c r="BA264" i="6"/>
  <c r="BC54" i="6"/>
  <c r="BC53" i="6"/>
  <c r="BB140" i="6"/>
  <c r="BB55" i="6"/>
  <c r="BA255" i="6"/>
  <c r="BA156" i="6"/>
  <c r="AS150" i="6"/>
  <c r="AS132" i="6"/>
  <c r="AS286" i="6" s="1"/>
  <c r="AS130" i="6"/>
  <c r="AS172" i="6" s="1"/>
  <c r="AS271" i="6" s="1"/>
  <c r="AT128" i="6"/>
  <c r="BB149" i="6"/>
  <c r="BB121" i="6"/>
  <c r="BB171" i="6" s="1"/>
  <c r="BB270" i="6" s="1"/>
  <c r="BB123" i="6"/>
  <c r="BB285" i="6" s="1"/>
  <c r="BB324" i="6"/>
  <c r="BA262" i="6"/>
  <c r="BA163" i="6"/>
  <c r="BC223" i="6"/>
  <c r="BC320" i="6" s="1"/>
  <c r="BC225" i="6"/>
  <c r="BC322" i="6" s="1"/>
  <c r="BC226" i="6"/>
  <c r="BC323" i="6" s="1"/>
  <c r="BC179" i="6"/>
  <c r="BC291" i="6" s="1"/>
  <c r="BC205" i="6"/>
  <c r="BC302" i="6" s="1"/>
  <c r="BC181" i="6"/>
  <c r="BC296" i="6" s="1"/>
  <c r="BC206" i="6"/>
  <c r="BC303" i="6" s="1"/>
  <c r="BC178" i="6"/>
  <c r="BC182" i="6"/>
  <c r="BC297" i="6" s="1"/>
  <c r="BC204" i="6"/>
  <c r="BC301" i="6" s="1"/>
  <c r="BC211" i="6"/>
  <c r="BC308" i="6" s="1"/>
  <c r="BC209" i="6"/>
  <c r="BC306" i="6" s="1"/>
  <c r="BC208" i="6"/>
  <c r="BC305" i="6" s="1"/>
  <c r="BC352" i="6" s="1"/>
  <c r="BC219" i="6"/>
  <c r="BC316" i="6" s="1"/>
  <c r="BC212" i="6"/>
  <c r="BC309" i="6" s="1"/>
  <c r="BC180" i="6"/>
  <c r="BC292" i="6" s="1"/>
  <c r="BC222" i="6"/>
  <c r="BC319" i="6" s="1"/>
  <c r="BC217" i="6"/>
  <c r="BC314" i="6" s="1"/>
  <c r="BC220" i="6"/>
  <c r="BC317" i="6" s="1"/>
  <c r="BC207" i="6"/>
  <c r="BC304" i="6" s="1"/>
  <c r="BC210" i="6"/>
  <c r="BC307" i="6" s="1"/>
  <c r="BC213" i="6"/>
  <c r="BC310" i="6" s="1"/>
  <c r="BC218" i="6"/>
  <c r="BC315" i="6" s="1"/>
  <c r="BC214" i="6"/>
  <c r="BC311" i="6" s="1"/>
  <c r="BC221" i="6"/>
  <c r="BC318" i="6" s="1"/>
  <c r="BC215" i="6"/>
  <c r="BC312" i="6" s="1"/>
  <c r="BC216" i="6"/>
  <c r="BC313" i="6" s="1"/>
  <c r="BC224" i="6"/>
  <c r="BC321" i="6" s="1"/>
  <c r="BC40" i="6"/>
  <c r="BC77" i="6"/>
  <c r="BC86" i="6"/>
  <c r="BC78" i="6"/>
  <c r="BC87" i="6"/>
  <c r="BA265" i="6"/>
  <c r="BA166" i="6"/>
  <c r="AN190" i="6"/>
  <c r="BC331" i="6"/>
  <c r="BC349" i="6" s="1"/>
  <c r="BC247" i="6"/>
  <c r="BB114" i="6"/>
  <c r="BB170" i="6" s="1"/>
  <c r="BB269" i="6" s="1"/>
  <c r="BB116" i="6"/>
  <c r="BB284" i="6" s="1"/>
  <c r="BB148" i="6"/>
  <c r="BA258" i="6"/>
  <c r="BA159" i="6"/>
  <c r="BB147" i="6"/>
  <c r="BB107" i="6"/>
  <c r="AQ48" i="6"/>
  <c r="AQ139" i="6"/>
  <c r="AQ151" i="6" s="1"/>
  <c r="AR46" i="6"/>
  <c r="BC129" i="6"/>
  <c r="BC120" i="6"/>
  <c r="BC119" i="6"/>
  <c r="BC113" i="6"/>
  <c r="BC112" i="6"/>
  <c r="BC20" i="6"/>
  <c r="BC105" i="6"/>
  <c r="BC13" i="6"/>
  <c r="BC106" i="6"/>
  <c r="BC99" i="6"/>
  <c r="BC94" i="6"/>
  <c r="BC27" i="6"/>
  <c r="BC28" i="6"/>
  <c r="BC98" i="6"/>
  <c r="BC14" i="6"/>
  <c r="BC21" i="6"/>
  <c r="BC93" i="6"/>
  <c r="BC33" i="6"/>
  <c r="BC32" i="6"/>
  <c r="BB145" i="6"/>
  <c r="BB153" i="6" s="1"/>
  <c r="BB192" i="6" s="1"/>
  <c r="BB95" i="6"/>
  <c r="BB290" i="6"/>
  <c r="AT41" i="6"/>
  <c r="AT138" i="6"/>
  <c r="AU39" i="6"/>
  <c r="BB144" i="6"/>
  <c r="BB90" i="6"/>
  <c r="BB281" i="6" s="1"/>
  <c r="BB88" i="6"/>
  <c r="BD126" i="6"/>
  <c r="BD245" i="6"/>
  <c r="BD347" i="6" s="1"/>
  <c r="BD58" i="6"/>
  <c r="BD2" i="6"/>
  <c r="BD9" i="6"/>
  <c r="BD51" i="6"/>
  <c r="BD233" i="6"/>
  <c r="BD336" i="6" s="1"/>
  <c r="BD246" i="6"/>
  <c r="BD348" i="6" s="1"/>
  <c r="BD75" i="6"/>
  <c r="BD37" i="6"/>
  <c r="BD44" i="6"/>
  <c r="BD234" i="6"/>
  <c r="BD337" i="6" s="1"/>
  <c r="BD235" i="6"/>
  <c r="BD338" i="6" s="1"/>
  <c r="BD230" i="6"/>
  <c r="BD333" i="6" s="1"/>
  <c r="BD232" i="6"/>
  <c r="BD335" i="6" s="1"/>
  <c r="BD236" i="6"/>
  <c r="BD339" i="6" s="1"/>
  <c r="D339" i="6" s="1"/>
  <c r="BD237" i="6"/>
  <c r="BD340" i="6" s="1"/>
  <c r="BD244" i="6"/>
  <c r="BD346" i="6" s="1"/>
  <c r="BD228" i="6"/>
  <c r="BD238" i="6"/>
  <c r="BD341" i="6" s="1"/>
  <c r="BD242" i="6"/>
  <c r="BD344" i="6" s="1"/>
  <c r="BD243" i="6"/>
  <c r="BD345" i="6" s="1"/>
  <c r="BD231" i="6"/>
  <c r="BD334" i="6" s="1"/>
  <c r="BD229" i="6"/>
  <c r="BD332" i="6" s="1"/>
  <c r="AM293" i="6"/>
  <c r="AM199" i="6"/>
  <c r="AM200" i="6"/>
  <c r="AM198" i="6"/>
  <c r="AM201" i="6" s="1"/>
  <c r="AM295" i="6" s="1"/>
  <c r="BB136" i="6"/>
  <c r="BB29" i="6"/>
  <c r="BA257" i="6"/>
  <c r="BA158" i="6"/>
  <c r="BA169" i="6"/>
  <c r="BA268" i="6" s="1"/>
  <c r="BA109" i="6"/>
  <c r="BA283" i="6" s="1"/>
  <c r="BA256" i="6"/>
  <c r="BA157" i="6"/>
  <c r="BB79" i="6"/>
  <c r="BB81" i="6"/>
  <c r="BB280" i="6" s="1"/>
  <c r="BB143" i="6"/>
  <c r="AP252" i="6"/>
  <c r="AP154" i="6"/>
  <c r="AP184" i="6" s="1"/>
  <c r="BC47" i="6"/>
  <c r="BD86" i="6" l="1"/>
  <c r="BD78" i="6"/>
  <c r="BD87" i="6"/>
  <c r="BD77" i="6"/>
  <c r="BC64" i="6"/>
  <c r="BC278" i="6" s="1"/>
  <c r="BC141" i="6"/>
  <c r="BC62" i="6"/>
  <c r="BC121" i="6"/>
  <c r="BC171" i="6" s="1"/>
  <c r="BC270" i="6" s="1"/>
  <c r="BC149" i="6"/>
  <c r="BC123" i="6"/>
  <c r="BC285" i="6" s="1"/>
  <c r="BD331" i="6"/>
  <c r="BD349" i="6" s="1"/>
  <c r="BD247" i="6"/>
  <c r="BC146" i="6"/>
  <c r="BC100" i="6"/>
  <c r="BC136" i="6"/>
  <c r="BC29" i="6"/>
  <c r="BB266" i="6"/>
  <c r="BB167" i="6"/>
  <c r="BB169" i="6"/>
  <c r="BB268" i="6" s="1"/>
  <c r="BB109" i="6"/>
  <c r="BB283" i="6" s="1"/>
  <c r="BB193" i="6"/>
  <c r="BB194" i="6"/>
  <c r="BC17" i="6"/>
  <c r="BC276" i="6" s="1"/>
  <c r="BC134" i="6"/>
  <c r="BC15" i="6"/>
  <c r="BC324" i="6"/>
  <c r="BB255" i="6"/>
  <c r="BB156" i="6"/>
  <c r="BB163" i="6"/>
  <c r="BB262" i="6"/>
  <c r="AT150" i="6"/>
  <c r="AT130" i="6"/>
  <c r="AT172" i="6" s="1"/>
  <c r="AT271" i="6" s="1"/>
  <c r="AT132" i="6"/>
  <c r="AT286" i="6" s="1"/>
  <c r="AU128" i="6"/>
  <c r="BB257" i="6"/>
  <c r="BB158" i="6"/>
  <c r="BD54" i="6"/>
  <c r="BD53" i="6"/>
  <c r="BD129" i="6"/>
  <c r="BD98" i="6"/>
  <c r="BD93" i="6"/>
  <c r="BD20" i="6"/>
  <c r="BD13" i="6"/>
  <c r="BD113" i="6"/>
  <c r="BD21" i="6"/>
  <c r="BD99" i="6"/>
  <c r="BD106" i="6"/>
  <c r="BD94" i="6"/>
  <c r="BD28" i="6"/>
  <c r="BD32" i="6"/>
  <c r="BD119" i="6"/>
  <c r="BD112" i="6"/>
  <c r="BD27" i="6"/>
  <c r="BD14" i="6"/>
  <c r="BD105" i="6"/>
  <c r="BD120" i="6"/>
  <c r="BD33" i="6"/>
  <c r="AR139" i="6"/>
  <c r="AR151" i="6" s="1"/>
  <c r="AR48" i="6"/>
  <c r="AS46" i="6"/>
  <c r="BD61" i="6"/>
  <c r="BD60" i="6"/>
  <c r="BD68" i="6"/>
  <c r="BD69" i="6"/>
  <c r="AQ161" i="6"/>
  <c r="AQ174" i="6" s="1"/>
  <c r="AQ260" i="6"/>
  <c r="AQ273" i="6" s="1"/>
  <c r="AQ288" i="6" s="1"/>
  <c r="BC137" i="6"/>
  <c r="BC34" i="6"/>
  <c r="BC147" i="6"/>
  <c r="BC107" i="6"/>
  <c r="BB261" i="6"/>
  <c r="BB162" i="6"/>
  <c r="BB258" i="6"/>
  <c r="BB159" i="6"/>
  <c r="BC72" i="6"/>
  <c r="BC279" i="6" s="1"/>
  <c r="BC70" i="6"/>
  <c r="BC142" i="6"/>
  <c r="AP185" i="6"/>
  <c r="AP188" i="6"/>
  <c r="AP187" i="6"/>
  <c r="AP189" i="6"/>
  <c r="AP186" i="6"/>
  <c r="AQ252" i="6"/>
  <c r="AQ154" i="6"/>
  <c r="AQ184" i="6" s="1"/>
  <c r="AN293" i="6"/>
  <c r="AN200" i="6"/>
  <c r="AN198" i="6"/>
  <c r="AN199" i="6"/>
  <c r="AM298" i="6"/>
  <c r="AM326" i="6" s="1"/>
  <c r="AM328" i="6" s="1"/>
  <c r="AM354" i="6" s="1"/>
  <c r="AM360" i="6" s="1"/>
  <c r="AM361" i="6" s="1"/>
  <c r="AN358" i="6" s="1"/>
  <c r="BD47" i="6"/>
  <c r="BC135" i="6"/>
  <c r="BC22" i="6"/>
  <c r="BC24" i="6"/>
  <c r="BC277" i="6" s="1"/>
  <c r="BC144" i="6"/>
  <c r="BC90" i="6"/>
  <c r="BC281" i="6" s="1"/>
  <c r="BC88" i="6"/>
  <c r="BC290" i="6"/>
  <c r="AU138" i="6"/>
  <c r="AU41" i="6"/>
  <c r="AV39" i="6"/>
  <c r="AT160" i="6"/>
  <c r="AT259" i="6"/>
  <c r="BB267" i="6"/>
  <c r="BB168" i="6"/>
  <c r="BB102" i="6"/>
  <c r="BB282" i="6" s="1"/>
  <c r="BD182" i="6"/>
  <c r="BD297" i="6" s="1"/>
  <c r="G297" i="6" s="1"/>
  <c r="BD179" i="6"/>
  <c r="BD291" i="6" s="1"/>
  <c r="D291" i="6" s="1"/>
  <c r="BD226" i="6"/>
  <c r="BD323" i="6" s="1"/>
  <c r="D323" i="6" s="1"/>
  <c r="BD225" i="6"/>
  <c r="BD322" i="6" s="1"/>
  <c r="D322" i="6" s="1"/>
  <c r="BD178" i="6"/>
  <c r="BD181" i="6"/>
  <c r="BD296" i="6" s="1"/>
  <c r="D296" i="6" s="1"/>
  <c r="BD180" i="6"/>
  <c r="BD292" i="6" s="1"/>
  <c r="D292" i="6" s="1"/>
  <c r="BD212" i="6"/>
  <c r="BD309" i="6" s="1"/>
  <c r="D309" i="6" s="1"/>
  <c r="BD223" i="6"/>
  <c r="BD320" i="6" s="1"/>
  <c r="D320" i="6" s="1"/>
  <c r="BD217" i="6"/>
  <c r="BD314" i="6" s="1"/>
  <c r="D314" i="6" s="1"/>
  <c r="BD222" i="6"/>
  <c r="BD319" i="6" s="1"/>
  <c r="G319" i="6" s="1"/>
  <c r="BD206" i="6"/>
  <c r="BD303" i="6" s="1"/>
  <c r="D303" i="6" s="1"/>
  <c r="BD211" i="6"/>
  <c r="BD308" i="6" s="1"/>
  <c r="G308" i="6" s="1"/>
  <c r="BD209" i="6"/>
  <c r="BD306" i="6" s="1"/>
  <c r="D306" i="6" s="1"/>
  <c r="BD208" i="6"/>
  <c r="BD305" i="6" s="1"/>
  <c r="BD352" i="6" s="1"/>
  <c r="D352" i="6" s="1"/>
  <c r="BD205" i="6"/>
  <c r="BD302" i="6" s="1"/>
  <c r="D302" i="6" s="1"/>
  <c r="BD204" i="6"/>
  <c r="BD301" i="6" s="1"/>
  <c r="BD219" i="6"/>
  <c r="BD316" i="6" s="1"/>
  <c r="D316" i="6" s="1"/>
  <c r="BD216" i="6"/>
  <c r="BD313" i="6" s="1"/>
  <c r="D313" i="6" s="1"/>
  <c r="BD215" i="6"/>
  <c r="BD312" i="6" s="1"/>
  <c r="D312" i="6" s="1"/>
  <c r="BD210" i="6"/>
  <c r="BD307" i="6" s="1"/>
  <c r="D307" i="6" s="1"/>
  <c r="BD224" i="6"/>
  <c r="BD321" i="6" s="1"/>
  <c r="D321" i="6" s="1"/>
  <c r="BD220" i="6"/>
  <c r="BD317" i="6" s="1"/>
  <c r="D317" i="6" s="1"/>
  <c r="BD214" i="6"/>
  <c r="BD311" i="6" s="1"/>
  <c r="D311" i="6" s="1"/>
  <c r="BD213" i="6"/>
  <c r="BD310" i="6" s="1"/>
  <c r="D310" i="6" s="1"/>
  <c r="BD221" i="6"/>
  <c r="BD318" i="6" s="1"/>
  <c r="D318" i="6" s="1"/>
  <c r="BD218" i="6"/>
  <c r="BD315" i="6" s="1"/>
  <c r="BD207" i="6"/>
  <c r="BD304" i="6" s="1"/>
  <c r="D304" i="6" s="1"/>
  <c r="D338" i="6"/>
  <c r="D263" i="6"/>
  <c r="D337" i="6"/>
  <c r="E321" i="6"/>
  <c r="D315" i="6"/>
  <c r="D347" i="6"/>
  <c r="D294" i="6"/>
  <c r="D264" i="6"/>
  <c r="D335" i="6"/>
  <c r="D276" i="6"/>
  <c r="F266" i="6"/>
  <c r="D262" i="6"/>
  <c r="E265" i="6"/>
  <c r="E340" i="6"/>
  <c r="D266" i="6"/>
  <c r="D293" i="6"/>
  <c r="D256" i="6"/>
  <c r="G287" i="6"/>
  <c r="D305" i="6"/>
  <c r="F305" i="6"/>
  <c r="F315" i="6"/>
  <c r="E257" i="6"/>
  <c r="E261" i="6"/>
  <c r="F359" i="6"/>
  <c r="E284" i="6"/>
  <c r="D336" i="6"/>
  <c r="F324" i="6"/>
  <c r="E323" i="6"/>
  <c r="E264" i="6"/>
  <c r="G347" i="6"/>
  <c r="E292" i="6"/>
  <c r="G339" i="6"/>
  <c r="E255" i="6"/>
  <c r="G352" i="6"/>
  <c r="F297" i="6"/>
  <c r="F335" i="6"/>
  <c r="D272" i="6"/>
  <c r="F312" i="6"/>
  <c r="D333" i="6"/>
  <c r="E304" i="6"/>
  <c r="E333" i="6"/>
  <c r="G304" i="6"/>
  <c r="D267" i="6"/>
  <c r="E335" i="6"/>
  <c r="D290" i="6"/>
  <c r="F314" i="6"/>
  <c r="G336" i="6"/>
  <c r="G332" i="6"/>
  <c r="F255" i="6"/>
  <c r="D257" i="6"/>
  <c r="D348" i="6"/>
  <c r="E262" i="6"/>
  <c r="F339" i="6"/>
  <c r="G338" i="6"/>
  <c r="F346" i="6"/>
  <c r="F265" i="6"/>
  <c r="E266" i="6"/>
  <c r="G348" i="6"/>
  <c r="E308" i="6"/>
  <c r="E346" i="6"/>
  <c r="F332" i="6"/>
  <c r="F284" i="6"/>
  <c r="G337" i="6"/>
  <c r="E314" i="6"/>
  <c r="F262" i="6"/>
  <c r="F259" i="6"/>
  <c r="E320" i="6"/>
  <c r="F310" i="6"/>
  <c r="F264" i="6"/>
  <c r="E313" i="6"/>
  <c r="E331" i="6"/>
  <c r="E344" i="6"/>
  <c r="G333" i="6"/>
  <c r="F306" i="6"/>
  <c r="G345" i="6"/>
  <c r="F334" i="6"/>
  <c r="E360" i="6"/>
  <c r="G340" i="6"/>
  <c r="E286" i="6"/>
  <c r="E293" i="6"/>
  <c r="F345" i="6"/>
  <c r="E269" i="6"/>
  <c r="F290" i="6"/>
  <c r="F280" i="6"/>
  <c r="E280" i="6"/>
  <c r="F261" i="6"/>
  <c r="E263" i="6"/>
  <c r="E298" i="6"/>
  <c r="F287" i="6"/>
  <c r="E291" i="6"/>
  <c r="D297" i="6"/>
  <c r="E336" i="6"/>
  <c r="F267" i="6"/>
  <c r="E290" i="6"/>
  <c r="E296" i="6"/>
  <c r="G272" i="6"/>
  <c r="G344" i="6"/>
  <c r="D283" i="6"/>
  <c r="G335" i="6"/>
  <c r="E267" i="6"/>
  <c r="F272" i="6"/>
  <c r="G305" i="6"/>
  <c r="E271" i="6"/>
  <c r="G302" i="6"/>
  <c r="F268" i="6"/>
  <c r="G292" i="6"/>
  <c r="E283" i="6"/>
  <c r="E270" i="6"/>
  <c r="E258" i="6"/>
  <c r="G315" i="6"/>
  <c r="F277" i="6"/>
  <c r="E309" i="6"/>
  <c r="E260" i="6"/>
  <c r="F322" i="6"/>
  <c r="E324" i="6"/>
  <c r="E317" i="6"/>
  <c r="F270" i="6"/>
  <c r="F331" i="6"/>
  <c r="G312" i="6"/>
  <c r="E302" i="6"/>
  <c r="F307" i="6"/>
  <c r="E273" i="6"/>
  <c r="G334" i="6"/>
  <c r="F333" i="6"/>
  <c r="F279" i="6"/>
  <c r="E281" i="6"/>
  <c r="D308" i="6"/>
  <c r="F344" i="6"/>
  <c r="E338" i="6"/>
  <c r="F296" i="6"/>
  <c r="G322" i="6"/>
  <c r="F320" i="6"/>
  <c r="E310" i="6"/>
  <c r="F336" i="6"/>
  <c r="F286" i="6"/>
  <c r="F303" i="6"/>
  <c r="F309" i="6"/>
  <c r="F291" i="6"/>
  <c r="F278" i="6"/>
  <c r="E268" i="6"/>
  <c r="F285" i="6"/>
  <c r="F347" i="6"/>
  <c r="E303" i="6"/>
  <c r="E277" i="6"/>
  <c r="E328" i="6"/>
  <c r="G323" i="6"/>
  <c r="F318" i="6"/>
  <c r="E352" i="6"/>
  <c r="F316" i="6"/>
  <c r="F308" i="6"/>
  <c r="E306" i="6"/>
  <c r="E316" i="6"/>
  <c r="E339" i="6"/>
  <c r="F302" i="6"/>
  <c r="E297" i="6"/>
  <c r="F292" i="6"/>
  <c r="E315" i="6"/>
  <c r="F304" i="6"/>
  <c r="F282" i="6"/>
  <c r="G359" i="6"/>
  <c r="F348" i="6"/>
  <c r="F319" i="6"/>
  <c r="D359" i="6"/>
  <c r="D361" i="6" s="1"/>
  <c r="E358" i="6" s="1"/>
  <c r="E307" i="6"/>
  <c r="E287" i="6"/>
  <c r="F283" i="6"/>
  <c r="E276" i="6"/>
  <c r="E318" i="6"/>
  <c r="F301" i="6"/>
  <c r="E259" i="6"/>
  <c r="E319" i="6"/>
  <c r="E294" i="6"/>
  <c r="F313" i="6"/>
  <c r="E341" i="6"/>
  <c r="F321" i="6"/>
  <c r="E311" i="6"/>
  <c r="E334" i="6"/>
  <c r="F256" i="6"/>
  <c r="E288" i="6"/>
  <c r="F323" i="6"/>
  <c r="F337" i="6"/>
  <c r="E322" i="6"/>
  <c r="E347" i="6"/>
  <c r="F281" i="6"/>
  <c r="E301" i="6"/>
  <c r="E282" i="6"/>
  <c r="F340" i="6"/>
  <c r="E332" i="6"/>
  <c r="G301" i="6"/>
  <c r="F271" i="6"/>
  <c r="F294" i="6"/>
  <c r="E345" i="6"/>
  <c r="E337" i="6"/>
  <c r="E359" i="6"/>
  <c r="E354" i="6"/>
  <c r="E3" i="6" s="1"/>
  <c r="E1" i="6" s="1"/>
  <c r="E348" i="6"/>
  <c r="E312" i="6"/>
  <c r="E305" i="6"/>
  <c r="G313" i="6"/>
  <c r="G296" i="6"/>
  <c r="G311" i="6"/>
  <c r="G316" i="6"/>
  <c r="F276" i="6"/>
  <c r="F269" i="6"/>
  <c r="E295" i="6"/>
  <c r="F311" i="6"/>
  <c r="E278" i="6"/>
  <c r="E285" i="6"/>
  <c r="D340" i="6"/>
  <c r="E256" i="6"/>
  <c r="F352" i="6"/>
  <c r="F317" i="6"/>
  <c r="F341" i="6"/>
  <c r="F338" i="6"/>
  <c r="E279" i="6"/>
  <c r="E272" i="6"/>
  <c r="E252" i="6"/>
  <c r="F257" i="6"/>
  <c r="G346" i="6"/>
  <c r="F258" i="6"/>
  <c r="G341" i="6"/>
  <c r="F263" i="6"/>
  <c r="D287" i="6"/>
  <c r="E326" i="6"/>
  <c r="D319" i="6"/>
  <c r="D346" i="6"/>
  <c r="D344" i="6"/>
  <c r="D331" i="6"/>
  <c r="D341" i="6"/>
  <c r="D345" i="6"/>
  <c r="D334" i="6"/>
  <c r="D360" i="6"/>
  <c r="D332" i="6"/>
  <c r="D354" i="6"/>
  <c r="D3" i="6" s="1"/>
  <c r="D1" i="6" s="1"/>
  <c r="AO190" i="6"/>
  <c r="BB256" i="6"/>
  <c r="BB157" i="6"/>
  <c r="BB264" i="6"/>
  <c r="BB165" i="6"/>
  <c r="BB265" i="6"/>
  <c r="BB166" i="6"/>
  <c r="BD40" i="6"/>
  <c r="BC145" i="6"/>
  <c r="BC153" i="6" s="1"/>
  <c r="BC192" i="6" s="1"/>
  <c r="BC95" i="6"/>
  <c r="BC116" i="6"/>
  <c r="BC284" i="6" s="1"/>
  <c r="BC114" i="6"/>
  <c r="BC170" i="6" s="1"/>
  <c r="BC269" i="6" s="1"/>
  <c r="BC148" i="6"/>
  <c r="BC79" i="6"/>
  <c r="BC81" i="6"/>
  <c r="BC280" i="6" s="1"/>
  <c r="BC143" i="6"/>
  <c r="BC140" i="6"/>
  <c r="BC55" i="6"/>
  <c r="BB164" i="6"/>
  <c r="BB263" i="6"/>
  <c r="BC263" i="6" l="1"/>
  <c r="BC164" i="6"/>
  <c r="BD135" i="6"/>
  <c r="BD22" i="6"/>
  <c r="BD24" i="6"/>
  <c r="BD277" i="6" s="1"/>
  <c r="AN201" i="6"/>
  <c r="AN295" i="6" s="1"/>
  <c r="BD114" i="6"/>
  <c r="BD170" i="6" s="1"/>
  <c r="BD269" i="6" s="1"/>
  <c r="BD148" i="6"/>
  <c r="BD116" i="6"/>
  <c r="BD284" i="6" s="1"/>
  <c r="G291" i="6"/>
  <c r="BD64" i="6"/>
  <c r="BD278" i="6" s="1"/>
  <c r="BD62" i="6"/>
  <c r="BD141" i="6"/>
  <c r="BC163" i="6"/>
  <c r="BC262" i="6"/>
  <c r="BC264" i="6"/>
  <c r="BC165" i="6"/>
  <c r="BC256" i="6"/>
  <c r="BC157" i="6"/>
  <c r="AO293" i="6"/>
  <c r="AO199" i="6"/>
  <c r="AO198" i="6"/>
  <c r="AO200" i="6"/>
  <c r="G307" i="6"/>
  <c r="AU259" i="6"/>
  <c r="AU160" i="6"/>
  <c r="AR260" i="6"/>
  <c r="AR273" i="6" s="1"/>
  <c r="AR288" i="6" s="1"/>
  <c r="AR161" i="6"/>
  <c r="AR174" i="6" s="1"/>
  <c r="BC257" i="6"/>
  <c r="BC158" i="6"/>
  <c r="BD143" i="6"/>
  <c r="BD81" i="6"/>
  <c r="BD280" i="6" s="1"/>
  <c r="BD79" i="6"/>
  <c r="BD107" i="6"/>
  <c r="BD147" i="6"/>
  <c r="BC261" i="6"/>
  <c r="BC162" i="6"/>
  <c r="BD146" i="6"/>
  <c r="BD100" i="6"/>
  <c r="F349" i="6"/>
  <c r="F273" i="6"/>
  <c r="G306" i="6"/>
  <c r="BD137" i="6"/>
  <c r="BD34" i="6"/>
  <c r="G314" i="6"/>
  <c r="AV138" i="6"/>
  <c r="AV41" i="6"/>
  <c r="AW39" i="6"/>
  <c r="AS48" i="6"/>
  <c r="AS139" i="6"/>
  <c r="AS151" i="6" s="1"/>
  <c r="AT46" i="6"/>
  <c r="G309" i="6"/>
  <c r="G321" i="6"/>
  <c r="E349" i="6"/>
  <c r="BD324" i="6"/>
  <c r="D301" i="6"/>
  <c r="BD290" i="6"/>
  <c r="G290" i="6" s="1"/>
  <c r="BC169" i="6"/>
  <c r="BC268" i="6" s="1"/>
  <c r="BC109" i="6"/>
  <c r="BC283" i="6" s="1"/>
  <c r="AR252" i="6"/>
  <c r="F252" i="6" s="1"/>
  <c r="AR154" i="6"/>
  <c r="AR184" i="6" s="1"/>
  <c r="AU132" i="6"/>
  <c r="AU286" i="6" s="1"/>
  <c r="AU130" i="6"/>
  <c r="AU172" i="6" s="1"/>
  <c r="AU271" i="6" s="1"/>
  <c r="AU150" i="6"/>
  <c r="AV128" i="6"/>
  <c r="BC255" i="6"/>
  <c r="BC156" i="6"/>
  <c r="BD134" i="6"/>
  <c r="BD15" i="6"/>
  <c r="BD17" i="6"/>
  <c r="BD276" i="6" s="1"/>
  <c r="G276" i="6" s="1"/>
  <c r="G318" i="6"/>
  <c r="BD136" i="6"/>
  <c r="BD29" i="6"/>
  <c r="F260" i="6"/>
  <c r="E361" i="6"/>
  <c r="F358" i="6" s="1"/>
  <c r="G331" i="6"/>
  <c r="G349" i="6" s="1"/>
  <c r="AN298" i="6"/>
  <c r="BD123" i="6"/>
  <c r="BD285" i="6" s="1"/>
  <c r="BD149" i="6"/>
  <c r="BD121" i="6"/>
  <c r="BD171" i="6" s="1"/>
  <c r="BD270" i="6" s="1"/>
  <c r="D270" i="6" s="1"/>
  <c r="BC266" i="6"/>
  <c r="BC167" i="6"/>
  <c r="G310" i="6"/>
  <c r="BC267" i="6"/>
  <c r="BC168" i="6"/>
  <c r="BC102" i="6"/>
  <c r="BC282" i="6" s="1"/>
  <c r="BB195" i="6"/>
  <c r="BB294" i="6" s="1"/>
  <c r="BD95" i="6"/>
  <c r="BD145" i="6"/>
  <c r="BD153" i="6" s="1"/>
  <c r="BD192" i="6" s="1"/>
  <c r="D349" i="6"/>
  <c r="BC265" i="6"/>
  <c r="BC166" i="6"/>
  <c r="BD70" i="6"/>
  <c r="BD72" i="6"/>
  <c r="BD279" i="6" s="1"/>
  <c r="BD142" i="6"/>
  <c r="G303" i="6"/>
  <c r="AQ187" i="6"/>
  <c r="AQ185" i="6"/>
  <c r="AQ188" i="6"/>
  <c r="AQ189" i="6"/>
  <c r="AQ186" i="6"/>
  <c r="BD140" i="6"/>
  <c r="BD55" i="6"/>
  <c r="BC194" i="6"/>
  <c r="BC193" i="6"/>
  <c r="BC195" i="6" s="1"/>
  <c r="BC294" i="6" s="1"/>
  <c r="G320" i="6"/>
  <c r="G317" i="6"/>
  <c r="AP190" i="6"/>
  <c r="BC258" i="6"/>
  <c r="BC159" i="6"/>
  <c r="BD90" i="6"/>
  <c r="BD281" i="6" s="1"/>
  <c r="BD88" i="6"/>
  <c r="BD144" i="6"/>
  <c r="G267" i="6" l="1"/>
  <c r="G263" i="6"/>
  <c r="D278" i="6"/>
  <c r="G278" i="6"/>
  <c r="D324" i="6"/>
  <c r="G324" i="6"/>
  <c r="BD258" i="6"/>
  <c r="D258" i="6" s="1"/>
  <c r="BD159" i="6"/>
  <c r="AO201" i="6"/>
  <c r="AO295" i="6" s="1"/>
  <c r="BD264" i="6"/>
  <c r="BD165" i="6"/>
  <c r="BD257" i="6"/>
  <c r="BD158" i="6"/>
  <c r="D284" i="6"/>
  <c r="G284" i="6"/>
  <c r="G256" i="6"/>
  <c r="AS154" i="6"/>
  <c r="AS184" i="6" s="1"/>
  <c r="AS252" i="6"/>
  <c r="BD261" i="6"/>
  <c r="D261" i="6" s="1"/>
  <c r="BD162" i="6"/>
  <c r="BD255" i="6"/>
  <c r="G255" i="6" s="1"/>
  <c r="BD156" i="6"/>
  <c r="BD267" i="6"/>
  <c r="BD102" i="6"/>
  <c r="BD282" i="6" s="1"/>
  <c r="D282" i="6" s="1"/>
  <c r="BD168" i="6"/>
  <c r="G264" i="6"/>
  <c r="D277" i="6"/>
  <c r="G277" i="6"/>
  <c r="AP293" i="6"/>
  <c r="AP199" i="6"/>
  <c r="AP198" i="6"/>
  <c r="AP200" i="6"/>
  <c r="D280" i="6"/>
  <c r="G280" i="6"/>
  <c r="AT139" i="6"/>
  <c r="AT151" i="6" s="1"/>
  <c r="AT48" i="6"/>
  <c r="AU46" i="6"/>
  <c r="G257" i="6"/>
  <c r="BD265" i="6"/>
  <c r="BD166" i="6"/>
  <c r="AW138" i="6"/>
  <c r="AW41" i="6"/>
  <c r="AX39" i="6"/>
  <c r="F288" i="6"/>
  <c r="BD157" i="6"/>
  <c r="BD256" i="6"/>
  <c r="G270" i="6"/>
  <c r="AN326" i="6"/>
  <c r="BD262" i="6"/>
  <c r="G262" i="6" s="1"/>
  <c r="BD163" i="6"/>
  <c r="AQ190" i="6"/>
  <c r="BD263" i="6"/>
  <c r="BD164" i="6"/>
  <c r="D269" i="6"/>
  <c r="G269" i="6"/>
  <c r="D281" i="6"/>
  <c r="G281" i="6"/>
  <c r="BD194" i="6"/>
  <c r="BD193" i="6"/>
  <c r="BD195" i="6" s="1"/>
  <c r="BD294" i="6" s="1"/>
  <c r="G294" i="6" s="1"/>
  <c r="AV160" i="6"/>
  <c r="AV259" i="6"/>
  <c r="AV132" i="6"/>
  <c r="AV286" i="6" s="1"/>
  <c r="AV150" i="6"/>
  <c r="AV130" i="6"/>
  <c r="AV172" i="6" s="1"/>
  <c r="AV271" i="6" s="1"/>
  <c r="AW128" i="6"/>
  <c r="BD109" i="6"/>
  <c r="BD283" i="6" s="1"/>
  <c r="G283" i="6" s="1"/>
  <c r="BD169" i="6"/>
  <c r="BD268" i="6" s="1"/>
  <c r="AR185" i="6"/>
  <c r="AR189" i="6"/>
  <c r="AR188" i="6"/>
  <c r="AR186" i="6"/>
  <c r="AR187" i="6"/>
  <c r="D279" i="6"/>
  <c r="G279" i="6"/>
  <c r="AS161" i="6"/>
  <c r="AS174" i="6" s="1"/>
  <c r="AS260" i="6"/>
  <c r="BD266" i="6"/>
  <c r="G266" i="6" s="1"/>
  <c r="BD167" i="6"/>
  <c r="D285" i="6"/>
  <c r="G285" i="6"/>
  <c r="AQ293" i="6" l="1"/>
  <c r="AQ200" i="6"/>
  <c r="AQ198" i="6"/>
  <c r="AQ199" i="6"/>
  <c r="AP298" i="6"/>
  <c r="AP326" i="6" s="1"/>
  <c r="AP328" i="6" s="1"/>
  <c r="AP354" i="6" s="1"/>
  <c r="AP360" i="6" s="1"/>
  <c r="G261" i="6"/>
  <c r="AT260" i="6"/>
  <c r="AT273" i="6" s="1"/>
  <c r="AT288" i="6" s="1"/>
  <c r="AT161" i="6"/>
  <c r="AT174" i="6" s="1"/>
  <c r="AR190" i="6"/>
  <c r="AP201" i="6"/>
  <c r="AP295" i="6" s="1"/>
  <c r="AS273" i="6"/>
  <c r="D265" i="6"/>
  <c r="G265" i="6"/>
  <c r="AN328" i="6"/>
  <c r="AW150" i="6"/>
  <c r="AW132" i="6"/>
  <c r="AW286" i="6" s="1"/>
  <c r="AW130" i="6"/>
  <c r="AW172" i="6" s="1"/>
  <c r="AW271" i="6" s="1"/>
  <c r="AX128" i="6"/>
  <c r="AO298" i="6"/>
  <c r="AT252" i="6"/>
  <c r="AT154" i="6"/>
  <c r="AT184" i="6" s="1"/>
  <c r="AS186" i="6"/>
  <c r="AS185" i="6"/>
  <c r="AS187" i="6"/>
  <c r="AS189" i="6"/>
  <c r="AS188" i="6"/>
  <c r="AU139" i="6"/>
  <c r="AU151" i="6" s="1"/>
  <c r="AU48" i="6"/>
  <c r="AV46" i="6"/>
  <c r="G282" i="6"/>
  <c r="AW160" i="6"/>
  <c r="AW259" i="6"/>
  <c r="D255" i="6"/>
  <c r="D268" i="6"/>
  <c r="G268" i="6"/>
  <c r="G258" i="6"/>
  <c r="AX138" i="6"/>
  <c r="AX41" i="6"/>
  <c r="AY39" i="6"/>
  <c r="AU252" i="6" l="1"/>
  <c r="AU154" i="6"/>
  <c r="AU184" i="6" s="1"/>
  <c r="AN354" i="6"/>
  <c r="AT187" i="6"/>
  <c r="AT189" i="6"/>
  <c r="AT185" i="6"/>
  <c r="AT186" i="6"/>
  <c r="AT188" i="6"/>
  <c r="AQ201" i="6"/>
  <c r="AQ295" i="6" s="1"/>
  <c r="AQ298" i="6" s="1"/>
  <c r="AU260" i="6"/>
  <c r="AU273" i="6" s="1"/>
  <c r="AU288" i="6" s="1"/>
  <c r="AU161" i="6"/>
  <c r="AU174" i="6" s="1"/>
  <c r="AO326" i="6"/>
  <c r="AR293" i="6"/>
  <c r="AR200" i="6"/>
  <c r="AR198" i="6"/>
  <c r="AR199" i="6"/>
  <c r="AS190" i="6"/>
  <c r="AX132" i="6"/>
  <c r="AX286" i="6" s="1"/>
  <c r="AX150" i="6"/>
  <c r="AX130" i="6"/>
  <c r="AX172" i="6" s="1"/>
  <c r="AX271" i="6" s="1"/>
  <c r="AY128" i="6"/>
  <c r="AX259" i="6"/>
  <c r="AX160" i="6"/>
  <c r="AS288" i="6"/>
  <c r="AY41" i="6"/>
  <c r="AY138" i="6"/>
  <c r="AZ39" i="6"/>
  <c r="AV139" i="6"/>
  <c r="AV151" i="6" s="1"/>
  <c r="AV48" i="6"/>
  <c r="AW46" i="6"/>
  <c r="AQ326" i="6" l="1"/>
  <c r="AQ328" i="6" s="1"/>
  <c r="AQ354" i="6" s="1"/>
  <c r="AQ360" i="6" s="1"/>
  <c r="AT190" i="6"/>
  <c r="AY150" i="6"/>
  <c r="AY130" i="6"/>
  <c r="AY172" i="6" s="1"/>
  <c r="AY271" i="6" s="1"/>
  <c r="AY132" i="6"/>
  <c r="AY286" i="6" s="1"/>
  <c r="AZ128" i="6"/>
  <c r="AO328" i="6"/>
  <c r="F326" i="6"/>
  <c r="AV252" i="6"/>
  <c r="AV154" i="6"/>
  <c r="AV184" i="6" s="1"/>
  <c r="AN360" i="6"/>
  <c r="AR298" i="6"/>
  <c r="AR326" i="6" s="1"/>
  <c r="AR328" i="6" s="1"/>
  <c r="AR354" i="6" s="1"/>
  <c r="AR360" i="6" s="1"/>
  <c r="F293" i="6"/>
  <c r="AW139" i="6"/>
  <c r="AW151" i="6" s="1"/>
  <c r="AW48" i="6"/>
  <c r="AX46" i="6"/>
  <c r="AV260" i="6"/>
  <c r="AV273" i="6" s="1"/>
  <c r="AV288" i="6" s="1"/>
  <c r="AV161" i="6"/>
  <c r="AV174" i="6" s="1"/>
  <c r="AZ41" i="6"/>
  <c r="AZ138" i="6"/>
  <c r="BA39" i="6"/>
  <c r="AU189" i="6"/>
  <c r="AU186" i="6"/>
  <c r="AU185" i="6"/>
  <c r="AU187" i="6"/>
  <c r="AU188" i="6"/>
  <c r="AY259" i="6"/>
  <c r="AY160" i="6"/>
  <c r="AR201" i="6"/>
  <c r="AR295" i="6" s="1"/>
  <c r="AS293" i="6"/>
  <c r="AS200" i="6"/>
  <c r="AS198" i="6"/>
  <c r="AS199" i="6"/>
  <c r="AU190" i="6" l="1"/>
  <c r="AZ130" i="6"/>
  <c r="AZ172" i="6" s="1"/>
  <c r="AZ271" i="6" s="1"/>
  <c r="AZ150" i="6"/>
  <c r="AZ132" i="6"/>
  <c r="AZ286" i="6" s="1"/>
  <c r="BA128" i="6"/>
  <c r="AT293" i="6"/>
  <c r="AT198" i="6"/>
  <c r="AT200" i="6"/>
  <c r="AT199" i="6"/>
  <c r="AX139" i="6"/>
  <c r="AX151" i="6" s="1"/>
  <c r="AX48" i="6"/>
  <c r="AY46" i="6"/>
  <c r="BA138" i="6"/>
  <c r="BA41" i="6"/>
  <c r="BB39" i="6"/>
  <c r="AZ259" i="6"/>
  <c r="AZ160" i="6"/>
  <c r="AV188" i="6"/>
  <c r="AV186" i="6"/>
  <c r="AV187" i="6"/>
  <c r="AV189" i="6"/>
  <c r="AV185" i="6"/>
  <c r="AW252" i="6"/>
  <c r="AW154" i="6"/>
  <c r="AW184" i="6" s="1"/>
  <c r="AO354" i="6"/>
  <c r="F328" i="6"/>
  <c r="AS201" i="6"/>
  <c r="AS295" i="6" s="1"/>
  <c r="AS298" i="6" s="1"/>
  <c r="F298" i="6"/>
  <c r="AW260" i="6"/>
  <c r="AW161" i="6"/>
  <c r="AW174" i="6" s="1"/>
  <c r="AN361" i="6"/>
  <c r="AO358" i="6" s="1"/>
  <c r="AS326" i="6" l="1"/>
  <c r="BB41" i="6"/>
  <c r="BB138" i="6"/>
  <c r="BC39" i="6"/>
  <c r="AT201" i="6"/>
  <c r="AT295" i="6" s="1"/>
  <c r="AW273" i="6"/>
  <c r="BA160" i="6"/>
  <c r="BA259" i="6"/>
  <c r="AW189" i="6"/>
  <c r="AW187" i="6"/>
  <c r="AW185" i="6"/>
  <c r="AW186" i="6"/>
  <c r="AW188" i="6"/>
  <c r="AY139" i="6"/>
  <c r="AY151" i="6" s="1"/>
  <c r="AY48" i="6"/>
  <c r="AZ46" i="6"/>
  <c r="AT298" i="6"/>
  <c r="AT326" i="6" s="1"/>
  <c r="AT328" i="6" s="1"/>
  <c r="AT354" i="6" s="1"/>
  <c r="AT360" i="6" s="1"/>
  <c r="AO360" i="6"/>
  <c r="F360" i="6" s="1"/>
  <c r="F361" i="6" s="1"/>
  <c r="G358" i="6" s="1"/>
  <c r="F354" i="6"/>
  <c r="F3" i="6" s="1"/>
  <c r="F1" i="6" s="1"/>
  <c r="AX260" i="6"/>
  <c r="AX273" i="6" s="1"/>
  <c r="AX288" i="6" s="1"/>
  <c r="AX161" i="6"/>
  <c r="AX174" i="6" s="1"/>
  <c r="BA132" i="6"/>
  <c r="BA286" i="6" s="1"/>
  <c r="BA130" i="6"/>
  <c r="BA172" i="6" s="1"/>
  <c r="BA271" i="6" s="1"/>
  <c r="BA150" i="6"/>
  <c r="BB128" i="6"/>
  <c r="AV190" i="6"/>
  <c r="AX154" i="6"/>
  <c r="AX184" i="6" s="1"/>
  <c r="AX252" i="6"/>
  <c r="AU293" i="6"/>
  <c r="AU199" i="6"/>
  <c r="AU200" i="6"/>
  <c r="AU198" i="6"/>
  <c r="AU201" i="6" s="1"/>
  <c r="AU295" i="6" s="1"/>
  <c r="AW288" i="6" l="1"/>
  <c r="BB259" i="6"/>
  <c r="BB160" i="6"/>
  <c r="AX186" i="6"/>
  <c r="AX189" i="6"/>
  <c r="AX188" i="6"/>
  <c r="AX187" i="6"/>
  <c r="AX185" i="6"/>
  <c r="AX190" i="6" s="1"/>
  <c r="AZ48" i="6"/>
  <c r="AZ139" i="6"/>
  <c r="AZ151" i="6" s="1"/>
  <c r="BA46" i="6"/>
  <c r="AY260" i="6"/>
  <c r="AY273" i="6" s="1"/>
  <c r="AY288" i="6" s="1"/>
  <c r="AY161" i="6"/>
  <c r="AY174" i="6" s="1"/>
  <c r="AO361" i="6"/>
  <c r="AP358" i="6" s="1"/>
  <c r="AP361" i="6" s="1"/>
  <c r="AQ358" i="6" s="1"/>
  <c r="AQ361" i="6" s="1"/>
  <c r="AR358" i="6" s="1"/>
  <c r="AR361" i="6" s="1"/>
  <c r="AS358" i="6" s="1"/>
  <c r="AV293" i="6"/>
  <c r="AV200" i="6"/>
  <c r="AV199" i="6"/>
  <c r="AV198" i="6"/>
  <c r="BB132" i="6"/>
  <c r="BB286" i="6" s="1"/>
  <c r="BB150" i="6"/>
  <c r="BB130" i="6"/>
  <c r="BB172" i="6" s="1"/>
  <c r="BB271" i="6" s="1"/>
  <c r="BC128" i="6"/>
  <c r="AY154" i="6"/>
  <c r="AY184" i="6" s="1"/>
  <c r="AY252" i="6"/>
  <c r="BC41" i="6"/>
  <c r="BC138" i="6"/>
  <c r="BD39" i="6"/>
  <c r="AW190" i="6"/>
  <c r="AU298" i="6"/>
  <c r="AU326" i="6" s="1"/>
  <c r="AU328" i="6" s="1"/>
  <c r="AU354" i="6" s="1"/>
  <c r="AU360" i="6" s="1"/>
  <c r="AS328" i="6"/>
  <c r="AX293" i="6" l="1"/>
  <c r="AX200" i="6"/>
  <c r="AX199" i="6"/>
  <c r="AX198" i="6"/>
  <c r="AX201" i="6" s="1"/>
  <c r="AX295" i="6" s="1"/>
  <c r="AV298" i="6"/>
  <c r="AV326" i="6" s="1"/>
  <c r="AV328" i="6" s="1"/>
  <c r="AV354" i="6" s="1"/>
  <c r="AV360" i="6" s="1"/>
  <c r="BC259" i="6"/>
  <c r="BC160" i="6"/>
  <c r="AZ260" i="6"/>
  <c r="AZ273" i="6" s="1"/>
  <c r="AZ161" i="6"/>
  <c r="AZ174" i="6" s="1"/>
  <c r="AW293" i="6"/>
  <c r="AW298" i="6" s="1"/>
  <c r="AW326" i="6" s="1"/>
  <c r="AW198" i="6"/>
  <c r="AW201" i="6" s="1"/>
  <c r="AW295" i="6" s="1"/>
  <c r="AW200" i="6"/>
  <c r="AW199" i="6"/>
  <c r="AY188" i="6"/>
  <c r="AY185" i="6"/>
  <c r="AY187" i="6"/>
  <c r="AY189" i="6"/>
  <c r="AY186" i="6"/>
  <c r="BC132" i="6"/>
  <c r="BC286" i="6" s="1"/>
  <c r="BC150" i="6"/>
  <c r="BC130" i="6"/>
  <c r="BC172" i="6" s="1"/>
  <c r="BC271" i="6" s="1"/>
  <c r="BD128" i="6"/>
  <c r="AS354" i="6"/>
  <c r="BD41" i="6"/>
  <c r="BD138" i="6"/>
  <c r="BA48" i="6"/>
  <c r="BA139" i="6"/>
  <c r="BA151" i="6" s="1"/>
  <c r="BB46" i="6"/>
  <c r="AV201" i="6"/>
  <c r="AV295" i="6" s="1"/>
  <c r="AZ252" i="6"/>
  <c r="AZ154" i="6"/>
  <c r="AZ184" i="6" s="1"/>
  <c r="BA252" i="6" l="1"/>
  <c r="BA154" i="6"/>
  <c r="BA184" i="6" s="1"/>
  <c r="AY190" i="6"/>
  <c r="AW328" i="6"/>
  <c r="BD150" i="6"/>
  <c r="BD130" i="6"/>
  <c r="BD172" i="6" s="1"/>
  <c r="BD271" i="6" s="1"/>
  <c r="BD132" i="6"/>
  <c r="BD286" i="6" s="1"/>
  <c r="BA260" i="6"/>
  <c r="BA273" i="6" s="1"/>
  <c r="BA288" i="6" s="1"/>
  <c r="BA161" i="6"/>
  <c r="BA174" i="6" s="1"/>
  <c r="AZ288" i="6"/>
  <c r="AZ189" i="6"/>
  <c r="AZ187" i="6"/>
  <c r="AZ186" i="6"/>
  <c r="AZ188" i="6"/>
  <c r="AZ185" i="6"/>
  <c r="AZ190" i="6" s="1"/>
  <c r="BD259" i="6"/>
  <c r="BD160" i="6"/>
  <c r="BB139" i="6"/>
  <c r="BB151" i="6" s="1"/>
  <c r="BB48" i="6"/>
  <c r="BC46" i="6"/>
  <c r="AS360" i="6"/>
  <c r="AX298" i="6"/>
  <c r="AX326" i="6" s="1"/>
  <c r="AX328" i="6" s="1"/>
  <c r="AX354" i="6" s="1"/>
  <c r="AX360" i="6" s="1"/>
  <c r="BB252" i="6" l="1"/>
  <c r="BB154" i="6"/>
  <c r="BB184" i="6" s="1"/>
  <c r="D259" i="6"/>
  <c r="G259" i="6"/>
  <c r="AY293" i="6"/>
  <c r="AY199" i="6"/>
  <c r="AY198" i="6"/>
  <c r="AY200" i="6"/>
  <c r="D271" i="6"/>
  <c r="G271" i="6"/>
  <c r="AW354" i="6"/>
  <c r="AS361" i="6"/>
  <c r="AT358" i="6" s="1"/>
  <c r="AT361" i="6" s="1"/>
  <c r="AU358" i="6" s="1"/>
  <c r="AU361" i="6" s="1"/>
  <c r="AV358" i="6" s="1"/>
  <c r="AV361" i="6" s="1"/>
  <c r="AW358" i="6" s="1"/>
  <c r="BA186" i="6"/>
  <c r="BA185" i="6"/>
  <c r="BA189" i="6"/>
  <c r="BA188" i="6"/>
  <c r="BA187" i="6"/>
  <c r="AZ293" i="6"/>
  <c r="AZ198" i="6"/>
  <c r="AZ201" i="6" s="1"/>
  <c r="AZ295" i="6" s="1"/>
  <c r="AZ200" i="6"/>
  <c r="AZ199" i="6"/>
  <c r="BC139" i="6"/>
  <c r="BC151" i="6" s="1"/>
  <c r="BC48" i="6"/>
  <c r="BD46" i="6"/>
  <c r="D286" i="6"/>
  <c r="G286" i="6"/>
  <c r="BB260" i="6"/>
  <c r="BB273" i="6" s="1"/>
  <c r="BB288" i="6" s="1"/>
  <c r="BB161" i="6"/>
  <c r="BB174" i="6" s="1"/>
  <c r="AZ298" i="6" l="1"/>
  <c r="AZ326" i="6" s="1"/>
  <c r="AZ328" i="6" s="1"/>
  <c r="AZ354" i="6" s="1"/>
  <c r="AZ360" i="6" s="1"/>
  <c r="BD139" i="6"/>
  <c r="BD151" i="6" s="1"/>
  <c r="BD48" i="6"/>
  <c r="AY201" i="6"/>
  <c r="AY295" i="6" s="1"/>
  <c r="AY298" i="6" s="1"/>
  <c r="AY326" i="6" s="1"/>
  <c r="AY328" i="6" s="1"/>
  <c r="BA190" i="6"/>
  <c r="AW360" i="6"/>
  <c r="BB185" i="6"/>
  <c r="BB186" i="6"/>
  <c r="BB189" i="6"/>
  <c r="BB188" i="6"/>
  <c r="BB187" i="6"/>
  <c r="BC260" i="6"/>
  <c r="BC273" i="6" s="1"/>
  <c r="BC288" i="6" s="1"/>
  <c r="BC161" i="6"/>
  <c r="BC174" i="6" s="1"/>
  <c r="BC252" i="6"/>
  <c r="BC154" i="6"/>
  <c r="BC184" i="6" s="1"/>
  <c r="AY354" i="6" l="1"/>
  <c r="BD252" i="6"/>
  <c r="BD154" i="6"/>
  <c r="BD184" i="6" s="1"/>
  <c r="BB190" i="6"/>
  <c r="BC188" i="6"/>
  <c r="BC185" i="6"/>
  <c r="BC187" i="6"/>
  <c r="BC189" i="6"/>
  <c r="BC186" i="6"/>
  <c r="BA293" i="6"/>
  <c r="BA198" i="6"/>
  <c r="BA200" i="6"/>
  <c r="BA199" i="6"/>
  <c r="BD260" i="6"/>
  <c r="BD161" i="6"/>
  <c r="BD174" i="6" s="1"/>
  <c r="AW361" i="6"/>
  <c r="AX358" i="6" s="1"/>
  <c r="AX361" i="6" s="1"/>
  <c r="AY358" i="6" s="1"/>
  <c r="D252" i="6" l="1"/>
  <c r="G252" i="6"/>
  <c r="BC190" i="6"/>
  <c r="BB293" i="6"/>
  <c r="BB198" i="6"/>
  <c r="BB200" i="6"/>
  <c r="BB199" i="6"/>
  <c r="D260" i="6"/>
  <c r="G260" i="6"/>
  <c r="BD273" i="6"/>
  <c r="BA201" i="6"/>
  <c r="BA295" i="6" s="1"/>
  <c r="BA298" i="6" s="1"/>
  <c r="BA326" i="6" s="1"/>
  <c r="BA328" i="6" s="1"/>
  <c r="BD189" i="6"/>
  <c r="BD188" i="6"/>
  <c r="BD185" i="6"/>
  <c r="BD186" i="6"/>
  <c r="BD187" i="6"/>
  <c r="AY360" i="6"/>
  <c r="BA354" i="6" l="1"/>
  <c r="BD288" i="6"/>
  <c r="D273" i="6"/>
  <c r="G273" i="6"/>
  <c r="BB201" i="6"/>
  <c r="BB295" i="6" s="1"/>
  <c r="BB298" i="6"/>
  <c r="BB326" i="6" s="1"/>
  <c r="BB328" i="6" s="1"/>
  <c r="BB354" i="6" s="1"/>
  <c r="BB360" i="6" s="1"/>
  <c r="BC293" i="6"/>
  <c r="BC198" i="6"/>
  <c r="BC200" i="6"/>
  <c r="BC199" i="6"/>
  <c r="BD190" i="6"/>
  <c r="AY361" i="6"/>
  <c r="AZ358" i="6" s="1"/>
  <c r="AZ361" i="6" s="1"/>
  <c r="BA358" i="6" s="1"/>
  <c r="D288" i="6" l="1"/>
  <c r="G288" i="6"/>
  <c r="BC201" i="6"/>
  <c r="BC295" i="6" s="1"/>
  <c r="BC298" i="6" s="1"/>
  <c r="BC326" i="6" s="1"/>
  <c r="BC328" i="6" s="1"/>
  <c r="BC354" i="6" s="1"/>
  <c r="BC360" i="6" s="1"/>
  <c r="BD293" i="6"/>
  <c r="BD198" i="6"/>
  <c r="BD199" i="6"/>
  <c r="BD200" i="6"/>
  <c r="BA360" i="6"/>
  <c r="BA361" i="6" s="1"/>
  <c r="BB358" i="6" s="1"/>
  <c r="BB361" i="6" s="1"/>
  <c r="BC358" i="6" s="1"/>
  <c r="BC361" i="6" s="1"/>
  <c r="BD358" i="6" s="1"/>
  <c r="G293" i="6" l="1"/>
  <c r="BD201" i="6"/>
  <c r="BD295" i="6" s="1"/>
  <c r="D295" i="6" l="1"/>
  <c r="F295" i="6"/>
  <c r="G295" i="6"/>
  <c r="BD298" i="6"/>
  <c r="BD326" i="6" l="1"/>
  <c r="D298" i="6"/>
  <c r="G298" i="6"/>
  <c r="D326" i="6" l="1"/>
  <c r="G326" i="6"/>
  <c r="BD328" i="6"/>
  <c r="BD354" i="6" l="1"/>
  <c r="D328" i="6"/>
  <c r="G328" i="6"/>
  <c r="BD360" i="6" l="1"/>
  <c r="G354" i="6"/>
  <c r="G3" i="6" s="1"/>
  <c r="G1" i="6" s="1"/>
  <c r="G360" i="6" l="1"/>
  <c r="G361" i="6" s="1"/>
  <c r="BD361" i="6"/>
  <c r="H29" i="1" l="1"/>
  <c r="C14" i="1"/>
  <c r="L30" i="1"/>
  <c r="K14" i="1"/>
  <c r="K10" i="1"/>
  <c r="J14" i="1"/>
  <c r="J10" i="1"/>
  <c r="F14" i="1"/>
  <c r="F10" i="1"/>
  <c r="D48" i="1"/>
  <c r="H34" i="1"/>
  <c r="D14" i="1"/>
  <c r="B14" i="1"/>
  <c r="D10" i="1"/>
  <c r="J16" i="1" l="1"/>
  <c r="F16" i="1"/>
  <c r="K16" i="1"/>
  <c r="H43" i="1"/>
  <c r="F48" i="1"/>
  <c r="H23" i="1"/>
  <c r="G23" i="1"/>
  <c r="H47" i="1"/>
  <c r="H19" i="1"/>
  <c r="H38" i="1"/>
  <c r="B10" i="1"/>
  <c r="B16" i="1" s="1"/>
  <c r="G46" i="1"/>
  <c r="M46" i="1" s="1"/>
  <c r="E8" i="1"/>
  <c r="M23" i="1"/>
  <c r="H22" i="1"/>
  <c r="G21" i="1"/>
  <c r="C48" i="1"/>
  <c r="B48" i="1"/>
  <c r="G20" i="1"/>
  <c r="E14" i="1"/>
  <c r="C10" i="1"/>
  <c r="C16" i="1" s="1"/>
  <c r="E9" i="1"/>
  <c r="M31" i="1"/>
  <c r="M10" i="1"/>
  <c r="L10" i="1"/>
  <c r="L14" i="1"/>
  <c r="M14" i="1"/>
  <c r="H37" i="1"/>
  <c r="G37" i="1"/>
  <c r="H31" i="1"/>
  <c r="G31" i="1"/>
  <c r="L31" i="1" s="1"/>
  <c r="H24" i="1"/>
  <c r="G24" i="1"/>
  <c r="M24" i="1" s="1"/>
  <c r="H25" i="1"/>
  <c r="G25" i="1"/>
  <c r="H32" i="1"/>
  <c r="G32" i="1"/>
  <c r="M32" i="1" s="1"/>
  <c r="H26" i="1"/>
  <c r="G26" i="1"/>
  <c r="M26" i="1" s="1"/>
  <c r="H27" i="1"/>
  <c r="G27" i="1"/>
  <c r="H28" i="1"/>
  <c r="G28" i="1"/>
  <c r="M28" i="1" s="1"/>
  <c r="H35" i="1"/>
  <c r="G35" i="1"/>
  <c r="L35" i="1" s="1"/>
  <c r="H36" i="1"/>
  <c r="G36" i="1"/>
  <c r="H30" i="1"/>
  <c r="G30" i="1"/>
  <c r="M30" i="1" s="1"/>
  <c r="H42" i="1"/>
  <c r="G42" i="1"/>
  <c r="H33" i="1"/>
  <c r="G33" i="1"/>
  <c r="M33" i="1" s="1"/>
  <c r="G29" i="1"/>
  <c r="L29" i="1" s="1"/>
  <c r="G34" i="1"/>
  <c r="L34" i="1" s="1"/>
  <c r="H14" i="1" l="1"/>
  <c r="G43" i="1"/>
  <c r="L43" i="1" s="1"/>
  <c r="G19" i="1"/>
  <c r="F50" i="1"/>
  <c r="K48" i="1"/>
  <c r="K50" i="1" s="1"/>
  <c r="L23" i="1"/>
  <c r="H46" i="1"/>
  <c r="H21" i="1"/>
  <c r="G14" i="1"/>
  <c r="H20" i="1"/>
  <c r="E10" i="1"/>
  <c r="E16" i="1" s="1"/>
  <c r="M42" i="1"/>
  <c r="M35" i="1"/>
  <c r="M34" i="1"/>
  <c r="L36" i="1"/>
  <c r="C50" i="1"/>
  <c r="G22" i="1"/>
  <c r="M21" i="1"/>
  <c r="E48" i="1"/>
  <c r="G48" i="1" s="1"/>
  <c r="L33" i="1"/>
  <c r="L32" i="1"/>
  <c r="M29" i="1"/>
  <c r="L28" i="1"/>
  <c r="M43" i="1"/>
  <c r="L46" i="1"/>
  <c r="L26" i="1"/>
  <c r="L25" i="1"/>
  <c r="M25" i="1"/>
  <c r="L24" i="1"/>
  <c r="B50" i="1"/>
  <c r="L21" i="1"/>
  <c r="M16" i="1"/>
  <c r="L16" i="1"/>
  <c r="H48" i="1" l="1"/>
  <c r="G10" i="1"/>
  <c r="H10" i="1"/>
  <c r="L42" i="1"/>
  <c r="M36" i="1"/>
  <c r="J48" i="1"/>
  <c r="M27" i="1"/>
  <c r="L27" i="1"/>
  <c r="M22" i="1"/>
  <c r="L22" i="1"/>
  <c r="L37" i="1"/>
  <c r="M37" i="1"/>
  <c r="M20" i="1"/>
  <c r="L20" i="1"/>
  <c r="E50" i="1"/>
  <c r="H16" i="1"/>
  <c r="G16" i="1"/>
  <c r="L48" i="1" l="1"/>
  <c r="J50" i="1"/>
  <c r="M50" i="1" s="1"/>
  <c r="M48" i="1"/>
  <c r="H50" i="1"/>
  <c r="G50" i="1"/>
  <c r="L5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Ricardo Delgado</author>
  </authors>
  <commentList>
    <comment ref="E180" authorId="0" shapeId="0" xr:uid="{A4BD5323-4F99-4386-97AA-1441A83EC4A9}">
      <text>
        <r>
          <rPr>
            <b/>
            <sz val="9"/>
            <color indexed="81"/>
            <rFont val="Tahoma"/>
            <family val="2"/>
          </rPr>
          <t>Ricardo Delgado:</t>
        </r>
        <r>
          <rPr>
            <sz val="9"/>
            <color indexed="81"/>
            <rFont val="Tahoma"/>
            <family val="2"/>
          </rPr>
          <t xml:space="preserve">
COO and CTO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Ricardo Delgado</author>
    <author>Alida</author>
  </authors>
  <commentList>
    <comment ref="E31" authorId="0" shapeId="0" xr:uid="{3F55690A-7097-47E8-9C89-CD0119FE0B9D}">
      <text>
        <r>
          <rPr>
            <b/>
            <sz val="9"/>
            <color indexed="81"/>
            <rFont val="Tahoma"/>
            <family val="2"/>
          </rPr>
          <t>Ricardo Delgado:</t>
        </r>
        <r>
          <rPr>
            <sz val="9"/>
            <color indexed="81"/>
            <rFont val="Tahoma"/>
            <family val="2"/>
          </rPr>
          <t xml:space="preserve">
Full capacity = 216hrs
(= 10hrs a day, Mon-Fri)
Practical capacity = 173hrs
(8hrs a day, Mon-Fri; or c.80% of full capacity)</t>
        </r>
      </text>
    </comment>
    <comment ref="E38" authorId="0" shapeId="0" xr:uid="{9FB0C1A5-D093-453F-B281-A7E0204EC76E}">
      <text>
        <r>
          <rPr>
            <b/>
            <sz val="9"/>
            <color indexed="81"/>
            <rFont val="Tahoma"/>
            <family val="2"/>
          </rPr>
          <t>Ricardo Delgado:</t>
        </r>
        <r>
          <rPr>
            <sz val="9"/>
            <color indexed="81"/>
            <rFont val="Tahoma"/>
            <family val="2"/>
          </rPr>
          <t xml:space="preserve">
Full capacity = 216hrs
(= 10hrs a day, Mon-Fri)
Practical capacity = 173hrs
(8hrs a day, Mon-Fri; or c.80% of full capacity)</t>
        </r>
      </text>
    </comment>
    <comment ref="C195" authorId="1" shapeId="0" xr:uid="{A08B5584-8B95-4D8F-8C7A-2FC84891897D}">
      <text>
        <r>
          <rPr>
            <b/>
            <sz val="9"/>
            <color indexed="81"/>
            <rFont val="Tahoma"/>
            <family val="2"/>
          </rPr>
          <t>6 months 
delay on rent payment</t>
        </r>
      </text>
    </comment>
    <comment ref="C196" authorId="1" shapeId="0" xr:uid="{7A2B0D91-3E80-48F4-8A76-951C0F61A229}">
      <text>
        <r>
          <rPr>
            <b/>
            <sz val="9"/>
            <color indexed="81"/>
            <rFont val="Tahoma"/>
            <family val="2"/>
          </rPr>
          <t>Insurance excl</t>
        </r>
      </text>
    </comment>
    <comment ref="C198" authorId="1" shapeId="0" xr:uid="{7ED40773-05EB-4CE7-B491-918381B76786}">
      <text>
        <r>
          <rPr>
            <sz val="9"/>
            <color indexed="81"/>
            <rFont val="Tahoma"/>
            <family val="2"/>
          </rPr>
          <t xml:space="preserve">Fact check opex with Amanda
</t>
        </r>
      </text>
    </comment>
    <comment ref="P201" authorId="0" shapeId="0" xr:uid="{5422FD7F-DE16-42E4-8969-B92E4E6EDD40}">
      <text>
        <r>
          <rPr>
            <b/>
            <sz val="9"/>
            <color indexed="81"/>
            <rFont val="Tahoma"/>
            <family val="2"/>
          </rPr>
          <t>Ricardo Delgado:</t>
        </r>
        <r>
          <rPr>
            <sz val="9"/>
            <color indexed="81"/>
            <rFont val="Tahoma"/>
            <family val="2"/>
          </rPr>
          <t xml:space="preserve">
Payment for Dec 24 - Feb 25</t>
        </r>
      </text>
    </comment>
    <comment ref="R201" authorId="0" shapeId="0" xr:uid="{EEA8FC9B-B20F-42DB-85D6-15D8B727CCD8}">
      <text>
        <r>
          <rPr>
            <b/>
            <sz val="9"/>
            <color indexed="81"/>
            <rFont val="Tahoma"/>
            <family val="2"/>
          </rPr>
          <t>Ricardo Delgado:</t>
        </r>
        <r>
          <rPr>
            <sz val="9"/>
            <color indexed="81"/>
            <rFont val="Tahoma"/>
            <family val="2"/>
          </rPr>
          <t xml:space="preserve">
Payment for Q1 Mar 25 - may 25</t>
        </r>
      </text>
    </comment>
    <comment ref="T201" authorId="0" shapeId="0" xr:uid="{956F3EAF-DD38-4A88-BE85-3B65F9C95541}">
      <text>
        <r>
          <rPr>
            <b/>
            <sz val="9"/>
            <color indexed="81"/>
            <rFont val="Tahoma"/>
            <family val="2"/>
          </rPr>
          <t>Ricardo Delgado:</t>
        </r>
        <r>
          <rPr>
            <sz val="9"/>
            <color indexed="81"/>
            <rFont val="Tahoma"/>
            <family val="2"/>
          </rPr>
          <t xml:space="preserve">
Payment for Q1 Mar 25 - may 25</t>
        </r>
      </text>
    </comment>
    <comment ref="C207" authorId="1" shapeId="0" xr:uid="{74F3D533-128A-4750-BDFC-17604FA4C726}">
      <text>
        <r>
          <rPr>
            <b/>
            <sz val="9"/>
            <color indexed="81"/>
            <rFont val="Tahoma"/>
            <family val="2"/>
          </rPr>
          <t>100GBP p/sq for 2/3 of premises
Still researching</t>
        </r>
      </text>
    </comment>
    <comment ref="E209" authorId="0" shapeId="0" xr:uid="{6E78DE50-8DF2-489C-9070-4A411D0BC636}">
      <text>
        <r>
          <rPr>
            <b/>
            <sz val="9"/>
            <color indexed="81"/>
            <rFont val="Tahoma"/>
            <family val="2"/>
          </rPr>
          <t>Ricardo Delgado:</t>
        </r>
        <r>
          <rPr>
            <sz val="9"/>
            <color indexed="81"/>
            <rFont val="Tahoma"/>
            <family val="2"/>
          </rPr>
          <t xml:space="preserve">
fx rate 1.2</t>
        </r>
      </text>
    </comment>
    <comment ref="E210" authorId="0" shapeId="0" xr:uid="{5705DD4E-3019-499E-8C12-257B59ADBF91}">
      <text>
        <r>
          <rPr>
            <b/>
            <sz val="9"/>
            <color indexed="81"/>
            <rFont val="Tahoma"/>
            <family val="2"/>
          </rPr>
          <t>Ricardo Delgado:</t>
        </r>
        <r>
          <rPr>
            <sz val="9"/>
            <color indexed="81"/>
            <rFont val="Tahoma"/>
            <family val="2"/>
          </rPr>
          <t xml:space="preserve">
fx rate 1.2</t>
        </r>
      </text>
    </comment>
    <comment ref="E211" authorId="0" shapeId="0" xr:uid="{FE0B1DEF-B05A-4FF7-B9A4-65263DC4C503}">
      <text>
        <r>
          <rPr>
            <b/>
            <sz val="9"/>
            <color indexed="81"/>
            <rFont val="Tahoma"/>
            <family val="2"/>
          </rPr>
          <t>Ricardo Delgado:</t>
        </r>
        <r>
          <rPr>
            <sz val="9"/>
            <color indexed="81"/>
            <rFont val="Tahoma"/>
            <family val="2"/>
          </rPr>
          <t xml:space="preserve">
fx rate 1.2</t>
        </r>
      </text>
    </comment>
    <comment ref="E217" authorId="0" shapeId="0" xr:uid="{70B3014C-A477-4668-8337-8096C243B1CA}">
      <text>
        <r>
          <rPr>
            <b/>
            <sz val="9"/>
            <color indexed="81"/>
            <rFont val="Tahoma"/>
            <family val="2"/>
          </rPr>
          <t>Ricardo Delgado:</t>
        </r>
        <r>
          <rPr>
            <sz val="9"/>
            <color indexed="81"/>
            <rFont val="Tahoma"/>
            <family val="2"/>
          </rPr>
          <t xml:space="preserve">
fx rate 1.2</t>
        </r>
      </text>
    </comment>
    <comment ref="C227" authorId="1" shapeId="0" xr:uid="{B6480841-9A6D-4BA5-8A4D-290457C558D5}">
      <text>
        <r>
          <rPr>
            <b/>
            <sz val="9"/>
            <color indexed="81"/>
            <rFont val="Tahoma"/>
            <family val="2"/>
          </rPr>
          <t xml:space="preserve">7 months
plus VAT
</t>
        </r>
      </text>
    </comment>
    <comment ref="E227" authorId="0" shapeId="0" xr:uid="{F5E0C8A4-48ED-4F4E-AA38-D1FDE56CEA20}">
      <text>
        <r>
          <rPr>
            <b/>
            <sz val="9"/>
            <color indexed="81"/>
            <rFont val="Tahoma"/>
            <family val="2"/>
          </rPr>
          <t>Ricardo Delgado:</t>
        </r>
        <r>
          <rPr>
            <sz val="9"/>
            <color indexed="81"/>
            <rFont val="Tahoma"/>
            <family val="2"/>
          </rPr>
          <t xml:space="preserve">
Agreed with landlord at £204k</t>
        </r>
      </text>
    </comment>
    <comment ref="U343" authorId="0" shapeId="0" xr:uid="{DF59AA89-9016-4948-BDDE-2673A76818EB}">
      <text>
        <r>
          <rPr>
            <b/>
            <sz val="9"/>
            <color indexed="81"/>
            <rFont val="Tahoma"/>
            <family val="2"/>
          </rPr>
          <t>Ricardo Delgado:</t>
        </r>
        <r>
          <rPr>
            <sz val="9"/>
            <color indexed="81"/>
            <rFont val="Tahoma"/>
            <family val="2"/>
          </rPr>
          <t xml:space="preserve">
2nd mEHT machine</t>
        </r>
      </text>
    </comment>
    <comment ref="W343" authorId="0" shapeId="0" xr:uid="{778219AD-98E7-44A5-81B4-9D1A96913041}">
      <text>
        <r>
          <rPr>
            <b/>
            <sz val="9"/>
            <color indexed="81"/>
            <rFont val="Tahoma"/>
            <family val="2"/>
          </rPr>
          <t>Ricardo Delgado:</t>
        </r>
        <r>
          <rPr>
            <sz val="9"/>
            <color indexed="81"/>
            <rFont val="Tahoma"/>
            <family val="2"/>
          </rPr>
          <t xml:space="preserve">
Remaining payment for working capital
</t>
        </r>
      </text>
    </comment>
  </commentList>
</comments>
</file>

<file path=xl/sharedStrings.xml><?xml version="1.0" encoding="utf-8"?>
<sst xmlns="http://schemas.openxmlformats.org/spreadsheetml/2006/main" count="795" uniqueCount="451">
  <si>
    <t>Sanctura SA</t>
  </si>
  <si>
    <t>Saint Raphael</t>
  </si>
  <si>
    <t>JLI</t>
  </si>
  <si>
    <t>Intracompany</t>
  </si>
  <si>
    <t>Total Comb</t>
  </si>
  <si>
    <t>% Variance</t>
  </si>
  <si>
    <t>R Variance</t>
  </si>
  <si>
    <t>Account</t>
  </si>
  <si>
    <t>Trading Income</t>
  </si>
  <si>
    <t>Interest Income</t>
  </si>
  <si>
    <t>Sales</t>
  </si>
  <si>
    <t>Total Trading Income</t>
  </si>
  <si>
    <t>Cost of Sales</t>
  </si>
  <si>
    <t>Cost of Goods Sold</t>
  </si>
  <si>
    <t>Total Cost of Sales</t>
  </si>
  <si>
    <t>Gross Profit</t>
  </si>
  <si>
    <t>Operating Expenses</t>
  </si>
  <si>
    <t>Advertising</t>
  </si>
  <si>
    <t>Bank Fees</t>
  </si>
  <si>
    <t>Casual Wages</t>
  </si>
  <si>
    <t>Cleaning &amp; Office Expenses</t>
  </si>
  <si>
    <t>Consulting, Accounting &amp; Administrative Fees</t>
  </si>
  <si>
    <t xml:space="preserve">Depreciation </t>
  </si>
  <si>
    <t>Insurance</t>
  </si>
  <si>
    <t>Legal expenses</t>
  </si>
  <si>
    <t>Medical Waste</t>
  </si>
  <si>
    <t>Minor Assets</t>
  </si>
  <si>
    <t>Practice Management</t>
  </si>
  <si>
    <t>Realised Currency Gains</t>
  </si>
  <si>
    <t>Repairs and Maintenance</t>
  </si>
  <si>
    <t>Rent</t>
  </si>
  <si>
    <t>Security</t>
  </si>
  <si>
    <t>Staff Clothing</t>
  </si>
  <si>
    <t>Staff Training &amp; Conferences</t>
  </si>
  <si>
    <t>Subscriptions</t>
  </si>
  <si>
    <t>Telephone &amp; Internet</t>
  </si>
  <si>
    <t>Travel - International</t>
  </si>
  <si>
    <t>Travel - National</t>
  </si>
  <si>
    <t>Wages and Salaries</t>
  </si>
  <si>
    <t>Total Operating Expenses</t>
  </si>
  <si>
    <t>Net Profit</t>
  </si>
  <si>
    <t>Interest Expense</t>
  </si>
  <si>
    <t>GBP</t>
  </si>
  <si>
    <t>GBP:ZAR</t>
  </si>
  <si>
    <t>Rands</t>
  </si>
  <si>
    <t>ASSUMPTIONS</t>
  </si>
  <si>
    <t>Revenue Assumptions</t>
  </si>
  <si>
    <t>Treatment commencement</t>
  </si>
  <si>
    <t>IV Treatments</t>
  </si>
  <si>
    <t xml:space="preserve">Min </t>
  </si>
  <si>
    <t>Max</t>
  </si>
  <si>
    <t>Growth Rate</t>
  </si>
  <si>
    <t>IV Number of Treatments</t>
  </si>
  <si>
    <t>Average Revenue / Treatment</t>
  </si>
  <si>
    <t>IV Treatment Revenue</t>
  </si>
  <si>
    <t>IV COS</t>
  </si>
  <si>
    <t>IV Curcumin 150mg Treatments</t>
  </si>
  <si>
    <t>IV Curcumin Number of Treatments</t>
  </si>
  <si>
    <t>IV CurcuminTreatment Revenue</t>
  </si>
  <si>
    <t>IV Curcumin COS</t>
  </si>
  <si>
    <t>Laser Treatments</t>
  </si>
  <si>
    <t>Laser Number of Treatments</t>
  </si>
  <si>
    <t>Laser Treatment Revenue</t>
  </si>
  <si>
    <t>Hyperthermia (mEHT) 1</t>
  </si>
  <si>
    <t>mEHT Number of Sessions</t>
  </si>
  <si>
    <t>Average Revenue / Session</t>
  </si>
  <si>
    <t>Hyperthermia Session Revenue</t>
  </si>
  <si>
    <t>Hyperthermia (mEHT) 2</t>
  </si>
  <si>
    <t>mEHT 2 Treatment commencement</t>
  </si>
  <si>
    <t>mEHT 2 Number of Sessions</t>
  </si>
  <si>
    <t>Hyperthermia 2 Session Revenue</t>
  </si>
  <si>
    <t>HBOT 1</t>
  </si>
  <si>
    <t>HBOT 1 Sessions commencement</t>
  </si>
  <si>
    <t>HBOT 1 Number of Sessions</t>
  </si>
  <si>
    <t>HBOT 1 Session Revenue</t>
  </si>
  <si>
    <t>HBOT 2</t>
  </si>
  <si>
    <t>HBOT 2 Sessions commencement</t>
  </si>
  <si>
    <t>HBOT 2 Number of Sessions</t>
  </si>
  <si>
    <t>HBOT 2 Session Revenue</t>
  </si>
  <si>
    <t>Photodynamic Therapy (PDT) Low</t>
  </si>
  <si>
    <t>PDT Treatment Commencement</t>
  </si>
  <si>
    <t>PDT Low Number of Treatments</t>
  </si>
  <si>
    <t>Average Revenue / Treatment / month</t>
  </si>
  <si>
    <t>PDT Low Treatment Revenue</t>
  </si>
  <si>
    <t>PDT Low COS</t>
  </si>
  <si>
    <t>Photodynamic Therapy (PDT) High</t>
  </si>
  <si>
    <t>PDT High Number of Patients</t>
  </si>
  <si>
    <t>Average Revenue / Patient / month</t>
  </si>
  <si>
    <t>PDT High Treatment Revenue</t>
  </si>
  <si>
    <t>PDT High COS</t>
  </si>
  <si>
    <t>Immunotherapy</t>
  </si>
  <si>
    <t>Immunotherapy commencement</t>
  </si>
  <si>
    <t>Immunotherapy Number of Treatments</t>
  </si>
  <si>
    <t>Average Revenue / Treatments / month</t>
  </si>
  <si>
    <t>Immunotherapy Treatments Revenue</t>
  </si>
  <si>
    <t xml:space="preserve">Consultations </t>
  </si>
  <si>
    <t>Consultation Number of Sessions</t>
  </si>
  <si>
    <t>Consultation Session Revenue</t>
  </si>
  <si>
    <t xml:space="preserve">Supplements </t>
  </si>
  <si>
    <t>Supplements Number of Patients</t>
  </si>
  <si>
    <t>Supplements Patient Revenue</t>
  </si>
  <si>
    <t>Supplement Cost of Sales</t>
  </si>
  <si>
    <t>Scripted Medication</t>
  </si>
  <si>
    <t>Scripted Medication Number of Patients</t>
  </si>
  <si>
    <t>Scripted Medication Patient Revenue</t>
  </si>
  <si>
    <t>Scripted Medication COS</t>
  </si>
  <si>
    <t>DCT</t>
  </si>
  <si>
    <t>DCT Number of Patients</t>
  </si>
  <si>
    <t>DCT Patient Revenue</t>
  </si>
  <si>
    <t>DCT COS</t>
  </si>
  <si>
    <t>Pathcare Rebate</t>
  </si>
  <si>
    <t>Pathcare Rebate Number of Tests</t>
  </si>
  <si>
    <t>Average Revenue / Tests / month</t>
  </si>
  <si>
    <t>Pathcare Rebate Testing Revenue</t>
  </si>
  <si>
    <t>Pathcare Rebate COS</t>
  </si>
  <si>
    <t>White Label Supplements</t>
  </si>
  <si>
    <t>White Label Supplement Commencement date</t>
  </si>
  <si>
    <t>WL Supplements Number of Patients</t>
  </si>
  <si>
    <t>White Label Supplement Revenue</t>
  </si>
  <si>
    <t>WL Supplements COS</t>
  </si>
  <si>
    <t>Total Treatments</t>
  </si>
  <si>
    <t>Doctor Patients Only</t>
  </si>
  <si>
    <t>Nurses Patients Only</t>
  </si>
  <si>
    <t>Total Revenue</t>
  </si>
  <si>
    <t>Cost Assumptions</t>
  </si>
  <si>
    <t>Staff</t>
  </si>
  <si>
    <t>Growth Rate:</t>
  </si>
  <si>
    <t>Administrative</t>
  </si>
  <si>
    <t>Managerial</t>
  </si>
  <si>
    <t xml:space="preserve">Exectutive </t>
  </si>
  <si>
    <t>COO cross charge to UK HoldCo, CTO to form part of Development Agreement</t>
  </si>
  <si>
    <t>Director’s Emoluments</t>
  </si>
  <si>
    <t>ZAR250 SACo, remaining ZAR250k from UK</t>
  </si>
  <si>
    <t>Bonus Policy</t>
  </si>
  <si>
    <t>Nurses</t>
  </si>
  <si>
    <t>Nurse 1</t>
  </si>
  <si>
    <t>Nurse 2</t>
  </si>
  <si>
    <t>Nurse 3</t>
  </si>
  <si>
    <t>Nurse 4</t>
  </si>
  <si>
    <t>Total Nurse Cost</t>
  </si>
  <si>
    <t>Doctors</t>
  </si>
  <si>
    <t>Patients / Doctor</t>
  </si>
  <si>
    <t>Doctor 1</t>
  </si>
  <si>
    <t>Doctor 2</t>
  </si>
  <si>
    <t>Total Doctor Cost</t>
  </si>
  <si>
    <t>Staff Additional Cost to Company</t>
  </si>
  <si>
    <t>% of salary</t>
  </si>
  <si>
    <t>COIDA</t>
  </si>
  <si>
    <t>UIF</t>
  </si>
  <si>
    <t>SDL</t>
  </si>
  <si>
    <t>Total Staff Additional Cost to Company</t>
  </si>
  <si>
    <t>Expenses:</t>
  </si>
  <si>
    <t>Comments:</t>
  </si>
  <si>
    <t>Cross charge to UK HoldCo</t>
  </si>
  <si>
    <t>Depreciation</t>
  </si>
  <si>
    <t>Donations</t>
  </si>
  <si>
    <t>Minor assets</t>
  </si>
  <si>
    <t>Motor Vehicle Expenses and Fuel</t>
  </si>
  <si>
    <t>Printing &amp; Stationery</t>
  </si>
  <si>
    <t>Training and conferences</t>
  </si>
  <si>
    <t>Contingency</t>
  </si>
  <si>
    <t>CapexExpenses</t>
  </si>
  <si>
    <t>Expense Date</t>
  </si>
  <si>
    <t>HBOT Machine 1</t>
  </si>
  <si>
    <t>Laser Bed 2</t>
  </si>
  <si>
    <t>Laser Helmet</t>
  </si>
  <si>
    <t>HBOT Machine 2</t>
  </si>
  <si>
    <t>RSA Stockpile</t>
  </si>
  <si>
    <t>RSA Fit Out</t>
  </si>
  <si>
    <t>Inc loan account</t>
  </si>
  <si>
    <t>Once Off Expenses</t>
  </si>
  <si>
    <t>mEHT 2 Maintenance Deposit 1</t>
  </si>
  <si>
    <t>mEHT 2 Maintenance Deposit 2</t>
  </si>
  <si>
    <t>CASH FLOW STATEMENT</t>
  </si>
  <si>
    <t>Revenue</t>
  </si>
  <si>
    <t>Operating profit</t>
  </si>
  <si>
    <t>Total Staff Cost</t>
  </si>
  <si>
    <t>Total Costs</t>
  </si>
  <si>
    <t>Net operating profit</t>
  </si>
  <si>
    <t>Total Capex and Once Off Expenses</t>
  </si>
  <si>
    <t>Add back: Non-cash expenses</t>
  </si>
  <si>
    <t>Total Company Cash Flow</t>
  </si>
  <si>
    <t>Capital contribution</t>
  </si>
  <si>
    <t>Cash and cash equivalents</t>
  </si>
  <si>
    <t>Opening balance</t>
  </si>
  <si>
    <t>Operating and investing cash flow</t>
  </si>
  <si>
    <t>Closing balance</t>
  </si>
  <si>
    <t>Staff Costs:</t>
  </si>
  <si>
    <t>No Cash Movement:</t>
  </si>
  <si>
    <t>Year to Date</t>
  </si>
  <si>
    <t>Unrealised Currency Gains</t>
  </si>
  <si>
    <t>Staff Welfare</t>
  </si>
  <si>
    <t>Postage, Freight &amp; Courier</t>
  </si>
  <si>
    <t>Payroll: Employer UIF and SDL</t>
  </si>
  <si>
    <t>Payroll: Employee PAYE</t>
  </si>
  <si>
    <t>Payroll: Employee Nett</t>
  </si>
  <si>
    <t>Payroll: Director PAYE</t>
  </si>
  <si>
    <t>Payroll : Director Nett</t>
  </si>
  <si>
    <t>Year to date</t>
  </si>
  <si>
    <t>Mar 2025</t>
  </si>
  <si>
    <t>Apr 2025</t>
  </si>
  <si>
    <t>May 2025</t>
  </si>
  <si>
    <t>Saint Raphael PtyLtd t/a Sanctura</t>
  </si>
  <si>
    <t>TOT - Medical patients records</t>
  </si>
  <si>
    <t>TOT - Data capture</t>
  </si>
  <si>
    <t>TOT - Administration costs</t>
  </si>
  <si>
    <t>SANC - Management</t>
  </si>
  <si>
    <t>Payroll - Wages and Salaries</t>
  </si>
  <si>
    <t>Payroll - Employer UIF and SDL</t>
  </si>
  <si>
    <t>Payroll - Employee PAYE and UIF</t>
  </si>
  <si>
    <t>Motor Vehicle Expenses</t>
  </si>
  <si>
    <t>Motor Vehicle Expense - Fuel</t>
  </si>
  <si>
    <t>MGNT - Accounting and other related services</t>
  </si>
  <si>
    <t>Computer Expenses</t>
  </si>
  <si>
    <t>Profit and Loss Combined</t>
  </si>
  <si>
    <t>Nurse 5</t>
  </si>
  <si>
    <t>James</t>
  </si>
  <si>
    <t>Director's Emoluments</t>
  </si>
  <si>
    <t>Jun 2025</t>
  </si>
  <si>
    <t>Other Revenue</t>
  </si>
  <si>
    <t>Utilities</t>
  </si>
  <si>
    <t>Jul 2025</t>
  </si>
  <si>
    <t>Actual</t>
  </si>
  <si>
    <t>Forecast</t>
  </si>
  <si>
    <t>Immunotherapy COS</t>
  </si>
  <si>
    <t>Chemotherapy</t>
  </si>
  <si>
    <t>Chemotherapy commencement</t>
  </si>
  <si>
    <t>Chemotherapy Number of Treatments</t>
  </si>
  <si>
    <t>Chemotherapy Treatments Revenue</t>
  </si>
  <si>
    <t>Chemotherapy COS</t>
  </si>
  <si>
    <t xml:space="preserve">Revenue Balancing Line </t>
  </si>
  <si>
    <t>Advertising / Merchandise</t>
  </si>
  <si>
    <t xml:space="preserve">Consulting, Accounting, Legal &amp;  Administrative Fees </t>
  </si>
  <si>
    <t>Entertainment &amp; Staff Welfare</t>
  </si>
  <si>
    <t>Freight &amp; Courier, Printing &amp; Stationary</t>
  </si>
  <si>
    <t>Increased to include HBOT</t>
  </si>
  <si>
    <t>Office, Cleaning, Medical Waste, Security</t>
  </si>
  <si>
    <t>To increase due to dev cost</t>
  </si>
  <si>
    <t>IP Dev Refund</t>
  </si>
  <si>
    <t>Day 1 asset purchase</t>
  </si>
  <si>
    <t>Medical Equipment</t>
  </si>
  <si>
    <t>Furniture &amp; Computer Equipment</t>
  </si>
  <si>
    <t xml:space="preserve">Additional Medical Equipment </t>
  </si>
  <si>
    <t>Settlement</t>
  </si>
  <si>
    <t>Marketing and launch event</t>
  </si>
  <si>
    <t>Balancing Line COS</t>
  </si>
  <si>
    <t>Liabilities</t>
  </si>
  <si>
    <t>Geoff</t>
  </si>
  <si>
    <t>1.5m</t>
  </si>
  <si>
    <t>1.4m</t>
  </si>
  <si>
    <t>1.0m</t>
  </si>
  <si>
    <t>Profit and Loss</t>
  </si>
  <si>
    <t>Dr James Laporta Inc</t>
  </si>
  <si>
    <t>Sep 2025</t>
  </si>
  <si>
    <t>Aug 2025</t>
  </si>
  <si>
    <t>MGNT - Equipment rental</t>
  </si>
  <si>
    <t>MGNT - Patients / Surgery management</t>
  </si>
  <si>
    <t>MGNT - Practice Management</t>
  </si>
  <si>
    <t>MGNT - Rental</t>
  </si>
  <si>
    <t>Rent and Utilities</t>
  </si>
  <si>
    <t>Unrealised Currency Gains / Losses</t>
  </si>
  <si>
    <t>Within 25% of Budget</t>
  </si>
  <si>
    <t>Over 25% of Budget</t>
  </si>
  <si>
    <t>Under 25% of Budget</t>
  </si>
  <si>
    <t>Oct 2025</t>
  </si>
  <si>
    <t>Motor Vehicle Expenses &amp; Fuel</t>
  </si>
  <si>
    <t>Actuals</t>
  </si>
  <si>
    <t>IV Curcumin 100mg Treatments</t>
  </si>
  <si>
    <t>IV Curcumin 100mg Number of Treatments</t>
  </si>
  <si>
    <t>IV Currcumin 100mg Treatment Revenue</t>
  </si>
  <si>
    <t>IV Curcumin 100mg COS</t>
  </si>
  <si>
    <t>Laser Patient Revenue</t>
  </si>
  <si>
    <t>Photodynamic Therapy (PDT) - CTC</t>
  </si>
  <si>
    <t>CTC PDT Patients commencement</t>
  </si>
  <si>
    <t>CTC PDT Number of Patients</t>
  </si>
  <si>
    <t>CTC PDT Patient Revenue</t>
  </si>
  <si>
    <t>CTC PDT COS</t>
  </si>
  <si>
    <t xml:space="preserve">Photodynamic Therapy (PDT) </t>
  </si>
  <si>
    <t>PDT Patients commencement</t>
  </si>
  <si>
    <t>PDT Number of Patients</t>
  </si>
  <si>
    <t>PDT Patient Revenue</t>
  </si>
  <si>
    <t>PDT COS</t>
  </si>
  <si>
    <t>VIP Patient</t>
  </si>
  <si>
    <t>VIP Patients commencement</t>
  </si>
  <si>
    <t>VIP Number of Patients</t>
  </si>
  <si>
    <t>VIP Patient Revenue</t>
  </si>
  <si>
    <t>VIP COS</t>
  </si>
  <si>
    <t>Sessional Room Rental</t>
  </si>
  <si>
    <t>Sessional Room Rental commencement</t>
  </si>
  <si>
    <t>Room Rental Number of Sessions</t>
  </si>
  <si>
    <t>Sessional Room Rental Revenue</t>
  </si>
  <si>
    <t xml:space="preserve">Oxyhydrogen Therapy </t>
  </si>
  <si>
    <t>Oxyhydrogen Therapy  commencement</t>
  </si>
  <si>
    <t>Oxyhydrogen Therapy  Number of Sessions</t>
  </si>
  <si>
    <t>Oxyhydrogen Therapy  Revenue</t>
  </si>
  <si>
    <t>Pathology Services</t>
  </si>
  <si>
    <t>Pathology Services commencement</t>
  </si>
  <si>
    <t>Pathology Services  Number of Sessions</t>
  </si>
  <si>
    <t>Pathology Services Revenue</t>
  </si>
  <si>
    <t>Sanctura Lite</t>
  </si>
  <si>
    <t>4 Months</t>
  </si>
  <si>
    <t>Oncotherm Bed Sale</t>
  </si>
  <si>
    <t>Profit</t>
  </si>
  <si>
    <t>Start Date</t>
  </si>
  <si>
    <t>Receptionist</t>
  </si>
  <si>
    <t>Receptionist 2</t>
  </si>
  <si>
    <t>Practice Manager</t>
  </si>
  <si>
    <t>Maria</t>
  </si>
  <si>
    <t>Jasmin</t>
  </si>
  <si>
    <t>Cecille</t>
  </si>
  <si>
    <t>Locum</t>
  </si>
  <si>
    <t>Elena</t>
  </si>
  <si>
    <t>Doctor 3</t>
  </si>
  <si>
    <t>National Insurance</t>
  </si>
  <si>
    <t>Pension Employer Contribution</t>
  </si>
  <si>
    <t>PHI</t>
  </si>
  <si>
    <t>Group Life Assurance</t>
  </si>
  <si>
    <t>ZAR210k HoldCo (services agreement), ZAR40k OpCo</t>
  </si>
  <si>
    <t>CTO</t>
  </si>
  <si>
    <t>Moved to SA CFF</t>
  </si>
  <si>
    <t>Travel Expenses</t>
  </si>
  <si>
    <t>All sitting in SA CFF</t>
  </si>
  <si>
    <t xml:space="preserve">Consultants </t>
  </si>
  <si>
    <t xml:space="preserve">Rent </t>
  </si>
  <si>
    <t>Business rates, service charge, water and elec</t>
  </si>
  <si>
    <t>Marketing &amp; PR Resource</t>
  </si>
  <si>
    <t>Opex</t>
  </si>
  <si>
    <t>Commission Structure</t>
  </si>
  <si>
    <t>20% of Opex</t>
  </si>
  <si>
    <t>SA IP Development cost</t>
  </si>
  <si>
    <t>£10k per month</t>
  </si>
  <si>
    <t>Capex Assumptions</t>
  </si>
  <si>
    <t>UK Capex</t>
  </si>
  <si>
    <t>Clinic Fit Out Phase 1</t>
  </si>
  <si>
    <t>Including retention</t>
  </si>
  <si>
    <t>Clinic Fit Out Phase 2</t>
  </si>
  <si>
    <t>Hyperthermia Machine #1</t>
  </si>
  <si>
    <t>Converted to GBP</t>
  </si>
  <si>
    <t>Hyperthermia Machine #2</t>
  </si>
  <si>
    <t>Converted to GBP including add fit out</t>
  </si>
  <si>
    <t>Hyperthermia Machine #2 Deposit</t>
  </si>
  <si>
    <t xml:space="preserve">HBOT Machine #1 Deposit </t>
  </si>
  <si>
    <t>HBOT Machine #1 Payment 2</t>
  </si>
  <si>
    <t>HBOT Machine Final and storage</t>
  </si>
  <si>
    <t>Maintenance Contracts (HBOT &amp; mEHT)</t>
  </si>
  <si>
    <t>Maintenance Contract mEHT 2</t>
  </si>
  <si>
    <t xml:space="preserve">Endolaser </t>
  </si>
  <si>
    <t>Laser Bed</t>
  </si>
  <si>
    <t xml:space="preserve">Laser Helmet x 2 </t>
  </si>
  <si>
    <t xml:space="preserve">Furniture &amp; Computer Equipment </t>
  </si>
  <si>
    <t>Oxyhydrogen therapy (5 machines)</t>
  </si>
  <si>
    <t>One Off Expenses</t>
  </si>
  <si>
    <t>Marketing - Build Brand</t>
  </si>
  <si>
    <t>Rent Deposit</t>
  </si>
  <si>
    <t xml:space="preserve">Recruitment Agent </t>
  </si>
  <si>
    <t>Leasing Agent</t>
  </si>
  <si>
    <t>Stamp Duties and Legal Fees</t>
  </si>
  <si>
    <t>Staff Training Costs (Flights &amp; Accom South Africa)</t>
  </si>
  <si>
    <t>Legal Fees / Rental Agent</t>
  </si>
  <si>
    <t>Launch Event</t>
  </si>
  <si>
    <t>Bulk Stock Purchase #1</t>
  </si>
  <si>
    <t>Bulk Stock Purchase #2</t>
  </si>
  <si>
    <t>Total other Opex</t>
  </si>
  <si>
    <t>Operating Cash Flow</t>
  </si>
  <si>
    <t>Capex</t>
  </si>
  <si>
    <t>Recruitement Agent for Manager</t>
  </si>
  <si>
    <t>UK Capex Total</t>
  </si>
  <si>
    <t>Total Capex and one-off expenses</t>
  </si>
  <si>
    <t>Loan schedule - UK</t>
  </si>
  <si>
    <t>Sanctura SA capital injection</t>
  </si>
  <si>
    <t>Interest Rate</t>
  </si>
  <si>
    <t>Sanctura Holdings annual IP Development costs</t>
  </si>
  <si>
    <t>Sanctura UK loan inflows</t>
  </si>
  <si>
    <t>Interest</t>
  </si>
  <si>
    <t>Balance pre repayments</t>
  </si>
  <si>
    <t>Repayments</t>
  </si>
  <si>
    <t>Note: With SA as loan</t>
  </si>
  <si>
    <t>Purpose is to cater for development agreement</t>
  </si>
  <si>
    <t>ZAR</t>
  </si>
  <si>
    <t>Apportionment</t>
  </si>
  <si>
    <t>Total (ZAR)</t>
  </si>
  <si>
    <t>Total (GBP)</t>
  </si>
  <si>
    <t>&gt; James salary</t>
  </si>
  <si>
    <t>&gt; CTO salary</t>
  </si>
  <si>
    <t>&gt; Marketing</t>
  </si>
  <si>
    <t>&gt; Other direct expenses</t>
  </si>
  <si>
    <t>Sub-total</t>
  </si>
  <si>
    <t>Margin</t>
  </si>
  <si>
    <t>UK cash and cash equivalents</t>
  </si>
  <si>
    <t>Capital contribution from BVI HoldCo</t>
  </si>
  <si>
    <t>Capital payment to SA OpCo</t>
  </si>
  <si>
    <t>xxxx</t>
  </si>
  <si>
    <t>SA cash and cash equivalents</t>
  </si>
  <si>
    <t>Consolidated cash and cash equivalents</t>
  </si>
  <si>
    <t>Profit after Taxation</t>
  </si>
  <si>
    <t>Profit on Ordinary Activities Before Taxation</t>
  </si>
  <si>
    <t>Total Other Income</t>
  </si>
  <si>
    <t>Discount Received</t>
  </si>
  <si>
    <t>Other Income</t>
  </si>
  <si>
    <t>Operating Profit</t>
  </si>
  <si>
    <t>Total Administrative Costs</t>
  </si>
  <si>
    <t>Repairs &amp; Maintenance</t>
  </si>
  <si>
    <t>Rental Equipment</t>
  </si>
  <si>
    <t>Legal Expenses</t>
  </si>
  <si>
    <t>Consulting, Accounting and Administrative Fees</t>
  </si>
  <si>
    <t>Advertising &amp; Marketing</t>
  </si>
  <si>
    <t>Pension</t>
  </si>
  <si>
    <t>PAYE</t>
  </si>
  <si>
    <t>Directors' Remuneration</t>
  </si>
  <si>
    <t>Salaries</t>
  </si>
  <si>
    <t>Administrative Costs</t>
  </si>
  <si>
    <t>Agency Fees COS</t>
  </si>
  <si>
    <t>Pathology COS</t>
  </si>
  <si>
    <t>Total Turnover</t>
  </si>
  <si>
    <t>Agency Fees</t>
  </si>
  <si>
    <t>Sales - Pathology</t>
  </si>
  <si>
    <t>Turnover</t>
  </si>
  <si>
    <t>Sanctura Limited</t>
  </si>
  <si>
    <t>Breakdown of Opex from P&amp;L</t>
  </si>
  <si>
    <t xml:space="preserve">Staff Costs: Medical, Admin, Consultants, Director </t>
  </si>
  <si>
    <t>Realised and Unrealised Currency Gains</t>
  </si>
  <si>
    <t>Item</t>
  </si>
  <si>
    <t>Current Unit Price</t>
  </si>
  <si>
    <t>Quantity Sold</t>
  </si>
  <si>
    <t>Total</t>
  </si>
  <si>
    <t>Average Price</t>
  </si>
  <si>
    <t>Summary</t>
  </si>
  <si>
    <t>Sales by item</t>
  </si>
  <si>
    <t>Other sales</t>
  </si>
  <si>
    <t>Credits</t>
  </si>
  <si>
    <t>Total Sales</t>
  </si>
  <si>
    <t>For the month ended 30 November  2025</t>
  </si>
  <si>
    <t>Reforecast</t>
  </si>
  <si>
    <t>Reforecast YTD</t>
  </si>
  <si>
    <t>Nov 2025</t>
  </si>
  <si>
    <t>For the month ended 30 November 2025</t>
  </si>
  <si>
    <t>Actual Nov 2025</t>
  </si>
  <si>
    <t>Reforecast Nov  2025</t>
  </si>
  <si>
    <t>Sales by Item</t>
  </si>
  <si>
    <t>1 November 2025 to 30 November 2025</t>
  </si>
  <si>
    <t>Consultation - 1 hour (CON1)</t>
  </si>
  <si>
    <t>Consultation - 15 Minutes (CON6)</t>
  </si>
  <si>
    <t>Consultation - 30 min (CON2)</t>
  </si>
  <si>
    <t>Endovascular laser therapy - 20Min (ENDO)</t>
  </si>
  <si>
    <t>Hyperbaric Oxygen Therapy Session - 2 ATA 90 Min (HBOT)</t>
  </si>
  <si>
    <t>Infusion Fee (CON4)</t>
  </si>
  <si>
    <t>mEHT Hyperthermia Treatment - 60 Min (mEHT 60)</t>
  </si>
  <si>
    <t>mEHT Hyperthermia Treatment - 90 Min (mEHT 90)</t>
  </si>
  <si>
    <t>Phlebotomy Fee (CON9)</t>
  </si>
  <si>
    <t>Pathology Fees</t>
  </si>
  <si>
    <t>Transcranial Photobiomodulation (HEL)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</si>
</sst>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#,##0;[Green]\-#,##0"/>
    <numFmt numFmtId="165" formatCode="#,##0;\(#,##0\)"/>
    <numFmt numFmtId="166" formatCode="_(* #,##0_);_(* \(#,##0\);_(* \-??_);_(@_)"/>
    <numFmt numFmtId="167" formatCode="dd\ mmm\ yy_);&quot;#date&quot;_);&quot;-  &quot;;\ @"/>
    <numFmt numFmtId="168" formatCode="0.00%_);\(0.00%\);&quot;-  &quot;;\ @"/>
    <numFmt numFmtId="169" formatCode="_-* #,##0_-;\-* #,##0_-;_-* &quot;-&quot;??_-;_-@_-"/>
    <numFmt numFmtId="170" formatCode="0.0%"/>
    <numFmt numFmtId="171" formatCode="_(* #,##0.0000_);_(* \(#,##0.0000\);_(* \-??_);_(@_)"/>
    <numFmt numFmtId="172" formatCode="[$£-809]#,##0.00;\-[$£-809]#,##0.00"/>
    <numFmt numFmtId="173" formatCode="#,##0.0_ ;\-#,##0.0"/>
  </numFmts>
  <fonts count="43" x14ac:knownFonts="1">
    <font>
      <sz val="9"/>
      <color theme="1"/>
      <name val="Arial"/>
    </font>
    <font>
      <b/>
      <sz val="12"/>
      <color theme="1"/>
      <name val="Aptos"/>
      <family val="2"/>
    </font>
    <font>
      <b/>
      <sz val="14"/>
      <color theme="1"/>
      <name val="Aptos"/>
      <family val="2"/>
    </font>
    <font>
      <sz val="14"/>
      <color theme="1"/>
      <name val="Aptos"/>
      <family val="2"/>
    </font>
    <font>
      <sz val="12"/>
      <color theme="1"/>
      <name val="Aptos"/>
      <family val="2"/>
    </font>
    <font>
      <sz val="11"/>
      <color theme="1"/>
      <name val="Aptos"/>
      <family val="2"/>
    </font>
    <font>
      <sz val="9"/>
      <color theme="1"/>
      <name val="Aptos"/>
      <family val="2"/>
    </font>
    <font>
      <b/>
      <sz val="11"/>
      <color theme="1"/>
      <name val="Aptos"/>
      <family val="2"/>
    </font>
    <font>
      <b/>
      <sz val="10"/>
      <color theme="1"/>
      <name val="Aptos"/>
      <family val="2"/>
    </font>
    <font>
      <sz val="10"/>
      <color theme="1"/>
      <name val="Aptos"/>
      <family val="2"/>
    </font>
    <font>
      <b/>
      <sz val="9"/>
      <color theme="1"/>
      <name val="Aptos"/>
      <family val="2"/>
    </font>
    <font>
      <sz val="9"/>
      <color theme="1"/>
      <name val="Arial"/>
      <family val="2"/>
    </font>
    <font>
      <sz val="11"/>
      <color theme="1"/>
      <name val="Calibri"/>
      <family val="2"/>
    </font>
    <font>
      <b/>
      <sz val="11"/>
      <color rgb="FF0000FF"/>
      <name val="Calibri"/>
      <family val="2"/>
    </font>
    <font>
      <b/>
      <sz val="11"/>
      <color theme="0" tint="-4.9989318521683403E-2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rgb="FF0000FF"/>
      <name val="Calibri"/>
      <family val="2"/>
    </font>
    <font>
      <i/>
      <sz val="11"/>
      <color theme="1"/>
      <name val="Calibri"/>
      <family val="2"/>
    </font>
    <font>
      <sz val="11"/>
      <color rgb="FF000000"/>
      <name val="Calibri"/>
      <family val="2"/>
    </font>
    <font>
      <u/>
      <sz val="11"/>
      <color theme="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i/>
      <sz val="11"/>
      <color rgb="FFFF0000"/>
      <name val="Calibri"/>
      <family val="2"/>
    </font>
    <font>
      <b/>
      <sz val="8"/>
      <color theme="1"/>
      <name val="Aptos"/>
      <family val="2"/>
    </font>
    <font>
      <sz val="11"/>
      <color rgb="FF008000"/>
      <name val="Calibri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theme="1"/>
      <name val="Arial"/>
    </font>
    <font>
      <b/>
      <sz val="10"/>
      <color theme="1"/>
      <name val="Arial"/>
    </font>
    <font>
      <sz val="12"/>
      <color theme="1"/>
      <name val="Arial"/>
    </font>
    <font>
      <b/>
      <sz val="14"/>
      <color theme="1"/>
      <name val="Arial"/>
    </font>
    <font>
      <b/>
      <sz val="12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-0.249977111117893"/>
        <bgColor rgb="FFFFFF00"/>
      </patternFill>
    </fill>
    <fill>
      <patternFill patternType="solid">
        <fgColor rgb="FF1F497D"/>
        <bgColor rgb="FF003366"/>
      </patternFill>
    </fill>
    <fill>
      <patternFill patternType="solid">
        <fgColor rgb="FFFFFF99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9BBAF"/>
        <bgColor indexed="64"/>
      </patternFill>
    </fill>
    <fill>
      <patternFill patternType="solid">
        <fgColor rgb="FFFFFFCC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808080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rgb="FFEBEBE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2" fillId="0" borderId="0"/>
    <xf numFmtId="9" fontId="12" fillId="0" borderId="0" applyFont="0" applyFill="0" applyBorder="0" applyAlignment="0" applyProtection="0"/>
    <xf numFmtId="0" fontId="11" fillId="0" borderId="0"/>
  </cellStyleXfs>
  <cellXfs count="17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4" fillId="0" borderId="0" xfId="0" applyNumberFormat="1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vertical="center"/>
    </xf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  <xf numFmtId="164" fontId="7" fillId="0" borderId="0" xfId="0" applyNumberFormat="1" applyFont="1"/>
    <xf numFmtId="0" fontId="8" fillId="0" borderId="1" xfId="0" applyFont="1" applyBorder="1" applyAlignment="1">
      <alignment horizontal="left" vertical="center"/>
    </xf>
    <xf numFmtId="17" fontId="8" fillId="0" borderId="1" xfId="0" applyNumberFormat="1" applyFont="1" applyBorder="1" applyAlignment="1">
      <alignment horizontal="right" vertical="center"/>
    </xf>
    <xf numFmtId="0" fontId="9" fillId="0" borderId="0" xfId="0" applyFont="1"/>
    <xf numFmtId="164" fontId="6" fillId="0" borderId="0" xfId="0" applyNumberFormat="1" applyFont="1"/>
    <xf numFmtId="0" fontId="8" fillId="0" borderId="1" xfId="0" applyFont="1" applyBorder="1" applyAlignment="1">
      <alignment vertical="center"/>
    </xf>
    <xf numFmtId="164" fontId="8" fillId="0" borderId="1" xfId="0" applyNumberFormat="1" applyFont="1" applyBorder="1" applyAlignment="1">
      <alignment vertical="center"/>
    </xf>
    <xf numFmtId="0" fontId="6" fillId="0" borderId="0" xfId="0" applyFont="1" applyAlignment="1">
      <alignment vertical="center"/>
    </xf>
    <xf numFmtId="165" fontId="6" fillId="0" borderId="0" xfId="0" applyNumberFormat="1" applyFont="1" applyAlignment="1">
      <alignment horizontal="right" vertical="center"/>
    </xf>
    <xf numFmtId="0" fontId="10" fillId="0" borderId="2" xfId="0" applyFont="1" applyBorder="1" applyAlignment="1">
      <alignment vertical="center"/>
    </xf>
    <xf numFmtId="165" fontId="10" fillId="0" borderId="2" xfId="0" applyNumberFormat="1" applyFont="1" applyBorder="1" applyAlignment="1">
      <alignment horizontal="right" vertical="center"/>
    </xf>
    <xf numFmtId="164" fontId="6" fillId="0" borderId="2" xfId="0" applyNumberFormat="1" applyFont="1" applyBorder="1" applyAlignment="1">
      <alignment horizontal="right" vertical="center"/>
    </xf>
    <xf numFmtId="165" fontId="6" fillId="0" borderId="0" xfId="0" applyNumberFormat="1" applyFont="1"/>
    <xf numFmtId="165" fontId="8" fillId="0" borderId="1" xfId="0" applyNumberFormat="1" applyFont="1" applyBorder="1" applyAlignment="1">
      <alignment vertical="center"/>
    </xf>
    <xf numFmtId="0" fontId="10" fillId="2" borderId="3" xfId="0" applyFont="1" applyFill="1" applyBorder="1" applyAlignment="1">
      <alignment vertical="center"/>
    </xf>
    <xf numFmtId="165" fontId="10" fillId="2" borderId="3" xfId="0" applyNumberFormat="1" applyFont="1" applyFill="1" applyBorder="1" applyAlignment="1">
      <alignment horizontal="right" vertical="center"/>
    </xf>
    <xf numFmtId="0" fontId="6" fillId="0" borderId="2" xfId="0" applyFont="1" applyBorder="1" applyAlignment="1">
      <alignment vertical="center"/>
    </xf>
    <xf numFmtId="165" fontId="6" fillId="0" borderId="2" xfId="0" applyNumberFormat="1" applyFont="1" applyBorder="1" applyAlignment="1">
      <alignment horizontal="right" vertical="center"/>
    </xf>
    <xf numFmtId="165" fontId="6" fillId="3" borderId="2" xfId="0" applyNumberFormat="1" applyFont="1" applyFill="1" applyBorder="1" applyAlignment="1">
      <alignment horizontal="right" vertical="center"/>
    </xf>
    <xf numFmtId="165" fontId="6" fillId="0" borderId="2" xfId="0" applyNumberFormat="1" applyFont="1" applyBorder="1"/>
    <xf numFmtId="0" fontId="12" fillId="0" borderId="0" xfId="1"/>
    <xf numFmtId="1" fontId="13" fillId="0" borderId="0" xfId="1" applyNumberFormat="1" applyFont="1"/>
    <xf numFmtId="166" fontId="14" fillId="5" borderId="0" xfId="1" applyNumberFormat="1" applyFont="1" applyFill="1"/>
    <xf numFmtId="2" fontId="13" fillId="6" borderId="0" xfId="1" applyNumberFormat="1" applyFont="1" applyFill="1"/>
    <xf numFmtId="166" fontId="15" fillId="0" borderId="0" xfId="1" applyNumberFormat="1" applyFont="1"/>
    <xf numFmtId="166" fontId="16" fillId="0" borderId="0" xfId="1" applyNumberFormat="1" applyFont="1"/>
    <xf numFmtId="166" fontId="14" fillId="7" borderId="0" xfId="1" applyNumberFormat="1" applyFont="1" applyFill="1"/>
    <xf numFmtId="167" fontId="13" fillId="0" borderId="0" xfId="1" applyNumberFormat="1" applyFont="1"/>
    <xf numFmtId="1" fontId="17" fillId="8" borderId="0" xfId="1" applyNumberFormat="1" applyFont="1" applyFill="1"/>
    <xf numFmtId="167" fontId="13" fillId="6" borderId="0" xfId="1" applyNumberFormat="1" applyFont="1" applyFill="1"/>
    <xf numFmtId="166" fontId="18" fillId="8" borderId="0" xfId="1" applyNumberFormat="1" applyFont="1" applyFill="1"/>
    <xf numFmtId="166" fontId="17" fillId="8" borderId="0" xfId="1" applyNumberFormat="1" applyFont="1" applyFill="1"/>
    <xf numFmtId="166" fontId="18" fillId="0" borderId="0" xfId="1" applyNumberFormat="1" applyFont="1"/>
    <xf numFmtId="166" fontId="17" fillId="0" borderId="0" xfId="1" applyNumberFormat="1" applyFont="1"/>
    <xf numFmtId="166" fontId="12" fillId="0" borderId="0" xfId="1" applyNumberFormat="1"/>
    <xf numFmtId="167" fontId="12" fillId="9" borderId="0" xfId="1" applyNumberFormat="1" applyFill="1"/>
    <xf numFmtId="167" fontId="12" fillId="0" borderId="0" xfId="1" applyNumberFormat="1"/>
    <xf numFmtId="166" fontId="12" fillId="9" borderId="0" xfId="1" applyNumberFormat="1" applyFill="1"/>
    <xf numFmtId="168" fontId="12" fillId="9" borderId="0" xfId="1" applyNumberFormat="1" applyFill="1"/>
    <xf numFmtId="166" fontId="12" fillId="0" borderId="5" xfId="1" applyNumberFormat="1" applyBorder="1"/>
    <xf numFmtId="166" fontId="12" fillId="6" borderId="0" xfId="1" applyNumberFormat="1" applyFill="1"/>
    <xf numFmtId="166" fontId="19" fillId="9" borderId="0" xfId="1" applyNumberFormat="1" applyFont="1" applyFill="1"/>
    <xf numFmtId="9" fontId="19" fillId="6" borderId="0" xfId="2" applyFont="1" applyFill="1"/>
    <xf numFmtId="169" fontId="12" fillId="0" borderId="0" xfId="1" applyNumberFormat="1"/>
    <xf numFmtId="166" fontId="12" fillId="10" borderId="0" xfId="1" applyNumberFormat="1" applyFill="1"/>
    <xf numFmtId="166" fontId="12" fillId="3" borderId="0" xfId="1" applyNumberFormat="1" applyFill="1"/>
    <xf numFmtId="0" fontId="12" fillId="10" borderId="0" xfId="1" applyFill="1"/>
    <xf numFmtId="166" fontId="19" fillId="6" borderId="0" xfId="1" applyNumberFormat="1" applyFont="1" applyFill="1"/>
    <xf numFmtId="166" fontId="20" fillId="0" borderId="0" xfId="1" applyNumberFormat="1" applyFont="1"/>
    <xf numFmtId="9" fontId="0" fillId="0" borderId="0" xfId="2" applyFont="1" applyFill="1"/>
    <xf numFmtId="170" fontId="19" fillId="6" borderId="0" xfId="2" applyNumberFormat="1" applyFont="1" applyFill="1"/>
    <xf numFmtId="166" fontId="12" fillId="0" borderId="6" xfId="1" applyNumberFormat="1" applyBorder="1"/>
    <xf numFmtId="166" fontId="16" fillId="10" borderId="0" xfId="1" applyNumberFormat="1" applyFont="1" applyFill="1"/>
    <xf numFmtId="167" fontId="21" fillId="0" borderId="0" xfId="1" applyNumberFormat="1" applyFont="1"/>
    <xf numFmtId="167" fontId="19" fillId="6" borderId="0" xfId="1" applyNumberFormat="1" applyFont="1" applyFill="1"/>
    <xf numFmtId="167" fontId="19" fillId="0" borderId="0" xfId="1" applyNumberFormat="1" applyFont="1"/>
    <xf numFmtId="166" fontId="16" fillId="0" borderId="5" xfId="1" applyNumberFormat="1" applyFont="1" applyBorder="1"/>
    <xf numFmtId="0" fontId="12" fillId="3" borderId="0" xfId="1" applyFill="1"/>
    <xf numFmtId="166" fontId="22" fillId="0" borderId="0" xfId="1" applyNumberFormat="1" applyFont="1"/>
    <xf numFmtId="166" fontId="12" fillId="11" borderId="0" xfId="1" applyNumberFormat="1" applyFill="1"/>
    <xf numFmtId="165" fontId="0" fillId="0" borderId="2" xfId="0" applyNumberFormat="1" applyBorder="1" applyAlignment="1">
      <alignment horizontal="right" vertical="center"/>
    </xf>
    <xf numFmtId="0" fontId="0" fillId="0" borderId="2" xfId="0" applyBorder="1" applyAlignment="1">
      <alignment vertical="center"/>
    </xf>
    <xf numFmtId="165" fontId="0" fillId="0" borderId="0" xfId="0" applyNumberFormat="1" applyAlignment="1">
      <alignment horizontal="right" vertical="center"/>
    </xf>
    <xf numFmtId="0" fontId="0" fillId="0" borderId="0" xfId="0" applyAlignment="1">
      <alignment vertical="center"/>
    </xf>
    <xf numFmtId="165" fontId="0" fillId="3" borderId="2" xfId="0" applyNumberFormat="1" applyFill="1" applyBorder="1" applyAlignment="1">
      <alignment horizontal="right" vertical="center"/>
    </xf>
    <xf numFmtId="0" fontId="26" fillId="0" borderId="2" xfId="0" applyFont="1" applyBorder="1" applyAlignment="1">
      <alignment vertical="center"/>
    </xf>
    <xf numFmtId="0" fontId="27" fillId="0" borderId="1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6" fillId="4" borderId="0" xfId="0" applyFont="1" applyFill="1" applyAlignment="1">
      <alignment vertical="center"/>
    </xf>
    <xf numFmtId="165" fontId="6" fillId="4" borderId="0" xfId="0" applyNumberFormat="1" applyFont="1" applyFill="1" applyAlignment="1">
      <alignment horizontal="right" vertical="center"/>
    </xf>
    <xf numFmtId="0" fontId="6" fillId="4" borderId="2" xfId="0" applyFont="1" applyFill="1" applyBorder="1" applyAlignment="1">
      <alignment vertical="center"/>
    </xf>
    <xf numFmtId="165" fontId="6" fillId="4" borderId="2" xfId="0" applyNumberFormat="1" applyFont="1" applyFill="1" applyBorder="1"/>
    <xf numFmtId="165" fontId="6" fillId="4" borderId="2" xfId="0" applyNumberFormat="1" applyFont="1" applyFill="1" applyBorder="1" applyAlignment="1">
      <alignment horizontal="right" vertical="center"/>
    </xf>
    <xf numFmtId="165" fontId="0" fillId="3" borderId="0" xfId="0" applyNumberFormat="1" applyFill="1" applyAlignment="1">
      <alignment horizontal="right" vertical="center"/>
    </xf>
    <xf numFmtId="169" fontId="12" fillId="3" borderId="0" xfId="1" applyNumberFormat="1" applyFill="1"/>
    <xf numFmtId="0" fontId="30" fillId="0" borderId="0" xfId="1" applyFont="1"/>
    <xf numFmtId="166" fontId="19" fillId="10" borderId="0" xfId="1" applyNumberFormat="1" applyFont="1" applyFill="1"/>
    <xf numFmtId="4" fontId="6" fillId="0" borderId="0" xfId="0" applyNumberFormat="1" applyFont="1"/>
    <xf numFmtId="1" fontId="6" fillId="4" borderId="0" xfId="0" applyNumberFormat="1" applyFont="1" applyFill="1" applyAlignment="1">
      <alignment vertical="center"/>
    </xf>
    <xf numFmtId="0" fontId="6" fillId="12" borderId="2" xfId="0" applyFont="1" applyFill="1" applyBorder="1" applyAlignment="1">
      <alignment vertical="center"/>
    </xf>
    <xf numFmtId="165" fontId="6" fillId="12" borderId="2" xfId="0" applyNumberFormat="1" applyFont="1" applyFill="1" applyBorder="1" applyAlignment="1">
      <alignment horizontal="right" vertical="center"/>
    </xf>
    <xf numFmtId="0" fontId="2" fillId="15" borderId="0" xfId="0" applyFont="1" applyFill="1" applyAlignment="1">
      <alignment vertical="center"/>
    </xf>
    <xf numFmtId="0" fontId="31" fillId="0" borderId="0" xfId="0" applyFont="1" applyAlignment="1">
      <alignment vertical="center"/>
    </xf>
    <xf numFmtId="164" fontId="2" fillId="14" borderId="0" xfId="0" applyNumberFormat="1" applyFont="1" applyFill="1" applyAlignment="1">
      <alignment vertical="center"/>
    </xf>
    <xf numFmtId="164" fontId="31" fillId="3" borderId="0" xfId="0" applyNumberFormat="1" applyFont="1" applyFill="1" applyAlignment="1">
      <alignment vertical="center"/>
    </xf>
    <xf numFmtId="0" fontId="2" fillId="13" borderId="0" xfId="0" applyFont="1" applyFill="1" applyAlignment="1">
      <alignment vertical="center"/>
    </xf>
    <xf numFmtId="37" fontId="6" fillId="0" borderId="0" xfId="0" applyNumberFormat="1" applyFont="1"/>
    <xf numFmtId="37" fontId="9" fillId="0" borderId="0" xfId="0" applyNumberFormat="1" applyFont="1"/>
    <xf numFmtId="165" fontId="6" fillId="3" borderId="0" xfId="0" applyNumberFormat="1" applyFont="1" applyFill="1" applyAlignment="1">
      <alignment horizontal="right" vertical="center"/>
    </xf>
    <xf numFmtId="165" fontId="6" fillId="4" borderId="7" xfId="0" applyNumberFormat="1" applyFont="1" applyFill="1" applyBorder="1" applyAlignment="1">
      <alignment horizontal="right" vertical="center"/>
    </xf>
    <xf numFmtId="165" fontId="10" fillId="0" borderId="0" xfId="0" applyNumberFormat="1" applyFont="1" applyAlignment="1">
      <alignment horizontal="right" vertical="center"/>
    </xf>
    <xf numFmtId="165" fontId="6" fillId="4" borderId="4" xfId="0" applyNumberFormat="1" applyFont="1" applyFill="1" applyBorder="1" applyAlignment="1">
      <alignment horizontal="right" vertical="center"/>
    </xf>
    <xf numFmtId="165" fontId="10" fillId="0" borderId="7" xfId="0" applyNumberFormat="1" applyFont="1" applyBorder="1" applyAlignment="1">
      <alignment horizontal="right" vertical="center"/>
    </xf>
    <xf numFmtId="165" fontId="10" fillId="4" borderId="4" xfId="0" applyNumberFormat="1" applyFont="1" applyFill="1" applyBorder="1" applyAlignment="1">
      <alignment horizontal="right" vertical="center"/>
    </xf>
    <xf numFmtId="167" fontId="19" fillId="9" borderId="0" xfId="1" applyNumberFormat="1" applyFont="1" applyFill="1"/>
    <xf numFmtId="166" fontId="19" fillId="0" borderId="0" xfId="1" applyNumberFormat="1" applyFont="1"/>
    <xf numFmtId="167" fontId="12" fillId="10" borderId="0" xfId="1" applyNumberFormat="1" applyFill="1"/>
    <xf numFmtId="1" fontId="16" fillId="0" borderId="0" xfId="1" applyNumberFormat="1" applyFont="1"/>
    <xf numFmtId="166" fontId="19" fillId="6" borderId="0" xfId="1" applyNumberFormat="1" applyFont="1" applyFill="1" applyAlignment="1">
      <alignment horizontal="center"/>
    </xf>
    <xf numFmtId="166" fontId="16" fillId="3" borderId="0" xfId="1" applyNumberFormat="1" applyFont="1" applyFill="1"/>
    <xf numFmtId="171" fontId="12" fillId="0" borderId="0" xfId="1" applyNumberFormat="1"/>
    <xf numFmtId="166" fontId="19" fillId="0" borderId="8" xfId="1" applyNumberFormat="1" applyFont="1" applyBorder="1"/>
    <xf numFmtId="2" fontId="32" fillId="9" borderId="0" xfId="1" applyNumberFormat="1" applyFont="1" applyFill="1"/>
    <xf numFmtId="166" fontId="12" fillId="0" borderId="8" xfId="1" applyNumberFormat="1" applyBorder="1"/>
    <xf numFmtId="166" fontId="12" fillId="0" borderId="9" xfId="1" applyNumberFormat="1" applyBorder="1"/>
    <xf numFmtId="166" fontId="12" fillId="0" borderId="0" xfId="1" applyNumberFormat="1" applyAlignment="1">
      <alignment horizontal="right"/>
    </xf>
    <xf numFmtId="168" fontId="19" fillId="9" borderId="0" xfId="1" applyNumberFormat="1" applyFont="1" applyFill="1"/>
    <xf numFmtId="166" fontId="12" fillId="0" borderId="10" xfId="1" applyNumberFormat="1" applyBorder="1"/>
    <xf numFmtId="0" fontId="11" fillId="0" borderId="0" xfId="3"/>
    <xf numFmtId="165" fontId="26" fillId="2" borderId="3" xfId="3" applyNumberFormat="1" applyFont="1" applyFill="1" applyBorder="1" applyAlignment="1">
      <alignment horizontal="right" vertical="center"/>
    </xf>
    <xf numFmtId="0" fontId="26" fillId="2" borderId="3" xfId="3" applyFont="1" applyFill="1" applyBorder="1" applyAlignment="1">
      <alignment vertical="center"/>
    </xf>
    <xf numFmtId="165" fontId="26" fillId="0" borderId="2" xfId="3" applyNumberFormat="1" applyFont="1" applyBorder="1" applyAlignment="1">
      <alignment horizontal="right" vertical="center"/>
    </xf>
    <xf numFmtId="0" fontId="26" fillId="0" borderId="2" xfId="3" applyFont="1" applyBorder="1" applyAlignment="1">
      <alignment vertical="center"/>
    </xf>
    <xf numFmtId="165" fontId="11" fillId="0" borderId="0" xfId="3" applyNumberFormat="1" applyAlignment="1">
      <alignment horizontal="right" vertical="center"/>
    </xf>
    <xf numFmtId="0" fontId="11" fillId="0" borderId="0" xfId="3" applyAlignment="1">
      <alignment vertical="center"/>
    </xf>
    <xf numFmtId="0" fontId="33" fillId="0" borderId="0" xfId="3" applyFont="1"/>
    <xf numFmtId="0" fontId="27" fillId="0" borderId="1" xfId="3" applyFont="1" applyBorder="1" applyAlignment="1">
      <alignment vertical="center"/>
    </xf>
    <xf numFmtId="165" fontId="11" fillId="0" borderId="2" xfId="3" applyNumberFormat="1" applyBorder="1" applyAlignment="1">
      <alignment horizontal="right" vertical="center"/>
    </xf>
    <xf numFmtId="0" fontId="11" fillId="0" borderId="2" xfId="3" applyBorder="1" applyAlignment="1">
      <alignment vertical="center"/>
    </xf>
    <xf numFmtId="0" fontId="28" fillId="0" borderId="0" xfId="3" applyFont="1"/>
    <xf numFmtId="0" fontId="28" fillId="0" borderId="0" xfId="3" applyFont="1" applyAlignment="1">
      <alignment vertical="center"/>
    </xf>
    <xf numFmtId="0" fontId="34" fillId="0" borderId="0" xfId="3" applyFont="1"/>
    <xf numFmtId="0" fontId="29" fillId="0" borderId="0" xfId="3" applyFont="1" applyAlignment="1">
      <alignment vertical="center"/>
    </xf>
    <xf numFmtId="165" fontId="11" fillId="0" borderId="0" xfId="3" applyNumberFormat="1"/>
    <xf numFmtId="0" fontId="26" fillId="0" borderId="0" xfId="3" applyFont="1"/>
    <xf numFmtId="166" fontId="11" fillId="0" borderId="0" xfId="3" applyNumberFormat="1"/>
    <xf numFmtId="1" fontId="11" fillId="0" borderId="0" xfId="3" applyNumberFormat="1"/>
    <xf numFmtId="0" fontId="27" fillId="0" borderId="1" xfId="3" applyFont="1" applyBorder="1" applyAlignment="1">
      <alignment horizontal="center" vertical="center" wrapText="1"/>
    </xf>
    <xf numFmtId="165" fontId="38" fillId="2" borderId="3" xfId="0" applyNumberFormat="1" applyFont="1" applyFill="1" applyBorder="1" applyAlignment="1">
      <alignment horizontal="right" vertical="center"/>
    </xf>
    <xf numFmtId="0" fontId="38" fillId="2" borderId="3" xfId="0" applyFont="1" applyFill="1" applyBorder="1" applyAlignment="1">
      <alignment vertical="center"/>
    </xf>
    <xf numFmtId="165" fontId="38" fillId="0" borderId="2" xfId="0" applyNumberFormat="1" applyFont="1" applyBorder="1" applyAlignment="1">
      <alignment horizontal="right" vertical="center"/>
    </xf>
    <xf numFmtId="0" fontId="38" fillId="0" borderId="2" xfId="0" applyFont="1" applyBorder="1" applyAlignment="1">
      <alignment vertical="center"/>
    </xf>
    <xf numFmtId="0" fontId="39" fillId="0" borderId="1" xfId="0" applyFont="1" applyBorder="1" applyAlignment="1">
      <alignment vertical="center"/>
    </xf>
    <xf numFmtId="0" fontId="40" fillId="0" borderId="0" xfId="0" applyFont="1" applyAlignment="1">
      <alignment vertical="center"/>
    </xf>
    <xf numFmtId="0" fontId="41" fillId="0" borderId="0" xfId="0" applyFont="1" applyAlignment="1">
      <alignment vertical="center"/>
    </xf>
    <xf numFmtId="0" fontId="39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165" fontId="38" fillId="3" borderId="2" xfId="0" applyNumberFormat="1" applyFont="1" applyFill="1" applyBorder="1" applyAlignment="1">
      <alignment horizontal="right" vertical="center"/>
    </xf>
    <xf numFmtId="0" fontId="39" fillId="3" borderId="1" xfId="0" applyFont="1" applyFill="1" applyBorder="1" applyAlignment="1">
      <alignment vertical="center"/>
    </xf>
    <xf numFmtId="165" fontId="0" fillId="0" borderId="0" xfId="0" applyNumberFormat="1"/>
    <xf numFmtId="172" fontId="42" fillId="0" borderId="0" xfId="0" applyNumberFormat="1" applyFont="1" applyAlignment="1">
      <alignment horizontal="center" vertical="center"/>
    </xf>
    <xf numFmtId="172" fontId="35" fillId="0" borderId="0" xfId="0" applyNumberFormat="1" applyFont="1" applyAlignment="1">
      <alignment horizontal="center" vertical="center"/>
    </xf>
    <xf numFmtId="0" fontId="0" fillId="0" borderId="14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15" xfId="0" applyBorder="1" applyAlignment="1">
      <alignment vertical="center"/>
    </xf>
    <xf numFmtId="172" fontId="36" fillId="0" borderId="14" xfId="0" applyNumberFormat="1" applyFont="1" applyBorder="1" applyAlignment="1">
      <alignment vertical="center"/>
    </xf>
    <xf numFmtId="172" fontId="36" fillId="0" borderId="0" xfId="0" applyNumberFormat="1" applyFont="1" applyBorder="1" applyAlignment="1">
      <alignment vertical="center"/>
    </xf>
    <xf numFmtId="173" fontId="36" fillId="0" borderId="0" xfId="0" applyNumberFormat="1" applyFont="1" applyBorder="1" applyAlignment="1">
      <alignment vertical="center"/>
    </xf>
    <xf numFmtId="172" fontId="36" fillId="0" borderId="15" xfId="0" applyNumberFormat="1" applyFont="1" applyBorder="1" applyAlignment="1">
      <alignment vertical="center"/>
    </xf>
    <xf numFmtId="172" fontId="37" fillId="0" borderId="14" xfId="0" applyNumberFormat="1" applyFont="1" applyBorder="1" applyAlignment="1">
      <alignment vertical="center"/>
    </xf>
    <xf numFmtId="0" fontId="37" fillId="0" borderId="16" xfId="0" applyFont="1" applyBorder="1" applyAlignment="1">
      <alignment vertical="center"/>
    </xf>
    <xf numFmtId="0" fontId="37" fillId="0" borderId="17" xfId="0" applyFont="1" applyBorder="1" applyAlignment="1">
      <alignment vertical="center"/>
    </xf>
    <xf numFmtId="173" fontId="37" fillId="0" borderId="17" xfId="0" applyNumberFormat="1" applyFont="1" applyBorder="1" applyAlignment="1">
      <alignment vertical="center"/>
    </xf>
    <xf numFmtId="172" fontId="37" fillId="0" borderId="17" xfId="0" applyNumberFormat="1" applyFont="1" applyBorder="1" applyAlignment="1">
      <alignment vertical="center"/>
    </xf>
    <xf numFmtId="172" fontId="37" fillId="0" borderId="18" xfId="0" applyNumberFormat="1" applyFont="1" applyBorder="1" applyAlignment="1">
      <alignment vertical="center"/>
    </xf>
    <xf numFmtId="172" fontId="35" fillId="0" borderId="0" xfId="0" applyNumberFormat="1" applyFont="1" applyBorder="1" applyAlignment="1">
      <alignment horizontal="center" vertical="center" wrapText="1"/>
    </xf>
    <xf numFmtId="0" fontId="37" fillId="0" borderId="0" xfId="0" applyFont="1" applyBorder="1" applyAlignment="1">
      <alignment vertical="center"/>
    </xf>
    <xf numFmtId="173" fontId="37" fillId="0" borderId="0" xfId="0" applyNumberFormat="1" applyFont="1" applyBorder="1" applyAlignment="1">
      <alignment vertical="center"/>
    </xf>
    <xf numFmtId="172" fontId="37" fillId="0" borderId="0" xfId="0" applyNumberFormat="1" applyFont="1" applyBorder="1" applyAlignment="1">
      <alignment vertical="center"/>
    </xf>
    <xf numFmtId="172" fontId="36" fillId="0" borderId="11" xfId="0" applyNumberFormat="1" applyFont="1" applyBorder="1" applyAlignment="1">
      <alignment vertical="center"/>
    </xf>
    <xf numFmtId="172" fontId="36" fillId="0" borderId="12" xfId="0" applyNumberFormat="1" applyFont="1" applyBorder="1" applyAlignment="1">
      <alignment vertical="center"/>
    </xf>
    <xf numFmtId="173" fontId="36" fillId="0" borderId="12" xfId="0" applyNumberFormat="1" applyFont="1" applyBorder="1" applyAlignment="1">
      <alignment vertical="center"/>
    </xf>
    <xf numFmtId="172" fontId="36" fillId="0" borderId="13" xfId="0" applyNumberFormat="1" applyFont="1" applyBorder="1" applyAlignment="1">
      <alignment vertical="center"/>
    </xf>
    <xf numFmtId="0" fontId="37" fillId="0" borderId="14" xfId="0" applyFont="1" applyBorder="1" applyAlignment="1">
      <alignment vertical="center"/>
    </xf>
    <xf numFmtId="172" fontId="37" fillId="0" borderId="15" xfId="0" applyNumberFormat="1" applyFont="1" applyBorder="1" applyAlignment="1">
      <alignment vertical="center"/>
    </xf>
  </cellXfs>
  <cellStyles count="4">
    <cellStyle name="Normal" xfId="0" builtinId="0"/>
    <cellStyle name="Normal 2" xfId="1" xr:uid="{5B3BCAAC-D7B5-4B57-BBDD-30DADEC1B9E7}"/>
    <cellStyle name="Normal 3" xfId="3" xr:uid="{A83099C1-A789-49B7-8928-E8AE09CD09FE}"/>
    <cellStyle name="Percent 2" xfId="2" xr:uid="{3C67A112-17AA-4A2B-ADD5-898B2345E6B0}"/>
  </cellStyles>
  <dxfs count="10">
    <dxf>
      <fill>
        <patternFill>
          <bgColor rgb="FFFFB7B7"/>
        </patternFill>
      </fill>
    </dxf>
    <dxf>
      <fill>
        <patternFill>
          <bgColor rgb="FFFFB7B7"/>
        </patternFill>
      </fill>
    </dxf>
    <dxf>
      <fill>
        <patternFill>
          <bgColor rgb="FFFFB7B7"/>
        </patternFill>
      </fill>
    </dxf>
    <dxf>
      <fill>
        <patternFill>
          <bgColor rgb="FFFFB7B7"/>
        </patternFill>
      </fill>
    </dxf>
    <dxf>
      <fill>
        <patternFill>
          <bgColor theme="9" tint="0.79998168889431442"/>
        </patternFill>
      </fill>
    </dxf>
    <dxf>
      <fill>
        <patternFill>
          <bgColor rgb="FFE9BBAF"/>
        </patternFill>
      </fill>
    </dxf>
    <dxf>
      <fill>
        <patternFill>
          <bgColor rgb="FFFFFFCC"/>
        </patternFill>
      </fill>
    </dxf>
    <dxf>
      <fill>
        <patternFill>
          <bgColor theme="9" tint="0.79998168889431442"/>
        </patternFill>
      </fill>
    </dxf>
    <dxf>
      <fill>
        <patternFill>
          <bgColor rgb="FFE9BBAF"/>
        </patternFill>
      </fill>
    </dxf>
    <dxf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E9BBA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cuments\Monthly%20Reports\2025%20Aug%20Reforecast\2025%20Reforecast%20Working%20Papers%20-%20V4RDa.xlsx" TargetMode="External"/><Relationship Id="rId1" Type="http://schemas.openxmlformats.org/officeDocument/2006/relationships/externalLinkPath" Target="/Users/User/Documents/Monthly%20Reports/2025%20Aug%20Reforecast/2025%20Reforecast%20Working%20Papers%20-%20V4RD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cuments\Monthly%20Reports\2025%20Aug%20Reforecast\2025%20Reforecast%20Working%20Papers%20-%20V5RD.xlsx" TargetMode="External"/><Relationship Id="rId1" Type="http://schemas.openxmlformats.org/officeDocument/2006/relationships/externalLinkPath" Target="/Users/User/Documents/Monthly%20Reports/2025%20Aug%20Reforecast/2025%20Reforecast%20Working%20Papers%20-%20V5RD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2024-12-18%20-%20Sanctura%20Business%20Plan_Final%20(1).xlsm" TargetMode="External"/><Relationship Id="rId1" Type="http://schemas.openxmlformats.org/officeDocument/2006/relationships/externalLinkPath" Target="https://capricorncapitalpartners.sharepoint.com/Users/User/Desktop/2024-12-18%20-%20Sanctura%20Business%20Plan_Final%20(1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Questions"/>
      <sheetName val="Comparison 1"/>
      <sheetName val="Comparison 2"/>
      <sheetName val="SA comparison"/>
      <sheetName val="CFF SA V1"/>
      <sheetName val="SA V2"/>
      <sheetName val="UK comparison "/>
      <sheetName val="SteerCo"/>
      <sheetName val="CFF UK V1"/>
      <sheetName val="UK V2"/>
      <sheetName val="UK V3"/>
      <sheetName val="UK V4"/>
      <sheetName val="Cashflow Graphs"/>
      <sheetName val="Protocol Interest"/>
      <sheetName val="Forecast Graphs"/>
      <sheetName val="Dev Agreement - Sch 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36">
          <cell r="E336">
            <v>275000</v>
          </cell>
        </row>
      </sheetData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Questions"/>
      <sheetName val="Comparison 1"/>
      <sheetName val="Comparison 2"/>
      <sheetName val="SA comparison"/>
      <sheetName val="CFF SA V1"/>
      <sheetName val="SA V2"/>
      <sheetName val="YTG cash"/>
      <sheetName val="UK comparison "/>
      <sheetName val="SteerCo"/>
      <sheetName val="CFF UK V1"/>
      <sheetName val="UK V2"/>
      <sheetName val="UK V3"/>
      <sheetName val="UK V4"/>
      <sheetName val="Cashflow Graphs"/>
      <sheetName val="Protocol Interest"/>
      <sheetName val="Forecast Graphs"/>
      <sheetName val="Dev Agreement - Sch 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D2">
            <v>22.509600000000002</v>
          </cell>
        </row>
        <row r="360">
          <cell r="I360">
            <v>-3680789.3028695695</v>
          </cell>
          <cell r="J360">
            <v>-508619.43199999956</v>
          </cell>
          <cell r="K360">
            <v>167980.92099999846</v>
          </cell>
          <cell r="L360">
            <v>-27519.323000000091</v>
          </cell>
          <cell r="M360">
            <v>-12689.013000000268</v>
          </cell>
          <cell r="N360">
            <v>-1039910.878</v>
          </cell>
          <cell r="O360">
            <v>-1352546.7879999999</v>
          </cell>
          <cell r="P360">
            <v>-150710.61564642866</v>
          </cell>
          <cell r="Q360">
            <v>-1065625.9716740898</v>
          </cell>
          <cell r="R360">
            <v>-53611.968433986185</v>
          </cell>
          <cell r="S360">
            <v>-53535.814062746707</v>
          </cell>
          <cell r="T360">
            <v>-321214.05313970917</v>
          </cell>
          <cell r="U360">
            <v>-1614.3331019161269</v>
          </cell>
          <cell r="V360">
            <v>-369257.16116227396</v>
          </cell>
          <cell r="W360">
            <v>121367.48232863005</v>
          </cell>
          <cell r="X360">
            <v>182986.22141683567</v>
          </cell>
          <cell r="Y360">
            <v>247312.31478145788</v>
          </cell>
          <cell r="Z360">
            <v>314489.04065068695</v>
          </cell>
          <cell r="AA360">
            <v>384668.574843348</v>
          </cell>
          <cell r="AB360">
            <v>458012.62524725636</v>
          </cell>
          <cell r="AC360">
            <v>534693.11712347716</v>
          </cell>
          <cell r="AD360">
            <v>610922.97669488937</v>
          </cell>
          <cell r="AE360">
            <v>657741.51882466581</v>
          </cell>
          <cell r="AF360">
            <v>706193.75949637685</v>
          </cell>
          <cell r="AG360">
            <v>-3038764.5984548982</v>
          </cell>
          <cell r="AH360">
            <v>683155.80276510352</v>
          </cell>
          <cell r="AI360">
            <v>736916.71187510761</v>
          </cell>
          <cell r="AJ360">
            <v>792593.35163807264</v>
          </cell>
          <cell r="AK360">
            <v>850264.33900776459</v>
          </cell>
          <cell r="AL360">
            <v>910011.84684402402</v>
          </cell>
          <cell r="AM360">
            <v>971921.77353877807</v>
          </cell>
          <cell r="AN360">
            <v>1036083.9209444197</v>
          </cell>
          <cell r="AO360">
            <v>1102592.1810157741</v>
          </cell>
          <cell r="AP360">
            <v>1171544.7315972531</v>
          </cell>
          <cell r="AQ360">
            <v>1243044.2418083302</v>
          </cell>
          <cell r="AR360">
            <v>1317198.0875030523</v>
          </cell>
          <cell r="AS360">
            <v>1268048.0717347451</v>
          </cell>
          <cell r="AT360">
            <v>1347852.6841593855</v>
          </cell>
          <cell r="AU360">
            <v>1430664.3164049932</v>
          </cell>
          <cell r="AV360">
            <v>1516611.5453488561</v>
          </cell>
          <cell r="AW360">
            <v>1605828.9013861432</v>
          </cell>
          <cell r="AX360">
            <v>1698457.1557358941</v>
          </cell>
          <cell r="AY360">
            <v>1794643.6218847595</v>
          </cell>
          <cell r="AZ360">
            <v>1894542.4718702636</v>
          </cell>
          <cell r="BA360">
            <v>1988125.1859985651</v>
          </cell>
          <cell r="BB360">
            <v>2084248.1825682307</v>
          </cell>
          <cell r="BC360">
            <v>2184298.3253746331</v>
          </cell>
          <cell r="BD360">
            <v>2288453.3992015924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acker"/>
      <sheetName val="CFF UK"/>
      <sheetName val="CFF SA"/>
      <sheetName val="Dev Agreement - Sch 4"/>
      <sheetName val="Comparison - Current vs July 24"/>
      <sheetName val="Capital Contribution"/>
      <sheetName val="Initial injection"/>
      <sheetName val="Pref share eg."/>
    </sheetNames>
    <sheetDataSet>
      <sheetData sheetId="0" refreshError="1"/>
      <sheetData sheetId="1" refreshError="1"/>
      <sheetData sheetId="2">
        <row r="2">
          <cell r="D2">
            <v>22.509600000000002</v>
          </cell>
        </row>
        <row r="166">
          <cell r="E166">
            <v>333334</v>
          </cell>
        </row>
        <row r="189">
          <cell r="E189">
            <v>125000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66F07-F6ED-4733-BAD8-36AE4C7E15C8}">
  <dimension ref="A1:W56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M34" sqref="M34"/>
    </sheetView>
  </sheetViews>
  <sheetFormatPr defaultRowHeight="11.4" x14ac:dyDescent="0.2"/>
  <cols>
    <col min="1" max="1" width="47.625" bestFit="1" customWidth="1"/>
    <col min="2" max="2" width="10.125" bestFit="1" customWidth="1"/>
    <col min="3" max="3" width="9.75" bestFit="1" customWidth="1"/>
    <col min="4" max="4" width="10" bestFit="1" customWidth="1"/>
    <col min="5" max="5" width="10.125" bestFit="1" customWidth="1"/>
    <col min="6" max="6" width="9.125" bestFit="1" customWidth="1"/>
    <col min="7" max="7" width="9.875" bestFit="1" customWidth="1"/>
    <col min="8" max="8" width="10.125" bestFit="1" customWidth="1"/>
    <col min="9" max="9" width="9.75" bestFit="1" customWidth="1"/>
    <col min="10" max="10" width="9.875" bestFit="1" customWidth="1"/>
    <col min="11" max="11" width="13" bestFit="1" customWidth="1"/>
    <col min="12" max="12" width="47.625" bestFit="1" customWidth="1"/>
    <col min="13" max="13" width="46.625" bestFit="1" customWidth="1"/>
    <col min="14" max="14" width="10.125" bestFit="1" customWidth="1"/>
    <col min="15" max="15" width="9.75" bestFit="1" customWidth="1"/>
    <col min="16" max="17" width="10.125" bestFit="1" customWidth="1"/>
    <col min="18" max="18" width="9.125" bestFit="1" customWidth="1"/>
    <col min="19" max="20" width="10.125" bestFit="1" customWidth="1"/>
    <col min="21" max="21" width="9.75" bestFit="1" customWidth="1"/>
    <col min="22" max="22" width="9.875" bestFit="1" customWidth="1"/>
    <col min="23" max="23" width="13" bestFit="1" customWidth="1"/>
  </cols>
  <sheetData>
    <row r="1" spans="1:23" ht="17.399999999999999" x14ac:dyDescent="0.2">
      <c r="A1" s="147" t="s">
        <v>251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80"/>
      <c r="M1" s="147" t="s">
        <v>251</v>
      </c>
      <c r="N1" s="147"/>
      <c r="O1" s="147"/>
      <c r="P1" s="147"/>
      <c r="Q1" s="147"/>
      <c r="R1" s="147"/>
      <c r="S1" s="147"/>
      <c r="T1" s="147"/>
      <c r="U1" s="147"/>
      <c r="V1" s="147"/>
      <c r="W1" s="147"/>
    </row>
    <row r="2" spans="1:23" ht="15" x14ac:dyDescent="0.2">
      <c r="A2" s="146" t="s">
        <v>202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79"/>
      <c r="M2" s="146" t="s">
        <v>252</v>
      </c>
      <c r="N2" s="146"/>
      <c r="O2" s="146"/>
      <c r="P2" s="146"/>
      <c r="Q2" s="146"/>
      <c r="R2" s="146"/>
      <c r="S2" s="146"/>
      <c r="T2" s="146"/>
      <c r="U2" s="146"/>
      <c r="V2" s="146"/>
      <c r="W2" s="146"/>
    </row>
    <row r="3" spans="1:23" ht="15" x14ac:dyDescent="0.2">
      <c r="A3" s="146" t="s">
        <v>435</v>
      </c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79"/>
      <c r="M3" s="146" t="s">
        <v>435</v>
      </c>
      <c r="N3" s="146"/>
      <c r="O3" s="146"/>
      <c r="P3" s="146"/>
      <c r="Q3" s="146"/>
      <c r="R3" s="146"/>
      <c r="S3" s="146"/>
      <c r="T3" s="146"/>
      <c r="U3" s="146"/>
      <c r="V3" s="146"/>
      <c r="W3" s="146"/>
    </row>
    <row r="5" spans="1:23" s="150" customFormat="1" ht="13.2" x14ac:dyDescent="0.2">
      <c r="A5" s="148" t="s">
        <v>7</v>
      </c>
      <c r="B5" s="148" t="s">
        <v>434</v>
      </c>
      <c r="C5" s="148" t="s">
        <v>264</v>
      </c>
      <c r="D5" s="148" t="s">
        <v>253</v>
      </c>
      <c r="E5" s="148" t="s">
        <v>254</v>
      </c>
      <c r="F5" s="148" t="s">
        <v>221</v>
      </c>
      <c r="G5" s="148" t="s">
        <v>218</v>
      </c>
      <c r="H5" s="148" t="s">
        <v>201</v>
      </c>
      <c r="I5" s="148" t="s">
        <v>200</v>
      </c>
      <c r="J5" s="148" t="s">
        <v>199</v>
      </c>
      <c r="K5" s="148" t="s">
        <v>198</v>
      </c>
      <c r="L5" s="149"/>
      <c r="M5" s="148" t="s">
        <v>7</v>
      </c>
      <c r="N5" s="148" t="s">
        <v>434</v>
      </c>
      <c r="O5" s="148" t="s">
        <v>264</v>
      </c>
      <c r="P5" s="148" t="s">
        <v>253</v>
      </c>
      <c r="Q5" s="148" t="s">
        <v>254</v>
      </c>
      <c r="R5" s="148" t="s">
        <v>221</v>
      </c>
      <c r="S5" s="148" t="s">
        <v>218</v>
      </c>
      <c r="T5" s="148" t="s">
        <v>201</v>
      </c>
      <c r="U5" s="148" t="s">
        <v>200</v>
      </c>
      <c r="V5" s="148" t="s">
        <v>199</v>
      </c>
      <c r="W5" s="148" t="s">
        <v>198</v>
      </c>
    </row>
    <row r="7" spans="1:23" ht="13.2" x14ac:dyDescent="0.2">
      <c r="A7" s="145" t="s">
        <v>8</v>
      </c>
      <c r="B7" s="145"/>
      <c r="C7" s="145"/>
      <c r="D7" s="145"/>
      <c r="E7" s="145"/>
      <c r="F7" s="145"/>
      <c r="G7" s="145"/>
      <c r="H7" s="145"/>
      <c r="I7" s="145"/>
      <c r="J7" s="145"/>
      <c r="K7" s="145"/>
      <c r="L7" s="78"/>
      <c r="M7" s="145" t="s">
        <v>8</v>
      </c>
      <c r="N7" s="145"/>
      <c r="O7" s="145"/>
      <c r="P7" s="145"/>
      <c r="Q7" s="145"/>
      <c r="R7" s="145"/>
      <c r="S7" s="145"/>
      <c r="T7" s="145"/>
      <c r="U7" s="145"/>
      <c r="V7" s="145"/>
      <c r="W7" s="145"/>
    </row>
    <row r="8" spans="1:23" x14ac:dyDescent="0.2">
      <c r="A8" s="75" t="s">
        <v>9</v>
      </c>
      <c r="B8" s="74">
        <v>297.19</v>
      </c>
      <c r="C8" s="74">
        <v>225.96</v>
      </c>
      <c r="D8" s="74">
        <v>223.83</v>
      </c>
      <c r="E8" s="74">
        <v>325.99</v>
      </c>
      <c r="F8" s="74">
        <v>309.61</v>
      </c>
      <c r="G8" s="74">
        <v>233.47</v>
      </c>
      <c r="H8" s="74">
        <v>491.36</v>
      </c>
      <c r="I8" s="74">
        <v>606.07000000000005</v>
      </c>
      <c r="J8" s="74">
        <v>885.1</v>
      </c>
      <c r="K8" s="74">
        <v>3598.58</v>
      </c>
      <c r="L8" s="75"/>
      <c r="M8" s="75" t="s">
        <v>9</v>
      </c>
      <c r="N8" s="74">
        <v>749.63</v>
      </c>
      <c r="O8" s="74">
        <v>2033.49</v>
      </c>
      <c r="P8" s="74">
        <v>249.61</v>
      </c>
      <c r="Q8" s="74">
        <v>1033.9000000000001</v>
      </c>
      <c r="R8" s="74">
        <v>1079.76</v>
      </c>
      <c r="S8" s="74">
        <v>2521.63</v>
      </c>
      <c r="T8" s="74">
        <v>2816.02</v>
      </c>
      <c r="U8" s="74">
        <v>2758.93</v>
      </c>
      <c r="V8" s="74">
        <v>3079.45</v>
      </c>
      <c r="W8" s="74">
        <v>16322.42</v>
      </c>
    </row>
    <row r="9" spans="1:23" x14ac:dyDescent="0.2">
      <c r="A9" s="73" t="s">
        <v>219</v>
      </c>
      <c r="B9" s="72">
        <v>226590.89</v>
      </c>
      <c r="C9" s="72">
        <v>227857.39</v>
      </c>
      <c r="D9" s="72">
        <v>232162.92</v>
      </c>
      <c r="E9" s="72">
        <v>715957.99</v>
      </c>
      <c r="F9" s="72">
        <v>0</v>
      </c>
      <c r="G9" s="72">
        <v>0</v>
      </c>
      <c r="H9" s="72">
        <v>673482.97</v>
      </c>
      <c r="I9" s="72">
        <v>0</v>
      </c>
      <c r="J9" s="72">
        <v>0</v>
      </c>
      <c r="K9" s="72">
        <v>2076052.16</v>
      </c>
      <c r="L9" s="73"/>
      <c r="M9" s="73" t="s">
        <v>10</v>
      </c>
      <c r="N9" s="72">
        <v>1092297.51</v>
      </c>
      <c r="O9" s="72">
        <v>1700808.71</v>
      </c>
      <c r="P9" s="72">
        <v>1506601.25</v>
      </c>
      <c r="Q9" s="72">
        <v>1457440.18</v>
      </c>
      <c r="R9" s="72">
        <v>1756178.43</v>
      </c>
      <c r="S9" s="72">
        <v>1600736.81</v>
      </c>
      <c r="T9" s="72">
        <v>2363910.69</v>
      </c>
      <c r="U9" s="72">
        <v>2257106.5299999998</v>
      </c>
      <c r="V9" s="72">
        <v>2345295.33</v>
      </c>
      <c r="W9" s="72">
        <v>16080375.439999999</v>
      </c>
    </row>
    <row r="10" spans="1:23" ht="12" x14ac:dyDescent="0.2">
      <c r="A10" s="73" t="s">
        <v>10</v>
      </c>
      <c r="B10" s="72">
        <v>1571884.9</v>
      </c>
      <c r="C10" s="72">
        <v>1830943.76</v>
      </c>
      <c r="D10" s="72">
        <v>1841449.67</v>
      </c>
      <c r="E10" s="72">
        <v>1842120.91</v>
      </c>
      <c r="F10" s="72">
        <v>1867678.98</v>
      </c>
      <c r="G10" s="72">
        <v>1590706.24</v>
      </c>
      <c r="H10" s="72">
        <v>1611732.3</v>
      </c>
      <c r="I10" s="72">
        <v>1878388.36</v>
      </c>
      <c r="J10" s="72">
        <v>1423966.77</v>
      </c>
      <c r="K10" s="72">
        <v>15458871.890000001</v>
      </c>
      <c r="L10" s="73"/>
      <c r="M10" s="144" t="s">
        <v>11</v>
      </c>
      <c r="N10" s="143">
        <f>SUM(N8:N9)</f>
        <v>1093047.1399999999</v>
      </c>
      <c r="O10" s="143">
        <f>SUM(O8:O9)</f>
        <v>1702842.2</v>
      </c>
      <c r="P10" s="143">
        <f>SUM(P8:P9)</f>
        <v>1506850.86</v>
      </c>
      <c r="Q10" s="143">
        <f>SUM(Q8:Q9)</f>
        <v>1458474.0799999998</v>
      </c>
      <c r="R10" s="143">
        <f>SUM(R8:R9)</f>
        <v>1757258.19</v>
      </c>
      <c r="S10" s="143">
        <f>SUM(S8:S9)</f>
        <v>1603258.44</v>
      </c>
      <c r="T10" s="143">
        <f>SUM(T8:T9)</f>
        <v>2366726.71</v>
      </c>
      <c r="U10" s="143">
        <f>SUM(U8:U9)</f>
        <v>2259865.46</v>
      </c>
      <c r="V10" s="143">
        <f>SUM(V8:V9)</f>
        <v>2348374.7800000003</v>
      </c>
      <c r="W10" s="143">
        <f>SUM(W8:W9)</f>
        <v>16096697.859999999</v>
      </c>
    </row>
    <row r="11" spans="1:23" ht="12" x14ac:dyDescent="0.2">
      <c r="A11" s="144" t="s">
        <v>11</v>
      </c>
      <c r="B11" s="143">
        <f>SUM(B8:B10)</f>
        <v>1798772.98</v>
      </c>
      <c r="C11" s="143">
        <f>SUM(C8:C10)</f>
        <v>2059027.11</v>
      </c>
      <c r="D11" s="143">
        <f>SUM(D8:D10)</f>
        <v>2073836.42</v>
      </c>
      <c r="E11" s="143">
        <f>SUM(E8:E10)</f>
        <v>2558404.8899999997</v>
      </c>
      <c r="F11" s="143">
        <f>SUM(F8:F10)</f>
        <v>1867988.59</v>
      </c>
      <c r="G11" s="143">
        <f>SUM(G8:G10)</f>
        <v>1590939.71</v>
      </c>
      <c r="H11" s="143">
        <f>SUM(H8:H10)</f>
        <v>2285706.63</v>
      </c>
      <c r="I11" s="143">
        <f>SUM(I8:I10)</f>
        <v>1878994.4300000002</v>
      </c>
      <c r="J11" s="143">
        <f>SUM(J8:J10)</f>
        <v>1424851.87</v>
      </c>
      <c r="K11" s="143">
        <f>SUM(K8:K10)</f>
        <v>17538522.629999999</v>
      </c>
      <c r="L11" s="73"/>
    </row>
    <row r="12" spans="1:23" ht="13.2" x14ac:dyDescent="0.2">
      <c r="L12" s="73"/>
      <c r="M12" s="145" t="s">
        <v>12</v>
      </c>
      <c r="N12" s="145"/>
      <c r="O12" s="145"/>
      <c r="P12" s="145"/>
      <c r="Q12" s="145"/>
      <c r="R12" s="145"/>
      <c r="S12" s="145"/>
      <c r="T12" s="145"/>
      <c r="U12" s="145"/>
      <c r="V12" s="145"/>
      <c r="W12" s="145"/>
    </row>
    <row r="13" spans="1:23" ht="13.2" x14ac:dyDescent="0.2">
      <c r="A13" s="145" t="s">
        <v>12</v>
      </c>
      <c r="B13" s="145"/>
      <c r="C13" s="145"/>
      <c r="D13" s="145"/>
      <c r="E13" s="145"/>
      <c r="F13" s="145"/>
      <c r="G13" s="145"/>
      <c r="H13" s="145"/>
      <c r="I13" s="145"/>
      <c r="J13" s="145"/>
      <c r="K13" s="145"/>
      <c r="L13" s="73"/>
      <c r="M13" s="75" t="s">
        <v>13</v>
      </c>
      <c r="N13" s="74">
        <v>418076.09</v>
      </c>
      <c r="O13" s="74">
        <v>576951.25</v>
      </c>
      <c r="P13" s="74">
        <v>919714.77</v>
      </c>
      <c r="Q13" s="74">
        <v>1003861.15</v>
      </c>
      <c r="R13" s="74">
        <v>771216.25</v>
      </c>
      <c r="S13" s="74">
        <v>957081.16</v>
      </c>
      <c r="T13" s="74">
        <v>1337865.42</v>
      </c>
      <c r="U13" s="74">
        <v>876007.6</v>
      </c>
      <c r="V13" s="74">
        <v>150446.69</v>
      </c>
      <c r="W13" s="74">
        <v>7011220.3799999999</v>
      </c>
    </row>
    <row r="14" spans="1:23" ht="12" x14ac:dyDescent="0.2">
      <c r="A14" s="75" t="s">
        <v>13</v>
      </c>
      <c r="B14" s="74">
        <v>138381.17000000001</v>
      </c>
      <c r="C14" s="74">
        <v>145285.23000000001</v>
      </c>
      <c r="D14" s="74">
        <v>118177.22</v>
      </c>
      <c r="E14" s="74">
        <v>110366.18</v>
      </c>
      <c r="F14" s="74">
        <v>155657.07</v>
      </c>
      <c r="G14" s="74">
        <v>138604.73000000001</v>
      </c>
      <c r="H14" s="74">
        <v>191313.04</v>
      </c>
      <c r="I14" s="74">
        <v>291245.53000000003</v>
      </c>
      <c r="J14" s="74">
        <v>556561.65</v>
      </c>
      <c r="K14" s="74">
        <v>1845591.82</v>
      </c>
      <c r="L14" s="73"/>
      <c r="M14" s="144" t="s">
        <v>14</v>
      </c>
      <c r="N14" s="143">
        <f>N13</f>
        <v>418076.09</v>
      </c>
      <c r="O14" s="143">
        <f>O13</f>
        <v>576951.25</v>
      </c>
      <c r="P14" s="143">
        <f>P13</f>
        <v>919714.77</v>
      </c>
      <c r="Q14" s="143">
        <f>Q13</f>
        <v>1003861.15</v>
      </c>
      <c r="R14" s="143">
        <f>R13</f>
        <v>771216.25</v>
      </c>
      <c r="S14" s="143">
        <f>S13</f>
        <v>957081.16</v>
      </c>
      <c r="T14" s="143">
        <f>T13</f>
        <v>1337865.42</v>
      </c>
      <c r="U14" s="143">
        <f>U13</f>
        <v>876007.6</v>
      </c>
      <c r="V14" s="143">
        <f>V13</f>
        <v>150446.69</v>
      </c>
      <c r="W14" s="143">
        <f>W13</f>
        <v>7011220.3799999999</v>
      </c>
    </row>
    <row r="15" spans="1:23" ht="12" x14ac:dyDescent="0.2">
      <c r="A15" s="144" t="s">
        <v>14</v>
      </c>
      <c r="B15" s="143">
        <f>B14</f>
        <v>138381.17000000001</v>
      </c>
      <c r="C15" s="143">
        <f>C14</f>
        <v>145285.23000000001</v>
      </c>
      <c r="D15" s="143">
        <f>D14</f>
        <v>118177.22</v>
      </c>
      <c r="E15" s="143">
        <f>E14</f>
        <v>110366.18</v>
      </c>
      <c r="F15" s="143">
        <f>F14</f>
        <v>155657.07</v>
      </c>
      <c r="G15" s="143">
        <f>G14</f>
        <v>138604.73000000001</v>
      </c>
      <c r="H15" s="143">
        <f>H14</f>
        <v>191313.04</v>
      </c>
      <c r="I15" s="143">
        <f>I14</f>
        <v>291245.53000000003</v>
      </c>
      <c r="J15" s="143">
        <f>J14</f>
        <v>556561.65</v>
      </c>
      <c r="K15" s="143">
        <f>K14</f>
        <v>1845591.82</v>
      </c>
      <c r="L15" s="73"/>
    </row>
    <row r="16" spans="1:23" ht="12" x14ac:dyDescent="0.2">
      <c r="L16" s="73"/>
      <c r="M16" s="142" t="s">
        <v>15</v>
      </c>
      <c r="N16" s="141">
        <f>(N10 - N14)</f>
        <v>674971.04999999981</v>
      </c>
      <c r="O16" s="141">
        <f>(O10 - O14)</f>
        <v>1125890.95</v>
      </c>
      <c r="P16" s="141">
        <f>(P10 - P14)</f>
        <v>587136.09000000008</v>
      </c>
      <c r="Q16" s="141">
        <f>(Q10 - Q14)</f>
        <v>454612.92999999982</v>
      </c>
      <c r="R16" s="141">
        <f>(R10 - R14)</f>
        <v>986041.94</v>
      </c>
      <c r="S16" s="141">
        <f>(S10 - S14)</f>
        <v>646177.27999999991</v>
      </c>
      <c r="T16" s="141">
        <f>(T10 - T14)</f>
        <v>1028861.29</v>
      </c>
      <c r="U16" s="141">
        <f>(U10 - U14)</f>
        <v>1383857.8599999999</v>
      </c>
      <c r="V16" s="141">
        <f>(V10 - V14)</f>
        <v>2197928.0900000003</v>
      </c>
      <c r="W16" s="141">
        <f>(W10 - W14)</f>
        <v>9085477.4800000004</v>
      </c>
    </row>
    <row r="17" spans="1:23" ht="12" x14ac:dyDescent="0.2">
      <c r="A17" s="142" t="s">
        <v>15</v>
      </c>
      <c r="B17" s="141">
        <f>(B11 - B15)</f>
        <v>1660391.81</v>
      </c>
      <c r="C17" s="141">
        <f>(C11 - C15)</f>
        <v>1913741.8800000001</v>
      </c>
      <c r="D17" s="141">
        <f>(D11 - D15)</f>
        <v>1955659.2</v>
      </c>
      <c r="E17" s="141">
        <f>(E11 - E15)</f>
        <v>2448038.7099999995</v>
      </c>
      <c r="F17" s="141">
        <f>(F11 - F15)</f>
        <v>1712331.52</v>
      </c>
      <c r="G17" s="141">
        <f>(G11 - G15)</f>
        <v>1452334.98</v>
      </c>
      <c r="H17" s="141">
        <f>(H11 - H15)</f>
        <v>2094393.5899999999</v>
      </c>
      <c r="I17" s="141">
        <f>(I11 - I15)</f>
        <v>1587748.9000000001</v>
      </c>
      <c r="J17" s="141">
        <f>(J11 - J15)</f>
        <v>868290.22000000009</v>
      </c>
      <c r="K17" s="141">
        <f>(K11 - K15)</f>
        <v>15692930.809999999</v>
      </c>
      <c r="L17" s="73"/>
    </row>
    <row r="18" spans="1:23" ht="13.2" x14ac:dyDescent="0.2">
      <c r="L18" s="73"/>
      <c r="M18" s="145" t="s">
        <v>16</v>
      </c>
      <c r="N18" s="152"/>
      <c r="O18" s="145"/>
      <c r="P18" s="145"/>
      <c r="Q18" s="145"/>
      <c r="R18" s="145"/>
      <c r="S18" s="145"/>
      <c r="T18" s="145"/>
      <c r="U18" s="145"/>
      <c r="V18" s="145"/>
      <c r="W18" s="145"/>
    </row>
    <row r="19" spans="1:23" ht="13.2" x14ac:dyDescent="0.2">
      <c r="A19" s="145" t="s">
        <v>16</v>
      </c>
      <c r="B19" s="145"/>
      <c r="C19" s="145"/>
      <c r="D19" s="145"/>
      <c r="E19" s="145"/>
      <c r="F19" s="145"/>
      <c r="G19" s="145"/>
      <c r="H19" s="145"/>
      <c r="I19" s="145"/>
      <c r="J19" s="145"/>
      <c r="K19" s="145"/>
      <c r="L19" s="73"/>
      <c r="M19" s="75" t="s">
        <v>17</v>
      </c>
      <c r="N19" s="86">
        <v>125000</v>
      </c>
      <c r="O19" s="74">
        <v>125000</v>
      </c>
      <c r="P19" s="74">
        <v>125000</v>
      </c>
      <c r="Q19" s="74">
        <v>125000</v>
      </c>
      <c r="R19" s="74">
        <v>125000</v>
      </c>
      <c r="S19" s="74">
        <v>125000</v>
      </c>
      <c r="T19" s="74">
        <v>125000</v>
      </c>
      <c r="U19" s="74">
        <v>125000</v>
      </c>
      <c r="V19" s="74">
        <v>125000</v>
      </c>
      <c r="W19" s="86">
        <v>1125000</v>
      </c>
    </row>
    <row r="20" spans="1:23" x14ac:dyDescent="0.2">
      <c r="A20" s="75" t="s">
        <v>17</v>
      </c>
      <c r="B20" s="86">
        <v>53660.37</v>
      </c>
      <c r="C20" s="74">
        <v>98096.95</v>
      </c>
      <c r="D20" s="74">
        <v>76471.72</v>
      </c>
      <c r="E20" s="74">
        <v>85156.51</v>
      </c>
      <c r="F20" s="74">
        <v>79744.11</v>
      </c>
      <c r="G20" s="74">
        <v>76913.58</v>
      </c>
      <c r="H20" s="74">
        <v>124981.47</v>
      </c>
      <c r="I20" s="74">
        <v>61843.83</v>
      </c>
      <c r="J20" s="74">
        <v>96761</v>
      </c>
      <c r="K20" s="86">
        <v>753629.54</v>
      </c>
      <c r="L20" s="73"/>
      <c r="M20" s="73" t="s">
        <v>18</v>
      </c>
      <c r="N20" s="76">
        <v>24925.86</v>
      </c>
      <c r="O20" s="72">
        <v>17946.57</v>
      </c>
      <c r="P20" s="72">
        <v>23125.82</v>
      </c>
      <c r="Q20" s="72">
        <v>13750.99</v>
      </c>
      <c r="R20" s="72">
        <v>22209.27</v>
      </c>
      <c r="S20" s="72">
        <v>29420.87</v>
      </c>
      <c r="T20" s="72">
        <v>25394.76</v>
      </c>
      <c r="U20" s="72">
        <v>40612.19</v>
      </c>
      <c r="V20" s="72">
        <v>35453.589999999997</v>
      </c>
      <c r="W20" s="76">
        <v>232839.92</v>
      </c>
    </row>
    <row r="21" spans="1:23" x14ac:dyDescent="0.2">
      <c r="A21" s="73" t="s">
        <v>18</v>
      </c>
      <c r="B21" s="76">
        <v>1422.69</v>
      </c>
      <c r="C21" s="72">
        <v>773.79</v>
      </c>
      <c r="D21" s="72">
        <v>1688.74</v>
      </c>
      <c r="E21" s="72">
        <v>1705.1</v>
      </c>
      <c r="F21" s="72">
        <v>1801.35</v>
      </c>
      <c r="G21" s="72">
        <v>1958.28</v>
      </c>
      <c r="H21" s="72">
        <v>1407.04</v>
      </c>
      <c r="I21" s="72">
        <v>2097.87</v>
      </c>
      <c r="J21" s="72">
        <v>713.4</v>
      </c>
      <c r="K21" s="76">
        <v>13568.26</v>
      </c>
      <c r="L21" s="73"/>
      <c r="M21" s="73" t="s">
        <v>20</v>
      </c>
      <c r="N21" s="76">
        <v>18934.87</v>
      </c>
      <c r="O21" s="72">
        <v>25543.65</v>
      </c>
      <c r="P21" s="72">
        <v>23416.31</v>
      </c>
      <c r="Q21" s="72">
        <v>36128.42</v>
      </c>
      <c r="R21" s="72">
        <v>17464.25</v>
      </c>
      <c r="S21" s="72">
        <v>7346.11</v>
      </c>
      <c r="T21" s="72">
        <v>15429.66</v>
      </c>
      <c r="U21" s="72">
        <v>21968.14</v>
      </c>
      <c r="V21" s="72">
        <v>31499.63</v>
      </c>
      <c r="W21" s="76">
        <v>197731.04</v>
      </c>
    </row>
    <row r="22" spans="1:23" x14ac:dyDescent="0.2">
      <c r="A22" s="73" t="s">
        <v>19</v>
      </c>
      <c r="B22" s="76">
        <v>0</v>
      </c>
      <c r="C22" s="72">
        <v>0</v>
      </c>
      <c r="D22" s="72">
        <v>0</v>
      </c>
      <c r="E22" s="72">
        <v>0</v>
      </c>
      <c r="F22" s="72">
        <v>2000</v>
      </c>
      <c r="G22" s="72">
        <v>0</v>
      </c>
      <c r="H22" s="72">
        <v>0</v>
      </c>
      <c r="I22" s="72">
        <v>18806.54</v>
      </c>
      <c r="J22" s="72">
        <v>24000</v>
      </c>
      <c r="K22" s="76">
        <v>44806.54</v>
      </c>
      <c r="L22" s="73"/>
      <c r="M22" s="73" t="s">
        <v>21</v>
      </c>
      <c r="N22" s="76">
        <v>125000</v>
      </c>
      <c r="O22" s="72">
        <v>132438.32</v>
      </c>
      <c r="P22" s="72">
        <v>139348.09</v>
      </c>
      <c r="Q22" s="72">
        <v>165384.62</v>
      </c>
      <c r="R22" s="72">
        <v>0</v>
      </c>
      <c r="S22" s="72">
        <v>4400</v>
      </c>
      <c r="T22" s="72">
        <v>5400</v>
      </c>
      <c r="U22" s="72">
        <v>8100</v>
      </c>
      <c r="V22" s="72">
        <v>0</v>
      </c>
      <c r="W22" s="76">
        <v>580071.03</v>
      </c>
    </row>
    <row r="23" spans="1:23" x14ac:dyDescent="0.2">
      <c r="A23" s="73" t="s">
        <v>20</v>
      </c>
      <c r="B23" s="76">
        <v>2550.2199999999998</v>
      </c>
      <c r="C23" s="72">
        <v>14706.18</v>
      </c>
      <c r="D23" s="72">
        <v>11153.76</v>
      </c>
      <c r="E23" s="72">
        <v>12754.31</v>
      </c>
      <c r="F23" s="72">
        <v>8488.7900000000009</v>
      </c>
      <c r="G23" s="72">
        <v>9645.7000000000007</v>
      </c>
      <c r="H23" s="72">
        <v>9122.58</v>
      </c>
      <c r="I23" s="72">
        <v>20457.150000000001</v>
      </c>
      <c r="J23" s="72">
        <v>7152.99</v>
      </c>
      <c r="K23" s="76">
        <v>96031.679999999993</v>
      </c>
      <c r="L23" s="73"/>
      <c r="M23" s="73" t="s">
        <v>154</v>
      </c>
      <c r="N23" s="76">
        <v>26979.19</v>
      </c>
      <c r="O23" s="72">
        <v>27018.34</v>
      </c>
      <c r="P23" s="72">
        <v>26979.18</v>
      </c>
      <c r="Q23" s="72">
        <v>27018.33</v>
      </c>
      <c r="R23" s="72">
        <v>27018.29</v>
      </c>
      <c r="S23" s="72">
        <v>26979.22</v>
      </c>
      <c r="T23" s="72">
        <v>27018.32</v>
      </c>
      <c r="U23" s="72">
        <v>26979.18</v>
      </c>
      <c r="V23" s="72">
        <v>27018.32</v>
      </c>
      <c r="W23" s="76">
        <v>243008.37</v>
      </c>
    </row>
    <row r="24" spans="1:23" x14ac:dyDescent="0.2">
      <c r="A24" s="73" t="s">
        <v>21</v>
      </c>
      <c r="B24" s="76">
        <v>22945</v>
      </c>
      <c r="C24" s="72">
        <v>23950.39</v>
      </c>
      <c r="D24" s="72">
        <v>9542</v>
      </c>
      <c r="E24" s="72">
        <v>9542</v>
      </c>
      <c r="F24" s="72">
        <v>31669.5</v>
      </c>
      <c r="G24" s="72">
        <v>10571.25</v>
      </c>
      <c r="H24" s="72">
        <v>9542</v>
      </c>
      <c r="I24" s="72">
        <v>9542</v>
      </c>
      <c r="J24" s="72">
        <v>11094.5</v>
      </c>
      <c r="K24" s="76">
        <v>138398.64000000001</v>
      </c>
      <c r="L24" s="73"/>
      <c r="M24" s="73" t="s">
        <v>23</v>
      </c>
      <c r="N24" s="76">
        <v>34962.81</v>
      </c>
      <c r="O24" s="72">
        <v>34962.81</v>
      </c>
      <c r="P24" s="72">
        <v>34962.81</v>
      </c>
      <c r="Q24" s="72">
        <v>51236.87</v>
      </c>
      <c r="R24" s="72">
        <v>18688.75</v>
      </c>
      <c r="S24" s="72">
        <v>18682.66</v>
      </c>
      <c r="T24" s="72">
        <v>18682.66</v>
      </c>
      <c r="U24" s="72">
        <v>18682.66</v>
      </c>
      <c r="V24" s="72">
        <v>18682.66</v>
      </c>
      <c r="W24" s="76">
        <v>249544.69</v>
      </c>
    </row>
    <row r="25" spans="1:23" x14ac:dyDescent="0.2">
      <c r="A25" s="73" t="s">
        <v>154</v>
      </c>
      <c r="B25" s="76">
        <v>277684.38</v>
      </c>
      <c r="C25" s="72">
        <v>277684.36</v>
      </c>
      <c r="D25" s="72">
        <v>277684.32</v>
      </c>
      <c r="E25" s="72">
        <v>277684.31</v>
      </c>
      <c r="F25" s="72">
        <v>277746.87</v>
      </c>
      <c r="G25" s="72">
        <v>277749.46999999997</v>
      </c>
      <c r="H25" s="72">
        <v>277749.46999999997</v>
      </c>
      <c r="I25" s="72">
        <v>277749.52</v>
      </c>
      <c r="J25" s="72">
        <v>277749.45</v>
      </c>
      <c r="K25" s="76">
        <v>2499482.15</v>
      </c>
      <c r="L25" s="73"/>
      <c r="M25" s="73" t="s">
        <v>212</v>
      </c>
      <c r="N25" s="76">
        <v>29636.09</v>
      </c>
      <c r="O25" s="72">
        <v>0</v>
      </c>
      <c r="P25" s="72">
        <v>19735.84</v>
      </c>
      <c r="Q25" s="72">
        <v>0</v>
      </c>
      <c r="R25" s="72">
        <v>0</v>
      </c>
      <c r="S25" s="72">
        <v>23050.61</v>
      </c>
      <c r="T25" s="72">
        <v>34040.31</v>
      </c>
      <c r="U25" s="72">
        <v>32502.33</v>
      </c>
      <c r="V25" s="72">
        <v>33772.25</v>
      </c>
      <c r="W25" s="76">
        <v>172737.43</v>
      </c>
    </row>
    <row r="26" spans="1:23" x14ac:dyDescent="0.2">
      <c r="A26" s="73" t="s">
        <v>155</v>
      </c>
      <c r="B26" s="76">
        <v>0</v>
      </c>
      <c r="C26" s="72">
        <v>0</v>
      </c>
      <c r="D26" s="72">
        <v>0</v>
      </c>
      <c r="E26" s="72">
        <v>0</v>
      </c>
      <c r="F26" s="72">
        <v>0</v>
      </c>
      <c r="G26" s="72">
        <v>7000</v>
      </c>
      <c r="H26" s="72">
        <v>0</v>
      </c>
      <c r="I26" s="72">
        <v>0</v>
      </c>
      <c r="J26" s="72">
        <v>0</v>
      </c>
      <c r="K26" s="76">
        <v>7000</v>
      </c>
      <c r="L26" s="73"/>
      <c r="M26" s="73" t="s">
        <v>255</v>
      </c>
      <c r="N26" s="76">
        <v>10000</v>
      </c>
      <c r="O26" s="72">
        <v>0</v>
      </c>
      <c r="P26" s="72">
        <v>10000</v>
      </c>
      <c r="Q26" s="72">
        <v>0</v>
      </c>
      <c r="R26" s="72">
        <v>0</v>
      </c>
      <c r="S26" s="72">
        <v>30000</v>
      </c>
      <c r="T26" s="72">
        <v>30000</v>
      </c>
      <c r="U26" s="72">
        <v>30000</v>
      </c>
      <c r="V26" s="72">
        <v>30000</v>
      </c>
      <c r="W26" s="76">
        <v>140000</v>
      </c>
    </row>
    <row r="27" spans="1:23" x14ac:dyDescent="0.2">
      <c r="A27" s="73" t="s">
        <v>24</v>
      </c>
      <c r="B27" s="76">
        <v>0</v>
      </c>
      <c r="C27" s="72">
        <v>0</v>
      </c>
      <c r="D27" s="72">
        <v>0</v>
      </c>
      <c r="E27" s="72">
        <v>0</v>
      </c>
      <c r="F27" s="72">
        <v>0</v>
      </c>
      <c r="G27" s="72">
        <v>0</v>
      </c>
      <c r="H27" s="72">
        <v>0</v>
      </c>
      <c r="I27" s="72">
        <v>4561.88</v>
      </c>
      <c r="J27" s="72">
        <v>2108.34</v>
      </c>
      <c r="K27" s="76">
        <v>6670.22</v>
      </c>
      <c r="L27" s="73"/>
      <c r="M27" s="73" t="s">
        <v>256</v>
      </c>
      <c r="N27" s="76">
        <v>29636.09</v>
      </c>
      <c r="O27" s="72">
        <v>0</v>
      </c>
      <c r="P27" s="72">
        <v>40445.360000000001</v>
      </c>
      <c r="Q27" s="72">
        <v>0</v>
      </c>
      <c r="R27" s="72">
        <v>0</v>
      </c>
      <c r="S27" s="72">
        <v>72033.16</v>
      </c>
      <c r="T27" s="72">
        <v>106375.98</v>
      </c>
      <c r="U27" s="72">
        <v>101569.79</v>
      </c>
      <c r="V27" s="72">
        <v>105538.29</v>
      </c>
      <c r="W27" s="76">
        <v>455598.67</v>
      </c>
    </row>
    <row r="28" spans="1:23" x14ac:dyDescent="0.2">
      <c r="A28" s="73" t="s">
        <v>25</v>
      </c>
      <c r="B28" s="76">
        <v>0</v>
      </c>
      <c r="C28" s="72">
        <v>1122.52</v>
      </c>
      <c r="D28" s="72">
        <v>10182.120000000001</v>
      </c>
      <c r="E28" s="72">
        <v>7514.72</v>
      </c>
      <c r="F28" s="72">
        <v>812.49</v>
      </c>
      <c r="G28" s="72">
        <v>633.66</v>
      </c>
      <c r="H28" s="72">
        <v>807.32</v>
      </c>
      <c r="I28" s="72">
        <v>6566.54</v>
      </c>
      <c r="J28" s="72">
        <v>1980.9</v>
      </c>
      <c r="K28" s="76">
        <v>29620.27</v>
      </c>
      <c r="L28" s="73"/>
      <c r="M28" s="73" t="s">
        <v>257</v>
      </c>
      <c r="N28" s="76">
        <v>29636.09</v>
      </c>
      <c r="O28" s="72">
        <v>0</v>
      </c>
      <c r="P28" s="72">
        <v>67030.91</v>
      </c>
      <c r="Q28" s="72">
        <v>0</v>
      </c>
      <c r="R28" s="72">
        <v>0</v>
      </c>
      <c r="S28" s="72">
        <v>108049.73</v>
      </c>
      <c r="T28" s="72">
        <v>159563.97</v>
      </c>
      <c r="U28" s="72">
        <v>152354.69</v>
      </c>
      <c r="V28" s="72">
        <v>158307.43</v>
      </c>
      <c r="W28" s="76">
        <v>674942.82</v>
      </c>
    </row>
    <row r="29" spans="1:23" x14ac:dyDescent="0.2">
      <c r="A29" s="73" t="s">
        <v>26</v>
      </c>
      <c r="B29" s="76">
        <v>3477.39</v>
      </c>
      <c r="C29" s="72">
        <v>0</v>
      </c>
      <c r="D29" s="72">
        <v>0</v>
      </c>
      <c r="E29" s="72">
        <v>0</v>
      </c>
      <c r="F29" s="72">
        <v>0</v>
      </c>
      <c r="G29" s="72">
        <v>0</v>
      </c>
      <c r="H29" s="72">
        <v>0</v>
      </c>
      <c r="I29" s="72">
        <v>0</v>
      </c>
      <c r="J29" s="72">
        <v>10004</v>
      </c>
      <c r="K29" s="76">
        <v>13481.39</v>
      </c>
      <c r="L29" s="73"/>
      <c r="M29" s="73" t="s">
        <v>258</v>
      </c>
      <c r="N29" s="76">
        <v>29636.09</v>
      </c>
      <c r="O29" s="72">
        <v>0</v>
      </c>
      <c r="P29" s="72">
        <v>21373.81</v>
      </c>
      <c r="Q29" s="72">
        <v>0</v>
      </c>
      <c r="R29" s="72">
        <v>0</v>
      </c>
      <c r="S29" s="72">
        <v>36016.58</v>
      </c>
      <c r="T29" s="72">
        <v>53187.99</v>
      </c>
      <c r="U29" s="72">
        <v>50784.9</v>
      </c>
      <c r="V29" s="72">
        <v>52769.14</v>
      </c>
      <c r="W29" s="76">
        <v>243768.51</v>
      </c>
    </row>
    <row r="30" spans="1:23" x14ac:dyDescent="0.2">
      <c r="A30" s="73" t="s">
        <v>265</v>
      </c>
      <c r="B30" s="76">
        <v>0</v>
      </c>
      <c r="C30" s="72">
        <v>1150</v>
      </c>
      <c r="D30" s="72">
        <v>0</v>
      </c>
      <c r="E30" s="72">
        <v>0</v>
      </c>
      <c r="F30" s="72">
        <v>0</v>
      </c>
      <c r="G30" s="72">
        <v>0</v>
      </c>
      <c r="H30" s="72">
        <v>0</v>
      </c>
      <c r="I30" s="72">
        <v>0</v>
      </c>
      <c r="J30" s="72">
        <v>0</v>
      </c>
      <c r="K30" s="76">
        <v>1150</v>
      </c>
      <c r="L30" s="73"/>
      <c r="M30" s="73" t="s">
        <v>26</v>
      </c>
      <c r="N30" s="76">
        <v>5925</v>
      </c>
      <c r="O30" s="72">
        <v>10777.58</v>
      </c>
      <c r="P30" s="72">
        <v>0</v>
      </c>
      <c r="Q30" s="72">
        <v>0</v>
      </c>
      <c r="R30" s="72">
        <v>0</v>
      </c>
      <c r="S30" s="72">
        <v>0</v>
      </c>
      <c r="T30" s="72">
        <v>0</v>
      </c>
      <c r="U30" s="72">
        <v>11755.08</v>
      </c>
      <c r="V30" s="72">
        <v>6486.95</v>
      </c>
      <c r="W30" s="76">
        <v>34944.61</v>
      </c>
    </row>
    <row r="31" spans="1:23" x14ac:dyDescent="0.2">
      <c r="A31" s="73" t="s">
        <v>197</v>
      </c>
      <c r="B31" s="76">
        <v>31983.55</v>
      </c>
      <c r="C31" s="72">
        <v>31983.55</v>
      </c>
      <c r="D31" s="72">
        <v>31983.55</v>
      </c>
      <c r="E31" s="72">
        <v>31983.55</v>
      </c>
      <c r="F31" s="72">
        <v>31983.54</v>
      </c>
      <c r="G31" s="72">
        <v>31983.55</v>
      </c>
      <c r="H31" s="72">
        <v>31983.55</v>
      </c>
      <c r="I31" s="72">
        <v>31983.54</v>
      </c>
      <c r="J31" s="72">
        <v>31983.55</v>
      </c>
      <c r="K31" s="76">
        <v>287851.93</v>
      </c>
      <c r="L31" s="73"/>
      <c r="M31" s="73" t="s">
        <v>211</v>
      </c>
      <c r="N31" s="76">
        <v>2547.92</v>
      </c>
      <c r="O31" s="72">
        <v>7839.21</v>
      </c>
      <c r="P31" s="72">
        <v>9886.4</v>
      </c>
      <c r="Q31" s="72">
        <v>3224.24</v>
      </c>
      <c r="R31" s="72">
        <v>9912.61</v>
      </c>
      <c r="S31" s="72">
        <v>4707.2</v>
      </c>
      <c r="T31" s="72">
        <v>6822.75</v>
      </c>
      <c r="U31" s="72">
        <v>6272.3</v>
      </c>
      <c r="V31" s="72">
        <v>11317.99</v>
      </c>
      <c r="W31" s="76">
        <v>62530.62</v>
      </c>
    </row>
    <row r="32" spans="1:23" x14ac:dyDescent="0.2">
      <c r="A32" s="73" t="s">
        <v>196</v>
      </c>
      <c r="B32" s="76">
        <v>8016.45</v>
      </c>
      <c r="C32" s="72">
        <v>8016.46</v>
      </c>
      <c r="D32" s="72">
        <v>8016.45</v>
      </c>
      <c r="E32" s="72">
        <v>8016.45</v>
      </c>
      <c r="F32" s="72">
        <v>8016.45</v>
      </c>
      <c r="G32" s="72">
        <v>8016.45</v>
      </c>
      <c r="H32" s="72">
        <v>8016.45</v>
      </c>
      <c r="I32" s="72">
        <v>8016.46</v>
      </c>
      <c r="J32" s="72">
        <v>8016.45</v>
      </c>
      <c r="K32" s="76">
        <v>72148.070000000007</v>
      </c>
      <c r="L32" s="73"/>
      <c r="M32" s="73" t="s">
        <v>210</v>
      </c>
      <c r="N32" s="76">
        <v>686.08</v>
      </c>
      <c r="O32" s="72">
        <v>4040.69</v>
      </c>
      <c r="P32" s="72">
        <v>33.049999999999997</v>
      </c>
      <c r="Q32" s="72">
        <v>54.62</v>
      </c>
      <c r="R32" s="72">
        <v>11741.88</v>
      </c>
      <c r="S32" s="72">
        <v>16191.83</v>
      </c>
      <c r="T32" s="72">
        <v>0</v>
      </c>
      <c r="U32" s="72">
        <v>19629.759999999998</v>
      </c>
      <c r="V32" s="72">
        <v>128.36000000000001</v>
      </c>
      <c r="W32" s="76">
        <v>52506.27</v>
      </c>
    </row>
    <row r="33" spans="1:23" x14ac:dyDescent="0.2">
      <c r="A33" s="73" t="s">
        <v>195</v>
      </c>
      <c r="B33" s="76">
        <v>463789.26</v>
      </c>
      <c r="C33" s="72">
        <v>585839.43000000005</v>
      </c>
      <c r="D33" s="72">
        <v>578942.64</v>
      </c>
      <c r="E33" s="72">
        <v>512386.06</v>
      </c>
      <c r="F33" s="72">
        <v>634583.11</v>
      </c>
      <c r="G33" s="72">
        <v>499839.19</v>
      </c>
      <c r="H33" s="72">
        <v>463908.33</v>
      </c>
      <c r="I33" s="72">
        <v>464674.92</v>
      </c>
      <c r="J33" s="72">
        <v>432835.93</v>
      </c>
      <c r="K33" s="76">
        <v>4636798.87</v>
      </c>
      <c r="L33" s="73"/>
      <c r="M33" s="73" t="s">
        <v>209</v>
      </c>
      <c r="N33" s="76">
        <v>0</v>
      </c>
      <c r="O33" s="72">
        <v>0</v>
      </c>
      <c r="P33" s="72">
        <v>0</v>
      </c>
      <c r="Q33" s="72">
        <v>0</v>
      </c>
      <c r="R33" s="72">
        <v>23440.93</v>
      </c>
      <c r="S33" s="72">
        <v>21636.93</v>
      </c>
      <c r="T33" s="72">
        <v>21634.33</v>
      </c>
      <c r="U33" s="72">
        <v>21541.42</v>
      </c>
      <c r="V33" s="72">
        <v>17766.2</v>
      </c>
      <c r="W33" s="76">
        <v>106019.81</v>
      </c>
    </row>
    <row r="34" spans="1:23" x14ac:dyDescent="0.2">
      <c r="A34" s="73" t="s">
        <v>194</v>
      </c>
      <c r="B34" s="76">
        <v>176302.06</v>
      </c>
      <c r="C34" s="72">
        <v>229607.47</v>
      </c>
      <c r="D34" s="72">
        <v>204548.73</v>
      </c>
      <c r="E34" s="72">
        <v>189776.33</v>
      </c>
      <c r="F34" s="72">
        <v>271237.03000000003</v>
      </c>
      <c r="G34" s="72">
        <v>192614.65</v>
      </c>
      <c r="H34" s="72">
        <v>180350.63</v>
      </c>
      <c r="I34" s="72">
        <v>180884.14</v>
      </c>
      <c r="J34" s="72">
        <v>171686.7</v>
      </c>
      <c r="K34" s="76">
        <v>1797007.74</v>
      </c>
      <c r="L34" s="73"/>
      <c r="M34" s="73" t="s">
        <v>208</v>
      </c>
      <c r="N34" s="76">
        <v>0</v>
      </c>
      <c r="O34" s="72">
        <v>0</v>
      </c>
      <c r="P34" s="72">
        <v>0</v>
      </c>
      <c r="Q34" s="72">
        <v>0</v>
      </c>
      <c r="R34" s="72">
        <v>983.79</v>
      </c>
      <c r="S34" s="72">
        <v>939.79</v>
      </c>
      <c r="T34" s="72">
        <v>939.79</v>
      </c>
      <c r="U34" s="72">
        <v>939.79</v>
      </c>
      <c r="V34" s="72">
        <v>842.99</v>
      </c>
      <c r="W34" s="76">
        <v>4646.1499999999996</v>
      </c>
    </row>
    <row r="35" spans="1:23" ht="12" x14ac:dyDescent="0.2">
      <c r="A35" s="73" t="s">
        <v>193</v>
      </c>
      <c r="B35" s="76">
        <v>8779.94</v>
      </c>
      <c r="C35" s="72">
        <v>10993.68</v>
      </c>
      <c r="D35" s="72">
        <v>10357.799999999999</v>
      </c>
      <c r="E35" s="72">
        <v>9588.27</v>
      </c>
      <c r="F35" s="72">
        <v>11676.85</v>
      </c>
      <c r="G35" s="72">
        <v>9314.07</v>
      </c>
      <c r="H35" s="72">
        <v>8660</v>
      </c>
      <c r="I35" s="72">
        <v>8673</v>
      </c>
      <c r="J35" s="72">
        <v>8080.52</v>
      </c>
      <c r="K35" s="76">
        <v>86124.13</v>
      </c>
      <c r="L35" s="77"/>
      <c r="M35" s="73" t="s">
        <v>207</v>
      </c>
      <c r="N35" s="76">
        <v>0</v>
      </c>
      <c r="O35" s="72">
        <v>0</v>
      </c>
      <c r="P35" s="72">
        <v>0</v>
      </c>
      <c r="Q35" s="72">
        <v>95000</v>
      </c>
      <c r="R35" s="72">
        <v>57226.09</v>
      </c>
      <c r="S35" s="72">
        <v>54630.07</v>
      </c>
      <c r="T35" s="72">
        <v>54632.67</v>
      </c>
      <c r="U35" s="72">
        <v>54725.58</v>
      </c>
      <c r="V35" s="72">
        <v>48820.76</v>
      </c>
      <c r="W35" s="76">
        <v>365035.17</v>
      </c>
    </row>
    <row r="36" spans="1:23" x14ac:dyDescent="0.2">
      <c r="A36" s="73" t="s">
        <v>192</v>
      </c>
      <c r="B36" s="76">
        <v>751.52</v>
      </c>
      <c r="C36" s="72">
        <v>173.91</v>
      </c>
      <c r="D36" s="72">
        <v>726.36</v>
      </c>
      <c r="E36" s="72">
        <v>672.36</v>
      </c>
      <c r="F36" s="72">
        <v>1146.8499999999999</v>
      </c>
      <c r="G36" s="72">
        <v>6408.57</v>
      </c>
      <c r="H36" s="72">
        <v>938.18</v>
      </c>
      <c r="I36" s="72">
        <v>1194.8699999999999</v>
      </c>
      <c r="J36" s="72">
        <v>0</v>
      </c>
      <c r="K36" s="76">
        <v>12012.62</v>
      </c>
      <c r="M36" s="73" t="s">
        <v>192</v>
      </c>
      <c r="N36" s="76">
        <v>1608.7</v>
      </c>
      <c r="O36" s="72">
        <v>3496.83</v>
      </c>
      <c r="P36" s="72">
        <v>1910.7</v>
      </c>
      <c r="Q36" s="72">
        <v>3217.39</v>
      </c>
      <c r="R36" s="72">
        <v>4840</v>
      </c>
      <c r="S36" s="72">
        <v>0</v>
      </c>
      <c r="T36" s="72">
        <v>5608.7</v>
      </c>
      <c r="U36" s="72">
        <v>21687.54</v>
      </c>
      <c r="V36" s="72">
        <v>761.47</v>
      </c>
      <c r="W36" s="76">
        <v>43131.33</v>
      </c>
    </row>
    <row r="37" spans="1:23" x14ac:dyDescent="0.2">
      <c r="A37" s="73" t="s">
        <v>158</v>
      </c>
      <c r="B37" s="76">
        <v>3049.38</v>
      </c>
      <c r="C37" s="72">
        <v>0</v>
      </c>
      <c r="D37" s="72">
        <v>964.5</v>
      </c>
      <c r="E37" s="72">
        <v>3301.23</v>
      </c>
      <c r="F37" s="72">
        <v>0</v>
      </c>
      <c r="G37" s="72">
        <v>6597.2</v>
      </c>
      <c r="H37" s="72">
        <v>0</v>
      </c>
      <c r="I37" s="72">
        <v>4029.75</v>
      </c>
      <c r="J37" s="72">
        <v>3479.57</v>
      </c>
      <c r="K37" s="76">
        <v>21421.63</v>
      </c>
      <c r="M37" s="73" t="s">
        <v>158</v>
      </c>
      <c r="N37" s="76">
        <v>2030.61</v>
      </c>
      <c r="O37" s="72">
        <v>0</v>
      </c>
      <c r="P37" s="72">
        <v>0</v>
      </c>
      <c r="Q37" s="72">
        <v>0</v>
      </c>
      <c r="R37" s="72">
        <v>0</v>
      </c>
      <c r="S37" s="72">
        <v>0</v>
      </c>
      <c r="T37" s="72">
        <v>0</v>
      </c>
      <c r="U37" s="72">
        <v>0</v>
      </c>
      <c r="V37" s="72">
        <v>0</v>
      </c>
      <c r="W37" s="76">
        <v>2030.61</v>
      </c>
    </row>
    <row r="38" spans="1:23" x14ac:dyDescent="0.2">
      <c r="A38" s="73" t="s">
        <v>28</v>
      </c>
      <c r="B38" s="76">
        <v>13096.31</v>
      </c>
      <c r="C38" s="72">
        <v>0</v>
      </c>
      <c r="D38" s="72">
        <v>0</v>
      </c>
      <c r="E38" s="72">
        <v>12291.53</v>
      </c>
      <c r="F38" s="72">
        <v>3699.26</v>
      </c>
      <c r="G38" s="72">
        <v>500</v>
      </c>
      <c r="H38" s="72">
        <v>0</v>
      </c>
      <c r="I38" s="72">
        <v>-43362.07</v>
      </c>
      <c r="J38" s="72">
        <v>0</v>
      </c>
      <c r="K38" s="76">
        <v>-13774.97</v>
      </c>
      <c r="M38" s="73" t="s">
        <v>29</v>
      </c>
      <c r="N38" s="76">
        <v>485.22</v>
      </c>
      <c r="O38" s="72">
        <v>0</v>
      </c>
      <c r="P38" s="72">
        <v>2137.6999999999998</v>
      </c>
      <c r="Q38" s="72">
        <v>0</v>
      </c>
      <c r="R38" s="72">
        <v>0</v>
      </c>
      <c r="S38" s="72">
        <v>107.83</v>
      </c>
      <c r="T38" s="72">
        <v>1850</v>
      </c>
      <c r="U38" s="72">
        <v>185.13</v>
      </c>
      <c r="V38" s="72">
        <v>1089.1300000000001</v>
      </c>
      <c r="W38" s="76">
        <v>5855.01</v>
      </c>
    </row>
    <row r="39" spans="1:23" x14ac:dyDescent="0.2">
      <c r="A39" s="73" t="s">
        <v>30</v>
      </c>
      <c r="B39" s="76">
        <v>79674.03</v>
      </c>
      <c r="C39" s="72">
        <v>82669.509999999995</v>
      </c>
      <c r="D39" s="72">
        <v>86444.94</v>
      </c>
      <c r="E39" s="72">
        <v>86071.69</v>
      </c>
      <c r="F39" s="72">
        <v>89293.22</v>
      </c>
      <c r="G39" s="72">
        <v>96665.31</v>
      </c>
      <c r="H39" s="72">
        <v>98779.3</v>
      </c>
      <c r="I39" s="72">
        <v>97898.89</v>
      </c>
      <c r="J39" s="72">
        <v>97434.51</v>
      </c>
      <c r="K39" s="76">
        <v>814931.4</v>
      </c>
      <c r="M39" s="73" t="s">
        <v>206</v>
      </c>
      <c r="N39" s="76">
        <v>1215250</v>
      </c>
      <c r="O39" s="72">
        <v>1426875</v>
      </c>
      <c r="P39" s="72">
        <v>1337850</v>
      </c>
      <c r="Q39" s="72">
        <v>1198600</v>
      </c>
      <c r="R39" s="72">
        <v>1363525</v>
      </c>
      <c r="S39" s="72">
        <v>1242000</v>
      </c>
      <c r="T39" s="72">
        <v>1182125</v>
      </c>
      <c r="U39" s="72">
        <v>1203325</v>
      </c>
      <c r="V39" s="72">
        <v>1206220.05</v>
      </c>
      <c r="W39" s="76">
        <v>11375770.050000001</v>
      </c>
    </row>
    <row r="40" spans="1:23" x14ac:dyDescent="0.2">
      <c r="A40" s="73" t="s">
        <v>29</v>
      </c>
      <c r="B40" s="76">
        <v>21556.05</v>
      </c>
      <c r="C40" s="72">
        <v>11400.8</v>
      </c>
      <c r="D40" s="72">
        <v>102587.92</v>
      </c>
      <c r="E40" s="72">
        <v>6802.5</v>
      </c>
      <c r="F40" s="72">
        <v>5839</v>
      </c>
      <c r="G40" s="72">
        <v>6669</v>
      </c>
      <c r="H40" s="72">
        <v>5364</v>
      </c>
      <c r="I40" s="72">
        <v>23385.42</v>
      </c>
      <c r="J40" s="72">
        <v>60858.45</v>
      </c>
      <c r="K40" s="76">
        <v>244463.14</v>
      </c>
      <c r="M40" s="73" t="s">
        <v>31</v>
      </c>
      <c r="N40" s="76">
        <v>514.08000000000004</v>
      </c>
      <c r="O40" s="72">
        <v>514.08000000000004</v>
      </c>
      <c r="P40" s="72">
        <v>514.08000000000004</v>
      </c>
      <c r="Q40" s="72">
        <v>514.08000000000004</v>
      </c>
      <c r="R40" s="72">
        <v>451.47</v>
      </c>
      <c r="S40" s="72">
        <v>451.47</v>
      </c>
      <c r="T40" s="72">
        <v>451.47</v>
      </c>
      <c r="U40" s="72">
        <v>451.47</v>
      </c>
      <c r="V40" s="72">
        <v>451.47</v>
      </c>
      <c r="W40" s="76">
        <v>4313.67</v>
      </c>
    </row>
    <row r="41" spans="1:23" x14ac:dyDescent="0.2">
      <c r="A41" s="73" t="s">
        <v>33</v>
      </c>
      <c r="B41" s="76">
        <v>-20052.18</v>
      </c>
      <c r="C41" s="72">
        <v>10542.61</v>
      </c>
      <c r="D41" s="72">
        <v>10886.62</v>
      </c>
      <c r="E41" s="72">
        <v>10912.91</v>
      </c>
      <c r="F41" s="72">
        <v>10882.13</v>
      </c>
      <c r="G41" s="72">
        <v>10838.68</v>
      </c>
      <c r="H41" s="72">
        <v>15366.35</v>
      </c>
      <c r="I41" s="72">
        <v>11953.04</v>
      </c>
      <c r="J41" s="72">
        <v>11163.53</v>
      </c>
      <c r="K41" s="76">
        <v>72493.69</v>
      </c>
      <c r="M41" s="73" t="s">
        <v>32</v>
      </c>
      <c r="N41" s="76">
        <v>0</v>
      </c>
      <c r="O41" s="72">
        <v>6486.95</v>
      </c>
      <c r="P41" s="72">
        <v>8.6999999999999993</v>
      </c>
      <c r="Q41" s="72">
        <v>4839.13</v>
      </c>
      <c r="R41" s="72">
        <v>2839.13</v>
      </c>
      <c r="S41" s="72">
        <v>4134.78</v>
      </c>
      <c r="T41" s="72">
        <v>0</v>
      </c>
      <c r="U41" s="72">
        <v>0</v>
      </c>
      <c r="V41" s="72">
        <v>7373.91</v>
      </c>
      <c r="W41" s="76">
        <v>25682.6</v>
      </c>
    </row>
    <row r="42" spans="1:23" x14ac:dyDescent="0.2">
      <c r="A42" s="73" t="s">
        <v>191</v>
      </c>
      <c r="B42" s="76">
        <v>15450</v>
      </c>
      <c r="C42" s="72">
        <v>153</v>
      </c>
      <c r="D42" s="72">
        <v>826.35</v>
      </c>
      <c r="E42" s="72">
        <v>0</v>
      </c>
      <c r="F42" s="72">
        <v>121</v>
      </c>
      <c r="G42" s="72">
        <v>0</v>
      </c>
      <c r="H42" s="72">
        <v>76</v>
      </c>
      <c r="I42" s="72">
        <v>0</v>
      </c>
      <c r="J42" s="72">
        <v>0</v>
      </c>
      <c r="K42" s="76">
        <v>16626.349999999999</v>
      </c>
      <c r="M42" s="73" t="s">
        <v>33</v>
      </c>
      <c r="N42" s="76">
        <v>0</v>
      </c>
      <c r="O42" s="72">
        <v>0</v>
      </c>
      <c r="P42" s="72">
        <v>0</v>
      </c>
      <c r="Q42" s="72">
        <v>0</v>
      </c>
      <c r="R42" s="72">
        <v>0</v>
      </c>
      <c r="S42" s="72">
        <v>0</v>
      </c>
      <c r="T42" s="72">
        <v>0</v>
      </c>
      <c r="U42" s="72">
        <v>0</v>
      </c>
      <c r="V42" s="72">
        <v>2819.13</v>
      </c>
      <c r="W42" s="76">
        <v>2819.13</v>
      </c>
    </row>
    <row r="43" spans="1:23" x14ac:dyDescent="0.2">
      <c r="A43" s="73" t="s">
        <v>34</v>
      </c>
      <c r="B43" s="76">
        <v>30262.2</v>
      </c>
      <c r="C43" s="72">
        <v>38834.04</v>
      </c>
      <c r="D43" s="72">
        <v>24493.87</v>
      </c>
      <c r="E43" s="72">
        <v>28648.98</v>
      </c>
      <c r="F43" s="72">
        <v>15560.62</v>
      </c>
      <c r="G43" s="72">
        <v>16194.57</v>
      </c>
      <c r="H43" s="72">
        <v>19132</v>
      </c>
      <c r="I43" s="72">
        <v>19232.8</v>
      </c>
      <c r="J43" s="72">
        <v>20811.88</v>
      </c>
      <c r="K43" s="76">
        <v>213170.96</v>
      </c>
      <c r="M43" s="73" t="s">
        <v>191</v>
      </c>
      <c r="N43" s="76">
        <v>6035.09</v>
      </c>
      <c r="O43" s="72">
        <v>11568.84</v>
      </c>
      <c r="P43" s="72">
        <v>13628.73</v>
      </c>
      <c r="Q43" s="72">
        <v>11530.7</v>
      </c>
      <c r="R43" s="72">
        <v>7358.73</v>
      </c>
      <c r="S43" s="72">
        <v>7772.39</v>
      </c>
      <c r="T43" s="72">
        <v>9912.7800000000007</v>
      </c>
      <c r="U43" s="72">
        <v>17270.78</v>
      </c>
      <c r="V43" s="72">
        <v>13492.93</v>
      </c>
      <c r="W43" s="76">
        <v>98570.97</v>
      </c>
    </row>
    <row r="44" spans="1:23" x14ac:dyDescent="0.2">
      <c r="A44" s="73" t="s">
        <v>36</v>
      </c>
      <c r="B44" s="76">
        <v>72397.39</v>
      </c>
      <c r="C44" s="72">
        <v>0</v>
      </c>
      <c r="D44" s="72">
        <v>1917.85</v>
      </c>
      <c r="E44" s="72">
        <v>139418.97</v>
      </c>
      <c r="F44" s="72">
        <v>121638.39999999999</v>
      </c>
      <c r="G44" s="72">
        <v>178400.75</v>
      </c>
      <c r="H44" s="72">
        <v>166947.88</v>
      </c>
      <c r="I44" s="72">
        <v>150068.28</v>
      </c>
      <c r="J44" s="72">
        <v>63082.400000000001</v>
      </c>
      <c r="K44" s="76">
        <v>893871.92</v>
      </c>
      <c r="M44" s="73" t="s">
        <v>34</v>
      </c>
      <c r="N44" s="76">
        <v>3594.09</v>
      </c>
      <c r="O44" s="72">
        <v>5824.98</v>
      </c>
      <c r="P44" s="72">
        <v>3463.47</v>
      </c>
      <c r="Q44" s="72">
        <v>3942.09</v>
      </c>
      <c r="R44" s="72">
        <v>4791.45</v>
      </c>
      <c r="S44" s="72">
        <v>7171.73</v>
      </c>
      <c r="T44" s="72">
        <v>4788.34</v>
      </c>
      <c r="U44" s="72">
        <v>3841.45</v>
      </c>
      <c r="V44" s="72">
        <v>10952.19</v>
      </c>
      <c r="W44" s="76">
        <v>48369.79</v>
      </c>
    </row>
    <row r="45" spans="1:23" x14ac:dyDescent="0.2">
      <c r="A45" s="73" t="s">
        <v>37</v>
      </c>
      <c r="B45" s="76">
        <v>0</v>
      </c>
      <c r="C45" s="72">
        <v>0</v>
      </c>
      <c r="D45" s="72">
        <v>2939.64</v>
      </c>
      <c r="E45" s="72">
        <v>5886.78</v>
      </c>
      <c r="F45" s="72">
        <v>0</v>
      </c>
      <c r="G45" s="72">
        <v>237</v>
      </c>
      <c r="H45" s="72">
        <v>0</v>
      </c>
      <c r="I45" s="72">
        <v>0</v>
      </c>
      <c r="J45" s="72">
        <v>0</v>
      </c>
      <c r="K45" s="76">
        <v>9063.42</v>
      </c>
      <c r="M45" s="73" t="s">
        <v>35</v>
      </c>
      <c r="N45" s="76">
        <v>8642.2999999999993</v>
      </c>
      <c r="O45" s="72">
        <v>4988.04</v>
      </c>
      <c r="P45" s="72">
        <v>7053.56</v>
      </c>
      <c r="Q45" s="72">
        <v>5288.11</v>
      </c>
      <c r="R45" s="72">
        <v>5578.74</v>
      </c>
      <c r="S45" s="72">
        <v>7295.01</v>
      </c>
      <c r="T45" s="72">
        <v>4414.05</v>
      </c>
      <c r="U45" s="72">
        <v>5209</v>
      </c>
      <c r="V45" s="72">
        <v>4357.6899999999996</v>
      </c>
      <c r="W45" s="76">
        <v>52826.5</v>
      </c>
    </row>
    <row r="46" spans="1:23" x14ac:dyDescent="0.2">
      <c r="A46" s="73" t="s">
        <v>190</v>
      </c>
      <c r="B46" s="76">
        <v>-4305.53</v>
      </c>
      <c r="C46" s="72">
        <v>4305.53</v>
      </c>
      <c r="D46" s="72">
        <v>0</v>
      </c>
      <c r="E46" s="72">
        <v>0</v>
      </c>
      <c r="F46" s="72">
        <v>3209.67</v>
      </c>
      <c r="G46" s="72">
        <v>-3209.67</v>
      </c>
      <c r="H46" s="72">
        <v>0</v>
      </c>
      <c r="I46" s="72">
        <v>4315.79</v>
      </c>
      <c r="J46" s="72">
        <v>-4315.79</v>
      </c>
      <c r="K46" s="76">
        <v>0</v>
      </c>
      <c r="M46" s="73" t="s">
        <v>205</v>
      </c>
      <c r="N46" s="76">
        <v>0</v>
      </c>
      <c r="O46" s="72">
        <v>0</v>
      </c>
      <c r="P46" s="72">
        <v>7533.01</v>
      </c>
      <c r="Q46" s="72">
        <v>7287.2</v>
      </c>
      <c r="R46" s="72">
        <v>8780.89</v>
      </c>
      <c r="S46" s="72">
        <v>8003.68</v>
      </c>
      <c r="T46" s="72">
        <v>11819.55</v>
      </c>
      <c r="U46" s="72">
        <v>11285.53</v>
      </c>
      <c r="V46" s="72">
        <v>11726.48</v>
      </c>
      <c r="W46" s="76">
        <v>66436.34</v>
      </c>
    </row>
    <row r="47" spans="1:23" x14ac:dyDescent="0.2">
      <c r="A47" s="73" t="s">
        <v>220</v>
      </c>
      <c r="B47" s="76">
        <v>1739.13</v>
      </c>
      <c r="C47" s="72">
        <v>13043.49</v>
      </c>
      <c r="D47" s="72">
        <v>5000</v>
      </c>
      <c r="E47" s="72">
        <v>5000</v>
      </c>
      <c r="F47" s="72">
        <v>4000</v>
      </c>
      <c r="G47" s="72">
        <v>2100</v>
      </c>
      <c r="H47" s="72">
        <v>0</v>
      </c>
      <c r="I47" s="72">
        <v>0</v>
      </c>
      <c r="J47" s="72">
        <v>0</v>
      </c>
      <c r="K47" s="76">
        <v>30882.62</v>
      </c>
      <c r="M47" s="73" t="s">
        <v>204</v>
      </c>
      <c r="N47" s="76">
        <v>0</v>
      </c>
      <c r="O47" s="72">
        <v>0</v>
      </c>
      <c r="P47" s="72">
        <v>18079.22</v>
      </c>
      <c r="Q47" s="72">
        <v>17489.28</v>
      </c>
      <c r="R47" s="72">
        <v>21074.14</v>
      </c>
      <c r="S47" s="72">
        <v>19208.84</v>
      </c>
      <c r="T47" s="72">
        <v>28366.93</v>
      </c>
      <c r="U47" s="72">
        <v>27085.279999999999</v>
      </c>
      <c r="V47" s="72">
        <v>28143.54</v>
      </c>
      <c r="W47" s="76">
        <v>159447.23000000001</v>
      </c>
    </row>
    <row r="48" spans="1:23" ht="12" x14ac:dyDescent="0.2">
      <c r="A48" s="144" t="s">
        <v>39</v>
      </c>
      <c r="B48" s="151">
        <f>SUM(B20:B47)</f>
        <v>1264229.6099999999</v>
      </c>
      <c r="C48" s="143">
        <f>SUM(C20:C47)</f>
        <v>1445047.6700000002</v>
      </c>
      <c r="D48" s="143">
        <f>SUM(D20:D47)</f>
        <v>1457359.8800000004</v>
      </c>
      <c r="E48" s="143">
        <f>SUM(E20:E47)</f>
        <v>1445114.56</v>
      </c>
      <c r="F48" s="143">
        <f>SUM(F20:F47)</f>
        <v>1615150.24</v>
      </c>
      <c r="G48" s="143">
        <f>SUM(G20:G47)</f>
        <v>1447641.26</v>
      </c>
      <c r="H48" s="143">
        <f>SUM(H20:H47)</f>
        <v>1423132.5499999998</v>
      </c>
      <c r="I48" s="143">
        <f>SUM(I20:I47)</f>
        <v>1364574.1600000001</v>
      </c>
      <c r="J48" s="143">
        <f>SUM(J20:J47)</f>
        <v>1336682.2799999998</v>
      </c>
      <c r="K48" s="143">
        <f>SUM(K20:K47)</f>
        <v>12798932.210000001</v>
      </c>
      <c r="M48" s="73" t="s">
        <v>203</v>
      </c>
      <c r="N48" s="76">
        <v>0</v>
      </c>
      <c r="O48" s="72">
        <v>0</v>
      </c>
      <c r="P48" s="72">
        <v>12052.81</v>
      </c>
      <c r="Q48" s="72">
        <v>11659.52</v>
      </c>
      <c r="R48" s="72">
        <v>14049.43</v>
      </c>
      <c r="S48" s="72">
        <v>12805.89</v>
      </c>
      <c r="T48" s="72">
        <v>18911.29</v>
      </c>
      <c r="U48" s="72">
        <v>18056.849999999999</v>
      </c>
      <c r="V48" s="72">
        <v>18762.36</v>
      </c>
      <c r="W48" s="76">
        <v>106298.15</v>
      </c>
    </row>
    <row r="49" spans="1:23" x14ac:dyDescent="0.2">
      <c r="M49" s="73" t="s">
        <v>36</v>
      </c>
      <c r="N49" s="76">
        <v>206514.51</v>
      </c>
      <c r="O49" s="72">
        <v>145637.63</v>
      </c>
      <c r="P49" s="72">
        <v>157986.56</v>
      </c>
      <c r="Q49" s="72">
        <v>153591.64000000001</v>
      </c>
      <c r="R49" s="72">
        <v>121106.47</v>
      </c>
      <c r="S49" s="72">
        <v>135958.68</v>
      </c>
      <c r="T49" s="72">
        <v>66424.61</v>
      </c>
      <c r="U49" s="72">
        <v>42561.52</v>
      </c>
      <c r="V49" s="72">
        <v>0</v>
      </c>
      <c r="W49" s="76">
        <v>1029781.62</v>
      </c>
    </row>
    <row r="50" spans="1:23" ht="12" x14ac:dyDescent="0.2">
      <c r="A50" s="142" t="s">
        <v>40</v>
      </c>
      <c r="B50" s="141">
        <f>((B17 + 0) - B48)</f>
        <v>396162.20000000019</v>
      </c>
      <c r="C50" s="141">
        <f>((C17 + 0) - C48)</f>
        <v>468694.20999999996</v>
      </c>
      <c r="D50" s="141">
        <f>((D17 + 0) - D48)</f>
        <v>498299.3199999996</v>
      </c>
      <c r="E50" s="141">
        <f>((E17 + 0) - E48)</f>
        <v>1002924.1499999994</v>
      </c>
      <c r="F50" s="141">
        <f>((F17 + 0) - F48)</f>
        <v>97181.280000000028</v>
      </c>
      <c r="G50" s="141">
        <f>((G17 + 0) - G48)</f>
        <v>4693.7199999999721</v>
      </c>
      <c r="H50" s="141">
        <f>((H17 + 0) - H48)</f>
        <v>671261.04</v>
      </c>
      <c r="I50" s="141">
        <f>((I17 + 0) - I48)</f>
        <v>223174.74</v>
      </c>
      <c r="J50" s="141">
        <f>((J17 + 0) - J48)</f>
        <v>-468392.05999999971</v>
      </c>
      <c r="K50" s="141">
        <f>((K17 + 0) - K48)</f>
        <v>2893998.5999999978</v>
      </c>
      <c r="M50" s="73" t="s">
        <v>37</v>
      </c>
      <c r="N50" s="76">
        <v>13580.02</v>
      </c>
      <c r="O50" s="72">
        <v>54920.9</v>
      </c>
      <c r="P50" s="72">
        <v>33644.18</v>
      </c>
      <c r="Q50" s="72">
        <v>7949.6</v>
      </c>
      <c r="R50" s="72">
        <v>6940.06</v>
      </c>
      <c r="S50" s="72">
        <v>5126.13</v>
      </c>
      <c r="T50" s="72">
        <v>7506.09</v>
      </c>
      <c r="U50" s="72">
        <v>6635.69</v>
      </c>
      <c r="V50" s="72">
        <v>1545.22</v>
      </c>
      <c r="W50" s="76">
        <v>137847.89000000001</v>
      </c>
    </row>
    <row r="51" spans="1:23" x14ac:dyDescent="0.2">
      <c r="M51" s="73" t="s">
        <v>220</v>
      </c>
      <c r="N51" s="76">
        <v>4347.83</v>
      </c>
      <c r="O51" s="72">
        <v>0</v>
      </c>
      <c r="P51" s="72">
        <v>4347.83</v>
      </c>
      <c r="Q51" s="72">
        <v>0</v>
      </c>
      <c r="R51" s="72">
        <v>5217.3900000000003</v>
      </c>
      <c r="S51" s="72">
        <v>0</v>
      </c>
      <c r="T51" s="72">
        <v>0</v>
      </c>
      <c r="U51" s="72">
        <v>0</v>
      </c>
      <c r="V51" s="72">
        <v>0</v>
      </c>
      <c r="W51" s="76">
        <v>13913.05</v>
      </c>
    </row>
    <row r="52" spans="1:23" ht="12" x14ac:dyDescent="0.2">
      <c r="M52" s="144" t="s">
        <v>39</v>
      </c>
      <c r="N52" s="151">
        <f>SUM(N19:N51)</f>
        <v>1956108.5400000005</v>
      </c>
      <c r="O52" s="143">
        <f>SUM(O19:O51)</f>
        <v>2045880.42</v>
      </c>
      <c r="P52" s="143">
        <f>SUM(P19:P51)</f>
        <v>2141548.1300000004</v>
      </c>
      <c r="Q52" s="143">
        <f>SUM(Q19:Q51)</f>
        <v>1942706.83</v>
      </c>
      <c r="R52" s="143">
        <f>SUM(R19:R51)</f>
        <v>1880238.7599999993</v>
      </c>
      <c r="S52" s="143">
        <f>SUM(S19:S51)</f>
        <v>2029121.1899999995</v>
      </c>
      <c r="T52" s="143">
        <f>SUM(T19:T51)</f>
        <v>2026302.0000000005</v>
      </c>
      <c r="U52" s="143">
        <f>SUM(U19:U51)</f>
        <v>2081013.05</v>
      </c>
      <c r="V52" s="143">
        <f>SUM(V19:V51)</f>
        <v>2011100.1299999997</v>
      </c>
      <c r="W52" s="143">
        <f>SUM(W19:W51)</f>
        <v>18114019.050000001</v>
      </c>
    </row>
    <row r="54" spans="1:23" ht="12" x14ac:dyDescent="0.2">
      <c r="M54" s="142" t="s">
        <v>40</v>
      </c>
      <c r="N54" s="141">
        <f>((N16 + 0) - N52)</f>
        <v>-1281137.4900000007</v>
      </c>
      <c r="O54" s="141">
        <f>((O16 + 0) - O52)</f>
        <v>-919989.47</v>
      </c>
      <c r="P54" s="141">
        <f>((P16 + 0) - P52)</f>
        <v>-1554412.0400000003</v>
      </c>
      <c r="Q54" s="141">
        <f>((Q16 + 0) - Q52)</f>
        <v>-1488093.9000000004</v>
      </c>
      <c r="R54" s="141">
        <f>((R16 + 0) - R52)</f>
        <v>-894196.81999999937</v>
      </c>
      <c r="S54" s="141">
        <f>((S16 + 0) - S52)</f>
        <v>-1382943.9099999997</v>
      </c>
      <c r="T54" s="141">
        <f>((T16 + 0) - T52)</f>
        <v>-997440.71000000043</v>
      </c>
      <c r="U54" s="141">
        <f>((U16 + 0) - U52)</f>
        <v>-697155.19000000018</v>
      </c>
      <c r="V54" s="141">
        <f>((V16 + 0) - V52)</f>
        <v>186827.96000000066</v>
      </c>
      <c r="W54" s="141">
        <f>((W16 + 0) - W52)</f>
        <v>-9028541.5700000003</v>
      </c>
    </row>
    <row r="56" spans="1:23" x14ac:dyDescent="0.2">
      <c r="Q56" s="153">
        <f>W52+K48-1125000</f>
        <v>29787951.260000002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D8F2A-4ED3-42B3-AACA-B066599A3691}">
  <dimension ref="A1:N58"/>
  <sheetViews>
    <sheetView showGridLines="0" tabSelected="1" zoomScale="93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L53" sqref="L53"/>
    </sheetView>
  </sheetViews>
  <sheetFormatPr defaultRowHeight="12" x14ac:dyDescent="0.25"/>
  <cols>
    <col min="1" max="1" width="42.25" style="9" bestFit="1" customWidth="1"/>
    <col min="2" max="2" width="18.625" style="9" customWidth="1"/>
    <col min="3" max="5" width="17.875" style="9" customWidth="1"/>
    <col min="6" max="6" width="16.625" style="9" customWidth="1"/>
    <col min="7" max="8" width="16.625" style="16" customWidth="1"/>
    <col min="9" max="9" width="9" style="9"/>
    <col min="10" max="10" width="17.875" style="9" customWidth="1"/>
    <col min="11" max="11" width="16.625" style="9" customWidth="1"/>
    <col min="12" max="13" width="16.625" style="16" customWidth="1"/>
    <col min="14" max="14" width="11.375" style="9" hidden="1" customWidth="1"/>
    <col min="15" max="16384" width="9" style="9"/>
  </cols>
  <sheetData>
    <row r="1" spans="1:14" s="4" customFormat="1" ht="16.649999999999999" customHeight="1" x14ac:dyDescent="0.35">
      <c r="A1" s="1" t="s">
        <v>214</v>
      </c>
      <c r="B1" s="2"/>
      <c r="C1" s="2"/>
      <c r="D1" s="94"/>
      <c r="E1" s="95" t="s">
        <v>261</v>
      </c>
      <c r="F1" s="2"/>
      <c r="G1" s="96"/>
      <c r="H1" s="97" t="s">
        <v>262</v>
      </c>
      <c r="J1" s="98"/>
      <c r="K1" s="95" t="s">
        <v>263</v>
      </c>
      <c r="L1" s="3"/>
      <c r="M1" s="3"/>
    </row>
    <row r="2" spans="1:14" s="7" customFormat="1" ht="14.4" customHeight="1" x14ac:dyDescent="0.3">
      <c r="A2" s="1" t="s">
        <v>0</v>
      </c>
      <c r="B2" s="5"/>
      <c r="C2" s="5"/>
      <c r="D2" s="5"/>
      <c r="E2" s="5"/>
      <c r="F2" s="5"/>
      <c r="G2" s="6"/>
      <c r="H2" s="6"/>
      <c r="J2" s="5"/>
      <c r="K2" s="5"/>
      <c r="L2" s="6"/>
      <c r="M2" s="6"/>
    </row>
    <row r="3" spans="1:14" s="7" customFormat="1" ht="14.4" customHeight="1" x14ac:dyDescent="0.3">
      <c r="A3" s="8" t="s">
        <v>431</v>
      </c>
      <c r="B3" s="5"/>
      <c r="C3" s="5"/>
      <c r="D3" s="5"/>
      <c r="E3" s="5"/>
      <c r="F3" s="5"/>
      <c r="G3" s="6"/>
      <c r="H3" s="6"/>
      <c r="J3" s="5"/>
      <c r="K3" s="5"/>
      <c r="L3" s="6"/>
      <c r="M3" s="6"/>
    </row>
    <row r="4" spans="1:14" ht="13.35" customHeight="1" x14ac:dyDescent="0.3">
      <c r="B4" s="10" t="s">
        <v>1</v>
      </c>
      <c r="C4" s="11" t="s">
        <v>2</v>
      </c>
      <c r="D4" s="11" t="s">
        <v>3</v>
      </c>
      <c r="E4" s="11" t="s">
        <v>4</v>
      </c>
      <c r="F4" s="10" t="s">
        <v>432</v>
      </c>
      <c r="G4" s="12" t="s">
        <v>5</v>
      </c>
      <c r="H4" s="12" t="s">
        <v>6</v>
      </c>
      <c r="J4" s="11" t="s">
        <v>189</v>
      </c>
      <c r="K4" s="10" t="s">
        <v>433</v>
      </c>
      <c r="L4" s="12" t="s">
        <v>5</v>
      </c>
      <c r="M4" s="12" t="s">
        <v>6</v>
      </c>
    </row>
    <row r="5" spans="1:14" s="15" customFormat="1" ht="12.15" customHeight="1" x14ac:dyDescent="0.3">
      <c r="A5" s="13" t="s">
        <v>7</v>
      </c>
      <c r="B5" s="14">
        <v>45962</v>
      </c>
      <c r="C5" s="14">
        <v>45962</v>
      </c>
      <c r="D5" s="14">
        <v>45962</v>
      </c>
      <c r="E5" s="14">
        <v>45962</v>
      </c>
      <c r="F5" s="14">
        <v>45962</v>
      </c>
      <c r="G5" s="14">
        <v>45962</v>
      </c>
      <c r="H5" s="14">
        <v>45962</v>
      </c>
      <c r="I5" s="14"/>
      <c r="J5" s="14">
        <v>45962</v>
      </c>
      <c r="K5" s="14">
        <v>45962</v>
      </c>
      <c r="L5" s="14">
        <v>45962</v>
      </c>
      <c r="M5" s="14">
        <v>45962</v>
      </c>
    </row>
    <row r="6" spans="1:14" ht="13.35" customHeight="1" x14ac:dyDescent="0.25"/>
    <row r="7" spans="1:14" s="15" customFormat="1" ht="12.15" customHeight="1" x14ac:dyDescent="0.3">
      <c r="A7" s="17" t="s">
        <v>8</v>
      </c>
      <c r="B7" s="17"/>
      <c r="C7" s="17"/>
      <c r="D7" s="17"/>
      <c r="E7" s="17"/>
      <c r="F7" s="17"/>
      <c r="G7" s="18"/>
      <c r="H7" s="18"/>
      <c r="J7" s="17"/>
      <c r="K7" s="17"/>
      <c r="L7" s="18"/>
      <c r="M7" s="18"/>
    </row>
    <row r="8" spans="1:14" ht="10.95" customHeight="1" x14ac:dyDescent="0.25">
      <c r="A8" s="19" t="s">
        <v>9</v>
      </c>
      <c r="B8" s="20">
        <f>'SA P &amp; L'!B8</f>
        <v>297.19</v>
      </c>
      <c r="C8" s="20">
        <f>'SA P &amp; L'!N8</f>
        <v>749.63</v>
      </c>
      <c r="D8" s="20"/>
      <c r="E8" s="20">
        <f>SUM(B8:D8)</f>
        <v>1046.82</v>
      </c>
      <c r="F8" s="20"/>
      <c r="G8" s="22"/>
      <c r="H8" s="22"/>
      <c r="J8" s="20">
        <f>'SA P &amp; L'!W8+'SA P &amp; L'!K8</f>
        <v>19921</v>
      </c>
      <c r="L8" s="22"/>
      <c r="M8" s="22"/>
    </row>
    <row r="9" spans="1:14" ht="10.95" customHeight="1" x14ac:dyDescent="0.25">
      <c r="A9" s="92" t="s">
        <v>10</v>
      </c>
      <c r="B9" s="93">
        <f>'SA P &amp; L'!B10</f>
        <v>1571884.9</v>
      </c>
      <c r="C9" s="93">
        <f>'SA P &amp; L'!N9</f>
        <v>1092297.51</v>
      </c>
      <c r="D9" s="93">
        <f>-1571885</f>
        <v>-1571885</v>
      </c>
      <c r="E9" s="93">
        <f>SUM(B9:D9)</f>
        <v>1092297.4100000001</v>
      </c>
      <c r="F9" s="93">
        <f>'SA V2'!S273</f>
        <v>2397090.3753189826</v>
      </c>
      <c r="G9" s="93"/>
      <c r="H9" s="93"/>
      <c r="I9" s="30"/>
      <c r="J9" s="93">
        <f>'SA P &amp; L'!W9</f>
        <v>16080375.439999999</v>
      </c>
      <c r="K9" s="93">
        <f>SUM('SA V2'!K273:S273)</f>
        <v>19245200.984514151</v>
      </c>
      <c r="L9" s="93"/>
      <c r="M9" s="93"/>
    </row>
    <row r="10" spans="1:14" ht="10.95" customHeight="1" x14ac:dyDescent="0.25">
      <c r="A10" s="21" t="s">
        <v>11</v>
      </c>
      <c r="B10" s="22">
        <f>SUM(B8:B9)</f>
        <v>1572182.0899999999</v>
      </c>
      <c r="C10" s="22">
        <f t="shared" ref="C10:F10" si="0">SUM(C8:C9)</f>
        <v>1093047.1399999999</v>
      </c>
      <c r="D10" s="22">
        <f t="shared" si="0"/>
        <v>-1571885</v>
      </c>
      <c r="E10" s="22">
        <f t="shared" si="0"/>
        <v>1093344.2300000002</v>
      </c>
      <c r="F10" s="22">
        <f t="shared" si="0"/>
        <v>2397090.3753189826</v>
      </c>
      <c r="G10" s="22">
        <f>(E10-F10)/F10*100</f>
        <v>-54.388693840777357</v>
      </c>
      <c r="H10" s="22">
        <f>E10-F10</f>
        <v>-1303746.1453189824</v>
      </c>
      <c r="I10" s="99"/>
      <c r="J10" s="22">
        <f t="shared" ref="J10" si="1">SUM(J8:J9)</f>
        <v>16100296.439999999</v>
      </c>
      <c r="K10" s="22">
        <f>SUM(K9:K9)</f>
        <v>19245200.984514151</v>
      </c>
      <c r="L10" s="22">
        <f>(J10-K10)/K10*100</f>
        <v>-16.341240328145865</v>
      </c>
      <c r="M10" s="22">
        <f>J10-K10</f>
        <v>-3144904.5445141513</v>
      </c>
    </row>
    <row r="11" spans="1:14" ht="13.35" customHeight="1" x14ac:dyDescent="0.25">
      <c r="B11" s="24"/>
      <c r="C11" s="24"/>
      <c r="D11" s="24"/>
      <c r="E11" s="24"/>
      <c r="F11" s="24"/>
      <c r="G11" s="22"/>
      <c r="H11" s="22"/>
      <c r="I11" s="99"/>
      <c r="J11" s="24"/>
      <c r="K11" s="24"/>
      <c r="L11" s="22"/>
      <c r="M11" s="22"/>
    </row>
    <row r="12" spans="1:14" s="15" customFormat="1" ht="12.15" customHeight="1" x14ac:dyDescent="0.3">
      <c r="A12" s="17" t="s">
        <v>12</v>
      </c>
      <c r="B12" s="25"/>
      <c r="C12" s="25"/>
      <c r="D12" s="25"/>
      <c r="E12" s="25"/>
      <c r="F12" s="25"/>
      <c r="G12" s="22"/>
      <c r="H12" s="22"/>
      <c r="I12" s="100"/>
      <c r="J12" s="25"/>
      <c r="K12" s="25"/>
      <c r="L12" s="22"/>
      <c r="M12" s="22"/>
    </row>
    <row r="13" spans="1:14" ht="10.95" customHeight="1" x14ac:dyDescent="0.25">
      <c r="A13" s="81" t="s">
        <v>13</v>
      </c>
      <c r="B13" s="82">
        <f>'SA P &amp; L'!B14</f>
        <v>138381.17000000001</v>
      </c>
      <c r="C13" s="82">
        <f>'SA P &amp; L'!N13</f>
        <v>418076.09</v>
      </c>
      <c r="D13" s="82">
        <f>-231635</f>
        <v>-231635</v>
      </c>
      <c r="E13" s="82">
        <f>SUM(B13:D13)</f>
        <v>324822.26</v>
      </c>
      <c r="F13" s="82">
        <f>-SUM('SA V2'!S276:S287)</f>
        <v>796080.51666744379</v>
      </c>
      <c r="G13" s="102"/>
      <c r="H13" s="102"/>
      <c r="I13" s="101"/>
      <c r="J13" s="82">
        <f>'SA P &amp; L'!K14+'SA P &amp; L'!W13-N13</f>
        <v>5898711.0099999998</v>
      </c>
      <c r="K13" s="82">
        <f>-SUM('SA V2'!K276:S287)</f>
        <v>6923922.3434742652</v>
      </c>
      <c r="L13" s="102"/>
      <c r="M13" s="102"/>
      <c r="N13" s="90">
        <f>2447398.19+279069+231634</f>
        <v>2958101.19</v>
      </c>
    </row>
    <row r="14" spans="1:14" ht="10.95" customHeight="1" x14ac:dyDescent="0.25">
      <c r="A14" s="21" t="s">
        <v>14</v>
      </c>
      <c r="B14" s="22">
        <f>B13</f>
        <v>138381.17000000001</v>
      </c>
      <c r="C14" s="22">
        <f t="shared" ref="C14:F14" si="2">C13</f>
        <v>418076.09</v>
      </c>
      <c r="D14" s="22">
        <f t="shared" si="2"/>
        <v>-231635</v>
      </c>
      <c r="E14" s="22">
        <f t="shared" si="2"/>
        <v>324822.26</v>
      </c>
      <c r="F14" s="22">
        <f t="shared" si="2"/>
        <v>796080.51666744379</v>
      </c>
      <c r="G14" s="22">
        <f>(E14-F14)/F14*100</f>
        <v>-59.197310674079482</v>
      </c>
      <c r="H14" s="22">
        <f>E14-F14</f>
        <v>-471258.25666744378</v>
      </c>
      <c r="I14" s="99"/>
      <c r="J14" s="22">
        <f t="shared" ref="J14:K14" si="3">J13</f>
        <v>5898711.0099999998</v>
      </c>
      <c r="K14" s="22">
        <f t="shared" si="3"/>
        <v>6923922.3434742652</v>
      </c>
      <c r="L14" s="22">
        <f>(J14-K14)/K14*100</f>
        <v>-14.806799998854956</v>
      </c>
      <c r="M14" s="22">
        <f>J14-K14</f>
        <v>-1025211.3334742654</v>
      </c>
    </row>
    <row r="15" spans="1:14" ht="13.35" customHeight="1" x14ac:dyDescent="0.25">
      <c r="B15" s="24"/>
      <c r="C15" s="24"/>
      <c r="D15" s="24"/>
      <c r="E15" s="24"/>
      <c r="F15" s="24"/>
      <c r="G15" s="22"/>
      <c r="H15" s="22"/>
      <c r="I15" s="99"/>
      <c r="J15" s="24"/>
      <c r="K15" s="24"/>
      <c r="L15" s="22"/>
      <c r="M15" s="22"/>
    </row>
    <row r="16" spans="1:14" ht="10.95" customHeight="1" x14ac:dyDescent="0.25">
      <c r="A16" s="26" t="s">
        <v>15</v>
      </c>
      <c r="B16" s="27">
        <f>(B10 - B14)</f>
        <v>1433800.92</v>
      </c>
      <c r="C16" s="27">
        <f t="shared" ref="C16:F16" si="4">(C10 - C14)</f>
        <v>674971.04999999981</v>
      </c>
      <c r="D16" s="27"/>
      <c r="E16" s="27">
        <f t="shared" si="4"/>
        <v>768521.9700000002</v>
      </c>
      <c r="F16" s="27">
        <f t="shared" si="4"/>
        <v>1601009.8586515388</v>
      </c>
      <c r="G16" s="104">
        <f>(E16-F16)/F16*100</f>
        <v>-51.99767410256343</v>
      </c>
      <c r="H16" s="104">
        <f>E16-F16</f>
        <v>-832487.88865153864</v>
      </c>
      <c r="I16" s="99"/>
      <c r="J16" s="27">
        <f t="shared" ref="J16:K16" si="5">(J10 - J14)</f>
        <v>10201585.43</v>
      </c>
      <c r="K16" s="27">
        <f t="shared" si="5"/>
        <v>12321278.641039886</v>
      </c>
      <c r="L16" s="104">
        <f>(J16-K16)/K16*100</f>
        <v>-17.203516556955236</v>
      </c>
      <c r="M16" s="104">
        <f>J16-K16</f>
        <v>-2119693.2110398859</v>
      </c>
    </row>
    <row r="17" spans="1:13" ht="13.35" customHeight="1" x14ac:dyDescent="0.25">
      <c r="B17" s="24"/>
      <c r="C17" s="24"/>
      <c r="D17" s="24"/>
      <c r="E17" s="24"/>
      <c r="F17" s="24"/>
      <c r="G17" s="103"/>
      <c r="H17" s="103"/>
      <c r="I17" s="99"/>
      <c r="J17" s="24"/>
      <c r="K17" s="24"/>
      <c r="L17" s="103"/>
      <c r="M17" s="103"/>
    </row>
    <row r="18" spans="1:13" s="15" customFormat="1" ht="12.15" customHeight="1" x14ac:dyDescent="0.3">
      <c r="A18" s="17" t="s">
        <v>16</v>
      </c>
      <c r="B18" s="25"/>
      <c r="C18" s="25"/>
      <c r="D18" s="25"/>
      <c r="E18" s="25"/>
      <c r="F18" s="25"/>
      <c r="G18" s="22"/>
      <c r="H18" s="22"/>
      <c r="I18" s="100"/>
      <c r="J18" s="25"/>
      <c r="K18" s="25"/>
      <c r="L18" s="22"/>
      <c r="M18" s="22"/>
    </row>
    <row r="19" spans="1:13" ht="10.95" customHeight="1" x14ac:dyDescent="0.25">
      <c r="A19" s="28" t="s">
        <v>18</v>
      </c>
      <c r="B19" s="29">
        <f>'SA P &amp; L'!B21</f>
        <v>1422.69</v>
      </c>
      <c r="C19" s="29">
        <f>'SA P &amp; L'!N20</f>
        <v>24925.86</v>
      </c>
      <c r="D19" s="29"/>
      <c r="E19" s="29">
        <f>SUM(B19:D19)</f>
        <v>26348.55</v>
      </c>
      <c r="F19" s="29">
        <f>'SA V2'!S205</f>
        <v>28980.142857142859</v>
      </c>
      <c r="G19" s="105">
        <f t="shared" ref="G19:G50" si="6">(E19-F19)/F19*100</f>
        <v>-9.0806759308097735</v>
      </c>
      <c r="H19" s="105">
        <f t="shared" ref="H19:H50" si="7">E19-F19</f>
        <v>-2631.5928571428594</v>
      </c>
      <c r="I19" s="99"/>
      <c r="J19" s="29">
        <f>'SA P &amp; L'!K21+'SA P &amp; L'!W20</f>
        <v>246408.18000000002</v>
      </c>
      <c r="K19" s="29">
        <f>SUM('SA V2'!K205:S205)</f>
        <v>270978.57142857148</v>
      </c>
      <c r="L19" s="105">
        <f t="shared" ref="L19:L23" si="8">(J19-K19)/K19*100</f>
        <v>-9.0672820729103591</v>
      </c>
      <c r="M19" s="105">
        <f t="shared" ref="M19:M23" si="9">J19-K19</f>
        <v>-24570.391428571456</v>
      </c>
    </row>
    <row r="20" spans="1:13" ht="10.95" customHeight="1" x14ac:dyDescent="0.25">
      <c r="A20" s="28" t="s">
        <v>19</v>
      </c>
      <c r="B20" s="29">
        <f>'SA P &amp; L'!B22</f>
        <v>0</v>
      </c>
      <c r="C20" s="29">
        <v>0</v>
      </c>
      <c r="D20" s="29"/>
      <c r="E20" s="29">
        <f t="shared" ref="E20:E47" si="10">SUM(B20:D20)</f>
        <v>0</v>
      </c>
      <c r="F20" s="29">
        <f>'SA V2'!S206</f>
        <v>5600</v>
      </c>
      <c r="G20" s="22">
        <f t="shared" si="6"/>
        <v>-100</v>
      </c>
      <c r="H20" s="22">
        <f t="shared" si="7"/>
        <v>-5600</v>
      </c>
      <c r="I20" s="99"/>
      <c r="J20" s="29">
        <f>'SA P &amp; L'!K22</f>
        <v>44806.54</v>
      </c>
      <c r="K20" s="29">
        <f>SUM('SA V2'!K206:S206)</f>
        <v>24400</v>
      </c>
      <c r="L20" s="22">
        <f t="shared" si="8"/>
        <v>83.633360655737704</v>
      </c>
      <c r="M20" s="22">
        <f t="shared" si="9"/>
        <v>20406.54</v>
      </c>
    </row>
    <row r="21" spans="1:13" ht="10.95" customHeight="1" x14ac:dyDescent="0.25">
      <c r="A21" s="28" t="s">
        <v>232</v>
      </c>
      <c r="B21" s="29">
        <f>'SA P &amp; L'!B24</f>
        <v>22945</v>
      </c>
      <c r="C21" s="29">
        <f>'SA P &amp; L'!N22-125000</f>
        <v>0</v>
      </c>
      <c r="D21" s="29"/>
      <c r="E21" s="29">
        <f t="shared" si="10"/>
        <v>22945</v>
      </c>
      <c r="F21" s="29">
        <f>'SA V2'!S207</f>
        <v>24076.857142857141</v>
      </c>
      <c r="G21" s="22">
        <f t="shared" si="6"/>
        <v>-4.7010169813335807</v>
      </c>
      <c r="H21" s="22">
        <f t="shared" si="7"/>
        <v>-1131.8571428571413</v>
      </c>
      <c r="I21" s="99"/>
      <c r="J21" s="29">
        <f>'SA P &amp; L'!K24+'SA P &amp; L'!K27+'SA P &amp; L'!W22-N43</f>
        <v>184755.27000000002</v>
      </c>
      <c r="K21" s="29">
        <f>SUM('SA V2'!K207:S207)</f>
        <v>200297.42857142855</v>
      </c>
      <c r="L21" s="22">
        <f t="shared" si="8"/>
        <v>-7.7595397416128113</v>
      </c>
      <c r="M21" s="22">
        <f t="shared" si="9"/>
        <v>-15542.158571428532</v>
      </c>
    </row>
    <row r="22" spans="1:13" ht="10.95" customHeight="1" x14ac:dyDescent="0.25">
      <c r="A22" s="28" t="s">
        <v>233</v>
      </c>
      <c r="B22" s="29">
        <f>'SA P &amp; L'!B42</f>
        <v>15450</v>
      </c>
      <c r="C22" s="29">
        <f>'SA P &amp; L'!N43</f>
        <v>6035.09</v>
      </c>
      <c r="D22" s="29"/>
      <c r="E22" s="29">
        <f t="shared" si="10"/>
        <v>21485.09</v>
      </c>
      <c r="F22" s="29">
        <f>'SA V2'!S209</f>
        <v>13439.857142857143</v>
      </c>
      <c r="G22" s="22">
        <f t="shared" si="6"/>
        <v>59.860999798042073</v>
      </c>
      <c r="H22" s="22">
        <f t="shared" si="7"/>
        <v>8045.232857142857</v>
      </c>
      <c r="I22" s="99"/>
      <c r="J22" s="29">
        <f>'SA P &amp; L'!K42+'SA P &amp; L'!W43</f>
        <v>115197.32</v>
      </c>
      <c r="K22" s="29">
        <f>SUM('SA V2'!K209:S209)</f>
        <v>110181.42857142858</v>
      </c>
      <c r="L22" s="22">
        <f t="shared" si="8"/>
        <v>4.5523928066695172</v>
      </c>
      <c r="M22" s="22">
        <f t="shared" si="9"/>
        <v>5015.8914285714272</v>
      </c>
    </row>
    <row r="23" spans="1:13" ht="10.95" customHeight="1" x14ac:dyDescent="0.25">
      <c r="A23" s="28" t="s">
        <v>234</v>
      </c>
      <c r="B23" s="29">
        <f>'SA P &amp; L'!B37+'SA P &amp; L'!B36</f>
        <v>3800.9</v>
      </c>
      <c r="C23" s="29">
        <f>'SA P &amp; L'!N36+'SA P &amp; L'!N37</f>
        <v>3639.31</v>
      </c>
      <c r="D23" s="29"/>
      <c r="E23" s="29">
        <f t="shared" si="10"/>
        <v>7440.21</v>
      </c>
      <c r="F23" s="29">
        <f>'SA V2'!S210</f>
        <v>9210.4285714285706</v>
      </c>
      <c r="G23" s="22">
        <f t="shared" ref="G23" si="11">(E23-F23)/F23*100</f>
        <v>-19.219719882741607</v>
      </c>
      <c r="H23" s="22">
        <f t="shared" ref="H23" si="12">E23-F23</f>
        <v>-1770.2185714285706</v>
      </c>
      <c r="I23" s="99"/>
      <c r="J23" s="29">
        <f>'SA P &amp; L'!K36+'SA P &amp; L'!K37+'SA P &amp; L'!W36+'SA P &amp; L'!W37</f>
        <v>78596.19</v>
      </c>
      <c r="K23" s="29">
        <f>SUM('SA V2'!K210:S210)</f>
        <v>93895.714285714261</v>
      </c>
      <c r="L23" s="22">
        <f t="shared" si="8"/>
        <v>-16.294166780775001</v>
      </c>
      <c r="M23" s="22">
        <f t="shared" si="9"/>
        <v>-15299.524285714258</v>
      </c>
    </row>
    <row r="24" spans="1:13" ht="10.95" customHeight="1" x14ac:dyDescent="0.25">
      <c r="A24" s="28" t="s">
        <v>23</v>
      </c>
      <c r="B24" s="29">
        <f>0</f>
        <v>0</v>
      </c>
      <c r="C24" s="29">
        <f>'SA P &amp; L'!N24</f>
        <v>34962.81</v>
      </c>
      <c r="D24" s="29"/>
      <c r="E24" s="29">
        <f t="shared" si="10"/>
        <v>34962.81</v>
      </c>
      <c r="F24" s="29">
        <f>'SA V2'!S211</f>
        <v>60480</v>
      </c>
      <c r="G24" s="22">
        <f t="shared" si="6"/>
        <v>-42.191121031746036</v>
      </c>
      <c r="H24" s="22">
        <f t="shared" si="7"/>
        <v>-25517.190000000002</v>
      </c>
      <c r="I24" s="99"/>
      <c r="J24" s="29">
        <f>'SA P &amp; L'!W24</f>
        <v>249544.69</v>
      </c>
      <c r="K24" s="29">
        <f>SUM('SA V2'!K211:S211)</f>
        <v>362132</v>
      </c>
      <c r="L24" s="22">
        <f t="shared" ref="L24:L36" si="13">(J24-K24)/K24*100</f>
        <v>-31.090130118299403</v>
      </c>
      <c r="M24" s="22">
        <f t="shared" ref="M24:M36" si="14">J24-K24</f>
        <v>-112587.31</v>
      </c>
    </row>
    <row r="25" spans="1:13" ht="10.95" customHeight="1" x14ac:dyDescent="0.25">
      <c r="A25" s="28" t="s">
        <v>156</v>
      </c>
      <c r="B25" s="29">
        <f>'SA P &amp; L'!B29</f>
        <v>3477.39</v>
      </c>
      <c r="C25" s="29">
        <f>'SA P &amp; L'!N30</f>
        <v>5925</v>
      </c>
      <c r="D25" s="29"/>
      <c r="E25" s="29">
        <f t="shared" si="10"/>
        <v>9402.39</v>
      </c>
      <c r="F25" s="29">
        <f>'SA V2'!S212</f>
        <v>6975</v>
      </c>
      <c r="G25" s="22">
        <f t="shared" si="6"/>
        <v>34.801290322580634</v>
      </c>
      <c r="H25" s="22">
        <f t="shared" si="7"/>
        <v>2427.3899999999994</v>
      </c>
      <c r="I25" s="99"/>
      <c r="J25" s="29">
        <f>'SA P &amp; L'!W30+'SA P &amp; L'!K29</f>
        <v>48426</v>
      </c>
      <c r="K25" s="29">
        <f>SUM('SA V2'!K212:S212)</f>
        <v>57874</v>
      </c>
      <c r="L25" s="22">
        <f t="shared" si="13"/>
        <v>-16.325120088468051</v>
      </c>
      <c r="M25" s="22">
        <f t="shared" si="14"/>
        <v>-9448</v>
      </c>
    </row>
    <row r="26" spans="1:13" ht="10.95" customHeight="1" x14ac:dyDescent="0.25">
      <c r="A26" s="28" t="s">
        <v>157</v>
      </c>
      <c r="B26" s="29">
        <v>0</v>
      </c>
      <c r="C26" s="29">
        <f>'SA P &amp; L'!N31+'SA P &amp; L'!N32</f>
        <v>3234</v>
      </c>
      <c r="D26" s="29"/>
      <c r="E26" s="29">
        <f t="shared" si="10"/>
        <v>3234</v>
      </c>
      <c r="F26" s="29">
        <f>'SA V2'!S213</f>
        <v>25845.571428571428</v>
      </c>
      <c r="G26" s="22">
        <f t="shared" si="6"/>
        <v>-87.487218036800996</v>
      </c>
      <c r="H26" s="22">
        <f t="shared" si="7"/>
        <v>-22611.571428571428</v>
      </c>
      <c r="I26" s="99"/>
      <c r="J26" s="29">
        <f>'SA P &amp; L'!W31+'SA P &amp; L'!W32+'SA P &amp; L'!K30</f>
        <v>116186.89</v>
      </c>
      <c r="K26" s="29">
        <f>SUM('SA V2'!K213:S213)</f>
        <v>190107.28571428568</v>
      </c>
      <c r="L26" s="22">
        <f t="shared" si="13"/>
        <v>-38.883515398447933</v>
      </c>
      <c r="M26" s="22">
        <f t="shared" si="14"/>
        <v>-73920.395714285682</v>
      </c>
    </row>
    <row r="27" spans="1:13" ht="10.95" customHeight="1" x14ac:dyDescent="0.25">
      <c r="A27" s="28" t="s">
        <v>236</v>
      </c>
      <c r="B27" s="29">
        <f>'SA P &amp; L'!B23+'SA P &amp; L'!B26+'SA P &amp; L'!B28</f>
        <v>2550.2199999999998</v>
      </c>
      <c r="C27" s="29">
        <f>'SA P &amp; L'!N40+'SA P &amp; L'!N21</f>
        <v>19448.95</v>
      </c>
      <c r="D27" s="29"/>
      <c r="E27" s="29">
        <f t="shared" si="10"/>
        <v>21999.170000000002</v>
      </c>
      <c r="F27" s="29">
        <f>'SA V2'!S214</f>
        <v>28257.285714285714</v>
      </c>
      <c r="G27" s="22">
        <f t="shared" si="6"/>
        <v>-22.146910278512234</v>
      </c>
      <c r="H27" s="22">
        <f t="shared" si="7"/>
        <v>-6258.1157142857119</v>
      </c>
      <c r="I27" s="99"/>
      <c r="J27" s="29">
        <f>'SA P &amp; L'!W21+'SA P &amp; L'!W40+'SA P &amp; L'!K28+'SA P &amp; L'!K23+'SA P &amp; L'!K26</f>
        <v>334696.66000000003</v>
      </c>
      <c r="K27" s="29">
        <f>SUM('SA V2'!K214:S214)</f>
        <v>260677.14285714284</v>
      </c>
      <c r="L27" s="22">
        <f t="shared" si="13"/>
        <v>28.395092999550641</v>
      </c>
      <c r="M27" s="22">
        <f t="shared" si="14"/>
        <v>74019.517142857192</v>
      </c>
    </row>
    <row r="28" spans="1:13" ht="10.95" customHeight="1" x14ac:dyDescent="0.25">
      <c r="A28" s="28" t="s">
        <v>259</v>
      </c>
      <c r="B28" s="31">
        <f>'SA P &amp; L'!B39+'SA P &amp; L'!B47</f>
        <v>81413.16</v>
      </c>
      <c r="C28" s="31">
        <f>'SA P &amp; L'!N51</f>
        <v>4347.83</v>
      </c>
      <c r="D28" s="31"/>
      <c r="E28" s="29">
        <f t="shared" si="10"/>
        <v>85760.99</v>
      </c>
      <c r="F28" s="29">
        <f>'SA V2'!S215</f>
        <v>98609.142857142855</v>
      </c>
      <c r="G28" s="22">
        <f t="shared" si="6"/>
        <v>-13.029372819674784</v>
      </c>
      <c r="H28" s="22">
        <f t="shared" si="7"/>
        <v>-12848.15285714285</v>
      </c>
      <c r="I28" s="99"/>
      <c r="J28" s="31">
        <f>'SA P &amp; L'!W51+'SA P &amp; L'!K47+'SA P &amp; L'!K39</f>
        <v>859727.07000000007</v>
      </c>
      <c r="K28" s="29">
        <f>SUM('SA V2'!K215:S215)</f>
        <v>885734.57142857136</v>
      </c>
      <c r="L28" s="22">
        <f t="shared" si="13"/>
        <v>-2.9362635565443354</v>
      </c>
      <c r="M28" s="22">
        <f t="shared" si="14"/>
        <v>-26007.501428571297</v>
      </c>
    </row>
    <row r="29" spans="1:13" ht="10.95" customHeight="1" x14ac:dyDescent="0.25">
      <c r="A29" s="28" t="s">
        <v>29</v>
      </c>
      <c r="B29" s="29">
        <f>'SA P &amp; L'!B40</f>
        <v>21556.05</v>
      </c>
      <c r="C29" s="29">
        <f>'SA P &amp; L'!N38</f>
        <v>485.22</v>
      </c>
      <c r="D29" s="29"/>
      <c r="E29" s="29">
        <f t="shared" si="10"/>
        <v>22041.27</v>
      </c>
      <c r="F29" s="29">
        <f>'SA V2'!S216</f>
        <v>5674.7142857142853</v>
      </c>
      <c r="G29" s="22">
        <f t="shared" si="6"/>
        <v>288.41197794728492</v>
      </c>
      <c r="H29" s="22">
        <f t="shared" si="7"/>
        <v>16366.555714285714</v>
      </c>
      <c r="I29" s="99"/>
      <c r="J29" s="29">
        <f>'SA P &amp; L'!K40+'SA P &amp; L'!W38</f>
        <v>250318.15000000002</v>
      </c>
      <c r="K29" s="29">
        <f>SUM('SA V2'!K216:S216)</f>
        <v>43802.857142857138</v>
      </c>
      <c r="L29" s="22">
        <f t="shared" si="13"/>
        <v>471.46534798773735</v>
      </c>
      <c r="M29" s="22">
        <f t="shared" si="14"/>
        <v>206515.29285714289</v>
      </c>
    </row>
    <row r="30" spans="1:13" ht="10.95" customHeight="1" x14ac:dyDescent="0.25">
      <c r="A30" s="28" t="s">
        <v>32</v>
      </c>
      <c r="B30" s="29">
        <f>0</f>
        <v>0</v>
      </c>
      <c r="C30" s="29">
        <f>'SA P &amp; L'!N41</f>
        <v>0</v>
      </c>
      <c r="D30" s="29"/>
      <c r="E30" s="29">
        <f t="shared" si="10"/>
        <v>0</v>
      </c>
      <c r="F30" s="29">
        <f>'SA V2'!S217</f>
        <v>2120.2857142857142</v>
      </c>
      <c r="G30" s="22">
        <f t="shared" si="6"/>
        <v>-100</v>
      </c>
      <c r="H30" s="22">
        <f t="shared" si="7"/>
        <v>-2120.2857142857142</v>
      </c>
      <c r="I30" s="99"/>
      <c r="J30" s="29">
        <f>'SA P &amp; L'!W41</f>
        <v>25682.6</v>
      </c>
      <c r="K30" s="29">
        <f>SUM('SA V2'!K217:S217)</f>
        <v>22829.142857142855</v>
      </c>
      <c r="L30" s="22">
        <f t="shared" si="13"/>
        <v>12.499186503466751</v>
      </c>
      <c r="M30" s="22">
        <f t="shared" si="14"/>
        <v>2853.4571428571435</v>
      </c>
    </row>
    <row r="31" spans="1:13" ht="10.95" customHeight="1" x14ac:dyDescent="0.25">
      <c r="A31" s="28" t="s">
        <v>34</v>
      </c>
      <c r="B31" s="29">
        <f>'SA P &amp; L'!B43</f>
        <v>30262.2</v>
      </c>
      <c r="C31" s="29">
        <f>'SA P &amp; L'!N44</f>
        <v>3594.09</v>
      </c>
      <c r="D31" s="29"/>
      <c r="E31" s="29">
        <f t="shared" si="10"/>
        <v>33856.29</v>
      </c>
      <c r="F31" s="29">
        <f>'SA V2'!S218</f>
        <v>22047.714285714286</v>
      </c>
      <c r="G31" s="22">
        <f t="shared" si="6"/>
        <v>53.559183329661643</v>
      </c>
      <c r="H31" s="22">
        <f t="shared" si="7"/>
        <v>11808.575714285715</v>
      </c>
      <c r="I31" s="99"/>
      <c r="J31" s="29">
        <f>'SA P &amp; L'!W44+'SA P &amp; L'!K43</f>
        <v>261540.75</v>
      </c>
      <c r="K31" s="29">
        <f>SUM('SA V2'!K218:S218)</f>
        <v>211792.85714285716</v>
      </c>
      <c r="L31" s="22">
        <f t="shared" si="13"/>
        <v>23.488937978483008</v>
      </c>
      <c r="M31" s="22">
        <f t="shared" si="14"/>
        <v>49747.892857142841</v>
      </c>
    </row>
    <row r="32" spans="1:13" ht="10.95" customHeight="1" x14ac:dyDescent="0.25">
      <c r="A32" s="28" t="s">
        <v>35</v>
      </c>
      <c r="B32" s="29">
        <f>0</f>
        <v>0</v>
      </c>
      <c r="C32" s="29">
        <f>'SA P &amp; L'!N45</f>
        <v>8642.2999999999993</v>
      </c>
      <c r="D32" s="29"/>
      <c r="E32" s="29">
        <f t="shared" si="10"/>
        <v>8642.2999999999993</v>
      </c>
      <c r="F32" s="29">
        <f>'SA V2'!S219</f>
        <v>5219.8571428571431</v>
      </c>
      <c r="G32" s="22">
        <f t="shared" si="6"/>
        <v>65.565833766660248</v>
      </c>
      <c r="H32" s="22">
        <f t="shared" si="7"/>
        <v>3422.4428571428562</v>
      </c>
      <c r="I32" s="99"/>
      <c r="J32" s="29">
        <f>'SA P &amp; L'!W45</f>
        <v>52826.5</v>
      </c>
      <c r="K32" s="29">
        <f>SUM('SA V2'!K219:S219)</f>
        <v>46734.42857142858</v>
      </c>
      <c r="L32" s="22">
        <f t="shared" si="13"/>
        <v>13.035510681938348</v>
      </c>
      <c r="M32" s="22">
        <f t="shared" si="14"/>
        <v>6092.0714285714203</v>
      </c>
    </row>
    <row r="33" spans="1:14" ht="10.95" customHeight="1" x14ac:dyDescent="0.25">
      <c r="A33" s="28" t="s">
        <v>159</v>
      </c>
      <c r="B33" s="29">
        <f>'SA P &amp; L'!B41</f>
        <v>-20052.18</v>
      </c>
      <c r="C33" s="29">
        <f>'SA P &amp; L'!N42</f>
        <v>0</v>
      </c>
      <c r="D33" s="29"/>
      <c r="E33" s="29">
        <f t="shared" si="10"/>
        <v>-20052.18</v>
      </c>
      <c r="F33" s="29">
        <f>'SA V2'!S220</f>
        <v>10624.285714285714</v>
      </c>
      <c r="G33" s="22">
        <f t="shared" si="6"/>
        <v>-288.73908834207344</v>
      </c>
      <c r="H33" s="22">
        <f t="shared" si="7"/>
        <v>-30676.465714285714</v>
      </c>
      <c r="I33" s="99"/>
      <c r="J33" s="29">
        <f>'SA P &amp; L'!K41+'SA P &amp; L'!W42</f>
        <v>75312.820000000007</v>
      </c>
      <c r="K33" s="29">
        <f>SUM('SA V2'!K220:S220)</f>
        <v>105519.14285714284</v>
      </c>
      <c r="L33" s="22">
        <f t="shared" si="13"/>
        <v>-28.626391419837137</v>
      </c>
      <c r="M33" s="22">
        <f t="shared" si="14"/>
        <v>-30206.322857142834</v>
      </c>
    </row>
    <row r="34" spans="1:14" ht="10.95" customHeight="1" x14ac:dyDescent="0.25">
      <c r="A34" s="28" t="s">
        <v>36</v>
      </c>
      <c r="B34" s="29">
        <f>'SA P &amp; L'!B44</f>
        <v>72397.39</v>
      </c>
      <c r="C34" s="29">
        <f>'SA P &amp; L'!N49</f>
        <v>206514.51</v>
      </c>
      <c r="D34" s="29"/>
      <c r="E34" s="29">
        <f t="shared" si="10"/>
        <v>278911.90000000002</v>
      </c>
      <c r="F34" s="29">
        <f>'SA V2'!S221</f>
        <v>161387</v>
      </c>
      <c r="G34" s="22">
        <f t="shared" si="6"/>
        <v>72.821788619901255</v>
      </c>
      <c r="H34" s="22">
        <f t="shared" si="7"/>
        <v>117524.90000000002</v>
      </c>
      <c r="I34" s="99"/>
      <c r="J34" s="29">
        <f>'SA P &amp; L'!K44+'SA P &amp; L'!W49</f>
        <v>1923653.54</v>
      </c>
      <c r="K34" s="29">
        <f>SUM('SA V2'!K221:S221)</f>
        <v>1691737</v>
      </c>
      <c r="L34" s="22">
        <f t="shared" si="13"/>
        <v>13.708782157037414</v>
      </c>
      <c r="M34" s="22">
        <f t="shared" si="14"/>
        <v>231916.54000000004</v>
      </c>
    </row>
    <row r="35" spans="1:14" ht="10.95" customHeight="1" x14ac:dyDescent="0.25">
      <c r="A35" s="28" t="s">
        <v>37</v>
      </c>
      <c r="B35" s="29">
        <f>'SA P &amp; L'!B45</f>
        <v>0</v>
      </c>
      <c r="C35" s="29">
        <f>'SA P &amp; L'!N50</f>
        <v>13580.02</v>
      </c>
      <c r="D35" s="29"/>
      <c r="E35" s="29">
        <f t="shared" si="10"/>
        <v>13580.02</v>
      </c>
      <c r="F35" s="29">
        <f>'SA V2'!S222</f>
        <v>5347.1428571428569</v>
      </c>
      <c r="G35" s="22">
        <f t="shared" si="6"/>
        <v>153.96777985573073</v>
      </c>
      <c r="H35" s="22">
        <f t="shared" si="7"/>
        <v>8232.8771428571436</v>
      </c>
      <c r="I35" s="99"/>
      <c r="J35" s="29">
        <f>'SA P &amp; L'!W50+'SA P &amp; L'!K45</f>
        <v>146911.31000000003</v>
      </c>
      <c r="K35" s="29">
        <f>SUM('SA V2'!K222:S222)</f>
        <v>49378.57142857142</v>
      </c>
      <c r="L35" s="22">
        <f t="shared" si="13"/>
        <v>197.5203732098945</v>
      </c>
      <c r="M35" s="22">
        <f t="shared" si="14"/>
        <v>97532.738571428607</v>
      </c>
    </row>
    <row r="36" spans="1:14" ht="10.95" customHeight="1" x14ac:dyDescent="0.25">
      <c r="A36" s="28" t="s">
        <v>160</v>
      </c>
      <c r="B36" s="29">
        <v>0</v>
      </c>
      <c r="C36" s="29">
        <v>0</v>
      </c>
      <c r="D36" s="29"/>
      <c r="E36" s="29">
        <f t="shared" si="10"/>
        <v>0</v>
      </c>
      <c r="F36" s="29">
        <f>'SA V2'!S223</f>
        <v>35000</v>
      </c>
      <c r="G36" s="22">
        <f t="shared" si="6"/>
        <v>-100</v>
      </c>
      <c r="H36" s="22">
        <f t="shared" si="7"/>
        <v>-35000</v>
      </c>
      <c r="I36" s="99"/>
      <c r="J36" s="29">
        <v>0</v>
      </c>
      <c r="K36" s="29">
        <f>SUM('SA V2'!K223:S223)</f>
        <v>315000</v>
      </c>
      <c r="L36" s="22">
        <f t="shared" si="13"/>
        <v>-100</v>
      </c>
      <c r="M36" s="22">
        <f t="shared" si="14"/>
        <v>-315000</v>
      </c>
    </row>
    <row r="37" spans="1:14" ht="10.95" customHeight="1" x14ac:dyDescent="0.25">
      <c r="A37" s="81" t="s">
        <v>17</v>
      </c>
      <c r="B37" s="91">
        <f>'SA P &amp; L'!B20</f>
        <v>53660.37</v>
      </c>
      <c r="C37" s="82">
        <f>'SA P &amp; L'!N19</f>
        <v>125000</v>
      </c>
      <c r="D37" s="82">
        <f>-125000</f>
        <v>-125000</v>
      </c>
      <c r="E37" s="29">
        <f t="shared" si="10"/>
        <v>53660.369999999995</v>
      </c>
      <c r="F37" s="82">
        <f>'SA V2'!S204</f>
        <v>125000</v>
      </c>
      <c r="G37" s="82">
        <f>(E37-F37)/F37*100</f>
        <v>-57.071704000000004</v>
      </c>
      <c r="H37" s="82">
        <f>E37-F37</f>
        <v>-71339.63</v>
      </c>
      <c r="I37" s="99"/>
      <c r="J37" s="82">
        <f>'SA P &amp; L'!K20</f>
        <v>753629.54</v>
      </c>
      <c r="K37" s="85">
        <f>SUM('SA V2'!K204:S204)</f>
        <v>940243</v>
      </c>
      <c r="L37" s="82">
        <f>(J37-K37)/K37*100</f>
        <v>-19.847364989688831</v>
      </c>
      <c r="M37" s="82">
        <f>J37-K37</f>
        <v>-186613.45999999996</v>
      </c>
    </row>
    <row r="38" spans="1:14" ht="10.95" customHeight="1" x14ac:dyDescent="0.25">
      <c r="A38" s="83" t="s">
        <v>27</v>
      </c>
      <c r="B38" s="83">
        <v>0</v>
      </c>
      <c r="C38" s="84">
        <f>'SA P &amp; L'!N39</f>
        <v>1215250</v>
      </c>
      <c r="D38" s="84">
        <f>-1215250</f>
        <v>-1215250</v>
      </c>
      <c r="E38" s="82">
        <f t="shared" si="10"/>
        <v>0</v>
      </c>
      <c r="F38" s="82"/>
      <c r="G38" s="82"/>
      <c r="H38" s="82">
        <f>E38-F38</f>
        <v>0</v>
      </c>
      <c r="I38" s="99"/>
      <c r="J38" s="82"/>
      <c r="K38" s="85"/>
      <c r="L38" s="82"/>
      <c r="M38" s="82"/>
    </row>
    <row r="39" spans="1:14" ht="10.95" customHeight="1" x14ac:dyDescent="0.25">
      <c r="A39" s="28" t="s">
        <v>260</v>
      </c>
      <c r="B39" s="29">
        <f>'SA P &amp; L'!B38+'SA P &amp; L'!B46</f>
        <v>8790.7799999999988</v>
      </c>
      <c r="C39" s="29"/>
      <c r="D39" s="29"/>
      <c r="E39" s="29">
        <f t="shared" si="10"/>
        <v>8790.7799999999988</v>
      </c>
      <c r="F39" s="29"/>
      <c r="G39" s="22"/>
      <c r="H39" s="22"/>
      <c r="I39" s="99"/>
      <c r="J39" s="29">
        <f>'SA P &amp; L'!K38+'SA P &amp; L'!K46</f>
        <v>-13774.97</v>
      </c>
      <c r="K39" s="29"/>
      <c r="L39" s="22"/>
      <c r="M39" s="22"/>
    </row>
    <row r="40" spans="1:14" ht="10.95" customHeight="1" x14ac:dyDescent="0.25">
      <c r="A40" s="28"/>
      <c r="B40" s="29"/>
      <c r="C40" s="29"/>
      <c r="D40" s="29"/>
      <c r="E40" s="29">
        <f t="shared" si="10"/>
        <v>0</v>
      </c>
      <c r="F40" s="29"/>
      <c r="G40" s="22"/>
      <c r="H40" s="22"/>
      <c r="I40" s="99"/>
      <c r="J40" s="29"/>
      <c r="K40" s="29"/>
      <c r="L40" s="22"/>
      <c r="M40" s="22"/>
    </row>
    <row r="41" spans="1:14" ht="10.95" customHeight="1" x14ac:dyDescent="0.25">
      <c r="A41" s="21" t="s">
        <v>187</v>
      </c>
      <c r="B41" s="29"/>
      <c r="C41" s="29"/>
      <c r="D41" s="29"/>
      <c r="E41" s="29">
        <f t="shared" si="10"/>
        <v>0</v>
      </c>
      <c r="F41" s="29"/>
      <c r="G41" s="22"/>
      <c r="H41" s="22"/>
      <c r="I41" s="99"/>
      <c r="J41" s="29"/>
      <c r="K41" s="29"/>
      <c r="L41" s="22"/>
      <c r="M41" s="22"/>
    </row>
    <row r="42" spans="1:14" ht="10.95" customHeight="1" x14ac:dyDescent="0.25">
      <c r="A42" s="9" t="s">
        <v>217</v>
      </c>
      <c r="B42" s="30">
        <f>'SA P &amp; L'!B31+'SA P &amp; L'!B32</f>
        <v>40000</v>
      </c>
      <c r="C42" s="30">
        <f>SUM('SA P &amp; L'!N46:N48)+SUM('SA P &amp; L'!N25:N29)</f>
        <v>128544.35999999999</v>
      </c>
      <c r="D42" s="30"/>
      <c r="E42" s="29">
        <f t="shared" si="10"/>
        <v>168544.36</v>
      </c>
      <c r="F42" s="29">
        <f>'SA V2'!S181</f>
        <v>250000</v>
      </c>
      <c r="G42" s="22">
        <f>(E42-F42)/F42*100</f>
        <v>-32.582256000000001</v>
      </c>
      <c r="H42" s="22">
        <f>E42-F42</f>
        <v>-81455.640000000014</v>
      </c>
      <c r="I42" s="99"/>
      <c r="J42" s="30">
        <f>'SA P &amp; L'!K31+'SA P &amp; L'!K32+SUM('SA P &amp; L'!W46:W48)+SUM('SA P &amp; L'!W25:W29)</f>
        <v>2379229.15</v>
      </c>
      <c r="K42" s="29">
        <f>-(SUM('SA V2'!K296:R296))</f>
        <v>2000000</v>
      </c>
      <c r="L42" s="22">
        <f>(J42-K42)/K42*100</f>
        <v>18.961457499999995</v>
      </c>
      <c r="M42" s="22">
        <f>J42-K42</f>
        <v>379229.14999999991</v>
      </c>
    </row>
    <row r="43" spans="1:14" ht="10.95" customHeight="1" x14ac:dyDescent="0.25">
      <c r="A43" s="28" t="s">
        <v>38</v>
      </c>
      <c r="B43" s="29">
        <f>'SA P &amp; L'!B33+'SA P &amp; L'!B34+'SA P &amp; L'!B35</f>
        <v>648871.26</v>
      </c>
      <c r="C43" s="29">
        <v>125000</v>
      </c>
      <c r="D43" s="29"/>
      <c r="E43" s="29">
        <f t="shared" si="10"/>
        <v>773871.26</v>
      </c>
      <c r="F43" s="29">
        <f>-('SA V2'!S298-'SA V2'!S296)</f>
        <v>890746.3870000001</v>
      </c>
      <c r="G43" s="22">
        <f t="shared" si="6"/>
        <v>-13.121032956825237</v>
      </c>
      <c r="H43" s="22">
        <f t="shared" si="7"/>
        <v>-116875.12700000009</v>
      </c>
      <c r="I43" s="99"/>
      <c r="J43" s="29">
        <f>SUM('SA P &amp; L'!K33:K35)+SUM('SA P &amp; L'!W33:W35)+N43</f>
        <v>7536016.4900000002</v>
      </c>
      <c r="K43" s="29">
        <f>(-SUM('SA V2'!K298:S298)-Combined!K42)</f>
        <v>7935628.949000001</v>
      </c>
      <c r="L43" s="22">
        <f t="shared" ref="L43" si="15">(J43-K43)/K43*100</f>
        <v>-5.0356746965892025</v>
      </c>
      <c r="M43" s="22">
        <f t="shared" ref="M43" si="16">J43-K43</f>
        <v>-399612.45900000073</v>
      </c>
      <c r="N43" s="9">
        <f>290384.62+125000+125000</f>
        <v>540384.62</v>
      </c>
    </row>
    <row r="44" spans="1:14" ht="10.95" customHeight="1" x14ac:dyDescent="0.25">
      <c r="A44" s="28"/>
      <c r="B44" s="29"/>
      <c r="C44" s="29"/>
      <c r="D44" s="29"/>
      <c r="E44" s="29">
        <f t="shared" si="10"/>
        <v>0</v>
      </c>
      <c r="F44" s="29"/>
      <c r="G44" s="22"/>
      <c r="H44" s="22"/>
      <c r="I44" s="99"/>
      <c r="J44" s="29"/>
      <c r="K44" s="29"/>
      <c r="L44" s="22"/>
      <c r="M44" s="22"/>
    </row>
    <row r="45" spans="1:14" ht="10.95" customHeight="1" x14ac:dyDescent="0.25">
      <c r="A45" s="21" t="s">
        <v>188</v>
      </c>
      <c r="B45" s="29"/>
      <c r="C45" s="29"/>
      <c r="D45" s="29"/>
      <c r="E45" s="29">
        <f t="shared" si="10"/>
        <v>0</v>
      </c>
      <c r="F45" s="29"/>
      <c r="G45" s="22"/>
      <c r="H45" s="22"/>
      <c r="I45" s="99"/>
      <c r="J45" s="29"/>
      <c r="K45" s="29"/>
      <c r="L45" s="22"/>
      <c r="M45" s="22"/>
    </row>
    <row r="46" spans="1:14" ht="10.95" customHeight="1" x14ac:dyDescent="0.25">
      <c r="A46" s="28" t="s">
        <v>22</v>
      </c>
      <c r="B46" s="30">
        <f>'SA P &amp; L'!B25</f>
        <v>277684.38</v>
      </c>
      <c r="C46" s="30">
        <f>'SA P &amp; L'!N23</f>
        <v>26979.19</v>
      </c>
      <c r="D46" s="30"/>
      <c r="E46" s="29">
        <f t="shared" si="10"/>
        <v>304663.57</v>
      </c>
      <c r="F46" s="29">
        <f>'SA V2'!S208</f>
        <v>305633</v>
      </c>
      <c r="G46" s="22">
        <f>(E46-F46)/F46*100</f>
        <v>-0.31718760735915069</v>
      </c>
      <c r="H46" s="22">
        <f>E46-F46</f>
        <v>-969.42999999999302</v>
      </c>
      <c r="I46" s="99"/>
      <c r="J46" s="30">
        <f>'SA P &amp; L'!K25+'SA P &amp; L'!W23</f>
        <v>2742490.52</v>
      </c>
      <c r="K46" s="29">
        <f>SUM('SA V2'!K208:S208)</f>
        <v>2750697</v>
      </c>
      <c r="L46" s="22">
        <f>(J46-K46)/K46*100</f>
        <v>-0.29834183845039935</v>
      </c>
      <c r="M46" s="22">
        <f>J46-K46</f>
        <v>-8206.4799999999814</v>
      </c>
    </row>
    <row r="47" spans="1:14" ht="10.95" customHeight="1" x14ac:dyDescent="0.25">
      <c r="A47" s="28" t="s">
        <v>41</v>
      </c>
      <c r="B47" s="29"/>
      <c r="C47" s="29"/>
      <c r="D47" s="29"/>
      <c r="E47" s="29">
        <f t="shared" si="10"/>
        <v>0</v>
      </c>
      <c r="F47" s="29"/>
      <c r="G47" s="22"/>
      <c r="H47" s="22">
        <f>E47-F47</f>
        <v>0</v>
      </c>
      <c r="I47" s="99"/>
      <c r="J47" s="29"/>
      <c r="K47" s="29"/>
      <c r="L47" s="22"/>
      <c r="M47" s="22"/>
    </row>
    <row r="48" spans="1:14" ht="10.95" customHeight="1" x14ac:dyDescent="0.25">
      <c r="A48" s="21" t="s">
        <v>39</v>
      </c>
      <c r="B48" s="22">
        <f>SUM(B19:B47)</f>
        <v>1264229.6099999999</v>
      </c>
      <c r="C48" s="22">
        <f>SUM(C19:C47)</f>
        <v>1956108.54</v>
      </c>
      <c r="D48" s="22">
        <f>D13+D37+D38</f>
        <v>-1571885</v>
      </c>
      <c r="E48" s="22">
        <f>SUM(E19:E47)</f>
        <v>1880088.1500000001</v>
      </c>
      <c r="F48" s="22">
        <f>SUM(F19:F47)</f>
        <v>2120274.6727142856</v>
      </c>
      <c r="G48" s="22">
        <f t="shared" si="6"/>
        <v>-11.328085262029228</v>
      </c>
      <c r="H48" s="22">
        <f>SUM(H19:H47)</f>
        <v>-248977.30271428579</v>
      </c>
      <c r="I48" s="99"/>
      <c r="J48" s="22">
        <f>SUM(J19:J47)</f>
        <v>18412181.210000001</v>
      </c>
      <c r="K48" s="22">
        <f>SUM(K19:K47)</f>
        <v>18569641.091857143</v>
      </c>
      <c r="L48" s="22">
        <f t="shared" ref="L48" si="17">(J48-K48)/K48*100</f>
        <v>-0.8479425158420999</v>
      </c>
      <c r="M48" s="22">
        <f>SUM(M19:M47)</f>
        <v>-143684.91185714328</v>
      </c>
    </row>
    <row r="49" spans="1:13" ht="13.35" customHeight="1" x14ac:dyDescent="0.25">
      <c r="B49" s="24"/>
      <c r="C49" s="24"/>
      <c r="D49" s="24"/>
      <c r="E49" s="24"/>
      <c r="F49" s="24"/>
      <c r="G49" s="22"/>
      <c r="H49" s="22"/>
      <c r="I49" s="99"/>
      <c r="J49" s="24"/>
      <c r="K49" s="24"/>
      <c r="L49" s="22"/>
      <c r="M49" s="22"/>
    </row>
    <row r="50" spans="1:13" ht="10.95" customHeight="1" x14ac:dyDescent="0.25">
      <c r="A50" s="26" t="s">
        <v>40</v>
      </c>
      <c r="B50" s="27">
        <f>B16-B48</f>
        <v>169571.31000000006</v>
      </c>
      <c r="C50" s="27">
        <f>C16-C48</f>
        <v>-1281137.4900000002</v>
      </c>
      <c r="D50" s="27"/>
      <c r="E50" s="27">
        <f>E16-E48</f>
        <v>-1111566.18</v>
      </c>
      <c r="F50" s="27">
        <f>((F16 + 0) - F48)</f>
        <v>-519264.81406274671</v>
      </c>
      <c r="G50" s="106">
        <f t="shared" si="6"/>
        <v>114.0653766433866</v>
      </c>
      <c r="H50" s="106">
        <f t="shared" si="7"/>
        <v>-592301.36593725323</v>
      </c>
      <c r="I50" s="99"/>
      <c r="J50" s="27">
        <f>J16-J48</f>
        <v>-8210595.7800000012</v>
      </c>
      <c r="K50" s="27">
        <f>((K16 + 0) - K48)</f>
        <v>-6248362.4508172572</v>
      </c>
      <c r="L50" s="106">
        <f t="shared" ref="L50" si="18">(J50-K50)/K50*100</f>
        <v>31.403961351923382</v>
      </c>
      <c r="M50" s="106">
        <f t="shared" ref="M50" si="19">J50-K50</f>
        <v>-1962233.329182744</v>
      </c>
    </row>
    <row r="51" spans="1:13" x14ac:dyDescent="0.25">
      <c r="B51" s="24"/>
      <c r="C51" s="24"/>
      <c r="D51" s="24"/>
      <c r="E51" s="24"/>
      <c r="F51" s="24"/>
      <c r="G51" s="99"/>
      <c r="H51" s="99"/>
      <c r="I51" s="99"/>
      <c r="J51" s="24"/>
      <c r="K51" s="24"/>
    </row>
    <row r="52" spans="1:13" ht="10.95" customHeight="1" x14ac:dyDescent="0.25">
      <c r="A52" s="28"/>
      <c r="B52" s="29"/>
      <c r="C52" s="29"/>
      <c r="D52" s="29"/>
      <c r="E52" s="29"/>
      <c r="F52" s="29"/>
      <c r="G52" s="23"/>
      <c r="H52" s="23"/>
      <c r="J52" s="29"/>
      <c r="K52" s="29"/>
      <c r="L52" s="23"/>
      <c r="M52" s="23"/>
    </row>
    <row r="53" spans="1:13" ht="10.95" customHeight="1" x14ac:dyDescent="0.25">
      <c r="A53" s="28"/>
      <c r="B53" s="29"/>
      <c r="C53" s="29"/>
      <c r="D53" s="29"/>
      <c r="E53" s="29"/>
      <c r="F53" s="29"/>
      <c r="G53" s="23"/>
      <c r="H53" s="23"/>
      <c r="J53" s="29"/>
      <c r="K53" s="29"/>
      <c r="L53" s="23"/>
      <c r="M53" s="23"/>
    </row>
    <row r="54" spans="1:13" ht="10.95" customHeight="1" x14ac:dyDescent="0.25">
      <c r="A54" s="28"/>
      <c r="B54" s="29"/>
      <c r="C54" s="29"/>
      <c r="D54" s="29"/>
      <c r="E54" s="29"/>
      <c r="F54" s="29"/>
      <c r="G54" s="23"/>
      <c r="H54" s="23"/>
      <c r="J54" s="29"/>
      <c r="K54" s="29"/>
      <c r="L54" s="23"/>
      <c r="M54" s="23"/>
    </row>
    <row r="55" spans="1:13" ht="10.95" customHeight="1" x14ac:dyDescent="0.25">
      <c r="A55" s="28"/>
      <c r="B55" s="29"/>
      <c r="C55" s="29"/>
      <c r="D55" s="29"/>
      <c r="E55" s="29"/>
      <c r="F55" s="29"/>
      <c r="G55" s="23"/>
      <c r="H55" s="23"/>
      <c r="J55" s="29"/>
      <c r="K55" s="29"/>
      <c r="L55" s="23"/>
      <c r="M55" s="23"/>
    </row>
    <row r="56" spans="1:13" ht="10.95" customHeight="1" x14ac:dyDescent="0.25">
      <c r="A56" s="28"/>
      <c r="B56" s="29"/>
      <c r="C56" s="29"/>
      <c r="D56" s="29"/>
      <c r="E56" s="29"/>
      <c r="F56" s="29"/>
      <c r="G56" s="23"/>
      <c r="H56" s="23"/>
      <c r="J56" s="29"/>
      <c r="K56" s="29"/>
      <c r="L56" s="23"/>
      <c r="M56" s="23"/>
    </row>
    <row r="57" spans="1:13" ht="10.95" customHeight="1" x14ac:dyDescent="0.25">
      <c r="A57" s="28"/>
      <c r="B57" s="29"/>
      <c r="C57" s="29"/>
      <c r="D57" s="29"/>
      <c r="E57" s="29"/>
      <c r="F57" s="29"/>
      <c r="G57" s="23"/>
      <c r="H57" s="23"/>
      <c r="J57" s="29"/>
      <c r="K57" s="29"/>
      <c r="L57" s="23"/>
      <c r="M57" s="23"/>
    </row>
    <row r="58" spans="1:13" ht="10.95" customHeight="1" x14ac:dyDescent="0.25">
      <c r="A58" s="28"/>
      <c r="B58" s="29"/>
      <c r="C58" s="29"/>
      <c r="D58" s="29"/>
      <c r="E58" s="29"/>
      <c r="F58" s="29"/>
      <c r="G58" s="23"/>
      <c r="H58" s="23"/>
      <c r="J58" s="29"/>
      <c r="K58" s="29"/>
      <c r="L58" s="23"/>
      <c r="M58" s="23"/>
    </row>
  </sheetData>
  <phoneticPr fontId="25" type="noConversion"/>
  <conditionalFormatting sqref="E19:E35 E37 E42:E43 E46:E47">
    <cfRule type="expression" dxfId="9" priority="7">
      <formula>AND(E19 &gt;= (F19 * 0.75), E19 &lt;= (F19 * 1.25))</formula>
    </cfRule>
    <cfRule type="expression" dxfId="8" priority="15">
      <formula xml:space="preserve"> E19 &gt; (F19 * 0.75)</formula>
    </cfRule>
    <cfRule type="expression" dxfId="7" priority="16">
      <formula xml:space="preserve"> E19 &lt; (F19 * 1.25)</formula>
    </cfRule>
  </conditionalFormatting>
  <conditionalFormatting sqref="J19:J35 J37 J42:J43 J46">
    <cfRule type="expression" dxfId="6" priority="1">
      <formula>AND(J19 &gt;= (K19 * 0.75), J19 &lt;= (K19 * 1.25))</formula>
    </cfRule>
    <cfRule type="expression" dxfId="5" priority="2">
      <formula xml:space="preserve"> J19 &gt; (K19 * 0.75)</formula>
    </cfRule>
    <cfRule type="expression" dxfId="4" priority="3">
      <formula xml:space="preserve"> J19 &lt; (K19 * 1.25)</formula>
    </cfRule>
  </conditionalFormatting>
  <pageMargins left="0.7" right="0.7" top="0.75" bottom="0.75" header="0.3" footer="0.3"/>
  <pageSetup paperSize="9" fitToWidth="0" fitToHeight="0" orientation="portrait" horizontalDpi="4294967293" verticalDpi="300" r:id="rId1"/>
  <ignoredErrors>
    <ignoredError sqref="L48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D10BB-2C51-4ED6-93B7-8C5F86921038}">
  <sheetPr>
    <tabColor theme="5" tint="0.79998168889431442"/>
  </sheetPr>
  <dimension ref="A1:BX1093"/>
  <sheetViews>
    <sheetView zoomScaleNormal="85" workbookViewId="0">
      <pane xSplit="8" ySplit="4" topLeftCell="S210" activePane="bottomRight" state="frozen"/>
      <selection activeCell="I368" sqref="I368"/>
      <selection pane="topRight" activeCell="I368" sqref="I368"/>
      <selection pane="bottomLeft" activeCell="I368" sqref="I368"/>
      <selection pane="bottomRight" activeCell="D317" sqref="D317"/>
    </sheetView>
  </sheetViews>
  <sheetFormatPr defaultColWidth="16.25" defaultRowHeight="14.4" x14ac:dyDescent="0.3"/>
  <cols>
    <col min="1" max="1" width="2.375" style="32" customWidth="1"/>
    <col min="2" max="2" width="4.5" style="32" customWidth="1"/>
    <col min="3" max="3" width="58.125" style="32" customWidth="1"/>
    <col min="4" max="7" width="17.25" style="32" customWidth="1"/>
    <col min="8" max="8" width="1.875" style="32" customWidth="1"/>
    <col min="9" max="57" width="14.25" style="32" customWidth="1"/>
    <col min="58" max="16384" width="16.25" style="32"/>
  </cols>
  <sheetData>
    <row r="1" spans="1:57" x14ac:dyDescent="0.3">
      <c r="C1" s="33" t="s">
        <v>42</v>
      </c>
      <c r="D1" s="34">
        <f>D3/$D$2</f>
        <v>-359792.81012663624</v>
      </c>
      <c r="E1" s="34">
        <f t="shared" ref="E1:G1" si="0">E3/$D$2</f>
        <v>170927.788016821</v>
      </c>
      <c r="F1" s="34">
        <f t="shared" si="0"/>
        <v>345477.59134248411</v>
      </c>
      <c r="G1" s="34">
        <f t="shared" si="0"/>
        <v>937456.63457671634</v>
      </c>
    </row>
    <row r="2" spans="1:57" ht="14.25" customHeight="1" x14ac:dyDescent="0.3">
      <c r="A2" s="33"/>
      <c r="B2" s="33"/>
      <c r="C2" s="32" t="s">
        <v>43</v>
      </c>
      <c r="D2" s="35">
        <f>22.6-(22.6*0.4%)</f>
        <v>22.509600000000002</v>
      </c>
      <c r="E2" s="33"/>
      <c r="F2" s="33"/>
      <c r="G2" s="33"/>
      <c r="H2" s="33"/>
      <c r="I2" s="33">
        <f t="shared" ref="I2:BD2" si="1">YEAR(I4)</f>
        <v>2025</v>
      </c>
      <c r="J2" s="33">
        <f t="shared" si="1"/>
        <v>2025</v>
      </c>
      <c r="K2" s="33">
        <f t="shared" si="1"/>
        <v>2025</v>
      </c>
      <c r="L2" s="33">
        <f t="shared" si="1"/>
        <v>2025</v>
      </c>
      <c r="M2" s="33">
        <f t="shared" si="1"/>
        <v>2025</v>
      </c>
      <c r="N2" s="33">
        <f t="shared" si="1"/>
        <v>2025</v>
      </c>
      <c r="O2" s="33">
        <f t="shared" si="1"/>
        <v>2025</v>
      </c>
      <c r="P2" s="33">
        <f t="shared" si="1"/>
        <v>2025</v>
      </c>
      <c r="Q2" s="33">
        <f t="shared" si="1"/>
        <v>2025</v>
      </c>
      <c r="R2" s="33">
        <f t="shared" si="1"/>
        <v>2025</v>
      </c>
      <c r="S2" s="33">
        <f t="shared" si="1"/>
        <v>2025</v>
      </c>
      <c r="T2" s="33">
        <f t="shared" si="1"/>
        <v>2025</v>
      </c>
      <c r="U2" s="33">
        <f t="shared" si="1"/>
        <v>2026</v>
      </c>
      <c r="V2" s="33">
        <f t="shared" si="1"/>
        <v>2026</v>
      </c>
      <c r="W2" s="33">
        <f t="shared" si="1"/>
        <v>2026</v>
      </c>
      <c r="X2" s="33">
        <f t="shared" si="1"/>
        <v>2026</v>
      </c>
      <c r="Y2" s="33">
        <f t="shared" si="1"/>
        <v>2026</v>
      </c>
      <c r="Z2" s="33">
        <f t="shared" si="1"/>
        <v>2026</v>
      </c>
      <c r="AA2" s="33">
        <f t="shared" si="1"/>
        <v>2026</v>
      </c>
      <c r="AB2" s="33">
        <f t="shared" si="1"/>
        <v>2026</v>
      </c>
      <c r="AC2" s="33">
        <f t="shared" si="1"/>
        <v>2026</v>
      </c>
      <c r="AD2" s="33">
        <f t="shared" si="1"/>
        <v>2026</v>
      </c>
      <c r="AE2" s="33">
        <f t="shared" si="1"/>
        <v>2026</v>
      </c>
      <c r="AF2" s="33">
        <f t="shared" si="1"/>
        <v>2026</v>
      </c>
      <c r="AG2" s="33">
        <f t="shared" si="1"/>
        <v>2027</v>
      </c>
      <c r="AH2" s="33">
        <f t="shared" si="1"/>
        <v>2027</v>
      </c>
      <c r="AI2" s="33">
        <f t="shared" si="1"/>
        <v>2027</v>
      </c>
      <c r="AJ2" s="33">
        <f t="shared" si="1"/>
        <v>2027</v>
      </c>
      <c r="AK2" s="33">
        <f t="shared" si="1"/>
        <v>2027</v>
      </c>
      <c r="AL2" s="33">
        <f t="shared" si="1"/>
        <v>2027</v>
      </c>
      <c r="AM2" s="33">
        <f t="shared" si="1"/>
        <v>2027</v>
      </c>
      <c r="AN2" s="33">
        <f t="shared" si="1"/>
        <v>2027</v>
      </c>
      <c r="AO2" s="33">
        <f t="shared" si="1"/>
        <v>2027</v>
      </c>
      <c r="AP2" s="33">
        <f t="shared" si="1"/>
        <v>2027</v>
      </c>
      <c r="AQ2" s="33">
        <f t="shared" si="1"/>
        <v>2027</v>
      </c>
      <c r="AR2" s="33">
        <f t="shared" si="1"/>
        <v>2027</v>
      </c>
      <c r="AS2" s="33">
        <f t="shared" si="1"/>
        <v>2028</v>
      </c>
      <c r="AT2" s="33">
        <f t="shared" si="1"/>
        <v>2028</v>
      </c>
      <c r="AU2" s="33">
        <f t="shared" si="1"/>
        <v>2028</v>
      </c>
      <c r="AV2" s="33">
        <f t="shared" si="1"/>
        <v>2028</v>
      </c>
      <c r="AW2" s="33">
        <f t="shared" si="1"/>
        <v>2028</v>
      </c>
      <c r="AX2" s="33">
        <f t="shared" si="1"/>
        <v>2028</v>
      </c>
      <c r="AY2" s="33">
        <f t="shared" si="1"/>
        <v>2028</v>
      </c>
      <c r="AZ2" s="33">
        <f t="shared" si="1"/>
        <v>2028</v>
      </c>
      <c r="BA2" s="33">
        <f t="shared" si="1"/>
        <v>2028</v>
      </c>
      <c r="BB2" s="33">
        <f t="shared" si="1"/>
        <v>2028</v>
      </c>
      <c r="BC2" s="33">
        <f t="shared" si="1"/>
        <v>2028</v>
      </c>
      <c r="BD2" s="33">
        <f t="shared" si="1"/>
        <v>2028</v>
      </c>
      <c r="BE2" s="33"/>
    </row>
    <row r="3" spans="1:57" ht="14.25" customHeight="1" x14ac:dyDescent="0.3">
      <c r="A3" s="36"/>
      <c r="B3" s="37"/>
      <c r="C3" s="33" t="s">
        <v>44</v>
      </c>
      <c r="D3" s="38">
        <f>D$354</f>
        <v>-8098792.2388265319</v>
      </c>
      <c r="E3" s="38">
        <f t="shared" ref="E3:G3" si="2">E$354</f>
        <v>3847516.137143434</v>
      </c>
      <c r="F3" s="38">
        <f t="shared" si="2"/>
        <v>7776562.3900827812</v>
      </c>
      <c r="G3" s="38">
        <f t="shared" si="2"/>
        <v>21101773.861668058</v>
      </c>
      <c r="H3" s="37"/>
      <c r="I3" s="37" t="s">
        <v>222</v>
      </c>
      <c r="J3" s="37" t="s">
        <v>222</v>
      </c>
      <c r="K3" s="37" t="s">
        <v>222</v>
      </c>
      <c r="L3" s="37" t="s">
        <v>222</v>
      </c>
      <c r="M3" s="37" t="s">
        <v>222</v>
      </c>
      <c r="N3" s="37" t="s">
        <v>222</v>
      </c>
      <c r="O3" s="37" t="s">
        <v>222</v>
      </c>
      <c r="P3" s="37" t="s">
        <v>223</v>
      </c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  <c r="BD3" s="37"/>
      <c r="BE3" s="37"/>
    </row>
    <row r="4" spans="1:57" ht="14.25" customHeight="1" x14ac:dyDescent="0.3">
      <c r="A4" s="39"/>
      <c r="B4" s="39"/>
      <c r="C4" s="39"/>
      <c r="D4" s="40">
        <v>2025</v>
      </c>
      <c r="E4" s="40">
        <v>2026</v>
      </c>
      <c r="F4" s="40">
        <v>2027</v>
      </c>
      <c r="G4" s="40">
        <v>2028</v>
      </c>
      <c r="H4" s="39"/>
      <c r="I4" s="41">
        <v>45688</v>
      </c>
      <c r="J4" s="39">
        <f t="shared" ref="J4:BD4" si="3">EOMONTH(I4,1)</f>
        <v>45716</v>
      </c>
      <c r="K4" s="39">
        <f t="shared" si="3"/>
        <v>45747</v>
      </c>
      <c r="L4" s="39">
        <f t="shared" si="3"/>
        <v>45777</v>
      </c>
      <c r="M4" s="39">
        <f t="shared" si="3"/>
        <v>45808</v>
      </c>
      <c r="N4" s="39">
        <f t="shared" si="3"/>
        <v>45838</v>
      </c>
      <c r="O4" s="39">
        <f t="shared" si="3"/>
        <v>45869</v>
      </c>
      <c r="P4" s="39">
        <f t="shared" si="3"/>
        <v>45900</v>
      </c>
      <c r="Q4" s="39">
        <f t="shared" si="3"/>
        <v>45930</v>
      </c>
      <c r="R4" s="39">
        <f t="shared" si="3"/>
        <v>45961</v>
      </c>
      <c r="S4" s="39">
        <f t="shared" si="3"/>
        <v>45991</v>
      </c>
      <c r="T4" s="39">
        <f t="shared" si="3"/>
        <v>46022</v>
      </c>
      <c r="U4" s="39">
        <f t="shared" si="3"/>
        <v>46053</v>
      </c>
      <c r="V4" s="39">
        <f t="shared" si="3"/>
        <v>46081</v>
      </c>
      <c r="W4" s="39">
        <f t="shared" si="3"/>
        <v>46112</v>
      </c>
      <c r="X4" s="39">
        <f t="shared" si="3"/>
        <v>46142</v>
      </c>
      <c r="Y4" s="39">
        <f t="shared" si="3"/>
        <v>46173</v>
      </c>
      <c r="Z4" s="39">
        <f t="shared" si="3"/>
        <v>46203</v>
      </c>
      <c r="AA4" s="39">
        <f t="shared" si="3"/>
        <v>46234</v>
      </c>
      <c r="AB4" s="39">
        <f t="shared" si="3"/>
        <v>46265</v>
      </c>
      <c r="AC4" s="39">
        <f t="shared" si="3"/>
        <v>46295</v>
      </c>
      <c r="AD4" s="39">
        <f t="shared" si="3"/>
        <v>46326</v>
      </c>
      <c r="AE4" s="39">
        <f t="shared" si="3"/>
        <v>46356</v>
      </c>
      <c r="AF4" s="39">
        <f t="shared" si="3"/>
        <v>46387</v>
      </c>
      <c r="AG4" s="39">
        <f t="shared" si="3"/>
        <v>46418</v>
      </c>
      <c r="AH4" s="39">
        <f t="shared" si="3"/>
        <v>46446</v>
      </c>
      <c r="AI4" s="39">
        <f t="shared" si="3"/>
        <v>46477</v>
      </c>
      <c r="AJ4" s="39">
        <f t="shared" si="3"/>
        <v>46507</v>
      </c>
      <c r="AK4" s="39">
        <f t="shared" si="3"/>
        <v>46538</v>
      </c>
      <c r="AL4" s="39">
        <f t="shared" si="3"/>
        <v>46568</v>
      </c>
      <c r="AM4" s="39">
        <f t="shared" si="3"/>
        <v>46599</v>
      </c>
      <c r="AN4" s="39">
        <f t="shared" si="3"/>
        <v>46630</v>
      </c>
      <c r="AO4" s="39">
        <f t="shared" si="3"/>
        <v>46660</v>
      </c>
      <c r="AP4" s="39">
        <f t="shared" si="3"/>
        <v>46691</v>
      </c>
      <c r="AQ4" s="39">
        <f t="shared" si="3"/>
        <v>46721</v>
      </c>
      <c r="AR4" s="39">
        <f t="shared" si="3"/>
        <v>46752</v>
      </c>
      <c r="AS4" s="39">
        <f t="shared" si="3"/>
        <v>46783</v>
      </c>
      <c r="AT4" s="39">
        <f t="shared" si="3"/>
        <v>46812</v>
      </c>
      <c r="AU4" s="39">
        <f t="shared" si="3"/>
        <v>46843</v>
      </c>
      <c r="AV4" s="39">
        <f t="shared" si="3"/>
        <v>46873</v>
      </c>
      <c r="AW4" s="39">
        <f t="shared" si="3"/>
        <v>46904</v>
      </c>
      <c r="AX4" s="39">
        <f t="shared" si="3"/>
        <v>46934</v>
      </c>
      <c r="AY4" s="39">
        <f t="shared" si="3"/>
        <v>46965</v>
      </c>
      <c r="AZ4" s="39">
        <f t="shared" si="3"/>
        <v>46996</v>
      </c>
      <c r="BA4" s="39">
        <f t="shared" si="3"/>
        <v>47026</v>
      </c>
      <c r="BB4" s="39">
        <f t="shared" si="3"/>
        <v>47057</v>
      </c>
      <c r="BC4" s="39">
        <f t="shared" si="3"/>
        <v>47087</v>
      </c>
      <c r="BD4" s="39">
        <f t="shared" si="3"/>
        <v>47118</v>
      </c>
      <c r="BE4" s="39"/>
    </row>
    <row r="5" spans="1:57" ht="14.25" customHeight="1" x14ac:dyDescent="0.3">
      <c r="A5" s="42"/>
      <c r="B5" s="43" t="s">
        <v>45</v>
      </c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2"/>
      <c r="AS5" s="42"/>
      <c r="AT5" s="42"/>
      <c r="AU5" s="42"/>
      <c r="AV5" s="42"/>
      <c r="AW5" s="42"/>
      <c r="AX5" s="42"/>
      <c r="AY5" s="42"/>
      <c r="AZ5" s="42"/>
      <c r="BA5" s="42"/>
      <c r="BB5" s="42"/>
      <c r="BC5" s="42"/>
      <c r="BD5" s="42"/>
      <c r="BE5" s="42"/>
    </row>
    <row r="6" spans="1:57" ht="14.25" customHeight="1" x14ac:dyDescent="0.3">
      <c r="A6" s="44"/>
      <c r="B6" s="45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4"/>
      <c r="BE6" s="44"/>
    </row>
    <row r="7" spans="1:57" ht="14.25" customHeight="1" x14ac:dyDescent="0.3">
      <c r="A7" s="46"/>
      <c r="B7" s="37" t="s">
        <v>46</v>
      </c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</row>
    <row r="8" spans="1:57" ht="14.25" customHeight="1" x14ac:dyDescent="0.3">
      <c r="A8" s="46"/>
      <c r="B8" s="37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6"/>
      <c r="AY8" s="46"/>
      <c r="AZ8" s="46"/>
      <c r="BA8" s="46"/>
      <c r="BB8" s="46"/>
      <c r="BC8" s="46"/>
      <c r="BD8" s="46"/>
      <c r="BE8" s="46"/>
    </row>
    <row r="9" spans="1:57" ht="14.25" customHeight="1" x14ac:dyDescent="0.3">
      <c r="A9" s="46"/>
      <c r="B9" s="37"/>
      <c r="C9" s="46" t="s">
        <v>47</v>
      </c>
      <c r="D9" s="47">
        <f>I4</f>
        <v>45688</v>
      </c>
      <c r="E9" s="46"/>
      <c r="F9" s="46"/>
      <c r="G9" s="46"/>
      <c r="H9" s="46"/>
      <c r="I9" s="46">
        <f t="shared" ref="I9:BD9" si="4">IF(I4&gt;=$D$9,1,0)</f>
        <v>1</v>
      </c>
      <c r="J9" s="46">
        <f t="shared" si="4"/>
        <v>1</v>
      </c>
      <c r="K9" s="46">
        <f t="shared" si="4"/>
        <v>1</v>
      </c>
      <c r="L9" s="46">
        <f t="shared" si="4"/>
        <v>1</v>
      </c>
      <c r="M9" s="46">
        <f t="shared" si="4"/>
        <v>1</v>
      </c>
      <c r="N9" s="46">
        <f t="shared" si="4"/>
        <v>1</v>
      </c>
      <c r="O9" s="46">
        <f t="shared" si="4"/>
        <v>1</v>
      </c>
      <c r="P9" s="46">
        <f t="shared" si="4"/>
        <v>1</v>
      </c>
      <c r="Q9" s="46">
        <f t="shared" si="4"/>
        <v>1</v>
      </c>
      <c r="R9" s="46">
        <f t="shared" si="4"/>
        <v>1</v>
      </c>
      <c r="S9" s="46">
        <f t="shared" si="4"/>
        <v>1</v>
      </c>
      <c r="T9" s="46">
        <f t="shared" si="4"/>
        <v>1</v>
      </c>
      <c r="U9" s="46">
        <f t="shared" si="4"/>
        <v>1</v>
      </c>
      <c r="V9" s="46">
        <f t="shared" si="4"/>
        <v>1</v>
      </c>
      <c r="W9" s="46">
        <f t="shared" si="4"/>
        <v>1</v>
      </c>
      <c r="X9" s="46">
        <f t="shared" si="4"/>
        <v>1</v>
      </c>
      <c r="Y9" s="46">
        <f t="shared" si="4"/>
        <v>1</v>
      </c>
      <c r="Z9" s="46">
        <f t="shared" si="4"/>
        <v>1</v>
      </c>
      <c r="AA9" s="46">
        <f t="shared" si="4"/>
        <v>1</v>
      </c>
      <c r="AB9" s="46">
        <f t="shared" si="4"/>
        <v>1</v>
      </c>
      <c r="AC9" s="46">
        <f t="shared" si="4"/>
        <v>1</v>
      </c>
      <c r="AD9" s="46">
        <f t="shared" si="4"/>
        <v>1</v>
      </c>
      <c r="AE9" s="46">
        <f t="shared" si="4"/>
        <v>1</v>
      </c>
      <c r="AF9" s="46">
        <f t="shared" si="4"/>
        <v>1</v>
      </c>
      <c r="AG9" s="46">
        <f t="shared" si="4"/>
        <v>1</v>
      </c>
      <c r="AH9" s="46">
        <f t="shared" si="4"/>
        <v>1</v>
      </c>
      <c r="AI9" s="46">
        <f t="shared" si="4"/>
        <v>1</v>
      </c>
      <c r="AJ9" s="46">
        <f t="shared" si="4"/>
        <v>1</v>
      </c>
      <c r="AK9" s="46">
        <f t="shared" si="4"/>
        <v>1</v>
      </c>
      <c r="AL9" s="46">
        <f t="shared" si="4"/>
        <v>1</v>
      </c>
      <c r="AM9" s="46">
        <f t="shared" si="4"/>
        <v>1</v>
      </c>
      <c r="AN9" s="46">
        <f t="shared" si="4"/>
        <v>1</v>
      </c>
      <c r="AO9" s="46">
        <f t="shared" si="4"/>
        <v>1</v>
      </c>
      <c r="AP9" s="46">
        <f t="shared" si="4"/>
        <v>1</v>
      </c>
      <c r="AQ9" s="46">
        <f t="shared" si="4"/>
        <v>1</v>
      </c>
      <c r="AR9" s="46">
        <f t="shared" si="4"/>
        <v>1</v>
      </c>
      <c r="AS9" s="46">
        <f t="shared" si="4"/>
        <v>1</v>
      </c>
      <c r="AT9" s="46">
        <f t="shared" si="4"/>
        <v>1</v>
      </c>
      <c r="AU9" s="46">
        <f t="shared" si="4"/>
        <v>1</v>
      </c>
      <c r="AV9" s="46">
        <f t="shared" si="4"/>
        <v>1</v>
      </c>
      <c r="AW9" s="46">
        <f t="shared" si="4"/>
        <v>1</v>
      </c>
      <c r="AX9" s="46">
        <f t="shared" si="4"/>
        <v>1</v>
      </c>
      <c r="AY9" s="46">
        <f t="shared" si="4"/>
        <v>1</v>
      </c>
      <c r="AZ9" s="46">
        <f t="shared" si="4"/>
        <v>1</v>
      </c>
      <c r="BA9" s="46">
        <f t="shared" si="4"/>
        <v>1</v>
      </c>
      <c r="BB9" s="46">
        <f t="shared" si="4"/>
        <v>1</v>
      </c>
      <c r="BC9" s="46">
        <f t="shared" si="4"/>
        <v>1</v>
      </c>
      <c r="BD9" s="46">
        <f t="shared" si="4"/>
        <v>1</v>
      </c>
      <c r="BE9" s="46"/>
    </row>
    <row r="10" spans="1:57" ht="14.25" customHeight="1" x14ac:dyDescent="0.3">
      <c r="A10" s="46"/>
      <c r="B10" s="37"/>
      <c r="C10" s="46"/>
      <c r="D10" s="48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</row>
    <row r="11" spans="1:57" ht="14.25" customHeight="1" x14ac:dyDescent="0.3">
      <c r="A11" s="46"/>
      <c r="B11" s="37"/>
      <c r="C11" s="46"/>
      <c r="D11" s="48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</row>
    <row r="12" spans="1:57" ht="14.25" customHeight="1" x14ac:dyDescent="0.3">
      <c r="A12" s="46"/>
      <c r="B12" s="37"/>
      <c r="C12" s="37" t="s">
        <v>48</v>
      </c>
      <c r="D12" s="46" t="s">
        <v>49</v>
      </c>
      <c r="E12" s="46" t="s">
        <v>50</v>
      </c>
      <c r="F12" s="46" t="s">
        <v>51</v>
      </c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</row>
    <row r="13" spans="1:57" ht="14.25" customHeight="1" x14ac:dyDescent="0.3">
      <c r="A13" s="46"/>
      <c r="B13" s="37"/>
      <c r="C13" s="46" t="s">
        <v>52</v>
      </c>
      <c r="D13" s="49">
        <v>25</v>
      </c>
      <c r="E13" s="49">
        <v>200</v>
      </c>
      <c r="F13" s="50">
        <v>0.01</v>
      </c>
      <c r="G13" s="46"/>
      <c r="H13" s="46"/>
      <c r="I13" s="46">
        <v>47</v>
      </c>
      <c r="J13" s="46">
        <v>43</v>
      </c>
      <c r="K13" s="46">
        <v>63</v>
      </c>
      <c r="L13" s="46">
        <v>54</v>
      </c>
      <c r="M13" s="46">
        <v>39</v>
      </c>
      <c r="N13" s="46">
        <v>35</v>
      </c>
      <c r="O13" s="46">
        <v>75</v>
      </c>
      <c r="P13" s="46">
        <f t="shared" ref="P13:AE14" si="5">MIN(MAX($D13,O13)*(1+$F13)*P$9,$E13)</f>
        <v>75.75</v>
      </c>
      <c r="Q13" s="46">
        <f t="shared" si="5"/>
        <v>76.507500000000007</v>
      </c>
      <c r="R13" s="46">
        <f t="shared" si="5"/>
        <v>77.272575000000003</v>
      </c>
      <c r="S13" s="46">
        <f t="shared" si="5"/>
        <v>78.04530075000001</v>
      </c>
      <c r="T13" s="46">
        <f t="shared" si="5"/>
        <v>78.82575375750001</v>
      </c>
      <c r="U13" s="46">
        <f t="shared" si="5"/>
        <v>79.614011295075017</v>
      </c>
      <c r="V13" s="46">
        <f t="shared" si="5"/>
        <v>80.410151408025769</v>
      </c>
      <c r="W13" s="46">
        <f t="shared" si="5"/>
        <v>81.214252922106027</v>
      </c>
      <c r="X13" s="46">
        <f t="shared" si="5"/>
        <v>82.02639545132709</v>
      </c>
      <c r="Y13" s="46">
        <f t="shared" si="5"/>
        <v>82.846659405840356</v>
      </c>
      <c r="Z13" s="46">
        <f t="shared" si="5"/>
        <v>83.675125999898754</v>
      </c>
      <c r="AA13" s="46">
        <f t="shared" si="5"/>
        <v>84.511877259897744</v>
      </c>
      <c r="AB13" s="46">
        <f t="shared" si="5"/>
        <v>85.356996032496724</v>
      </c>
      <c r="AC13" s="46">
        <f t="shared" si="5"/>
        <v>86.210565992821685</v>
      </c>
      <c r="AD13" s="46">
        <f t="shared" si="5"/>
        <v>87.072671652749904</v>
      </c>
      <c r="AE13" s="46">
        <f t="shared" si="5"/>
        <v>87.943398369277404</v>
      </c>
      <c r="AF13" s="46">
        <f t="shared" ref="AF13:AU14" si="6">MIN(MAX($D13,AE13)*(1+$F13)*AF$9,$E13)</f>
        <v>88.822832352970181</v>
      </c>
      <c r="AG13" s="46">
        <f t="shared" si="6"/>
        <v>89.711060676499883</v>
      </c>
      <c r="AH13" s="46">
        <f t="shared" si="6"/>
        <v>90.60817128326488</v>
      </c>
      <c r="AI13" s="46">
        <f t="shared" si="6"/>
        <v>91.514252996097525</v>
      </c>
      <c r="AJ13" s="46">
        <f t="shared" si="6"/>
        <v>92.429395526058499</v>
      </c>
      <c r="AK13" s="46">
        <f t="shared" si="6"/>
        <v>93.35368948131908</v>
      </c>
      <c r="AL13" s="46">
        <f t="shared" si="6"/>
        <v>94.287226376132267</v>
      </c>
      <c r="AM13" s="46">
        <f t="shared" si="6"/>
        <v>95.230098639893598</v>
      </c>
      <c r="AN13" s="46">
        <f t="shared" si="6"/>
        <v>96.182399626292536</v>
      </c>
      <c r="AO13" s="46">
        <f t="shared" si="6"/>
        <v>97.144223622555458</v>
      </c>
      <c r="AP13" s="46">
        <f t="shared" si="6"/>
        <v>98.115665858781014</v>
      </c>
      <c r="AQ13" s="46">
        <f t="shared" si="6"/>
        <v>99.096822517368821</v>
      </c>
      <c r="AR13" s="46">
        <f t="shared" si="6"/>
        <v>100.08779074254251</v>
      </c>
      <c r="AS13" s="46">
        <f t="shared" si="6"/>
        <v>101.08866864996793</v>
      </c>
      <c r="AT13" s="46">
        <f t="shared" si="6"/>
        <v>102.0995553364676</v>
      </c>
      <c r="AU13" s="46">
        <f t="shared" si="6"/>
        <v>103.12055088983227</v>
      </c>
      <c r="AV13" s="46">
        <f t="shared" ref="AO13:BD14" si="7">MIN(MAX($D13,AU13)*(1+$F13)*AV$9,$E13)</f>
        <v>104.1517563987306</v>
      </c>
      <c r="AW13" s="46">
        <f t="shared" si="7"/>
        <v>105.19327396271791</v>
      </c>
      <c r="AX13" s="46">
        <f t="shared" si="7"/>
        <v>106.24520670234509</v>
      </c>
      <c r="AY13" s="46">
        <f t="shared" si="7"/>
        <v>107.30765876936854</v>
      </c>
      <c r="AZ13" s="46">
        <f t="shared" si="7"/>
        <v>108.38073535706224</v>
      </c>
      <c r="BA13" s="46">
        <f t="shared" si="7"/>
        <v>109.46454271063286</v>
      </c>
      <c r="BB13" s="46">
        <f t="shared" si="7"/>
        <v>110.55918813773918</v>
      </c>
      <c r="BC13" s="46">
        <f t="shared" si="7"/>
        <v>111.66478001911658</v>
      </c>
      <c r="BD13" s="46">
        <f t="shared" si="7"/>
        <v>112.78142781930774</v>
      </c>
      <c r="BE13" s="46"/>
    </row>
    <row r="14" spans="1:57" ht="14.25" customHeight="1" x14ac:dyDescent="0.3">
      <c r="A14" s="46"/>
      <c r="B14" s="37"/>
      <c r="C14" s="46" t="s">
        <v>53</v>
      </c>
      <c r="D14" s="49">
        <v>3500</v>
      </c>
      <c r="E14" s="49">
        <v>4500</v>
      </c>
      <c r="F14" s="50">
        <v>0</v>
      </c>
      <c r="G14" s="46"/>
      <c r="H14" s="46"/>
      <c r="I14" s="46">
        <v>3320</v>
      </c>
      <c r="J14" s="46">
        <v>4101</v>
      </c>
      <c r="K14" s="46">
        <v>3165</v>
      </c>
      <c r="L14" s="46">
        <v>4502</v>
      </c>
      <c r="M14" s="46">
        <v>4166</v>
      </c>
      <c r="N14" s="46">
        <v>3777</v>
      </c>
      <c r="O14" s="46">
        <v>3143</v>
      </c>
      <c r="P14" s="46">
        <f t="shared" si="5"/>
        <v>3500</v>
      </c>
      <c r="Q14" s="46">
        <f t="shared" si="5"/>
        <v>3500</v>
      </c>
      <c r="R14" s="46">
        <f t="shared" si="5"/>
        <v>3500</v>
      </c>
      <c r="S14" s="46">
        <f t="shared" si="5"/>
        <v>3500</v>
      </c>
      <c r="T14" s="46">
        <f t="shared" si="5"/>
        <v>3500</v>
      </c>
      <c r="U14" s="46">
        <f t="shared" si="5"/>
        <v>3500</v>
      </c>
      <c r="V14" s="46">
        <f t="shared" si="5"/>
        <v>3500</v>
      </c>
      <c r="W14" s="46">
        <f t="shared" si="5"/>
        <v>3500</v>
      </c>
      <c r="X14" s="46">
        <f t="shared" si="5"/>
        <v>3500</v>
      </c>
      <c r="Y14" s="46">
        <f t="shared" si="5"/>
        <v>3500</v>
      </c>
      <c r="Z14" s="46">
        <f t="shared" si="5"/>
        <v>3500</v>
      </c>
      <c r="AA14" s="46">
        <f t="shared" si="5"/>
        <v>3500</v>
      </c>
      <c r="AB14" s="46">
        <f t="shared" si="5"/>
        <v>3500</v>
      </c>
      <c r="AC14" s="46">
        <f t="shared" si="5"/>
        <v>3500</v>
      </c>
      <c r="AD14" s="46">
        <f t="shared" si="5"/>
        <v>3500</v>
      </c>
      <c r="AE14" s="46">
        <f t="shared" si="5"/>
        <v>3500</v>
      </c>
      <c r="AF14" s="46">
        <f t="shared" si="6"/>
        <v>3500</v>
      </c>
      <c r="AG14" s="46">
        <f t="shared" si="6"/>
        <v>3500</v>
      </c>
      <c r="AH14" s="46">
        <f t="shared" si="6"/>
        <v>3500</v>
      </c>
      <c r="AI14" s="46">
        <f t="shared" si="6"/>
        <v>3500</v>
      </c>
      <c r="AJ14" s="46">
        <f t="shared" si="6"/>
        <v>3500</v>
      </c>
      <c r="AK14" s="46">
        <f t="shared" si="6"/>
        <v>3500</v>
      </c>
      <c r="AL14" s="46">
        <f t="shared" si="6"/>
        <v>3500</v>
      </c>
      <c r="AM14" s="46">
        <f t="shared" si="6"/>
        <v>3500</v>
      </c>
      <c r="AN14" s="46">
        <f t="shared" si="6"/>
        <v>3500</v>
      </c>
      <c r="AO14" s="46">
        <f t="shared" si="7"/>
        <v>3500</v>
      </c>
      <c r="AP14" s="46">
        <f t="shared" si="7"/>
        <v>3500</v>
      </c>
      <c r="AQ14" s="46">
        <f t="shared" si="7"/>
        <v>3500</v>
      </c>
      <c r="AR14" s="46">
        <f t="shared" si="7"/>
        <v>3500</v>
      </c>
      <c r="AS14" s="46">
        <f t="shared" si="7"/>
        <v>3500</v>
      </c>
      <c r="AT14" s="46">
        <f t="shared" si="7"/>
        <v>3500</v>
      </c>
      <c r="AU14" s="46">
        <f t="shared" si="7"/>
        <v>3500</v>
      </c>
      <c r="AV14" s="46">
        <f t="shared" si="7"/>
        <v>3500</v>
      </c>
      <c r="AW14" s="46">
        <f t="shared" si="7"/>
        <v>3500</v>
      </c>
      <c r="AX14" s="46">
        <f t="shared" si="7"/>
        <v>3500</v>
      </c>
      <c r="AY14" s="46">
        <f t="shared" si="7"/>
        <v>3500</v>
      </c>
      <c r="AZ14" s="46">
        <f t="shared" si="7"/>
        <v>3500</v>
      </c>
      <c r="BA14" s="46">
        <f t="shared" si="7"/>
        <v>3500</v>
      </c>
      <c r="BB14" s="46">
        <f t="shared" si="7"/>
        <v>3500</v>
      </c>
      <c r="BC14" s="46">
        <f t="shared" si="7"/>
        <v>3500</v>
      </c>
      <c r="BD14" s="46">
        <f t="shared" si="7"/>
        <v>3500</v>
      </c>
      <c r="BE14" s="46"/>
    </row>
    <row r="15" spans="1:57" ht="14.25" customHeight="1" x14ac:dyDescent="0.3">
      <c r="A15" s="46"/>
      <c r="B15" s="37"/>
      <c r="C15" s="46" t="s">
        <v>54</v>
      </c>
      <c r="D15" s="46"/>
      <c r="E15" s="46"/>
      <c r="F15" s="46"/>
      <c r="G15" s="46"/>
      <c r="H15" s="46"/>
      <c r="I15" s="51">
        <f t="shared" ref="I15:BD15" si="8">I13*I14</f>
        <v>156040</v>
      </c>
      <c r="J15" s="51">
        <f t="shared" si="8"/>
        <v>176343</v>
      </c>
      <c r="K15" s="51">
        <f t="shared" si="8"/>
        <v>199395</v>
      </c>
      <c r="L15" s="51">
        <f t="shared" si="8"/>
        <v>243108</v>
      </c>
      <c r="M15" s="51">
        <f t="shared" si="8"/>
        <v>162474</v>
      </c>
      <c r="N15" s="51">
        <f t="shared" si="8"/>
        <v>132195</v>
      </c>
      <c r="O15" s="51">
        <f t="shared" si="8"/>
        <v>235725</v>
      </c>
      <c r="P15" s="51">
        <f t="shared" si="8"/>
        <v>265125</v>
      </c>
      <c r="Q15" s="51">
        <f t="shared" si="8"/>
        <v>267776.25</v>
      </c>
      <c r="R15" s="51">
        <f t="shared" si="8"/>
        <v>270454.01250000001</v>
      </c>
      <c r="S15" s="51">
        <f t="shared" si="8"/>
        <v>273158.55262500001</v>
      </c>
      <c r="T15" s="51">
        <f t="shared" si="8"/>
        <v>275890.13815125002</v>
      </c>
      <c r="U15" s="51">
        <f t="shared" si="8"/>
        <v>278649.03953276254</v>
      </c>
      <c r="V15" s="51">
        <f t="shared" si="8"/>
        <v>281435.52992809017</v>
      </c>
      <c r="W15" s="51">
        <f t="shared" si="8"/>
        <v>284249.88522737112</v>
      </c>
      <c r="X15" s="51">
        <f t="shared" si="8"/>
        <v>287092.38407964481</v>
      </c>
      <c r="Y15" s="51">
        <f t="shared" si="8"/>
        <v>289963.30792044126</v>
      </c>
      <c r="Z15" s="51">
        <f t="shared" si="8"/>
        <v>292862.94099964562</v>
      </c>
      <c r="AA15" s="51">
        <f t="shared" si="8"/>
        <v>295791.57040964213</v>
      </c>
      <c r="AB15" s="51">
        <f t="shared" si="8"/>
        <v>298749.48611373856</v>
      </c>
      <c r="AC15" s="51">
        <f t="shared" si="8"/>
        <v>301736.98097487591</v>
      </c>
      <c r="AD15" s="51">
        <f t="shared" si="8"/>
        <v>304754.35078462464</v>
      </c>
      <c r="AE15" s="51">
        <f t="shared" si="8"/>
        <v>307801.89429247094</v>
      </c>
      <c r="AF15" s="51">
        <f t="shared" si="8"/>
        <v>310879.91323539562</v>
      </c>
      <c r="AG15" s="51">
        <f t="shared" si="8"/>
        <v>313988.7123677496</v>
      </c>
      <c r="AH15" s="51">
        <f t="shared" si="8"/>
        <v>317128.59949142707</v>
      </c>
      <c r="AI15" s="51">
        <f t="shared" si="8"/>
        <v>320299.88548634131</v>
      </c>
      <c r="AJ15" s="51">
        <f t="shared" si="8"/>
        <v>323502.88434120477</v>
      </c>
      <c r="AK15" s="51">
        <f t="shared" si="8"/>
        <v>326737.91318461677</v>
      </c>
      <c r="AL15" s="51">
        <f t="shared" si="8"/>
        <v>330005.29231646296</v>
      </c>
      <c r="AM15" s="51">
        <f t="shared" si="8"/>
        <v>333305.34523962758</v>
      </c>
      <c r="AN15" s="51">
        <f t="shared" si="8"/>
        <v>336638.39869202388</v>
      </c>
      <c r="AO15" s="51">
        <f t="shared" si="8"/>
        <v>340004.78267894412</v>
      </c>
      <c r="AP15" s="51">
        <f t="shared" si="8"/>
        <v>343404.83050573355</v>
      </c>
      <c r="AQ15" s="51">
        <f t="shared" si="8"/>
        <v>346838.87881079089</v>
      </c>
      <c r="AR15" s="51">
        <f t="shared" si="8"/>
        <v>350307.26759889879</v>
      </c>
      <c r="AS15" s="51">
        <f t="shared" si="8"/>
        <v>353810.34027488774</v>
      </c>
      <c r="AT15" s="51">
        <f t="shared" si="8"/>
        <v>357348.44367763662</v>
      </c>
      <c r="AU15" s="51">
        <f t="shared" si="8"/>
        <v>360921.92811441293</v>
      </c>
      <c r="AV15" s="51">
        <f t="shared" si="8"/>
        <v>364531.14739555708</v>
      </c>
      <c r="AW15" s="51">
        <f t="shared" si="8"/>
        <v>368176.45886951266</v>
      </c>
      <c r="AX15" s="51">
        <f t="shared" si="8"/>
        <v>371858.22345820779</v>
      </c>
      <c r="AY15" s="51">
        <f t="shared" si="8"/>
        <v>375576.8056927899</v>
      </c>
      <c r="AZ15" s="51">
        <f t="shared" si="8"/>
        <v>379332.57374971785</v>
      </c>
      <c r="BA15" s="51">
        <f t="shared" si="8"/>
        <v>383125.89948721498</v>
      </c>
      <c r="BB15" s="51">
        <f t="shared" si="8"/>
        <v>386957.15848208714</v>
      </c>
      <c r="BC15" s="51">
        <f t="shared" si="8"/>
        <v>390826.730066908</v>
      </c>
      <c r="BD15" s="51">
        <f t="shared" si="8"/>
        <v>394734.9973675771</v>
      </c>
      <c r="BE15" s="51"/>
    </row>
    <row r="16" spans="1:57" ht="14.25" customHeight="1" x14ac:dyDescent="0.3">
      <c r="A16" s="46"/>
      <c r="B16" s="37"/>
      <c r="C16" s="46"/>
      <c r="D16" s="48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</row>
    <row r="17" spans="1:57" ht="14.25" customHeight="1" x14ac:dyDescent="0.3">
      <c r="A17" s="46"/>
      <c r="B17" s="37"/>
      <c r="C17" s="46" t="s">
        <v>55</v>
      </c>
      <c r="D17" s="46">
        <f>-(D14*0.3)</f>
        <v>-1050</v>
      </c>
      <c r="E17" s="46"/>
      <c r="F17" s="46"/>
      <c r="G17" s="46"/>
      <c r="H17" s="46"/>
      <c r="I17" s="46">
        <f>-I15*0.3</f>
        <v>-46812</v>
      </c>
      <c r="J17" s="46">
        <f t="shared" ref="J17:O17" si="9">-J15*0.3</f>
        <v>-52902.9</v>
      </c>
      <c r="K17" s="46">
        <f t="shared" si="9"/>
        <v>-59818.5</v>
      </c>
      <c r="L17" s="46">
        <f t="shared" si="9"/>
        <v>-72932.399999999994</v>
      </c>
      <c r="M17" s="46">
        <f t="shared" si="9"/>
        <v>-48742.2</v>
      </c>
      <c r="N17" s="46">
        <f t="shared" si="9"/>
        <v>-39658.5</v>
      </c>
      <c r="O17" s="46">
        <f t="shared" si="9"/>
        <v>-70717.5</v>
      </c>
      <c r="P17" s="46">
        <f t="shared" ref="P17:BD17" si="10">P13*$D17</f>
        <v>-79537.5</v>
      </c>
      <c r="Q17" s="46">
        <f t="shared" si="10"/>
        <v>-80332.875000000015</v>
      </c>
      <c r="R17" s="46">
        <f t="shared" si="10"/>
        <v>-81136.203750000001</v>
      </c>
      <c r="S17" s="46">
        <f t="shared" si="10"/>
        <v>-81947.565787500003</v>
      </c>
      <c r="T17" s="46">
        <f t="shared" si="10"/>
        <v>-82767.041445375013</v>
      </c>
      <c r="U17" s="46">
        <f t="shared" si="10"/>
        <v>-83594.711859828763</v>
      </c>
      <c r="V17" s="46">
        <f t="shared" si="10"/>
        <v>-84430.658978427062</v>
      </c>
      <c r="W17" s="46">
        <f t="shared" si="10"/>
        <v>-85274.965568211323</v>
      </c>
      <c r="X17" s="46">
        <f t="shared" si="10"/>
        <v>-86127.71522389345</v>
      </c>
      <c r="Y17" s="46">
        <f t="shared" si="10"/>
        <v>-86988.992376132373</v>
      </c>
      <c r="Z17" s="46">
        <f t="shared" si="10"/>
        <v>-87858.882299893696</v>
      </c>
      <c r="AA17" s="46">
        <f t="shared" si="10"/>
        <v>-88737.471122892632</v>
      </c>
      <c r="AB17" s="46">
        <f t="shared" si="10"/>
        <v>-89624.845834121559</v>
      </c>
      <c r="AC17" s="46">
        <f t="shared" si="10"/>
        <v>-90521.094292462774</v>
      </c>
      <c r="AD17" s="46">
        <f t="shared" si="10"/>
        <v>-91426.305235387394</v>
      </c>
      <c r="AE17" s="46">
        <f t="shared" si="10"/>
        <v>-92340.568287741276</v>
      </c>
      <c r="AF17" s="46">
        <f t="shared" si="10"/>
        <v>-93263.973970618696</v>
      </c>
      <c r="AG17" s="46">
        <f t="shared" si="10"/>
        <v>-94196.613710324877</v>
      </c>
      <c r="AH17" s="46">
        <f t="shared" si="10"/>
        <v>-95138.579847428118</v>
      </c>
      <c r="AI17" s="46">
        <f t="shared" si="10"/>
        <v>-96089.965645902397</v>
      </c>
      <c r="AJ17" s="46">
        <f t="shared" si="10"/>
        <v>-97050.865302361432</v>
      </c>
      <c r="AK17" s="46">
        <f t="shared" si="10"/>
        <v>-98021.373955385032</v>
      </c>
      <c r="AL17" s="46">
        <f t="shared" si="10"/>
        <v>-99001.587694938877</v>
      </c>
      <c r="AM17" s="46">
        <f t="shared" si="10"/>
        <v>-99991.603571888278</v>
      </c>
      <c r="AN17" s="46">
        <f t="shared" si="10"/>
        <v>-100991.51960760716</v>
      </c>
      <c r="AO17" s="46">
        <f t="shared" si="10"/>
        <v>-102001.43480368324</v>
      </c>
      <c r="AP17" s="46">
        <f t="shared" si="10"/>
        <v>-103021.44915172007</v>
      </c>
      <c r="AQ17" s="46">
        <f t="shared" si="10"/>
        <v>-104051.66364323726</v>
      </c>
      <c r="AR17" s="46">
        <f t="shared" si="10"/>
        <v>-105092.18027966963</v>
      </c>
      <c r="AS17" s="46">
        <f t="shared" si="10"/>
        <v>-106143.10208246633</v>
      </c>
      <c r="AT17" s="46">
        <f t="shared" si="10"/>
        <v>-107204.53310329099</v>
      </c>
      <c r="AU17" s="46">
        <f t="shared" si="10"/>
        <v>-108276.57843432389</v>
      </c>
      <c r="AV17" s="46">
        <f t="shared" si="10"/>
        <v>-109359.34421866713</v>
      </c>
      <c r="AW17" s="46">
        <f t="shared" si="10"/>
        <v>-110452.9376608538</v>
      </c>
      <c r="AX17" s="46">
        <f t="shared" si="10"/>
        <v>-111557.46703746234</v>
      </c>
      <c r="AY17" s="46">
        <f t="shared" si="10"/>
        <v>-112673.04170783696</v>
      </c>
      <c r="AZ17" s="46">
        <f t="shared" si="10"/>
        <v>-113799.77212491534</v>
      </c>
      <c r="BA17" s="46">
        <f t="shared" si="10"/>
        <v>-114937.7698461645</v>
      </c>
      <c r="BB17" s="46">
        <f t="shared" si="10"/>
        <v>-116087.14754462615</v>
      </c>
      <c r="BC17" s="46">
        <f t="shared" si="10"/>
        <v>-117248.0190200724</v>
      </c>
      <c r="BD17" s="46">
        <f t="shared" si="10"/>
        <v>-118420.49921027312</v>
      </c>
      <c r="BE17" s="46"/>
    </row>
    <row r="18" spans="1:57" ht="14.25" customHeight="1" x14ac:dyDescent="0.3">
      <c r="A18" s="46"/>
      <c r="B18" s="37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</row>
    <row r="19" spans="1:57" ht="14.25" customHeight="1" x14ac:dyDescent="0.3">
      <c r="A19" s="46"/>
      <c r="B19" s="37"/>
      <c r="C19" s="37" t="s">
        <v>56</v>
      </c>
      <c r="D19" s="46" t="s">
        <v>49</v>
      </c>
      <c r="E19" s="46" t="s">
        <v>50</v>
      </c>
      <c r="F19" s="46" t="s">
        <v>51</v>
      </c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</row>
    <row r="20" spans="1:57" ht="14.25" customHeight="1" x14ac:dyDescent="0.3">
      <c r="A20" s="46"/>
      <c r="B20" s="37"/>
      <c r="C20" s="46" t="s">
        <v>57</v>
      </c>
      <c r="D20" s="49">
        <v>25</v>
      </c>
      <c r="E20" s="49">
        <v>45</v>
      </c>
      <c r="F20" s="50">
        <v>0.01</v>
      </c>
      <c r="G20" s="46"/>
      <c r="H20" s="46"/>
      <c r="I20" s="46">
        <v>29</v>
      </c>
      <c r="J20" s="46">
        <f t="shared" ref="J20:Y21" si="11">MIN(MAX($D20,I20)*(1+$F20)*J$9,$E20)</f>
        <v>29.29</v>
      </c>
      <c r="K20" s="46">
        <v>32</v>
      </c>
      <c r="L20" s="46">
        <v>39</v>
      </c>
      <c r="M20" s="46">
        <v>15</v>
      </c>
      <c r="N20" s="46">
        <v>7</v>
      </c>
      <c r="O20" s="46">
        <v>28</v>
      </c>
      <c r="P20" s="46">
        <f t="shared" si="11"/>
        <v>28.28</v>
      </c>
      <c r="Q20" s="46">
        <f t="shared" si="11"/>
        <v>28.562800000000003</v>
      </c>
      <c r="R20" s="46">
        <f t="shared" si="11"/>
        <v>28.848428000000002</v>
      </c>
      <c r="S20" s="46">
        <f t="shared" si="11"/>
        <v>29.136912280000001</v>
      </c>
      <c r="T20" s="46">
        <f t="shared" si="11"/>
        <v>29.4282814028</v>
      </c>
      <c r="U20" s="46">
        <f t="shared" si="11"/>
        <v>29.722564216828001</v>
      </c>
      <c r="V20" s="46">
        <f t="shared" si="11"/>
        <v>30.01978985899628</v>
      </c>
      <c r="W20" s="46">
        <f t="shared" si="11"/>
        <v>30.319987757586244</v>
      </c>
      <c r="X20" s="46">
        <f t="shared" si="11"/>
        <v>30.623187635162108</v>
      </c>
      <c r="Y20" s="46">
        <f t="shared" si="11"/>
        <v>30.929419511513728</v>
      </c>
      <c r="Z20" s="46">
        <f t="shared" ref="Z20:AO21" si="12">MIN(MAX($D20,Y20)*(1+$F20)*Z$9,$E20)</f>
        <v>31.238713706628864</v>
      </c>
      <c r="AA20" s="46">
        <f t="shared" si="12"/>
        <v>31.551100843695153</v>
      </c>
      <c r="AB20" s="46">
        <f t="shared" si="12"/>
        <v>31.866611852132106</v>
      </c>
      <c r="AC20" s="46">
        <f t="shared" si="12"/>
        <v>32.185277970653431</v>
      </c>
      <c r="AD20" s="46">
        <f t="shared" si="12"/>
        <v>32.507130750359963</v>
      </c>
      <c r="AE20" s="46">
        <f t="shared" si="12"/>
        <v>32.832202057863562</v>
      </c>
      <c r="AF20" s="46">
        <f t="shared" si="12"/>
        <v>33.160524078442201</v>
      </c>
      <c r="AG20" s="46">
        <f t="shared" si="12"/>
        <v>33.492129319226621</v>
      </c>
      <c r="AH20" s="46">
        <f t="shared" si="12"/>
        <v>33.827050612418887</v>
      </c>
      <c r="AI20" s="46">
        <f t="shared" si="12"/>
        <v>34.165321118543076</v>
      </c>
      <c r="AJ20" s="46">
        <f t="shared" si="12"/>
        <v>34.506974329728507</v>
      </c>
      <c r="AK20" s="46">
        <f t="shared" si="12"/>
        <v>34.852044073025795</v>
      </c>
      <c r="AL20" s="46">
        <f t="shared" si="12"/>
        <v>35.200564513756056</v>
      </c>
      <c r="AM20" s="46">
        <f t="shared" si="12"/>
        <v>35.552570158893616</v>
      </c>
      <c r="AN20" s="46">
        <f t="shared" si="12"/>
        <v>35.908095860482554</v>
      </c>
      <c r="AO20" s="46">
        <f t="shared" si="12"/>
        <v>36.267176819087382</v>
      </c>
      <c r="AP20" s="46">
        <f t="shared" ref="AO20:BD21" si="13">MIN(MAX($D20,AO20)*(1+$F20)*AP$9,$E20)</f>
        <v>36.629848587278254</v>
      </c>
      <c r="AQ20" s="46">
        <f t="shared" si="13"/>
        <v>36.996147073151036</v>
      </c>
      <c r="AR20" s="46">
        <f t="shared" si="13"/>
        <v>37.366108543882547</v>
      </c>
      <c r="AS20" s="46">
        <f t="shared" si="13"/>
        <v>37.739769629321373</v>
      </c>
      <c r="AT20" s="46">
        <f t="shared" si="13"/>
        <v>38.117167325614588</v>
      </c>
      <c r="AU20" s="46">
        <f t="shared" si="13"/>
        <v>38.498338998870736</v>
      </c>
      <c r="AV20" s="46">
        <f t="shared" si="13"/>
        <v>38.88332238885944</v>
      </c>
      <c r="AW20" s="46">
        <f t="shared" si="13"/>
        <v>39.272155612748037</v>
      </c>
      <c r="AX20" s="46">
        <f t="shared" si="13"/>
        <v>39.66487716887552</v>
      </c>
      <c r="AY20" s="46">
        <f t="shared" si="13"/>
        <v>40.061525940564273</v>
      </c>
      <c r="AZ20" s="46">
        <f t="shared" si="13"/>
        <v>40.462141199969913</v>
      </c>
      <c r="BA20" s="46">
        <f t="shared" si="13"/>
        <v>40.866762611969612</v>
      </c>
      <c r="BB20" s="46">
        <f t="shared" si="13"/>
        <v>41.275430238089307</v>
      </c>
      <c r="BC20" s="46">
        <f t="shared" si="13"/>
        <v>41.688184540470203</v>
      </c>
      <c r="BD20" s="46">
        <f t="shared" si="13"/>
        <v>42.105066385874906</v>
      </c>
      <c r="BE20" s="46"/>
    </row>
    <row r="21" spans="1:57" ht="14.25" customHeight="1" x14ac:dyDescent="0.3">
      <c r="A21" s="46"/>
      <c r="B21" s="37"/>
      <c r="C21" s="46" t="s">
        <v>53</v>
      </c>
      <c r="D21" s="49">
        <v>6500</v>
      </c>
      <c r="E21" s="49">
        <v>7500</v>
      </c>
      <c r="F21" s="50">
        <v>0.02</v>
      </c>
      <c r="G21" s="46"/>
      <c r="H21" s="46"/>
      <c r="I21" s="46">
        <v>5016</v>
      </c>
      <c r="J21" s="46">
        <v>5379</v>
      </c>
      <c r="K21" s="46">
        <v>5898</v>
      </c>
      <c r="L21" s="46">
        <v>6045</v>
      </c>
      <c r="M21" s="46">
        <v>5762</v>
      </c>
      <c r="N21" s="46">
        <v>7000</v>
      </c>
      <c r="O21" s="46">
        <v>5026</v>
      </c>
      <c r="P21" s="46">
        <f t="shared" si="11"/>
        <v>6630</v>
      </c>
      <c r="Q21" s="46">
        <f t="shared" si="11"/>
        <v>6762.6</v>
      </c>
      <c r="R21" s="46">
        <f t="shared" si="11"/>
        <v>6897.8520000000008</v>
      </c>
      <c r="S21" s="46">
        <f t="shared" si="11"/>
        <v>7035.809040000001</v>
      </c>
      <c r="T21" s="46">
        <f t="shared" si="11"/>
        <v>7176.5252208000011</v>
      </c>
      <c r="U21" s="46">
        <f t="shared" si="11"/>
        <v>7320.0557252160015</v>
      </c>
      <c r="V21" s="46">
        <f t="shared" si="11"/>
        <v>7466.456839720322</v>
      </c>
      <c r="W21" s="46">
        <f t="shared" si="11"/>
        <v>7500</v>
      </c>
      <c r="X21" s="46">
        <f t="shared" si="11"/>
        <v>7500</v>
      </c>
      <c r="Y21" s="46">
        <f t="shared" si="11"/>
        <v>7500</v>
      </c>
      <c r="Z21" s="46">
        <f t="shared" si="12"/>
        <v>7500</v>
      </c>
      <c r="AA21" s="46">
        <f t="shared" si="12"/>
        <v>7500</v>
      </c>
      <c r="AB21" s="46">
        <f t="shared" si="12"/>
        <v>7500</v>
      </c>
      <c r="AC21" s="46">
        <f t="shared" si="12"/>
        <v>7500</v>
      </c>
      <c r="AD21" s="46">
        <f t="shared" si="12"/>
        <v>7500</v>
      </c>
      <c r="AE21" s="46">
        <f t="shared" si="12"/>
        <v>7500</v>
      </c>
      <c r="AF21" s="46">
        <f t="shared" si="12"/>
        <v>7500</v>
      </c>
      <c r="AG21" s="46">
        <f t="shared" si="12"/>
        <v>7500</v>
      </c>
      <c r="AH21" s="46">
        <f t="shared" si="12"/>
        <v>7500</v>
      </c>
      <c r="AI21" s="46">
        <f t="shared" si="12"/>
        <v>7500</v>
      </c>
      <c r="AJ21" s="46">
        <f t="shared" si="12"/>
        <v>7500</v>
      </c>
      <c r="AK21" s="46">
        <f t="shared" si="12"/>
        <v>7500</v>
      </c>
      <c r="AL21" s="46">
        <f t="shared" si="12"/>
        <v>7500</v>
      </c>
      <c r="AM21" s="46">
        <f t="shared" si="12"/>
        <v>7500</v>
      </c>
      <c r="AN21" s="46">
        <f t="shared" si="12"/>
        <v>7500</v>
      </c>
      <c r="AO21" s="46">
        <f t="shared" si="13"/>
        <v>7500</v>
      </c>
      <c r="AP21" s="46">
        <f t="shared" si="13"/>
        <v>7500</v>
      </c>
      <c r="AQ21" s="46">
        <f t="shared" si="13"/>
        <v>7500</v>
      </c>
      <c r="AR21" s="46">
        <f t="shared" si="13"/>
        <v>7500</v>
      </c>
      <c r="AS21" s="46">
        <f t="shared" si="13"/>
        <v>7500</v>
      </c>
      <c r="AT21" s="46">
        <f t="shared" si="13"/>
        <v>7500</v>
      </c>
      <c r="AU21" s="46">
        <f t="shared" si="13"/>
        <v>7500</v>
      </c>
      <c r="AV21" s="46">
        <f t="shared" si="13"/>
        <v>7500</v>
      </c>
      <c r="AW21" s="46">
        <f t="shared" si="13"/>
        <v>7500</v>
      </c>
      <c r="AX21" s="46">
        <f t="shared" si="13"/>
        <v>7500</v>
      </c>
      <c r="AY21" s="46">
        <f t="shared" si="13"/>
        <v>7500</v>
      </c>
      <c r="AZ21" s="46">
        <f t="shared" si="13"/>
        <v>7500</v>
      </c>
      <c r="BA21" s="46">
        <f t="shared" si="13"/>
        <v>7500</v>
      </c>
      <c r="BB21" s="46">
        <f t="shared" si="13"/>
        <v>7500</v>
      </c>
      <c r="BC21" s="46">
        <f t="shared" si="13"/>
        <v>7500</v>
      </c>
      <c r="BD21" s="46">
        <f t="shared" si="13"/>
        <v>7500</v>
      </c>
      <c r="BE21" s="46"/>
    </row>
    <row r="22" spans="1:57" ht="14.25" customHeight="1" x14ac:dyDescent="0.3">
      <c r="A22" s="46"/>
      <c r="B22" s="37"/>
      <c r="C22" s="46" t="s">
        <v>58</v>
      </c>
      <c r="D22" s="46"/>
      <c r="E22" s="46"/>
      <c r="F22" s="46"/>
      <c r="G22" s="46"/>
      <c r="H22" s="46"/>
      <c r="I22" s="51">
        <f t="shared" ref="I22:BD22" si="14">I20*I21</f>
        <v>145464</v>
      </c>
      <c r="J22" s="51">
        <f t="shared" si="14"/>
        <v>157550.91</v>
      </c>
      <c r="K22" s="51">
        <f t="shared" si="14"/>
        <v>188736</v>
      </c>
      <c r="L22" s="51">
        <f t="shared" si="14"/>
        <v>235755</v>
      </c>
      <c r="M22" s="51">
        <f t="shared" si="14"/>
        <v>86430</v>
      </c>
      <c r="N22" s="51">
        <f t="shared" si="14"/>
        <v>49000</v>
      </c>
      <c r="O22" s="51">
        <f t="shared" si="14"/>
        <v>140728</v>
      </c>
      <c r="P22" s="51">
        <f t="shared" si="14"/>
        <v>187496.4</v>
      </c>
      <c r="Q22" s="51">
        <f t="shared" si="14"/>
        <v>193158.79128000003</v>
      </c>
      <c r="R22" s="51">
        <f t="shared" si="14"/>
        <v>198992.18677665605</v>
      </c>
      <c r="S22" s="51">
        <f t="shared" si="14"/>
        <v>205001.75081731105</v>
      </c>
      <c r="T22" s="51">
        <f t="shared" si="14"/>
        <v>211192.80369199385</v>
      </c>
      <c r="U22" s="51">
        <f t="shared" si="14"/>
        <v>217570.82636349206</v>
      </c>
      <c r="V22" s="51">
        <f t="shared" si="14"/>
        <v>224141.46531966954</v>
      </c>
      <c r="W22" s="51">
        <f t="shared" si="14"/>
        <v>227399.90818189684</v>
      </c>
      <c r="X22" s="51">
        <f t="shared" si="14"/>
        <v>229673.90726371581</v>
      </c>
      <c r="Y22" s="51">
        <f t="shared" si="14"/>
        <v>231970.64633635298</v>
      </c>
      <c r="Z22" s="51">
        <f t="shared" si="14"/>
        <v>234290.35279971649</v>
      </c>
      <c r="AA22" s="51">
        <f t="shared" si="14"/>
        <v>236633.25632771364</v>
      </c>
      <c r="AB22" s="51">
        <f t="shared" si="14"/>
        <v>238999.5888909908</v>
      </c>
      <c r="AC22" s="51">
        <f t="shared" si="14"/>
        <v>241389.58477990073</v>
      </c>
      <c r="AD22" s="51">
        <f t="shared" si="14"/>
        <v>243803.48062769973</v>
      </c>
      <c r="AE22" s="51">
        <f t="shared" si="14"/>
        <v>246241.51543397672</v>
      </c>
      <c r="AF22" s="51">
        <f t="shared" si="14"/>
        <v>248703.93058831649</v>
      </c>
      <c r="AG22" s="51">
        <f t="shared" si="14"/>
        <v>251190.96989419966</v>
      </c>
      <c r="AH22" s="51">
        <f t="shared" si="14"/>
        <v>253702.87959314164</v>
      </c>
      <c r="AI22" s="51">
        <f t="shared" si="14"/>
        <v>256239.90838907307</v>
      </c>
      <c r="AJ22" s="51">
        <f t="shared" si="14"/>
        <v>258802.30747296382</v>
      </c>
      <c r="AK22" s="51">
        <f t="shared" si="14"/>
        <v>261390.33054769345</v>
      </c>
      <c r="AL22" s="51">
        <f t="shared" si="14"/>
        <v>264004.23385317042</v>
      </c>
      <c r="AM22" s="51">
        <f t="shared" si="14"/>
        <v>266644.27619170211</v>
      </c>
      <c r="AN22" s="51">
        <f t="shared" si="14"/>
        <v>269310.71895361913</v>
      </c>
      <c r="AO22" s="51">
        <f t="shared" si="14"/>
        <v>272003.82614315534</v>
      </c>
      <c r="AP22" s="51">
        <f t="shared" si="14"/>
        <v>274723.8644045869</v>
      </c>
      <c r="AQ22" s="51">
        <f t="shared" si="14"/>
        <v>277471.10304863279</v>
      </c>
      <c r="AR22" s="51">
        <f t="shared" si="14"/>
        <v>280245.81407911913</v>
      </c>
      <c r="AS22" s="51">
        <f t="shared" si="14"/>
        <v>283048.27221991029</v>
      </c>
      <c r="AT22" s="51">
        <f t="shared" si="14"/>
        <v>285878.7549421094</v>
      </c>
      <c r="AU22" s="51">
        <f t="shared" si="14"/>
        <v>288737.54249153053</v>
      </c>
      <c r="AV22" s="51">
        <f t="shared" si="14"/>
        <v>291624.91791644582</v>
      </c>
      <c r="AW22" s="51">
        <f t="shared" si="14"/>
        <v>294541.16709561029</v>
      </c>
      <c r="AX22" s="51">
        <f t="shared" si="14"/>
        <v>297486.57876656641</v>
      </c>
      <c r="AY22" s="51">
        <f t="shared" si="14"/>
        <v>300461.44455423206</v>
      </c>
      <c r="AZ22" s="51">
        <f t="shared" si="14"/>
        <v>303466.05899977434</v>
      </c>
      <c r="BA22" s="51">
        <f t="shared" si="14"/>
        <v>306500.71958977211</v>
      </c>
      <c r="BB22" s="51">
        <f t="shared" si="14"/>
        <v>309565.7267856698</v>
      </c>
      <c r="BC22" s="51">
        <f t="shared" si="14"/>
        <v>312661.3840535265</v>
      </c>
      <c r="BD22" s="51">
        <f t="shared" si="14"/>
        <v>315787.99789406179</v>
      </c>
      <c r="BE22" s="51"/>
    </row>
    <row r="23" spans="1:57" ht="14.25" customHeight="1" x14ac:dyDescent="0.3">
      <c r="A23" s="46"/>
      <c r="B23" s="37"/>
      <c r="C23" s="46"/>
      <c r="D23" s="48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  <c r="BD23" s="46"/>
      <c r="BE23" s="46"/>
    </row>
    <row r="24" spans="1:57" ht="14.25" customHeight="1" x14ac:dyDescent="0.3">
      <c r="A24" s="46"/>
      <c r="B24" s="37"/>
      <c r="C24" s="46" t="s">
        <v>59</v>
      </c>
      <c r="D24" s="46">
        <f>-(D21*0.3)</f>
        <v>-1950</v>
      </c>
      <c r="E24" s="46"/>
      <c r="F24" s="46"/>
      <c r="G24" s="46"/>
      <c r="H24" s="46"/>
      <c r="I24" s="46">
        <f>-I22*0.3</f>
        <v>-43639.199999999997</v>
      </c>
      <c r="J24" s="46">
        <f t="shared" ref="J24:O24" si="15">-J22*0.3</f>
        <v>-47265.273000000001</v>
      </c>
      <c r="K24" s="46">
        <f t="shared" si="15"/>
        <v>-56620.799999999996</v>
      </c>
      <c r="L24" s="46">
        <f t="shared" si="15"/>
        <v>-70726.5</v>
      </c>
      <c r="M24" s="46">
        <f t="shared" si="15"/>
        <v>-25929</v>
      </c>
      <c r="N24" s="46">
        <f t="shared" si="15"/>
        <v>-14700</v>
      </c>
      <c r="O24" s="46">
        <f t="shared" si="15"/>
        <v>-42218.400000000001</v>
      </c>
      <c r="P24" s="46">
        <f t="shared" ref="P24:BD24" si="16">P20*$D24</f>
        <v>-55146</v>
      </c>
      <c r="Q24" s="46">
        <f t="shared" si="16"/>
        <v>-55697.460000000006</v>
      </c>
      <c r="R24" s="46">
        <f t="shared" si="16"/>
        <v>-56254.434600000001</v>
      </c>
      <c r="S24" s="46">
        <f t="shared" si="16"/>
        <v>-56816.978946000003</v>
      </c>
      <c r="T24" s="46">
        <f t="shared" si="16"/>
        <v>-57385.148735459996</v>
      </c>
      <c r="U24" s="46">
        <f t="shared" si="16"/>
        <v>-57959.000222814604</v>
      </c>
      <c r="V24" s="46">
        <f t="shared" si="16"/>
        <v>-58538.590225042746</v>
      </c>
      <c r="W24" s="46">
        <f t="shared" si="16"/>
        <v>-59123.976127293172</v>
      </c>
      <c r="X24" s="46">
        <f t="shared" si="16"/>
        <v>-59715.215888566112</v>
      </c>
      <c r="Y24" s="46">
        <f t="shared" si="16"/>
        <v>-60312.368047451768</v>
      </c>
      <c r="Z24" s="46">
        <f t="shared" si="16"/>
        <v>-60915.491727926288</v>
      </c>
      <c r="AA24" s="46">
        <f t="shared" si="16"/>
        <v>-61524.646645205547</v>
      </c>
      <c r="AB24" s="46">
        <f t="shared" si="16"/>
        <v>-62139.893111657606</v>
      </c>
      <c r="AC24" s="46">
        <f t="shared" si="16"/>
        <v>-62761.292042774192</v>
      </c>
      <c r="AD24" s="46">
        <f t="shared" si="16"/>
        <v>-63388.904963201931</v>
      </c>
      <c r="AE24" s="46">
        <f t="shared" si="16"/>
        <v>-64022.794012833947</v>
      </c>
      <c r="AF24" s="46">
        <f t="shared" si="16"/>
        <v>-64663.021952962292</v>
      </c>
      <c r="AG24" s="46">
        <f t="shared" si="16"/>
        <v>-65309.652172491908</v>
      </c>
      <c r="AH24" s="46">
        <f t="shared" si="16"/>
        <v>-65962.748694216833</v>
      </c>
      <c r="AI24" s="46">
        <f t="shared" si="16"/>
        <v>-66622.376181158994</v>
      </c>
      <c r="AJ24" s="46">
        <f t="shared" si="16"/>
        <v>-67288.599942970584</v>
      </c>
      <c r="AK24" s="46">
        <f t="shared" si="16"/>
        <v>-67961.485942400293</v>
      </c>
      <c r="AL24" s="46">
        <f t="shared" si="16"/>
        <v>-68641.100801824316</v>
      </c>
      <c r="AM24" s="46">
        <f t="shared" si="16"/>
        <v>-69327.511809842545</v>
      </c>
      <c r="AN24" s="46">
        <f t="shared" si="16"/>
        <v>-70020.786927940979</v>
      </c>
      <c r="AO24" s="46">
        <f t="shared" si="16"/>
        <v>-70720.994797220395</v>
      </c>
      <c r="AP24" s="46">
        <f t="shared" si="16"/>
        <v>-71428.20474519259</v>
      </c>
      <c r="AQ24" s="46">
        <f t="shared" si="16"/>
        <v>-72142.486792644515</v>
      </c>
      <c r="AR24" s="46">
        <f t="shared" si="16"/>
        <v>-72863.911660570971</v>
      </c>
      <c r="AS24" s="46">
        <f t="shared" si="16"/>
        <v>-73592.550777176672</v>
      </c>
      <c r="AT24" s="46">
        <f t="shared" si="16"/>
        <v>-74328.47628494844</v>
      </c>
      <c r="AU24" s="46">
        <f t="shared" si="16"/>
        <v>-75071.761047797932</v>
      </c>
      <c r="AV24" s="46">
        <f t="shared" si="16"/>
        <v>-75822.478658275912</v>
      </c>
      <c r="AW24" s="46">
        <f t="shared" si="16"/>
        <v>-76580.703444858678</v>
      </c>
      <c r="AX24" s="46">
        <f t="shared" si="16"/>
        <v>-77346.510479307268</v>
      </c>
      <c r="AY24" s="46">
        <f t="shared" si="16"/>
        <v>-78119.975584100335</v>
      </c>
      <c r="AZ24" s="46">
        <f t="shared" si="16"/>
        <v>-78901.175339941328</v>
      </c>
      <c r="BA24" s="46">
        <f t="shared" si="16"/>
        <v>-79690.187093340748</v>
      </c>
      <c r="BB24" s="46">
        <f t="shared" si="16"/>
        <v>-80487.088964274153</v>
      </c>
      <c r="BC24" s="46">
        <f t="shared" si="16"/>
        <v>-81291.959853916895</v>
      </c>
      <c r="BD24" s="46">
        <f t="shared" si="16"/>
        <v>-82104.879452456065</v>
      </c>
      <c r="BE24" s="46"/>
    </row>
    <row r="25" spans="1:57" ht="14.25" customHeight="1" x14ac:dyDescent="0.3">
      <c r="A25" s="46"/>
      <c r="B25" s="37"/>
      <c r="C25" s="46"/>
      <c r="D25" s="48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6"/>
    </row>
    <row r="26" spans="1:57" ht="14.25" customHeight="1" x14ac:dyDescent="0.3">
      <c r="A26" s="46"/>
      <c r="B26" s="37"/>
      <c r="C26" s="37" t="s">
        <v>60</v>
      </c>
      <c r="D26" s="46" t="s">
        <v>49</v>
      </c>
      <c r="E26" s="46" t="s">
        <v>50</v>
      </c>
      <c r="F26" s="46" t="s">
        <v>51</v>
      </c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6"/>
      <c r="BE26" s="46"/>
    </row>
    <row r="27" spans="1:57" ht="14.25" customHeight="1" x14ac:dyDescent="0.3">
      <c r="A27" s="46"/>
      <c r="B27" s="37"/>
      <c r="C27" s="46" t="s">
        <v>61</v>
      </c>
      <c r="D27" s="49">
        <v>15</v>
      </c>
      <c r="E27" s="49">
        <v>350</v>
      </c>
      <c r="F27" s="50">
        <v>0.02</v>
      </c>
      <c r="G27" s="46"/>
      <c r="H27" s="46"/>
      <c r="I27" s="46">
        <v>48</v>
      </c>
      <c r="J27" s="46">
        <v>30</v>
      </c>
      <c r="K27" s="46">
        <v>50</v>
      </c>
      <c r="L27" s="46">
        <v>40</v>
      </c>
      <c r="M27" s="46">
        <v>10</v>
      </c>
      <c r="N27" s="46">
        <v>0</v>
      </c>
      <c r="O27" s="46">
        <v>17</v>
      </c>
      <c r="P27" s="46">
        <f t="shared" ref="P27:AE28" si="17">MIN(MAX($D27,O27)*(1+$F27)*P$9,$E27)</f>
        <v>17.34</v>
      </c>
      <c r="Q27" s="46">
        <f t="shared" si="17"/>
        <v>17.686800000000002</v>
      </c>
      <c r="R27" s="46">
        <f t="shared" si="17"/>
        <v>18.040536000000003</v>
      </c>
      <c r="S27" s="46">
        <f t="shared" si="17"/>
        <v>18.401346720000003</v>
      </c>
      <c r="T27" s="46">
        <f t="shared" si="17"/>
        <v>18.769373654400002</v>
      </c>
      <c r="U27" s="46">
        <f t="shared" si="17"/>
        <v>19.144761127488003</v>
      </c>
      <c r="V27" s="46">
        <f t="shared" si="17"/>
        <v>19.527656350037763</v>
      </c>
      <c r="W27" s="46">
        <f t="shared" si="17"/>
        <v>19.91820947703852</v>
      </c>
      <c r="X27" s="46">
        <f t="shared" si="17"/>
        <v>20.316573666579291</v>
      </c>
      <c r="Y27" s="46">
        <f t="shared" si="17"/>
        <v>20.722905139910878</v>
      </c>
      <c r="Z27" s="46">
        <f t="shared" si="17"/>
        <v>21.137363242709096</v>
      </c>
      <c r="AA27" s="46">
        <f t="shared" si="17"/>
        <v>21.560110507563277</v>
      </c>
      <c r="AB27" s="46">
        <f t="shared" si="17"/>
        <v>21.991312717714543</v>
      </c>
      <c r="AC27" s="46">
        <f t="shared" si="17"/>
        <v>22.431138972068833</v>
      </c>
      <c r="AD27" s="46">
        <f t="shared" si="17"/>
        <v>22.879761751510209</v>
      </c>
      <c r="AE27" s="46">
        <f t="shared" si="17"/>
        <v>23.337356986540414</v>
      </c>
      <c r="AF27" s="46">
        <f t="shared" ref="AF27:AU28" si="18">MIN(MAX($D27,AE27)*(1+$F27)*AF$9,$E27)</f>
        <v>23.804104126271223</v>
      </c>
      <c r="AG27" s="46">
        <f t="shared" si="18"/>
        <v>24.28018620879665</v>
      </c>
      <c r="AH27" s="46">
        <f t="shared" si="18"/>
        <v>24.765789932972584</v>
      </c>
      <c r="AI27" s="46">
        <f t="shared" si="18"/>
        <v>25.261105731632036</v>
      </c>
      <c r="AJ27" s="46">
        <f t="shared" si="18"/>
        <v>25.766327846264677</v>
      </c>
      <c r="AK27" s="46">
        <f t="shared" si="18"/>
        <v>26.281654403189972</v>
      </c>
      <c r="AL27" s="46">
        <f t="shared" si="18"/>
        <v>26.807287491253771</v>
      </c>
      <c r="AM27" s="46">
        <f t="shared" si="18"/>
        <v>27.343433241078845</v>
      </c>
      <c r="AN27" s="46">
        <f t="shared" si="18"/>
        <v>27.890301905900422</v>
      </c>
      <c r="AO27" s="46">
        <f t="shared" si="18"/>
        <v>28.448107944018432</v>
      </c>
      <c r="AP27" s="46">
        <f t="shared" si="18"/>
        <v>29.017070102898799</v>
      </c>
      <c r="AQ27" s="46">
        <f t="shared" si="18"/>
        <v>29.597411504956774</v>
      </c>
      <c r="AR27" s="46">
        <f t="shared" si="18"/>
        <v>30.189359735055909</v>
      </c>
      <c r="AS27" s="46">
        <f t="shared" si="18"/>
        <v>30.793146929757029</v>
      </c>
      <c r="AT27" s="46">
        <f t="shared" si="18"/>
        <v>31.409009868352172</v>
      </c>
      <c r="AU27" s="46">
        <f t="shared" si="18"/>
        <v>32.037190065719216</v>
      </c>
      <c r="AV27" s="46">
        <f t="shared" ref="AO27:BD28" si="19">MIN(MAX($D27,AU27)*(1+$F27)*AV$9,$E27)</f>
        <v>32.677933867033602</v>
      </c>
      <c r="AW27" s="46">
        <f t="shared" si="19"/>
        <v>33.331492544374271</v>
      </c>
      <c r="AX27" s="46">
        <f t="shared" si="19"/>
        <v>33.99812239526176</v>
      </c>
      <c r="AY27" s="46">
        <f t="shared" si="19"/>
        <v>34.678084843166992</v>
      </c>
      <c r="AZ27" s="46">
        <f t="shared" si="19"/>
        <v>35.371646540030333</v>
      </c>
      <c r="BA27" s="46">
        <f t="shared" si="19"/>
        <v>36.079079470830941</v>
      </c>
      <c r="BB27" s="46">
        <f t="shared" si="19"/>
        <v>36.800661060247563</v>
      </c>
      <c r="BC27" s="46">
        <f t="shared" si="19"/>
        <v>37.536674281452513</v>
      </c>
      <c r="BD27" s="46">
        <f t="shared" si="19"/>
        <v>38.287407767081561</v>
      </c>
      <c r="BE27" s="46"/>
    </row>
    <row r="28" spans="1:57" ht="14.25" customHeight="1" x14ac:dyDescent="0.3">
      <c r="A28" s="46"/>
      <c r="B28" s="37"/>
      <c r="C28" s="46" t="s">
        <v>53</v>
      </c>
      <c r="D28" s="49">
        <f>SUM(I28:O28)/7</f>
        <v>654.14285714285711</v>
      </c>
      <c r="E28" s="49">
        <v>2775</v>
      </c>
      <c r="F28" s="50">
        <v>0</v>
      </c>
      <c r="G28" s="46"/>
      <c r="H28" s="46"/>
      <c r="I28" s="46">
        <v>750</v>
      </c>
      <c r="J28" s="46">
        <v>574</v>
      </c>
      <c r="K28" s="46">
        <v>565</v>
      </c>
      <c r="L28" s="46">
        <v>691</v>
      </c>
      <c r="M28" s="46">
        <v>717</v>
      </c>
      <c r="N28" s="46">
        <v>750</v>
      </c>
      <c r="O28" s="46">
        <v>532</v>
      </c>
      <c r="P28" s="46">
        <f t="shared" si="17"/>
        <v>654.14285714285711</v>
      </c>
      <c r="Q28" s="46">
        <f t="shared" si="17"/>
        <v>654.14285714285711</v>
      </c>
      <c r="R28" s="46">
        <f t="shared" si="17"/>
        <v>654.14285714285711</v>
      </c>
      <c r="S28" s="46">
        <f t="shared" si="17"/>
        <v>654.14285714285711</v>
      </c>
      <c r="T28" s="46">
        <f t="shared" si="17"/>
        <v>654.14285714285711</v>
      </c>
      <c r="U28" s="46">
        <f t="shared" si="17"/>
        <v>654.14285714285711</v>
      </c>
      <c r="V28" s="46">
        <f t="shared" si="17"/>
        <v>654.14285714285711</v>
      </c>
      <c r="W28" s="46">
        <f t="shared" si="17"/>
        <v>654.14285714285711</v>
      </c>
      <c r="X28" s="46">
        <f t="shared" si="17"/>
        <v>654.14285714285711</v>
      </c>
      <c r="Y28" s="46">
        <f t="shared" si="17"/>
        <v>654.14285714285711</v>
      </c>
      <c r="Z28" s="46">
        <f t="shared" si="17"/>
        <v>654.14285714285711</v>
      </c>
      <c r="AA28" s="46">
        <f t="shared" si="17"/>
        <v>654.14285714285711</v>
      </c>
      <c r="AB28" s="46">
        <f t="shared" si="17"/>
        <v>654.14285714285711</v>
      </c>
      <c r="AC28" s="46">
        <f t="shared" si="17"/>
        <v>654.14285714285711</v>
      </c>
      <c r="AD28" s="46">
        <f t="shared" si="17"/>
        <v>654.14285714285711</v>
      </c>
      <c r="AE28" s="46">
        <f t="shared" si="17"/>
        <v>654.14285714285711</v>
      </c>
      <c r="AF28" s="46">
        <f t="shared" si="18"/>
        <v>654.14285714285711</v>
      </c>
      <c r="AG28" s="46">
        <f t="shared" si="18"/>
        <v>654.14285714285711</v>
      </c>
      <c r="AH28" s="46">
        <f t="shared" si="18"/>
        <v>654.14285714285711</v>
      </c>
      <c r="AI28" s="46">
        <f t="shared" si="18"/>
        <v>654.14285714285711</v>
      </c>
      <c r="AJ28" s="46">
        <f t="shared" si="18"/>
        <v>654.14285714285711</v>
      </c>
      <c r="AK28" s="46">
        <f t="shared" si="18"/>
        <v>654.14285714285711</v>
      </c>
      <c r="AL28" s="46">
        <f t="shared" si="18"/>
        <v>654.14285714285711</v>
      </c>
      <c r="AM28" s="46">
        <f t="shared" si="18"/>
        <v>654.14285714285711</v>
      </c>
      <c r="AN28" s="46">
        <f t="shared" si="18"/>
        <v>654.14285714285711</v>
      </c>
      <c r="AO28" s="46">
        <f t="shared" si="19"/>
        <v>654.14285714285711</v>
      </c>
      <c r="AP28" s="46">
        <f t="shared" si="19"/>
        <v>654.14285714285711</v>
      </c>
      <c r="AQ28" s="46">
        <f t="shared" si="19"/>
        <v>654.14285714285711</v>
      </c>
      <c r="AR28" s="46">
        <f t="shared" si="19"/>
        <v>654.14285714285711</v>
      </c>
      <c r="AS28" s="46">
        <f t="shared" si="19"/>
        <v>654.14285714285711</v>
      </c>
      <c r="AT28" s="46">
        <f t="shared" si="19"/>
        <v>654.14285714285711</v>
      </c>
      <c r="AU28" s="46">
        <f t="shared" si="19"/>
        <v>654.14285714285711</v>
      </c>
      <c r="AV28" s="46">
        <f t="shared" si="19"/>
        <v>654.14285714285711</v>
      </c>
      <c r="AW28" s="46">
        <f t="shared" si="19"/>
        <v>654.14285714285711</v>
      </c>
      <c r="AX28" s="46">
        <f t="shared" si="19"/>
        <v>654.14285714285711</v>
      </c>
      <c r="AY28" s="46">
        <f t="shared" si="19"/>
        <v>654.14285714285711</v>
      </c>
      <c r="AZ28" s="46">
        <f t="shared" si="19"/>
        <v>654.14285714285711</v>
      </c>
      <c r="BA28" s="46">
        <f t="shared" si="19"/>
        <v>654.14285714285711</v>
      </c>
      <c r="BB28" s="46">
        <f t="shared" si="19"/>
        <v>654.14285714285711</v>
      </c>
      <c r="BC28" s="46">
        <f t="shared" si="19"/>
        <v>654.14285714285711</v>
      </c>
      <c r="BD28" s="46">
        <f t="shared" si="19"/>
        <v>654.14285714285711</v>
      </c>
      <c r="BE28" s="46"/>
    </row>
    <row r="29" spans="1:57" ht="14.25" customHeight="1" x14ac:dyDescent="0.3">
      <c r="A29" s="46"/>
      <c r="B29" s="37"/>
      <c r="C29" s="46" t="s">
        <v>62</v>
      </c>
      <c r="D29" s="46"/>
      <c r="E29" s="46"/>
      <c r="F29" s="46"/>
      <c r="G29" s="46"/>
      <c r="H29" s="46"/>
      <c r="I29" s="51">
        <f t="shared" ref="I29:BD29" si="20">I27*I28</f>
        <v>36000</v>
      </c>
      <c r="J29" s="51">
        <f t="shared" si="20"/>
        <v>17220</v>
      </c>
      <c r="K29" s="51">
        <f t="shared" si="20"/>
        <v>28250</v>
      </c>
      <c r="L29" s="51">
        <f t="shared" si="20"/>
        <v>27640</v>
      </c>
      <c r="M29" s="51">
        <f t="shared" si="20"/>
        <v>7170</v>
      </c>
      <c r="N29" s="51">
        <f t="shared" si="20"/>
        <v>0</v>
      </c>
      <c r="O29" s="51">
        <f t="shared" si="20"/>
        <v>9044</v>
      </c>
      <c r="P29" s="51">
        <f t="shared" si="20"/>
        <v>11342.837142857143</v>
      </c>
      <c r="Q29" s="51">
        <f t="shared" si="20"/>
        <v>11569.693885714287</v>
      </c>
      <c r="R29" s="51">
        <f t="shared" si="20"/>
        <v>11801.087763428573</v>
      </c>
      <c r="S29" s="51">
        <f t="shared" si="20"/>
        <v>12037.109518697143</v>
      </c>
      <c r="T29" s="51">
        <f t="shared" si="20"/>
        <v>12277.851709071087</v>
      </c>
      <c r="U29" s="51">
        <f t="shared" si="20"/>
        <v>12523.408743252508</v>
      </c>
      <c r="V29" s="51">
        <f t="shared" si="20"/>
        <v>12773.876918117559</v>
      </c>
      <c r="W29" s="51">
        <f t="shared" si="20"/>
        <v>13029.35445647991</v>
      </c>
      <c r="X29" s="51">
        <f t="shared" si="20"/>
        <v>13289.94154560951</v>
      </c>
      <c r="Y29" s="51">
        <f t="shared" si="20"/>
        <v>13555.7403765217</v>
      </c>
      <c r="Z29" s="51">
        <f t="shared" si="20"/>
        <v>13826.855184052136</v>
      </c>
      <c r="AA29" s="51">
        <f t="shared" si="20"/>
        <v>14103.392287733177</v>
      </c>
      <c r="AB29" s="51">
        <f t="shared" si="20"/>
        <v>14385.460133487841</v>
      </c>
      <c r="AC29" s="51">
        <f t="shared" si="20"/>
        <v>14673.169336157598</v>
      </c>
      <c r="AD29" s="51">
        <f t="shared" si="20"/>
        <v>14966.632722880749</v>
      </c>
      <c r="AE29" s="51">
        <f t="shared" si="20"/>
        <v>15265.965377338363</v>
      </c>
      <c r="AF29" s="51">
        <f t="shared" si="20"/>
        <v>15571.284684885133</v>
      </c>
      <c r="AG29" s="51">
        <f t="shared" si="20"/>
        <v>15882.710378582837</v>
      </c>
      <c r="AH29" s="51">
        <f t="shared" si="20"/>
        <v>16200.364586154494</v>
      </c>
      <c r="AI29" s="51">
        <f t="shared" si="20"/>
        <v>16524.371877877584</v>
      </c>
      <c r="AJ29" s="51">
        <f t="shared" si="20"/>
        <v>16854.859315435137</v>
      </c>
      <c r="AK29" s="51">
        <f t="shared" si="20"/>
        <v>17191.95650174384</v>
      </c>
      <c r="AL29" s="51">
        <f t="shared" si="20"/>
        <v>17535.795631778714</v>
      </c>
      <c r="AM29" s="51">
        <f t="shared" si="20"/>
        <v>17886.51154441429</v>
      </c>
      <c r="AN29" s="51">
        <f t="shared" si="20"/>
        <v>18244.241775302577</v>
      </c>
      <c r="AO29" s="51">
        <f t="shared" si="20"/>
        <v>18609.126610808627</v>
      </c>
      <c r="AP29" s="51">
        <f t="shared" si="20"/>
        <v>18981.309143024799</v>
      </c>
      <c r="AQ29" s="51">
        <f t="shared" si="20"/>
        <v>19360.935325885293</v>
      </c>
      <c r="AR29" s="51">
        <f t="shared" si="20"/>
        <v>19748.154032402999</v>
      </c>
      <c r="AS29" s="51">
        <f t="shared" si="20"/>
        <v>20143.117113051063</v>
      </c>
      <c r="AT29" s="51">
        <f t="shared" si="20"/>
        <v>20545.979455312085</v>
      </c>
      <c r="AU29" s="51">
        <f t="shared" si="20"/>
        <v>20956.899044418326</v>
      </c>
      <c r="AV29" s="51">
        <f t="shared" si="20"/>
        <v>21376.037025306694</v>
      </c>
      <c r="AW29" s="51">
        <f t="shared" si="20"/>
        <v>21803.557765812824</v>
      </c>
      <c r="AX29" s="51">
        <f t="shared" si="20"/>
        <v>22239.628921129086</v>
      </c>
      <c r="AY29" s="51">
        <f t="shared" si="20"/>
        <v>22684.421499551663</v>
      </c>
      <c r="AZ29" s="51">
        <f t="shared" si="20"/>
        <v>23138.109929542698</v>
      </c>
      <c r="BA29" s="51">
        <f t="shared" si="20"/>
        <v>23600.872128133553</v>
      </c>
      <c r="BB29" s="51">
        <f t="shared" si="20"/>
        <v>24072.889570696225</v>
      </c>
      <c r="BC29" s="51">
        <f t="shared" si="20"/>
        <v>24554.347362110151</v>
      </c>
      <c r="BD29" s="51">
        <f t="shared" si="20"/>
        <v>25045.434309352353</v>
      </c>
      <c r="BE29" s="51"/>
    </row>
    <row r="30" spans="1:57" ht="14.25" customHeight="1" x14ac:dyDescent="0.3">
      <c r="A30" s="46"/>
      <c r="B30" s="37"/>
      <c r="C30" s="46"/>
      <c r="D30" s="48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E30" s="46"/>
    </row>
    <row r="31" spans="1:57" ht="14.25" customHeight="1" x14ac:dyDescent="0.3">
      <c r="A31" s="46"/>
      <c r="B31" s="37"/>
      <c r="C31" s="37" t="s">
        <v>63</v>
      </c>
      <c r="D31" s="46" t="s">
        <v>49</v>
      </c>
      <c r="E31" s="46" t="s">
        <v>50</v>
      </c>
      <c r="F31" s="46" t="s">
        <v>51</v>
      </c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6"/>
    </row>
    <row r="32" spans="1:57" ht="14.25" customHeight="1" x14ac:dyDescent="0.3">
      <c r="A32" s="46"/>
      <c r="B32" s="37"/>
      <c r="C32" s="46" t="s">
        <v>64</v>
      </c>
      <c r="D32" s="49">
        <v>80</v>
      </c>
      <c r="E32" s="49">
        <v>208</v>
      </c>
      <c r="F32" s="50">
        <v>0.05</v>
      </c>
      <c r="G32" s="46"/>
      <c r="H32" s="46"/>
      <c r="I32" s="46">
        <v>147</v>
      </c>
      <c r="J32" s="46">
        <v>127.5</v>
      </c>
      <c r="K32" s="46">
        <v>166</v>
      </c>
      <c r="L32" s="46">
        <v>132</v>
      </c>
      <c r="M32" s="46">
        <v>79.5</v>
      </c>
      <c r="N32" s="46">
        <v>102</v>
      </c>
      <c r="O32" s="46">
        <v>100.5</v>
      </c>
      <c r="P32" s="46">
        <f t="shared" ref="P32:AE32" si="21">MIN(MAX($D32,O32)*(1+$F32)*P$9,$E32)</f>
        <v>105.52500000000001</v>
      </c>
      <c r="Q32" s="46">
        <f t="shared" si="21"/>
        <v>110.80125000000001</v>
      </c>
      <c r="R32" s="46">
        <f t="shared" si="21"/>
        <v>116.34131250000002</v>
      </c>
      <c r="S32" s="46">
        <f t="shared" si="21"/>
        <v>122.15837812500003</v>
      </c>
      <c r="T32" s="46">
        <f t="shared" si="21"/>
        <v>128.26629703125005</v>
      </c>
      <c r="U32" s="46">
        <f t="shared" si="21"/>
        <v>134.67961188281257</v>
      </c>
      <c r="V32" s="46">
        <f t="shared" si="21"/>
        <v>141.4135924769532</v>
      </c>
      <c r="W32" s="46">
        <f t="shared" si="21"/>
        <v>148.48427210080087</v>
      </c>
      <c r="X32" s="46">
        <f t="shared" si="21"/>
        <v>155.90848570584092</v>
      </c>
      <c r="Y32" s="46">
        <f t="shared" si="21"/>
        <v>163.70390999113297</v>
      </c>
      <c r="Z32" s="46">
        <f t="shared" si="21"/>
        <v>171.88910549068964</v>
      </c>
      <c r="AA32" s="46">
        <f t="shared" si="21"/>
        <v>180.48356076522413</v>
      </c>
      <c r="AB32" s="46">
        <f t="shared" si="21"/>
        <v>189.50773880348535</v>
      </c>
      <c r="AC32" s="46">
        <f t="shared" si="21"/>
        <v>198.98312574365963</v>
      </c>
      <c r="AD32" s="46">
        <f t="shared" si="21"/>
        <v>208</v>
      </c>
      <c r="AE32" s="46">
        <f t="shared" si="21"/>
        <v>208</v>
      </c>
      <c r="AF32" s="46">
        <f t="shared" ref="Y32:AN33" si="22">MIN(MAX($D32,AE32)*(1+$F32)*AF$9,$E32)</f>
        <v>208</v>
      </c>
      <c r="AG32" s="46">
        <f t="shared" si="22"/>
        <v>208</v>
      </c>
      <c r="AH32" s="46">
        <f t="shared" si="22"/>
        <v>208</v>
      </c>
      <c r="AI32" s="46">
        <f t="shared" si="22"/>
        <v>208</v>
      </c>
      <c r="AJ32" s="46">
        <f t="shared" si="22"/>
        <v>208</v>
      </c>
      <c r="AK32" s="46">
        <f t="shared" si="22"/>
        <v>208</v>
      </c>
      <c r="AL32" s="46">
        <f t="shared" si="22"/>
        <v>208</v>
      </c>
      <c r="AM32" s="46">
        <f t="shared" si="22"/>
        <v>208</v>
      </c>
      <c r="AN32" s="46">
        <f>MIN(MAX($D32,AM32)*(1+$F32)*AN$9,$E32)</f>
        <v>208</v>
      </c>
      <c r="AO32" s="46">
        <f t="shared" ref="AO32:BD33" si="23">MIN(MAX($D32,AN32)*(1+$F32)*AO$9,$E32)</f>
        <v>208</v>
      </c>
      <c r="AP32" s="46">
        <f t="shared" si="23"/>
        <v>208</v>
      </c>
      <c r="AQ32" s="46">
        <f t="shared" si="23"/>
        <v>208</v>
      </c>
      <c r="AR32" s="46">
        <f t="shared" si="23"/>
        <v>208</v>
      </c>
      <c r="AS32" s="46">
        <f t="shared" si="23"/>
        <v>208</v>
      </c>
      <c r="AT32" s="46">
        <f t="shared" si="23"/>
        <v>208</v>
      </c>
      <c r="AU32" s="46">
        <f t="shared" si="23"/>
        <v>208</v>
      </c>
      <c r="AV32" s="46">
        <f t="shared" si="23"/>
        <v>208</v>
      </c>
      <c r="AW32" s="46">
        <f t="shared" si="23"/>
        <v>208</v>
      </c>
      <c r="AX32" s="46">
        <f t="shared" si="23"/>
        <v>208</v>
      </c>
      <c r="AY32" s="46">
        <f t="shared" si="23"/>
        <v>208</v>
      </c>
      <c r="AZ32" s="46">
        <f t="shared" si="23"/>
        <v>208</v>
      </c>
      <c r="BA32" s="46">
        <f t="shared" si="23"/>
        <v>208</v>
      </c>
      <c r="BB32" s="46">
        <f t="shared" si="23"/>
        <v>208</v>
      </c>
      <c r="BC32" s="46">
        <f t="shared" si="23"/>
        <v>208</v>
      </c>
      <c r="BD32" s="46">
        <f t="shared" si="23"/>
        <v>208</v>
      </c>
      <c r="BE32" s="46"/>
    </row>
    <row r="33" spans="1:57" ht="14.25" customHeight="1" x14ac:dyDescent="0.3">
      <c r="A33" s="46"/>
      <c r="B33" s="37"/>
      <c r="C33" s="46" t="s">
        <v>65</v>
      </c>
      <c r="D33" s="49">
        <v>3091</v>
      </c>
      <c r="E33" s="49">
        <v>3555</v>
      </c>
      <c r="F33" s="50">
        <v>0</v>
      </c>
      <c r="G33" s="46"/>
      <c r="H33" s="46"/>
      <c r="I33" s="46">
        <f>3555/1.15</f>
        <v>3091.304347826087</v>
      </c>
      <c r="J33" s="46">
        <v>3091</v>
      </c>
      <c r="K33" s="46">
        <f t="shared" ref="K33:X33" si="24">MIN(MAX($D33,J33)*(1+$F33)*K$9,$E33)</f>
        <v>3091</v>
      </c>
      <c r="L33" s="46">
        <f t="shared" si="24"/>
        <v>3091</v>
      </c>
      <c r="M33" s="46">
        <f t="shared" si="24"/>
        <v>3091</v>
      </c>
      <c r="N33" s="46">
        <f t="shared" si="24"/>
        <v>3091</v>
      </c>
      <c r="O33" s="46">
        <f t="shared" si="24"/>
        <v>3091</v>
      </c>
      <c r="P33" s="46">
        <f>MIN(MAX($D33,O33)*(1+$F33)*P$9,$E33)</f>
        <v>3091</v>
      </c>
      <c r="Q33" s="46">
        <f t="shared" si="24"/>
        <v>3091</v>
      </c>
      <c r="R33" s="46">
        <f t="shared" si="24"/>
        <v>3091</v>
      </c>
      <c r="S33" s="46">
        <f t="shared" si="24"/>
        <v>3091</v>
      </c>
      <c r="T33" s="46">
        <f t="shared" si="24"/>
        <v>3091</v>
      </c>
      <c r="U33" s="46">
        <f t="shared" si="24"/>
        <v>3091</v>
      </c>
      <c r="V33" s="46">
        <f t="shared" si="24"/>
        <v>3091</v>
      </c>
      <c r="W33" s="46">
        <f t="shared" si="24"/>
        <v>3091</v>
      </c>
      <c r="X33" s="46">
        <f t="shared" si="24"/>
        <v>3091</v>
      </c>
      <c r="Y33" s="46">
        <f t="shared" si="22"/>
        <v>3091</v>
      </c>
      <c r="Z33" s="46">
        <f t="shared" si="22"/>
        <v>3091</v>
      </c>
      <c r="AA33" s="46">
        <f t="shared" si="22"/>
        <v>3091</v>
      </c>
      <c r="AB33" s="46">
        <f t="shared" si="22"/>
        <v>3091</v>
      </c>
      <c r="AC33" s="46">
        <f t="shared" si="22"/>
        <v>3091</v>
      </c>
      <c r="AD33" s="46">
        <f t="shared" si="22"/>
        <v>3091</v>
      </c>
      <c r="AE33" s="46">
        <f t="shared" si="22"/>
        <v>3091</v>
      </c>
      <c r="AF33" s="46">
        <f t="shared" si="22"/>
        <v>3091</v>
      </c>
      <c r="AG33" s="46">
        <f t="shared" si="22"/>
        <v>3091</v>
      </c>
      <c r="AH33" s="46">
        <f t="shared" si="22"/>
        <v>3091</v>
      </c>
      <c r="AI33" s="46">
        <f t="shared" si="22"/>
        <v>3091</v>
      </c>
      <c r="AJ33" s="46">
        <f t="shared" si="22"/>
        <v>3091</v>
      </c>
      <c r="AK33" s="46">
        <f t="shared" si="22"/>
        <v>3091</v>
      </c>
      <c r="AL33" s="46">
        <f t="shared" si="22"/>
        <v>3091</v>
      </c>
      <c r="AM33" s="46">
        <f t="shared" si="22"/>
        <v>3091</v>
      </c>
      <c r="AN33" s="46">
        <f t="shared" si="22"/>
        <v>3091</v>
      </c>
      <c r="AO33" s="46">
        <f t="shared" si="23"/>
        <v>3091</v>
      </c>
      <c r="AP33" s="46">
        <f t="shared" si="23"/>
        <v>3091</v>
      </c>
      <c r="AQ33" s="46">
        <f t="shared" si="23"/>
        <v>3091</v>
      </c>
      <c r="AR33" s="46">
        <f t="shared" si="23"/>
        <v>3091</v>
      </c>
      <c r="AS33" s="46">
        <f t="shared" si="23"/>
        <v>3091</v>
      </c>
      <c r="AT33" s="46">
        <f t="shared" si="23"/>
        <v>3091</v>
      </c>
      <c r="AU33" s="46">
        <f t="shared" si="23"/>
        <v>3091</v>
      </c>
      <c r="AV33" s="46">
        <f t="shared" si="23"/>
        <v>3091</v>
      </c>
      <c r="AW33" s="46">
        <f t="shared" si="23"/>
        <v>3091</v>
      </c>
      <c r="AX33" s="46">
        <f t="shared" si="23"/>
        <v>3091</v>
      </c>
      <c r="AY33" s="46">
        <f t="shared" si="23"/>
        <v>3091</v>
      </c>
      <c r="AZ33" s="46">
        <f t="shared" si="23"/>
        <v>3091</v>
      </c>
      <c r="BA33" s="46">
        <f t="shared" si="23"/>
        <v>3091</v>
      </c>
      <c r="BB33" s="46">
        <f t="shared" si="23"/>
        <v>3091</v>
      </c>
      <c r="BC33" s="46">
        <f t="shared" si="23"/>
        <v>3091</v>
      </c>
      <c r="BD33" s="46">
        <f t="shared" si="23"/>
        <v>3091</v>
      </c>
      <c r="BE33" s="46"/>
    </row>
    <row r="34" spans="1:57" ht="14.25" customHeight="1" x14ac:dyDescent="0.3">
      <c r="A34" s="46"/>
      <c r="B34" s="37"/>
      <c r="C34" s="46" t="s">
        <v>66</v>
      </c>
      <c r="D34" s="46"/>
      <c r="E34" s="46"/>
      <c r="F34" s="46"/>
      <c r="G34" s="46"/>
      <c r="H34" s="46"/>
      <c r="I34" s="51">
        <f t="shared" ref="I34:BD34" si="25">I32*I33</f>
        <v>454421.73913043481</v>
      </c>
      <c r="J34" s="51">
        <f t="shared" si="25"/>
        <v>394102.5</v>
      </c>
      <c r="K34" s="51">
        <f t="shared" si="25"/>
        <v>513106</v>
      </c>
      <c r="L34" s="51">
        <f t="shared" si="25"/>
        <v>408012</v>
      </c>
      <c r="M34" s="51">
        <f t="shared" si="25"/>
        <v>245734.5</v>
      </c>
      <c r="N34" s="51">
        <f t="shared" si="25"/>
        <v>315282</v>
      </c>
      <c r="O34" s="51">
        <f t="shared" si="25"/>
        <v>310645.5</v>
      </c>
      <c r="P34" s="51">
        <f t="shared" si="25"/>
        <v>326177.77500000002</v>
      </c>
      <c r="Q34" s="51">
        <f t="shared" si="25"/>
        <v>342486.66375000001</v>
      </c>
      <c r="R34" s="51">
        <f t="shared" si="25"/>
        <v>359610.99693750002</v>
      </c>
      <c r="S34" s="51">
        <f t="shared" si="25"/>
        <v>377591.5467843751</v>
      </c>
      <c r="T34" s="51">
        <f t="shared" si="25"/>
        <v>396471.12412359391</v>
      </c>
      <c r="U34" s="51">
        <f t="shared" si="25"/>
        <v>416294.68032977363</v>
      </c>
      <c r="V34" s="51">
        <f t="shared" si="25"/>
        <v>437109.41434626235</v>
      </c>
      <c r="W34" s="51">
        <f t="shared" si="25"/>
        <v>458964.88506357546</v>
      </c>
      <c r="X34" s="51">
        <f t="shared" si="25"/>
        <v>481913.12931675429</v>
      </c>
      <c r="Y34" s="51">
        <f t="shared" si="25"/>
        <v>506008.78578259202</v>
      </c>
      <c r="Z34" s="51">
        <f t="shared" si="25"/>
        <v>531309.22507172171</v>
      </c>
      <c r="AA34" s="51">
        <f t="shared" si="25"/>
        <v>557874.68632530782</v>
      </c>
      <c r="AB34" s="51">
        <f t="shared" si="25"/>
        <v>585768.42064157326</v>
      </c>
      <c r="AC34" s="51">
        <f t="shared" si="25"/>
        <v>615056.84167365194</v>
      </c>
      <c r="AD34" s="51">
        <f t="shared" si="25"/>
        <v>642928</v>
      </c>
      <c r="AE34" s="51">
        <f t="shared" si="25"/>
        <v>642928</v>
      </c>
      <c r="AF34" s="51">
        <f t="shared" si="25"/>
        <v>642928</v>
      </c>
      <c r="AG34" s="51">
        <f t="shared" si="25"/>
        <v>642928</v>
      </c>
      <c r="AH34" s="51">
        <f t="shared" si="25"/>
        <v>642928</v>
      </c>
      <c r="AI34" s="51">
        <f t="shared" si="25"/>
        <v>642928</v>
      </c>
      <c r="AJ34" s="51">
        <f t="shared" si="25"/>
        <v>642928</v>
      </c>
      <c r="AK34" s="51">
        <f t="shared" si="25"/>
        <v>642928</v>
      </c>
      <c r="AL34" s="51">
        <f t="shared" si="25"/>
        <v>642928</v>
      </c>
      <c r="AM34" s="51">
        <f t="shared" si="25"/>
        <v>642928</v>
      </c>
      <c r="AN34" s="51">
        <f t="shared" si="25"/>
        <v>642928</v>
      </c>
      <c r="AO34" s="51">
        <f t="shared" si="25"/>
        <v>642928</v>
      </c>
      <c r="AP34" s="51">
        <f t="shared" si="25"/>
        <v>642928</v>
      </c>
      <c r="AQ34" s="51">
        <f t="shared" si="25"/>
        <v>642928</v>
      </c>
      <c r="AR34" s="51">
        <f t="shared" si="25"/>
        <v>642928</v>
      </c>
      <c r="AS34" s="51">
        <f t="shared" si="25"/>
        <v>642928</v>
      </c>
      <c r="AT34" s="51">
        <f t="shared" si="25"/>
        <v>642928</v>
      </c>
      <c r="AU34" s="51">
        <f t="shared" si="25"/>
        <v>642928</v>
      </c>
      <c r="AV34" s="51">
        <f t="shared" si="25"/>
        <v>642928</v>
      </c>
      <c r="AW34" s="51">
        <f t="shared" si="25"/>
        <v>642928</v>
      </c>
      <c r="AX34" s="51">
        <f t="shared" si="25"/>
        <v>642928</v>
      </c>
      <c r="AY34" s="51">
        <f t="shared" si="25"/>
        <v>642928</v>
      </c>
      <c r="AZ34" s="51">
        <f t="shared" si="25"/>
        <v>642928</v>
      </c>
      <c r="BA34" s="51">
        <f t="shared" si="25"/>
        <v>642928</v>
      </c>
      <c r="BB34" s="51">
        <f t="shared" si="25"/>
        <v>642928</v>
      </c>
      <c r="BC34" s="51">
        <f t="shared" si="25"/>
        <v>642928</v>
      </c>
      <c r="BD34" s="51">
        <f t="shared" si="25"/>
        <v>642928</v>
      </c>
      <c r="BE34" s="51"/>
    </row>
    <row r="35" spans="1:57" ht="14.25" customHeight="1" x14ac:dyDescent="0.3">
      <c r="A35" s="46"/>
      <c r="B35" s="37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46"/>
      <c r="BC35" s="46"/>
      <c r="BD35" s="46"/>
      <c r="BE35" s="46"/>
    </row>
    <row r="36" spans="1:57" ht="14.25" customHeight="1" x14ac:dyDescent="0.3">
      <c r="A36" s="46"/>
      <c r="B36" s="37"/>
      <c r="C36" s="37" t="s">
        <v>67</v>
      </c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46"/>
      <c r="BC36" s="46"/>
      <c r="BD36" s="46"/>
      <c r="BE36" s="46"/>
    </row>
    <row r="37" spans="1:57" ht="14.25" customHeight="1" x14ac:dyDescent="0.3">
      <c r="A37" s="46"/>
      <c r="B37" s="37"/>
      <c r="C37" s="46" t="s">
        <v>68</v>
      </c>
      <c r="D37" s="47">
        <f>R4</f>
        <v>45961</v>
      </c>
      <c r="E37" s="46"/>
      <c r="F37" s="46"/>
      <c r="G37" s="46"/>
      <c r="H37" s="46"/>
      <c r="I37" s="46">
        <f>IF(I4=$D$37,1,0)</f>
        <v>0</v>
      </c>
      <c r="J37" s="46">
        <f t="shared" ref="J37:X37" si="26">IF(J4&gt;=$D$37,1,0)</f>
        <v>0</v>
      </c>
      <c r="K37" s="46">
        <f t="shared" si="26"/>
        <v>0</v>
      </c>
      <c r="L37" s="46">
        <f>IF(L4&gt;=$D$37,1,0)</f>
        <v>0</v>
      </c>
      <c r="M37" s="46">
        <f t="shared" si="26"/>
        <v>0</v>
      </c>
      <c r="N37" s="46">
        <f t="shared" si="26"/>
        <v>0</v>
      </c>
      <c r="O37" s="46">
        <f t="shared" si="26"/>
        <v>0</v>
      </c>
      <c r="P37" s="46">
        <f t="shared" si="26"/>
        <v>0</v>
      </c>
      <c r="Q37" s="46">
        <f t="shared" si="26"/>
        <v>0</v>
      </c>
      <c r="R37" s="46">
        <f t="shared" si="26"/>
        <v>1</v>
      </c>
      <c r="S37" s="46">
        <f t="shared" si="26"/>
        <v>1</v>
      </c>
      <c r="T37" s="46">
        <f t="shared" si="26"/>
        <v>1</v>
      </c>
      <c r="U37" s="46">
        <f t="shared" si="26"/>
        <v>1</v>
      </c>
      <c r="V37" s="46">
        <f t="shared" si="26"/>
        <v>1</v>
      </c>
      <c r="W37" s="46">
        <f t="shared" si="26"/>
        <v>1</v>
      </c>
      <c r="X37" s="46">
        <f t="shared" si="26"/>
        <v>1</v>
      </c>
      <c r="Y37" s="46">
        <f>IF(Y4&gt;=$D$37,1,0)</f>
        <v>1</v>
      </c>
      <c r="Z37" s="46">
        <f>IF(Z4&gt;=$D$37,1,0)</f>
        <v>1</v>
      </c>
      <c r="AA37" s="46">
        <f t="shared" ref="AA37:BD37" si="27">IF(AA4&gt;=$D$37,1,0)</f>
        <v>1</v>
      </c>
      <c r="AB37" s="46">
        <f t="shared" si="27"/>
        <v>1</v>
      </c>
      <c r="AC37" s="46">
        <f t="shared" si="27"/>
        <v>1</v>
      </c>
      <c r="AD37" s="46">
        <f t="shared" si="27"/>
        <v>1</v>
      </c>
      <c r="AE37" s="46">
        <f t="shared" si="27"/>
        <v>1</v>
      </c>
      <c r="AF37" s="46">
        <f t="shared" si="27"/>
        <v>1</v>
      </c>
      <c r="AG37" s="46">
        <f t="shared" si="27"/>
        <v>1</v>
      </c>
      <c r="AH37" s="46">
        <f t="shared" si="27"/>
        <v>1</v>
      </c>
      <c r="AI37" s="46">
        <f t="shared" si="27"/>
        <v>1</v>
      </c>
      <c r="AJ37" s="46">
        <f t="shared" si="27"/>
        <v>1</v>
      </c>
      <c r="AK37" s="46">
        <f t="shared" si="27"/>
        <v>1</v>
      </c>
      <c r="AL37" s="46">
        <f t="shared" si="27"/>
        <v>1</v>
      </c>
      <c r="AM37" s="46">
        <f t="shared" si="27"/>
        <v>1</v>
      </c>
      <c r="AN37" s="46">
        <f t="shared" si="27"/>
        <v>1</v>
      </c>
      <c r="AO37" s="46">
        <f t="shared" si="27"/>
        <v>1</v>
      </c>
      <c r="AP37" s="46">
        <f t="shared" si="27"/>
        <v>1</v>
      </c>
      <c r="AQ37" s="46">
        <f t="shared" si="27"/>
        <v>1</v>
      </c>
      <c r="AR37" s="46">
        <f t="shared" si="27"/>
        <v>1</v>
      </c>
      <c r="AS37" s="46">
        <f t="shared" si="27"/>
        <v>1</v>
      </c>
      <c r="AT37" s="46">
        <f t="shared" si="27"/>
        <v>1</v>
      </c>
      <c r="AU37" s="46">
        <f t="shared" si="27"/>
        <v>1</v>
      </c>
      <c r="AV37" s="46">
        <f t="shared" si="27"/>
        <v>1</v>
      </c>
      <c r="AW37" s="46">
        <f t="shared" si="27"/>
        <v>1</v>
      </c>
      <c r="AX37" s="46">
        <f t="shared" si="27"/>
        <v>1</v>
      </c>
      <c r="AY37" s="46">
        <f t="shared" si="27"/>
        <v>1</v>
      </c>
      <c r="AZ37" s="46">
        <f t="shared" si="27"/>
        <v>1</v>
      </c>
      <c r="BA37" s="46">
        <f t="shared" si="27"/>
        <v>1</v>
      </c>
      <c r="BB37" s="46">
        <f t="shared" si="27"/>
        <v>1</v>
      </c>
      <c r="BC37" s="46">
        <f t="shared" si="27"/>
        <v>1</v>
      </c>
      <c r="BD37" s="46">
        <f t="shared" si="27"/>
        <v>1</v>
      </c>
      <c r="BE37" s="46"/>
    </row>
    <row r="38" spans="1:57" ht="14.25" customHeight="1" x14ac:dyDescent="0.3">
      <c r="A38" s="46"/>
      <c r="B38" s="37"/>
      <c r="C38" s="37"/>
      <c r="D38" s="46" t="s">
        <v>49</v>
      </c>
      <c r="E38" s="46" t="s">
        <v>50</v>
      </c>
      <c r="F38" s="46" t="s">
        <v>51</v>
      </c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6"/>
      <c r="AN38" s="46"/>
      <c r="AO38" s="46"/>
      <c r="AP38" s="46"/>
      <c r="AQ38" s="46"/>
      <c r="AR38" s="46"/>
      <c r="AS38" s="46"/>
      <c r="AT38" s="46"/>
      <c r="AU38" s="46"/>
      <c r="AV38" s="46"/>
      <c r="AW38" s="46"/>
      <c r="AX38" s="46"/>
      <c r="AY38" s="46"/>
      <c r="AZ38" s="46"/>
      <c r="BA38" s="46"/>
      <c r="BB38" s="46"/>
      <c r="BC38" s="46"/>
      <c r="BD38" s="46"/>
      <c r="BE38" s="46"/>
    </row>
    <row r="39" spans="1:57" ht="14.25" customHeight="1" x14ac:dyDescent="0.3">
      <c r="A39" s="46"/>
      <c r="B39" s="37"/>
      <c r="C39" s="46" t="s">
        <v>69</v>
      </c>
      <c r="D39" s="49">
        <v>30</v>
      </c>
      <c r="E39" s="49">
        <v>208</v>
      </c>
      <c r="F39" s="50">
        <v>0.05</v>
      </c>
      <c r="G39" s="46"/>
      <c r="H39" s="46"/>
      <c r="I39" s="46">
        <f t="shared" ref="I39:X40" si="28">MIN(MAX($D39,H39)*(1+$F39)*I$37,$E39)</f>
        <v>0</v>
      </c>
      <c r="J39" s="46">
        <f t="shared" si="28"/>
        <v>0</v>
      </c>
      <c r="K39" s="46">
        <f t="shared" si="28"/>
        <v>0</v>
      </c>
      <c r="L39" s="46">
        <f t="shared" si="28"/>
        <v>0</v>
      </c>
      <c r="M39" s="46">
        <f t="shared" si="28"/>
        <v>0</v>
      </c>
      <c r="N39" s="46">
        <f t="shared" si="28"/>
        <v>0</v>
      </c>
      <c r="O39" s="46">
        <f t="shared" si="28"/>
        <v>0</v>
      </c>
      <c r="P39" s="46">
        <f t="shared" si="28"/>
        <v>0</v>
      </c>
      <c r="Q39" s="46">
        <f t="shared" si="28"/>
        <v>0</v>
      </c>
      <c r="R39" s="46">
        <f t="shared" si="28"/>
        <v>31.5</v>
      </c>
      <c r="S39" s="46">
        <f t="shared" si="28"/>
        <v>33.075000000000003</v>
      </c>
      <c r="T39" s="46">
        <f t="shared" si="28"/>
        <v>34.728750000000005</v>
      </c>
      <c r="U39" s="46">
        <f t="shared" si="28"/>
        <v>36.465187500000006</v>
      </c>
      <c r="V39" s="46">
        <f t="shared" si="28"/>
        <v>38.288446875000005</v>
      </c>
      <c r="W39" s="46">
        <f t="shared" si="28"/>
        <v>40.20286921875001</v>
      </c>
      <c r="X39" s="46">
        <f t="shared" si="28"/>
        <v>42.213012679687509</v>
      </c>
      <c r="Y39" s="46">
        <f t="shared" ref="Y39:AN40" si="29">MIN(MAX($D39,X39)*(1+$F39)*Y$37,$E39)</f>
        <v>44.323663313671886</v>
      </c>
      <c r="Z39" s="46">
        <f t="shared" si="29"/>
        <v>46.539846479355482</v>
      </c>
      <c r="AA39" s="46">
        <f t="shared" si="29"/>
        <v>48.866838803323262</v>
      </c>
      <c r="AB39" s="46">
        <f t="shared" si="29"/>
        <v>51.310180743489425</v>
      </c>
      <c r="AC39" s="46">
        <f t="shared" si="29"/>
        <v>53.875689780663897</v>
      </c>
      <c r="AD39" s="46">
        <f t="shared" si="29"/>
        <v>56.569474269697096</v>
      </c>
      <c r="AE39" s="46">
        <f t="shared" si="29"/>
        <v>59.39794798318195</v>
      </c>
      <c r="AF39" s="46">
        <f t="shared" si="29"/>
        <v>62.367845382341052</v>
      </c>
      <c r="AG39" s="46">
        <f t="shared" si="29"/>
        <v>65.486237651458111</v>
      </c>
      <c r="AH39" s="46">
        <f t="shared" si="29"/>
        <v>68.760549534031014</v>
      </c>
      <c r="AI39" s="46">
        <f t="shared" si="29"/>
        <v>72.198577010732564</v>
      </c>
      <c r="AJ39" s="46">
        <f t="shared" si="29"/>
        <v>75.808505861269197</v>
      </c>
      <c r="AK39" s="46">
        <f t="shared" si="29"/>
        <v>79.598931154332661</v>
      </c>
      <c r="AL39" s="46">
        <f t="shared" si="29"/>
        <v>83.578877712049291</v>
      </c>
      <c r="AM39" s="46">
        <f t="shared" si="29"/>
        <v>87.757821597651755</v>
      </c>
      <c r="AN39" s="46">
        <f t="shared" si="29"/>
        <v>92.145712677534348</v>
      </c>
      <c r="AO39" s="46">
        <f t="shared" ref="AO39:BD40" si="30">MIN(MAX($D39,AN39)*(1+$F39)*AO$37,$E39)</f>
        <v>96.752998311411076</v>
      </c>
      <c r="AP39" s="46">
        <f t="shared" si="30"/>
        <v>101.59064822698163</v>
      </c>
      <c r="AQ39" s="46">
        <f t="shared" si="30"/>
        <v>106.67018063833072</v>
      </c>
      <c r="AR39" s="46">
        <f t="shared" si="30"/>
        <v>112.00368967024725</v>
      </c>
      <c r="AS39" s="46">
        <f t="shared" si="30"/>
        <v>117.60387415375962</v>
      </c>
      <c r="AT39" s="46">
        <f t="shared" si="30"/>
        <v>123.4840678614476</v>
      </c>
      <c r="AU39" s="46">
        <f t="shared" si="30"/>
        <v>129.65827125451997</v>
      </c>
      <c r="AV39" s="46">
        <f t="shared" si="30"/>
        <v>136.14118481724597</v>
      </c>
      <c r="AW39" s="46">
        <f t="shared" si="30"/>
        <v>142.94824405810829</v>
      </c>
      <c r="AX39" s="46">
        <f t="shared" si="30"/>
        <v>150.09565626101372</v>
      </c>
      <c r="AY39" s="46">
        <f t="shared" si="30"/>
        <v>157.60043907406441</v>
      </c>
      <c r="AZ39" s="46">
        <f t="shared" si="30"/>
        <v>165.48046102776763</v>
      </c>
      <c r="BA39" s="46">
        <f t="shared" si="30"/>
        <v>173.75448407915601</v>
      </c>
      <c r="BB39" s="46">
        <f t="shared" si="30"/>
        <v>182.44220828311381</v>
      </c>
      <c r="BC39" s="46">
        <f t="shared" si="30"/>
        <v>191.5643186972695</v>
      </c>
      <c r="BD39" s="46">
        <f t="shared" si="30"/>
        <v>201.14253463213299</v>
      </c>
      <c r="BE39" s="46"/>
    </row>
    <row r="40" spans="1:57" ht="14.25" customHeight="1" x14ac:dyDescent="0.3">
      <c r="A40" s="46"/>
      <c r="B40" s="37"/>
      <c r="C40" s="46" t="s">
        <v>65</v>
      </c>
      <c r="D40" s="49">
        <v>3555</v>
      </c>
      <c r="E40" s="49">
        <v>3555</v>
      </c>
      <c r="F40" s="50">
        <v>0</v>
      </c>
      <c r="G40" s="46"/>
      <c r="H40" s="46"/>
      <c r="I40" s="46">
        <f t="shared" si="28"/>
        <v>0</v>
      </c>
      <c r="J40" s="46">
        <f t="shared" si="28"/>
        <v>0</v>
      </c>
      <c r="K40" s="46">
        <f t="shared" si="28"/>
        <v>0</v>
      </c>
      <c r="L40" s="46">
        <f t="shared" si="28"/>
        <v>0</v>
      </c>
      <c r="M40" s="46">
        <f t="shared" si="28"/>
        <v>0</v>
      </c>
      <c r="N40" s="46">
        <f t="shared" si="28"/>
        <v>0</v>
      </c>
      <c r="O40" s="46">
        <f t="shared" si="28"/>
        <v>0</v>
      </c>
      <c r="P40" s="46">
        <f t="shared" si="28"/>
        <v>0</v>
      </c>
      <c r="Q40" s="46">
        <f t="shared" si="28"/>
        <v>0</v>
      </c>
      <c r="R40" s="46">
        <f t="shared" si="28"/>
        <v>3555</v>
      </c>
      <c r="S40" s="46">
        <f t="shared" si="28"/>
        <v>3555</v>
      </c>
      <c r="T40" s="46">
        <f t="shared" si="28"/>
        <v>3555</v>
      </c>
      <c r="U40" s="46">
        <f t="shared" si="28"/>
        <v>3555</v>
      </c>
      <c r="V40" s="46">
        <f t="shared" si="28"/>
        <v>3555</v>
      </c>
      <c r="W40" s="46">
        <f t="shared" si="28"/>
        <v>3555</v>
      </c>
      <c r="X40" s="46">
        <f t="shared" si="28"/>
        <v>3555</v>
      </c>
      <c r="Y40" s="46">
        <f t="shared" si="29"/>
        <v>3555</v>
      </c>
      <c r="Z40" s="46">
        <f t="shared" si="29"/>
        <v>3555</v>
      </c>
      <c r="AA40" s="46">
        <f t="shared" si="29"/>
        <v>3555</v>
      </c>
      <c r="AB40" s="46">
        <f t="shared" si="29"/>
        <v>3555</v>
      </c>
      <c r="AC40" s="46">
        <f t="shared" si="29"/>
        <v>3555</v>
      </c>
      <c r="AD40" s="46">
        <f t="shared" si="29"/>
        <v>3555</v>
      </c>
      <c r="AE40" s="46">
        <f t="shared" si="29"/>
        <v>3555</v>
      </c>
      <c r="AF40" s="46">
        <f t="shared" si="29"/>
        <v>3555</v>
      </c>
      <c r="AG40" s="46">
        <f t="shared" si="29"/>
        <v>3555</v>
      </c>
      <c r="AH40" s="46">
        <f t="shared" si="29"/>
        <v>3555</v>
      </c>
      <c r="AI40" s="46">
        <f t="shared" si="29"/>
        <v>3555</v>
      </c>
      <c r="AJ40" s="46">
        <f t="shared" si="29"/>
        <v>3555</v>
      </c>
      <c r="AK40" s="46">
        <f t="shared" si="29"/>
        <v>3555</v>
      </c>
      <c r="AL40" s="46">
        <f t="shared" si="29"/>
        <v>3555</v>
      </c>
      <c r="AM40" s="46">
        <f t="shared" si="29"/>
        <v>3555</v>
      </c>
      <c r="AN40" s="46">
        <f t="shared" si="29"/>
        <v>3555</v>
      </c>
      <c r="AO40" s="46">
        <f t="shared" si="30"/>
        <v>3555</v>
      </c>
      <c r="AP40" s="46">
        <f t="shared" si="30"/>
        <v>3555</v>
      </c>
      <c r="AQ40" s="46">
        <f t="shared" si="30"/>
        <v>3555</v>
      </c>
      <c r="AR40" s="46">
        <f t="shared" si="30"/>
        <v>3555</v>
      </c>
      <c r="AS40" s="46">
        <f t="shared" si="30"/>
        <v>3555</v>
      </c>
      <c r="AT40" s="46">
        <f t="shared" si="30"/>
        <v>3555</v>
      </c>
      <c r="AU40" s="46">
        <f t="shared" si="30"/>
        <v>3555</v>
      </c>
      <c r="AV40" s="46">
        <f t="shared" si="30"/>
        <v>3555</v>
      </c>
      <c r="AW40" s="46">
        <f t="shared" si="30"/>
        <v>3555</v>
      </c>
      <c r="AX40" s="46">
        <f t="shared" si="30"/>
        <v>3555</v>
      </c>
      <c r="AY40" s="46">
        <f t="shared" si="30"/>
        <v>3555</v>
      </c>
      <c r="AZ40" s="46">
        <f t="shared" si="30"/>
        <v>3555</v>
      </c>
      <c r="BA40" s="46">
        <f t="shared" si="30"/>
        <v>3555</v>
      </c>
      <c r="BB40" s="46">
        <f t="shared" si="30"/>
        <v>3555</v>
      </c>
      <c r="BC40" s="46">
        <f t="shared" si="30"/>
        <v>3555</v>
      </c>
      <c r="BD40" s="46">
        <f t="shared" si="30"/>
        <v>3555</v>
      </c>
      <c r="BE40" s="46"/>
    </row>
    <row r="41" spans="1:57" ht="14.25" customHeight="1" x14ac:dyDescent="0.3">
      <c r="A41" s="46"/>
      <c r="B41" s="37"/>
      <c r="C41" s="46" t="s">
        <v>70</v>
      </c>
      <c r="D41" s="46"/>
      <c r="E41" s="46"/>
      <c r="F41" s="46"/>
      <c r="G41" s="46"/>
      <c r="H41" s="46"/>
      <c r="I41" s="51">
        <f t="shared" ref="I41:BD41" si="31">I39*I40</f>
        <v>0</v>
      </c>
      <c r="J41" s="51">
        <f t="shared" si="31"/>
        <v>0</v>
      </c>
      <c r="K41" s="51">
        <f t="shared" si="31"/>
        <v>0</v>
      </c>
      <c r="L41" s="51">
        <f t="shared" si="31"/>
        <v>0</v>
      </c>
      <c r="M41" s="51">
        <f t="shared" si="31"/>
        <v>0</v>
      </c>
      <c r="N41" s="51">
        <f t="shared" si="31"/>
        <v>0</v>
      </c>
      <c r="O41" s="51">
        <f t="shared" si="31"/>
        <v>0</v>
      </c>
      <c r="P41" s="51">
        <f t="shared" si="31"/>
        <v>0</v>
      </c>
      <c r="Q41" s="51">
        <f t="shared" si="31"/>
        <v>0</v>
      </c>
      <c r="R41" s="51">
        <f t="shared" si="31"/>
        <v>111982.5</v>
      </c>
      <c r="S41" s="51">
        <f t="shared" si="31"/>
        <v>117581.62500000001</v>
      </c>
      <c r="T41" s="51">
        <f t="shared" si="31"/>
        <v>123460.70625000002</v>
      </c>
      <c r="U41" s="51">
        <f t="shared" si="31"/>
        <v>129633.74156250003</v>
      </c>
      <c r="V41" s="51">
        <f t="shared" si="31"/>
        <v>136115.42864062503</v>
      </c>
      <c r="W41" s="51">
        <f t="shared" si="31"/>
        <v>142921.2000726563</v>
      </c>
      <c r="X41" s="51">
        <f t="shared" si="31"/>
        <v>150067.26007628909</v>
      </c>
      <c r="Y41" s="51">
        <f t="shared" si="31"/>
        <v>157570.62308010357</v>
      </c>
      <c r="Z41" s="51">
        <f t="shared" si="31"/>
        <v>165449.15423410875</v>
      </c>
      <c r="AA41" s="51">
        <f t="shared" si="31"/>
        <v>173721.61194581419</v>
      </c>
      <c r="AB41" s="51">
        <f t="shared" si="31"/>
        <v>182407.6925431049</v>
      </c>
      <c r="AC41" s="51">
        <f t="shared" si="31"/>
        <v>191528.07717026016</v>
      </c>
      <c r="AD41" s="51">
        <f t="shared" si="31"/>
        <v>201104.48102877318</v>
      </c>
      <c r="AE41" s="51">
        <f t="shared" si="31"/>
        <v>211159.70508021183</v>
      </c>
      <c r="AF41" s="51">
        <f t="shared" si="31"/>
        <v>221717.69033422245</v>
      </c>
      <c r="AG41" s="51">
        <f t="shared" si="31"/>
        <v>232803.5748509336</v>
      </c>
      <c r="AH41" s="51">
        <f t="shared" si="31"/>
        <v>244443.75359348024</v>
      </c>
      <c r="AI41" s="51">
        <f t="shared" si="31"/>
        <v>256665.94127315425</v>
      </c>
      <c r="AJ41" s="51">
        <f t="shared" si="31"/>
        <v>269499.23833681201</v>
      </c>
      <c r="AK41" s="51">
        <f t="shared" si="31"/>
        <v>282974.20025365258</v>
      </c>
      <c r="AL41" s="51">
        <f t="shared" si="31"/>
        <v>297122.91026633524</v>
      </c>
      <c r="AM41" s="51">
        <f t="shared" si="31"/>
        <v>311979.05577965197</v>
      </c>
      <c r="AN41" s="51">
        <f t="shared" si="31"/>
        <v>327578.00856863463</v>
      </c>
      <c r="AO41" s="51">
        <f t="shared" si="31"/>
        <v>343956.90899706638</v>
      </c>
      <c r="AP41" s="51">
        <f t="shared" si="31"/>
        <v>361154.75444691972</v>
      </c>
      <c r="AQ41" s="51">
        <f t="shared" si="31"/>
        <v>379212.49216926569</v>
      </c>
      <c r="AR41" s="51">
        <f t="shared" si="31"/>
        <v>398173.11677772901</v>
      </c>
      <c r="AS41" s="51">
        <f t="shared" si="31"/>
        <v>418081.77261661546</v>
      </c>
      <c r="AT41" s="51">
        <f t="shared" si="31"/>
        <v>438985.86124744621</v>
      </c>
      <c r="AU41" s="51">
        <f t="shared" si="31"/>
        <v>460935.15430981852</v>
      </c>
      <c r="AV41" s="51">
        <f t="shared" si="31"/>
        <v>483981.9120253094</v>
      </c>
      <c r="AW41" s="51">
        <f t="shared" si="31"/>
        <v>508181.00762657495</v>
      </c>
      <c r="AX41" s="51">
        <f t="shared" si="31"/>
        <v>533590.05800790375</v>
      </c>
      <c r="AY41" s="51">
        <f t="shared" si="31"/>
        <v>560269.56090829894</v>
      </c>
      <c r="AZ41" s="51">
        <f t="shared" si="31"/>
        <v>588283.03895371396</v>
      </c>
      <c r="BA41" s="51">
        <f t="shared" si="31"/>
        <v>617697.19090139959</v>
      </c>
      <c r="BB41" s="51">
        <f t="shared" si="31"/>
        <v>648582.05044646957</v>
      </c>
      <c r="BC41" s="51">
        <f t="shared" si="31"/>
        <v>681011.15296879306</v>
      </c>
      <c r="BD41" s="51">
        <f t="shared" si="31"/>
        <v>715061.71061723283</v>
      </c>
      <c r="BE41" s="51"/>
    </row>
    <row r="42" spans="1:57" ht="14.25" customHeight="1" x14ac:dyDescent="0.3">
      <c r="A42" s="46"/>
      <c r="B42" s="37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6"/>
      <c r="AR42" s="46"/>
      <c r="AS42" s="46"/>
      <c r="AT42" s="46"/>
      <c r="AU42" s="46"/>
      <c r="AV42" s="46"/>
      <c r="AW42" s="46"/>
      <c r="AX42" s="46"/>
      <c r="AY42" s="46"/>
      <c r="AZ42" s="46"/>
      <c r="BA42" s="46"/>
      <c r="BB42" s="46"/>
      <c r="BC42" s="46"/>
      <c r="BD42" s="46"/>
      <c r="BE42" s="46"/>
    </row>
    <row r="43" spans="1:57" ht="14.25" customHeight="1" x14ac:dyDescent="0.3">
      <c r="A43" s="46"/>
      <c r="B43" s="37"/>
      <c r="C43" s="37" t="s">
        <v>71</v>
      </c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  <c r="AM43" s="46"/>
      <c r="AN43" s="46"/>
      <c r="AO43" s="46"/>
      <c r="AP43" s="46"/>
      <c r="AQ43" s="46"/>
      <c r="AR43" s="46"/>
      <c r="AS43" s="46"/>
      <c r="AT43" s="46"/>
      <c r="AU43" s="46"/>
      <c r="AV43" s="46"/>
      <c r="AW43" s="46"/>
      <c r="AX43" s="46"/>
      <c r="AY43" s="46"/>
      <c r="AZ43" s="46"/>
      <c r="BA43" s="46"/>
      <c r="BB43" s="46"/>
      <c r="BC43" s="46"/>
      <c r="BD43" s="46"/>
      <c r="BE43" s="46"/>
    </row>
    <row r="44" spans="1:57" ht="14.25" customHeight="1" x14ac:dyDescent="0.3">
      <c r="A44" s="46"/>
      <c r="B44" s="37"/>
      <c r="C44" s="46" t="s">
        <v>72</v>
      </c>
      <c r="D44" s="47">
        <f>T4</f>
        <v>46022</v>
      </c>
      <c r="E44" s="46"/>
      <c r="F44" s="46"/>
      <c r="G44" s="46"/>
      <c r="H44" s="46"/>
      <c r="I44" s="46">
        <f t="shared" ref="I44:BD44" si="32">IF(I4&gt;=$D$44,1,0)</f>
        <v>0</v>
      </c>
      <c r="J44" s="46">
        <f t="shared" si="32"/>
        <v>0</v>
      </c>
      <c r="K44" s="46">
        <f t="shared" si="32"/>
        <v>0</v>
      </c>
      <c r="L44" s="46">
        <f t="shared" si="32"/>
        <v>0</v>
      </c>
      <c r="M44" s="46">
        <f t="shared" si="32"/>
        <v>0</v>
      </c>
      <c r="N44" s="46">
        <f t="shared" si="32"/>
        <v>0</v>
      </c>
      <c r="O44" s="46">
        <f t="shared" si="32"/>
        <v>0</v>
      </c>
      <c r="P44" s="46">
        <f t="shared" si="32"/>
        <v>0</v>
      </c>
      <c r="Q44" s="46">
        <f t="shared" si="32"/>
        <v>0</v>
      </c>
      <c r="R44" s="46">
        <f t="shared" si="32"/>
        <v>0</v>
      </c>
      <c r="S44" s="46">
        <f t="shared" si="32"/>
        <v>0</v>
      </c>
      <c r="T44" s="46">
        <f t="shared" si="32"/>
        <v>1</v>
      </c>
      <c r="U44" s="46">
        <f t="shared" si="32"/>
        <v>1</v>
      </c>
      <c r="V44" s="46">
        <f t="shared" si="32"/>
        <v>1</v>
      </c>
      <c r="W44" s="46">
        <f t="shared" si="32"/>
        <v>1</v>
      </c>
      <c r="X44" s="46">
        <f t="shared" si="32"/>
        <v>1</v>
      </c>
      <c r="Y44" s="46">
        <f t="shared" si="32"/>
        <v>1</v>
      </c>
      <c r="Z44" s="46">
        <f t="shared" si="32"/>
        <v>1</v>
      </c>
      <c r="AA44" s="46">
        <f t="shared" si="32"/>
        <v>1</v>
      </c>
      <c r="AB44" s="46">
        <f t="shared" si="32"/>
        <v>1</v>
      </c>
      <c r="AC44" s="46">
        <f t="shared" si="32"/>
        <v>1</v>
      </c>
      <c r="AD44" s="46">
        <f t="shared" si="32"/>
        <v>1</v>
      </c>
      <c r="AE44" s="46">
        <f t="shared" si="32"/>
        <v>1</v>
      </c>
      <c r="AF44" s="46">
        <f t="shared" si="32"/>
        <v>1</v>
      </c>
      <c r="AG44" s="46">
        <f t="shared" si="32"/>
        <v>1</v>
      </c>
      <c r="AH44" s="46">
        <f t="shared" si="32"/>
        <v>1</v>
      </c>
      <c r="AI44" s="46">
        <f t="shared" si="32"/>
        <v>1</v>
      </c>
      <c r="AJ44" s="46">
        <f t="shared" si="32"/>
        <v>1</v>
      </c>
      <c r="AK44" s="46">
        <f t="shared" si="32"/>
        <v>1</v>
      </c>
      <c r="AL44" s="46">
        <f t="shared" si="32"/>
        <v>1</v>
      </c>
      <c r="AM44" s="46">
        <f t="shared" si="32"/>
        <v>1</v>
      </c>
      <c r="AN44" s="46">
        <f t="shared" si="32"/>
        <v>1</v>
      </c>
      <c r="AO44" s="46">
        <f t="shared" si="32"/>
        <v>1</v>
      </c>
      <c r="AP44" s="46">
        <f t="shared" si="32"/>
        <v>1</v>
      </c>
      <c r="AQ44" s="46">
        <f t="shared" si="32"/>
        <v>1</v>
      </c>
      <c r="AR44" s="46">
        <f t="shared" si="32"/>
        <v>1</v>
      </c>
      <c r="AS44" s="46">
        <f t="shared" si="32"/>
        <v>1</v>
      </c>
      <c r="AT44" s="46">
        <f t="shared" si="32"/>
        <v>1</v>
      </c>
      <c r="AU44" s="46">
        <f t="shared" si="32"/>
        <v>1</v>
      </c>
      <c r="AV44" s="46">
        <f t="shared" si="32"/>
        <v>1</v>
      </c>
      <c r="AW44" s="46">
        <f t="shared" si="32"/>
        <v>1</v>
      </c>
      <c r="AX44" s="46">
        <f t="shared" si="32"/>
        <v>1</v>
      </c>
      <c r="AY44" s="46">
        <f t="shared" si="32"/>
        <v>1</v>
      </c>
      <c r="AZ44" s="46">
        <f t="shared" si="32"/>
        <v>1</v>
      </c>
      <c r="BA44" s="46">
        <f t="shared" si="32"/>
        <v>1</v>
      </c>
      <c r="BB44" s="46">
        <f t="shared" si="32"/>
        <v>1</v>
      </c>
      <c r="BC44" s="46">
        <f t="shared" si="32"/>
        <v>1</v>
      </c>
      <c r="BD44" s="46">
        <f t="shared" si="32"/>
        <v>1</v>
      </c>
      <c r="BE44" s="46"/>
    </row>
    <row r="45" spans="1:57" ht="14.25" customHeight="1" x14ac:dyDescent="0.3">
      <c r="A45" s="46"/>
      <c r="B45" s="37"/>
      <c r="C45" s="37"/>
      <c r="D45" s="46"/>
      <c r="E45" s="46" t="s">
        <v>50</v>
      </c>
      <c r="F45" s="46" t="s">
        <v>51</v>
      </c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6"/>
      <c r="AK45" s="46"/>
      <c r="AL45" s="46"/>
      <c r="AM45" s="46"/>
      <c r="AN45" s="46"/>
      <c r="AO45" s="46"/>
      <c r="AP45" s="46"/>
      <c r="AQ45" s="46"/>
      <c r="AR45" s="46"/>
      <c r="AS45" s="46"/>
      <c r="AT45" s="46"/>
      <c r="AU45" s="46"/>
      <c r="AV45" s="46"/>
      <c r="AW45" s="46"/>
      <c r="AX45" s="46"/>
      <c r="AY45" s="46"/>
      <c r="AZ45" s="46"/>
      <c r="BA45" s="46"/>
      <c r="BB45" s="46"/>
      <c r="BC45" s="46"/>
      <c r="BD45" s="46"/>
      <c r="BE45" s="46"/>
    </row>
    <row r="46" spans="1:57" ht="14.25" customHeight="1" x14ac:dyDescent="0.3">
      <c r="A46" s="46"/>
      <c r="B46" s="37"/>
      <c r="C46" s="46" t="s">
        <v>73</v>
      </c>
      <c r="D46" s="49">
        <v>16</v>
      </c>
      <c r="E46" s="49">
        <v>120</v>
      </c>
      <c r="F46" s="50">
        <v>0.05</v>
      </c>
      <c r="G46" s="46"/>
      <c r="H46" s="46"/>
      <c r="I46" s="46">
        <f t="shared" ref="I46:X47" si="33">MIN(MAX($D46,H46)*(1+$F46)*I$44,$E46)</f>
        <v>0</v>
      </c>
      <c r="J46" s="46">
        <f t="shared" si="33"/>
        <v>0</v>
      </c>
      <c r="K46" s="46">
        <f t="shared" si="33"/>
        <v>0</v>
      </c>
      <c r="L46" s="46">
        <f t="shared" si="33"/>
        <v>0</v>
      </c>
      <c r="M46" s="46">
        <f t="shared" si="33"/>
        <v>0</v>
      </c>
      <c r="N46" s="46">
        <f t="shared" si="33"/>
        <v>0</v>
      </c>
      <c r="O46" s="46">
        <f t="shared" si="33"/>
        <v>0</v>
      </c>
      <c r="P46" s="46">
        <f t="shared" si="33"/>
        <v>0</v>
      </c>
      <c r="Q46" s="46">
        <f t="shared" si="33"/>
        <v>0</v>
      </c>
      <c r="R46" s="46">
        <f t="shared" si="33"/>
        <v>0</v>
      </c>
      <c r="S46" s="46">
        <f t="shared" si="33"/>
        <v>0</v>
      </c>
      <c r="T46" s="46">
        <f t="shared" si="33"/>
        <v>16.8</v>
      </c>
      <c r="U46" s="46">
        <f t="shared" si="33"/>
        <v>17.64</v>
      </c>
      <c r="V46" s="46">
        <f t="shared" si="33"/>
        <v>18.522000000000002</v>
      </c>
      <c r="W46" s="46">
        <f t="shared" si="33"/>
        <v>19.448100000000004</v>
      </c>
      <c r="X46" s="46">
        <f t="shared" si="33"/>
        <v>20.420505000000006</v>
      </c>
      <c r="Y46" s="46">
        <f t="shared" ref="Y46:AN47" si="34">MIN(MAX($D46,X46)*(1+$F46)*Y$44,$E46)</f>
        <v>21.441530250000007</v>
      </c>
      <c r="Z46" s="46">
        <f t="shared" si="34"/>
        <v>22.513606762500007</v>
      </c>
      <c r="AA46" s="46">
        <f t="shared" si="34"/>
        <v>23.639287100625008</v>
      </c>
      <c r="AB46" s="46">
        <f t="shared" si="34"/>
        <v>24.82125145565626</v>
      </c>
      <c r="AC46" s="46">
        <f t="shared" si="34"/>
        <v>26.062314028439072</v>
      </c>
      <c r="AD46" s="46">
        <f t="shared" si="34"/>
        <v>27.365429729861027</v>
      </c>
      <c r="AE46" s="46">
        <f t="shared" si="34"/>
        <v>28.733701216354081</v>
      </c>
      <c r="AF46" s="46">
        <f t="shared" si="34"/>
        <v>30.170386277171787</v>
      </c>
      <c r="AG46" s="46">
        <f t="shared" si="34"/>
        <v>31.678905591030379</v>
      </c>
      <c r="AH46" s="46">
        <f t="shared" si="34"/>
        <v>33.2628508705819</v>
      </c>
      <c r="AI46" s="46">
        <f t="shared" si="34"/>
        <v>34.925993414110998</v>
      </c>
      <c r="AJ46" s="46">
        <f t="shared" si="34"/>
        <v>36.672293084816552</v>
      </c>
      <c r="AK46" s="46">
        <f t="shared" si="34"/>
        <v>38.505907739057378</v>
      </c>
      <c r="AL46" s="46">
        <f t="shared" si="34"/>
        <v>40.431203126010246</v>
      </c>
      <c r="AM46" s="46">
        <f t="shared" si="34"/>
        <v>42.452763282310762</v>
      </c>
      <c r="AN46" s="46">
        <f t="shared" si="34"/>
        <v>44.575401446426305</v>
      </c>
      <c r="AO46" s="46">
        <f t="shared" ref="AO46:BD47" si="35">MIN(MAX($D46,AN46)*(1+$F46)*AO$44,$E46)</f>
        <v>46.804171518747623</v>
      </c>
      <c r="AP46" s="46">
        <f t="shared" si="35"/>
        <v>49.144380094685005</v>
      </c>
      <c r="AQ46" s="46">
        <f t="shared" si="35"/>
        <v>51.601599099419261</v>
      </c>
      <c r="AR46" s="46">
        <f t="shared" si="35"/>
        <v>54.181679054390223</v>
      </c>
      <c r="AS46" s="46">
        <f t="shared" si="35"/>
        <v>56.890763007109733</v>
      </c>
      <c r="AT46" s="46">
        <f t="shared" si="35"/>
        <v>59.735301157465223</v>
      </c>
      <c r="AU46" s="46">
        <f t="shared" si="35"/>
        <v>62.722066215338486</v>
      </c>
      <c r="AV46" s="46">
        <f t="shared" si="35"/>
        <v>65.858169526105414</v>
      </c>
      <c r="AW46" s="46">
        <f t="shared" si="35"/>
        <v>69.151078002410685</v>
      </c>
      <c r="AX46" s="46">
        <f t="shared" si="35"/>
        <v>72.608631902531229</v>
      </c>
      <c r="AY46" s="46">
        <f t="shared" si="35"/>
        <v>76.239063497657796</v>
      </c>
      <c r="AZ46" s="46">
        <f t="shared" si="35"/>
        <v>80.051016672540683</v>
      </c>
      <c r="BA46" s="46">
        <f t="shared" si="35"/>
        <v>84.053567506167724</v>
      </c>
      <c r="BB46" s="46">
        <f t="shared" si="35"/>
        <v>88.256245881476119</v>
      </c>
      <c r="BC46" s="46">
        <f t="shared" si="35"/>
        <v>92.669058175549935</v>
      </c>
      <c r="BD46" s="46">
        <f t="shared" si="35"/>
        <v>97.302511084327435</v>
      </c>
      <c r="BE46" s="46"/>
    </row>
    <row r="47" spans="1:57" ht="14.25" customHeight="1" x14ac:dyDescent="0.3">
      <c r="A47" s="46"/>
      <c r="B47" s="37"/>
      <c r="C47" s="46" t="s">
        <v>65</v>
      </c>
      <c r="D47" s="49">
        <v>2500</v>
      </c>
      <c r="E47" s="49">
        <v>2500</v>
      </c>
      <c r="F47" s="50">
        <v>0</v>
      </c>
      <c r="G47" s="46"/>
      <c r="H47" s="46"/>
      <c r="I47" s="46">
        <f t="shared" si="33"/>
        <v>0</v>
      </c>
      <c r="J47" s="46">
        <f t="shared" si="33"/>
        <v>0</v>
      </c>
      <c r="K47" s="46">
        <f t="shared" si="33"/>
        <v>0</v>
      </c>
      <c r="L47" s="46">
        <f t="shared" si="33"/>
        <v>0</v>
      </c>
      <c r="M47" s="46">
        <f t="shared" si="33"/>
        <v>0</v>
      </c>
      <c r="N47" s="46">
        <f t="shared" si="33"/>
        <v>0</v>
      </c>
      <c r="O47" s="46">
        <f t="shared" si="33"/>
        <v>0</v>
      </c>
      <c r="P47" s="46">
        <f t="shared" si="33"/>
        <v>0</v>
      </c>
      <c r="Q47" s="46">
        <f t="shared" si="33"/>
        <v>0</v>
      </c>
      <c r="R47" s="46">
        <f t="shared" si="33"/>
        <v>0</v>
      </c>
      <c r="S47" s="46">
        <f t="shared" si="33"/>
        <v>0</v>
      </c>
      <c r="T47" s="46">
        <f t="shared" si="33"/>
        <v>2500</v>
      </c>
      <c r="U47" s="46">
        <f t="shared" si="33"/>
        <v>2500</v>
      </c>
      <c r="V47" s="46">
        <f t="shared" si="33"/>
        <v>2500</v>
      </c>
      <c r="W47" s="46">
        <f t="shared" si="33"/>
        <v>2500</v>
      </c>
      <c r="X47" s="46">
        <f t="shared" si="33"/>
        <v>2500</v>
      </c>
      <c r="Y47" s="46">
        <f t="shared" si="34"/>
        <v>2500</v>
      </c>
      <c r="Z47" s="46">
        <f t="shared" si="34"/>
        <v>2500</v>
      </c>
      <c r="AA47" s="46">
        <f t="shared" si="34"/>
        <v>2500</v>
      </c>
      <c r="AB47" s="46">
        <f t="shared" si="34"/>
        <v>2500</v>
      </c>
      <c r="AC47" s="46">
        <f t="shared" si="34"/>
        <v>2500</v>
      </c>
      <c r="AD47" s="46">
        <f t="shared" si="34"/>
        <v>2500</v>
      </c>
      <c r="AE47" s="46">
        <f t="shared" si="34"/>
        <v>2500</v>
      </c>
      <c r="AF47" s="46">
        <f t="shared" si="34"/>
        <v>2500</v>
      </c>
      <c r="AG47" s="46">
        <f t="shared" si="34"/>
        <v>2500</v>
      </c>
      <c r="AH47" s="46">
        <f t="shared" si="34"/>
        <v>2500</v>
      </c>
      <c r="AI47" s="46">
        <f t="shared" si="34"/>
        <v>2500</v>
      </c>
      <c r="AJ47" s="46">
        <f t="shared" si="34"/>
        <v>2500</v>
      </c>
      <c r="AK47" s="46">
        <f t="shared" si="34"/>
        <v>2500</v>
      </c>
      <c r="AL47" s="46">
        <f t="shared" si="34"/>
        <v>2500</v>
      </c>
      <c r="AM47" s="46">
        <f t="shared" si="34"/>
        <v>2500</v>
      </c>
      <c r="AN47" s="46">
        <f t="shared" si="34"/>
        <v>2500</v>
      </c>
      <c r="AO47" s="46">
        <f t="shared" si="35"/>
        <v>2500</v>
      </c>
      <c r="AP47" s="46">
        <f t="shared" si="35"/>
        <v>2500</v>
      </c>
      <c r="AQ47" s="46">
        <f t="shared" si="35"/>
        <v>2500</v>
      </c>
      <c r="AR47" s="46">
        <f t="shared" si="35"/>
        <v>2500</v>
      </c>
      <c r="AS47" s="46">
        <f t="shared" si="35"/>
        <v>2500</v>
      </c>
      <c r="AT47" s="46">
        <f t="shared" si="35"/>
        <v>2500</v>
      </c>
      <c r="AU47" s="46">
        <f t="shared" si="35"/>
        <v>2500</v>
      </c>
      <c r="AV47" s="46">
        <f t="shared" si="35"/>
        <v>2500</v>
      </c>
      <c r="AW47" s="46">
        <f t="shared" si="35"/>
        <v>2500</v>
      </c>
      <c r="AX47" s="46">
        <f t="shared" si="35"/>
        <v>2500</v>
      </c>
      <c r="AY47" s="46">
        <f t="shared" si="35"/>
        <v>2500</v>
      </c>
      <c r="AZ47" s="46">
        <f t="shared" si="35"/>
        <v>2500</v>
      </c>
      <c r="BA47" s="46">
        <f t="shared" si="35"/>
        <v>2500</v>
      </c>
      <c r="BB47" s="46">
        <f t="shared" si="35"/>
        <v>2500</v>
      </c>
      <c r="BC47" s="46">
        <f t="shared" si="35"/>
        <v>2500</v>
      </c>
      <c r="BD47" s="46">
        <f t="shared" si="35"/>
        <v>2500</v>
      </c>
      <c r="BE47" s="46"/>
    </row>
    <row r="48" spans="1:57" ht="14.25" customHeight="1" x14ac:dyDescent="0.3">
      <c r="A48" s="46"/>
      <c r="B48" s="37"/>
      <c r="C48" s="46" t="s">
        <v>74</v>
      </c>
      <c r="D48" s="46"/>
      <c r="E48" s="46"/>
      <c r="F48" s="46"/>
      <c r="G48" s="46"/>
      <c r="H48" s="46"/>
      <c r="I48" s="51">
        <f t="shared" ref="I48:BD48" si="36">I46*I47</f>
        <v>0</v>
      </c>
      <c r="J48" s="51">
        <f t="shared" si="36"/>
        <v>0</v>
      </c>
      <c r="K48" s="51">
        <f t="shared" si="36"/>
        <v>0</v>
      </c>
      <c r="L48" s="51">
        <f t="shared" si="36"/>
        <v>0</v>
      </c>
      <c r="M48" s="51">
        <f t="shared" si="36"/>
        <v>0</v>
      </c>
      <c r="N48" s="51">
        <f t="shared" si="36"/>
        <v>0</v>
      </c>
      <c r="O48" s="51">
        <f t="shared" si="36"/>
        <v>0</v>
      </c>
      <c r="P48" s="51">
        <f t="shared" si="36"/>
        <v>0</v>
      </c>
      <c r="Q48" s="51">
        <f t="shared" si="36"/>
        <v>0</v>
      </c>
      <c r="R48" s="51">
        <f t="shared" si="36"/>
        <v>0</v>
      </c>
      <c r="S48" s="51">
        <f t="shared" si="36"/>
        <v>0</v>
      </c>
      <c r="T48" s="51">
        <f t="shared" si="36"/>
        <v>42000</v>
      </c>
      <c r="U48" s="51">
        <f t="shared" si="36"/>
        <v>44100</v>
      </c>
      <c r="V48" s="51">
        <f t="shared" si="36"/>
        <v>46305.000000000007</v>
      </c>
      <c r="W48" s="51">
        <f t="shared" si="36"/>
        <v>48620.250000000007</v>
      </c>
      <c r="X48" s="51">
        <f t="shared" si="36"/>
        <v>51051.262500000012</v>
      </c>
      <c r="Y48" s="51">
        <f t="shared" si="36"/>
        <v>53603.825625000019</v>
      </c>
      <c r="Z48" s="51">
        <f t="shared" si="36"/>
        <v>56284.016906250021</v>
      </c>
      <c r="AA48" s="51">
        <f t="shared" si="36"/>
        <v>59098.217751562523</v>
      </c>
      <c r="AB48" s="51">
        <f t="shared" si="36"/>
        <v>62053.128639140647</v>
      </c>
      <c r="AC48" s="51">
        <f t="shared" si="36"/>
        <v>65155.785071097678</v>
      </c>
      <c r="AD48" s="51">
        <f t="shared" si="36"/>
        <v>68413.574324652567</v>
      </c>
      <c r="AE48" s="51">
        <f t="shared" si="36"/>
        <v>71834.253040885204</v>
      </c>
      <c r="AF48" s="51">
        <f t="shared" si="36"/>
        <v>75425.965692929472</v>
      </c>
      <c r="AG48" s="51">
        <f t="shared" si="36"/>
        <v>79197.263977575945</v>
      </c>
      <c r="AH48" s="51">
        <f t="shared" si="36"/>
        <v>83157.127176454756</v>
      </c>
      <c r="AI48" s="51">
        <f t="shared" si="36"/>
        <v>87314.983535277497</v>
      </c>
      <c r="AJ48" s="51">
        <f t="shared" si="36"/>
        <v>91680.732712041383</v>
      </c>
      <c r="AK48" s="51">
        <f t="shared" si="36"/>
        <v>96264.769347643451</v>
      </c>
      <c r="AL48" s="51">
        <f t="shared" si="36"/>
        <v>101078.00781502562</v>
      </c>
      <c r="AM48" s="51">
        <f t="shared" si="36"/>
        <v>106131.90820577691</v>
      </c>
      <c r="AN48" s="51">
        <f t="shared" si="36"/>
        <v>111438.50361606576</v>
      </c>
      <c r="AO48" s="51">
        <f t="shared" si="36"/>
        <v>117010.42879686906</v>
      </c>
      <c r="AP48" s="51">
        <f t="shared" si="36"/>
        <v>122860.95023671251</v>
      </c>
      <c r="AQ48" s="51">
        <f t="shared" si="36"/>
        <v>129003.99774854815</v>
      </c>
      <c r="AR48" s="51">
        <f t="shared" si="36"/>
        <v>135454.19763597555</v>
      </c>
      <c r="AS48" s="51">
        <f t="shared" si="36"/>
        <v>142226.90751777432</v>
      </c>
      <c r="AT48" s="51">
        <f t="shared" si="36"/>
        <v>149338.25289366307</v>
      </c>
      <c r="AU48" s="51">
        <f t="shared" si="36"/>
        <v>156805.16553834622</v>
      </c>
      <c r="AV48" s="51">
        <f t="shared" si="36"/>
        <v>164645.42381526352</v>
      </c>
      <c r="AW48" s="51">
        <f t="shared" si="36"/>
        <v>172877.69500602671</v>
      </c>
      <c r="AX48" s="51">
        <f t="shared" si="36"/>
        <v>181521.57975632808</v>
      </c>
      <c r="AY48" s="51">
        <f t="shared" si="36"/>
        <v>190597.65874414449</v>
      </c>
      <c r="AZ48" s="51">
        <f t="shared" si="36"/>
        <v>200127.54168135172</v>
      </c>
      <c r="BA48" s="51">
        <f t="shared" si="36"/>
        <v>210133.91876541931</v>
      </c>
      <c r="BB48" s="51">
        <f t="shared" si="36"/>
        <v>220640.61470369028</v>
      </c>
      <c r="BC48" s="51">
        <f t="shared" si="36"/>
        <v>231672.64543887484</v>
      </c>
      <c r="BD48" s="51">
        <f t="shared" si="36"/>
        <v>243256.2777108186</v>
      </c>
      <c r="BE48" s="51"/>
    </row>
    <row r="49" spans="1:57" ht="14.25" customHeight="1" x14ac:dyDescent="0.3">
      <c r="A49" s="46"/>
      <c r="B49" s="37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/>
      <c r="AR49" s="46"/>
      <c r="AS49" s="46"/>
      <c r="AT49" s="46"/>
      <c r="AU49" s="46"/>
      <c r="AV49" s="46"/>
      <c r="AW49" s="46"/>
      <c r="AX49" s="46"/>
      <c r="AY49" s="46"/>
      <c r="AZ49" s="46"/>
      <c r="BA49" s="46"/>
      <c r="BB49" s="46"/>
      <c r="BC49" s="46"/>
      <c r="BD49" s="46"/>
      <c r="BE49" s="46"/>
    </row>
    <row r="50" spans="1:57" ht="14.25" customHeight="1" x14ac:dyDescent="0.3">
      <c r="A50" s="46"/>
      <c r="B50" s="37"/>
      <c r="C50" s="37" t="s">
        <v>75</v>
      </c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46"/>
      <c r="BC50" s="46"/>
      <c r="BD50" s="46"/>
      <c r="BE50" s="46"/>
    </row>
    <row r="51" spans="1:57" ht="14.25" customHeight="1" x14ac:dyDescent="0.3">
      <c r="A51" s="46"/>
      <c r="B51" s="37"/>
      <c r="C51" s="46" t="s">
        <v>76</v>
      </c>
      <c r="D51" s="47">
        <v>0</v>
      </c>
      <c r="E51" s="46"/>
      <c r="F51" s="46"/>
      <c r="G51" s="46"/>
      <c r="H51" s="46"/>
      <c r="I51" s="46">
        <f>IF(I4&gt;=$D$51,1,0)</f>
        <v>1</v>
      </c>
      <c r="J51" s="46">
        <f t="shared" ref="J51:BD51" si="37">IF(J4&gt;=$D$51,1,0)</f>
        <v>1</v>
      </c>
      <c r="K51" s="46">
        <f t="shared" si="37"/>
        <v>1</v>
      </c>
      <c r="L51" s="46">
        <f t="shared" si="37"/>
        <v>1</v>
      </c>
      <c r="M51" s="46">
        <f t="shared" si="37"/>
        <v>1</v>
      </c>
      <c r="N51" s="46">
        <f t="shared" si="37"/>
        <v>1</v>
      </c>
      <c r="O51" s="46">
        <f t="shared" si="37"/>
        <v>1</v>
      </c>
      <c r="P51" s="46">
        <f t="shared" si="37"/>
        <v>1</v>
      </c>
      <c r="Q51" s="46">
        <f t="shared" si="37"/>
        <v>1</v>
      </c>
      <c r="R51" s="46">
        <f t="shared" si="37"/>
        <v>1</v>
      </c>
      <c r="S51" s="46">
        <f t="shared" si="37"/>
        <v>1</v>
      </c>
      <c r="T51" s="46">
        <f t="shared" si="37"/>
        <v>1</v>
      </c>
      <c r="U51" s="46">
        <f t="shared" si="37"/>
        <v>1</v>
      </c>
      <c r="V51" s="46">
        <f t="shared" si="37"/>
        <v>1</v>
      </c>
      <c r="W51" s="46">
        <f t="shared" si="37"/>
        <v>1</v>
      </c>
      <c r="X51" s="46">
        <f t="shared" si="37"/>
        <v>1</v>
      </c>
      <c r="Y51" s="46">
        <f t="shared" si="37"/>
        <v>1</v>
      </c>
      <c r="Z51" s="46">
        <f t="shared" si="37"/>
        <v>1</v>
      </c>
      <c r="AA51" s="46">
        <f t="shared" si="37"/>
        <v>1</v>
      </c>
      <c r="AB51" s="46">
        <f t="shared" si="37"/>
        <v>1</v>
      </c>
      <c r="AC51" s="46">
        <f t="shared" si="37"/>
        <v>1</v>
      </c>
      <c r="AD51" s="46">
        <f t="shared" si="37"/>
        <v>1</v>
      </c>
      <c r="AE51" s="46">
        <f t="shared" si="37"/>
        <v>1</v>
      </c>
      <c r="AF51" s="46">
        <f t="shared" si="37"/>
        <v>1</v>
      </c>
      <c r="AG51" s="46">
        <f t="shared" si="37"/>
        <v>1</v>
      </c>
      <c r="AH51" s="46">
        <f t="shared" si="37"/>
        <v>1</v>
      </c>
      <c r="AI51" s="46">
        <f t="shared" si="37"/>
        <v>1</v>
      </c>
      <c r="AJ51" s="46">
        <f t="shared" si="37"/>
        <v>1</v>
      </c>
      <c r="AK51" s="46">
        <f t="shared" si="37"/>
        <v>1</v>
      </c>
      <c r="AL51" s="46">
        <f t="shared" si="37"/>
        <v>1</v>
      </c>
      <c r="AM51" s="46">
        <f t="shared" si="37"/>
        <v>1</v>
      </c>
      <c r="AN51" s="46">
        <f t="shared" si="37"/>
        <v>1</v>
      </c>
      <c r="AO51" s="46">
        <f t="shared" si="37"/>
        <v>1</v>
      </c>
      <c r="AP51" s="46">
        <f t="shared" si="37"/>
        <v>1</v>
      </c>
      <c r="AQ51" s="46">
        <f t="shared" si="37"/>
        <v>1</v>
      </c>
      <c r="AR51" s="46">
        <f t="shared" si="37"/>
        <v>1</v>
      </c>
      <c r="AS51" s="46">
        <f t="shared" si="37"/>
        <v>1</v>
      </c>
      <c r="AT51" s="46">
        <f t="shared" si="37"/>
        <v>1</v>
      </c>
      <c r="AU51" s="46">
        <f t="shared" si="37"/>
        <v>1</v>
      </c>
      <c r="AV51" s="46">
        <f t="shared" si="37"/>
        <v>1</v>
      </c>
      <c r="AW51" s="46">
        <f t="shared" si="37"/>
        <v>1</v>
      </c>
      <c r="AX51" s="46">
        <f t="shared" si="37"/>
        <v>1</v>
      </c>
      <c r="AY51" s="46">
        <f t="shared" si="37"/>
        <v>1</v>
      </c>
      <c r="AZ51" s="46">
        <f t="shared" si="37"/>
        <v>1</v>
      </c>
      <c r="BA51" s="46">
        <f t="shared" si="37"/>
        <v>1</v>
      </c>
      <c r="BB51" s="46">
        <f t="shared" si="37"/>
        <v>1</v>
      </c>
      <c r="BC51" s="46">
        <f t="shared" si="37"/>
        <v>1</v>
      </c>
      <c r="BD51" s="46">
        <f t="shared" si="37"/>
        <v>1</v>
      </c>
      <c r="BE51" s="46"/>
    </row>
    <row r="52" spans="1:57" ht="14.25" customHeight="1" x14ac:dyDescent="0.3">
      <c r="A52" s="46"/>
      <c r="B52" s="37"/>
      <c r="C52" s="37"/>
      <c r="D52" s="46" t="s">
        <v>49</v>
      </c>
      <c r="E52" s="46" t="s">
        <v>50</v>
      </c>
      <c r="F52" s="46" t="s">
        <v>51</v>
      </c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46"/>
      <c r="BC52" s="46"/>
      <c r="BD52" s="46"/>
      <c r="BE52" s="46"/>
    </row>
    <row r="53" spans="1:57" ht="14.25" customHeight="1" x14ac:dyDescent="0.3">
      <c r="A53" s="46"/>
      <c r="B53" s="37"/>
      <c r="C53" s="46" t="s">
        <v>77</v>
      </c>
      <c r="D53" s="49"/>
      <c r="E53" s="49"/>
      <c r="F53" s="50">
        <v>0</v>
      </c>
      <c r="G53" s="46"/>
      <c r="H53" s="46"/>
      <c r="I53" s="46">
        <f>MIN(MAX($D53,H53)*(1+$F53)*I$51,$E53)</f>
        <v>0</v>
      </c>
      <c r="J53" s="46">
        <f t="shared" ref="J53:Y54" si="38">MIN(MAX($D53,I53)*(1+$F53)*J$51,$E53)</f>
        <v>0</v>
      </c>
      <c r="K53" s="46">
        <f t="shared" si="38"/>
        <v>0</v>
      </c>
      <c r="L53" s="46">
        <f t="shared" si="38"/>
        <v>0</v>
      </c>
      <c r="M53" s="46">
        <f t="shared" si="38"/>
        <v>0</v>
      </c>
      <c r="N53" s="46">
        <f t="shared" si="38"/>
        <v>0</v>
      </c>
      <c r="O53" s="46">
        <f t="shared" si="38"/>
        <v>0</v>
      </c>
      <c r="P53" s="46">
        <f t="shared" si="38"/>
        <v>0</v>
      </c>
      <c r="Q53" s="46">
        <f t="shared" si="38"/>
        <v>0</v>
      </c>
      <c r="R53" s="46">
        <f t="shared" si="38"/>
        <v>0</v>
      </c>
      <c r="S53" s="46">
        <f t="shared" si="38"/>
        <v>0</v>
      </c>
      <c r="T53" s="46">
        <f t="shared" si="38"/>
        <v>0</v>
      </c>
      <c r="U53" s="46">
        <f t="shared" si="38"/>
        <v>0</v>
      </c>
      <c r="V53" s="46">
        <f t="shared" si="38"/>
        <v>0</v>
      </c>
      <c r="W53" s="46">
        <f t="shared" si="38"/>
        <v>0</v>
      </c>
      <c r="X53" s="46">
        <f t="shared" si="38"/>
        <v>0</v>
      </c>
      <c r="Y53" s="46">
        <f t="shared" si="38"/>
        <v>0</v>
      </c>
      <c r="Z53" s="46">
        <f t="shared" ref="Z53:AO54" si="39">MIN(MAX($D53,Y53)*(1+$F53)*Z$51,$E53)</f>
        <v>0</v>
      </c>
      <c r="AA53" s="46">
        <f t="shared" si="39"/>
        <v>0</v>
      </c>
      <c r="AB53" s="46">
        <f t="shared" si="39"/>
        <v>0</v>
      </c>
      <c r="AC53" s="46">
        <f t="shared" si="39"/>
        <v>0</v>
      </c>
      <c r="AD53" s="46">
        <f t="shared" si="39"/>
        <v>0</v>
      </c>
      <c r="AE53" s="46">
        <f t="shared" si="39"/>
        <v>0</v>
      </c>
      <c r="AF53" s="46">
        <f t="shared" si="39"/>
        <v>0</v>
      </c>
      <c r="AG53" s="46">
        <f t="shared" si="39"/>
        <v>0</v>
      </c>
      <c r="AH53" s="46">
        <f t="shared" si="39"/>
        <v>0</v>
      </c>
      <c r="AI53" s="46">
        <f t="shared" si="39"/>
        <v>0</v>
      </c>
      <c r="AJ53" s="46">
        <f t="shared" si="39"/>
        <v>0</v>
      </c>
      <c r="AK53" s="46">
        <f t="shared" si="39"/>
        <v>0</v>
      </c>
      <c r="AL53" s="46">
        <f t="shared" si="39"/>
        <v>0</v>
      </c>
      <c r="AM53" s="46">
        <f t="shared" si="39"/>
        <v>0</v>
      </c>
      <c r="AN53" s="46">
        <f t="shared" si="39"/>
        <v>0</v>
      </c>
      <c r="AO53" s="46">
        <f t="shared" si="39"/>
        <v>0</v>
      </c>
      <c r="AP53" s="46">
        <f t="shared" ref="AP53:BD54" si="40">MIN(MAX($D53,AO53)*(1+$F53)*AP$51,$E53)</f>
        <v>0</v>
      </c>
      <c r="AQ53" s="46">
        <f t="shared" si="40"/>
        <v>0</v>
      </c>
      <c r="AR53" s="46">
        <f t="shared" si="40"/>
        <v>0</v>
      </c>
      <c r="AS53" s="46">
        <f t="shared" si="40"/>
        <v>0</v>
      </c>
      <c r="AT53" s="46">
        <f t="shared" si="40"/>
        <v>0</v>
      </c>
      <c r="AU53" s="46">
        <f t="shared" si="40"/>
        <v>0</v>
      </c>
      <c r="AV53" s="46">
        <f t="shared" si="40"/>
        <v>0</v>
      </c>
      <c r="AW53" s="46">
        <f t="shared" si="40"/>
        <v>0</v>
      </c>
      <c r="AX53" s="46">
        <f t="shared" si="40"/>
        <v>0</v>
      </c>
      <c r="AY53" s="46">
        <f t="shared" si="40"/>
        <v>0</v>
      </c>
      <c r="AZ53" s="46">
        <f t="shared" si="40"/>
        <v>0</v>
      </c>
      <c r="BA53" s="46">
        <f t="shared" si="40"/>
        <v>0</v>
      </c>
      <c r="BB53" s="46">
        <f t="shared" si="40"/>
        <v>0</v>
      </c>
      <c r="BC53" s="46">
        <f t="shared" si="40"/>
        <v>0</v>
      </c>
      <c r="BD53" s="46">
        <f t="shared" si="40"/>
        <v>0</v>
      </c>
      <c r="BE53" s="46"/>
    </row>
    <row r="54" spans="1:57" ht="14.25" customHeight="1" x14ac:dyDescent="0.3">
      <c r="A54" s="46"/>
      <c r="B54" s="37"/>
      <c r="C54" s="46" t="s">
        <v>65</v>
      </c>
      <c r="D54" s="49"/>
      <c r="E54" s="49"/>
      <c r="F54" s="50">
        <v>0</v>
      </c>
      <c r="G54" s="46"/>
      <c r="H54" s="46"/>
      <c r="I54" s="46">
        <f>MIN(MAX($D54,H54)*(1+$F54)*I$51,$E54)</f>
        <v>0</v>
      </c>
      <c r="J54" s="46">
        <f t="shared" si="38"/>
        <v>0</v>
      </c>
      <c r="K54" s="46">
        <f t="shared" si="38"/>
        <v>0</v>
      </c>
      <c r="L54" s="46">
        <f t="shared" si="38"/>
        <v>0</v>
      </c>
      <c r="M54" s="46">
        <f t="shared" si="38"/>
        <v>0</v>
      </c>
      <c r="N54" s="46">
        <f t="shared" si="38"/>
        <v>0</v>
      </c>
      <c r="O54" s="46">
        <f t="shared" si="38"/>
        <v>0</v>
      </c>
      <c r="P54" s="46">
        <f t="shared" si="38"/>
        <v>0</v>
      </c>
      <c r="Q54" s="46">
        <f t="shared" si="38"/>
        <v>0</v>
      </c>
      <c r="R54" s="46">
        <f t="shared" si="38"/>
        <v>0</v>
      </c>
      <c r="S54" s="46">
        <f t="shared" si="38"/>
        <v>0</v>
      </c>
      <c r="T54" s="46">
        <f t="shared" si="38"/>
        <v>0</v>
      </c>
      <c r="U54" s="46">
        <f t="shared" si="38"/>
        <v>0</v>
      </c>
      <c r="V54" s="46">
        <f t="shared" si="38"/>
        <v>0</v>
      </c>
      <c r="W54" s="46">
        <f t="shared" si="38"/>
        <v>0</v>
      </c>
      <c r="X54" s="46">
        <f t="shared" si="38"/>
        <v>0</v>
      </c>
      <c r="Y54" s="46">
        <f t="shared" si="38"/>
        <v>0</v>
      </c>
      <c r="Z54" s="46">
        <f t="shared" si="39"/>
        <v>0</v>
      </c>
      <c r="AA54" s="46">
        <f t="shared" si="39"/>
        <v>0</v>
      </c>
      <c r="AB54" s="46">
        <f t="shared" si="39"/>
        <v>0</v>
      </c>
      <c r="AC54" s="46">
        <f t="shared" si="39"/>
        <v>0</v>
      </c>
      <c r="AD54" s="46">
        <f t="shared" si="39"/>
        <v>0</v>
      </c>
      <c r="AE54" s="46">
        <f t="shared" si="39"/>
        <v>0</v>
      </c>
      <c r="AF54" s="46">
        <f t="shared" si="39"/>
        <v>0</v>
      </c>
      <c r="AG54" s="46">
        <f t="shared" si="39"/>
        <v>0</v>
      </c>
      <c r="AH54" s="46">
        <f t="shared" si="39"/>
        <v>0</v>
      </c>
      <c r="AI54" s="46">
        <f t="shared" si="39"/>
        <v>0</v>
      </c>
      <c r="AJ54" s="46">
        <f t="shared" si="39"/>
        <v>0</v>
      </c>
      <c r="AK54" s="46">
        <f t="shared" si="39"/>
        <v>0</v>
      </c>
      <c r="AL54" s="46">
        <f t="shared" si="39"/>
        <v>0</v>
      </c>
      <c r="AM54" s="46">
        <f t="shared" si="39"/>
        <v>0</v>
      </c>
      <c r="AN54" s="46">
        <f t="shared" si="39"/>
        <v>0</v>
      </c>
      <c r="AO54" s="46">
        <f t="shared" si="39"/>
        <v>0</v>
      </c>
      <c r="AP54" s="46">
        <f t="shared" si="40"/>
        <v>0</v>
      </c>
      <c r="AQ54" s="46">
        <f t="shared" si="40"/>
        <v>0</v>
      </c>
      <c r="AR54" s="46">
        <f t="shared" si="40"/>
        <v>0</v>
      </c>
      <c r="AS54" s="46">
        <f t="shared" si="40"/>
        <v>0</v>
      </c>
      <c r="AT54" s="46">
        <f t="shared" si="40"/>
        <v>0</v>
      </c>
      <c r="AU54" s="46">
        <f t="shared" si="40"/>
        <v>0</v>
      </c>
      <c r="AV54" s="46">
        <f t="shared" si="40"/>
        <v>0</v>
      </c>
      <c r="AW54" s="46">
        <f t="shared" si="40"/>
        <v>0</v>
      </c>
      <c r="AX54" s="46">
        <f t="shared" si="40"/>
        <v>0</v>
      </c>
      <c r="AY54" s="46">
        <f t="shared" si="40"/>
        <v>0</v>
      </c>
      <c r="AZ54" s="46">
        <f t="shared" si="40"/>
        <v>0</v>
      </c>
      <c r="BA54" s="46">
        <f t="shared" si="40"/>
        <v>0</v>
      </c>
      <c r="BB54" s="46">
        <f t="shared" si="40"/>
        <v>0</v>
      </c>
      <c r="BC54" s="46">
        <f t="shared" si="40"/>
        <v>0</v>
      </c>
      <c r="BD54" s="46">
        <f t="shared" si="40"/>
        <v>0</v>
      </c>
      <c r="BE54" s="46"/>
    </row>
    <row r="55" spans="1:57" ht="14.25" customHeight="1" x14ac:dyDescent="0.3">
      <c r="A55" s="46"/>
      <c r="B55" s="37"/>
      <c r="C55" s="46" t="s">
        <v>78</v>
      </c>
      <c r="D55" s="46"/>
      <c r="E55" s="46"/>
      <c r="F55" s="46"/>
      <c r="G55" s="46"/>
      <c r="H55" s="46"/>
      <c r="I55" s="51">
        <f t="shared" ref="I55:BD55" si="41">I53*I54</f>
        <v>0</v>
      </c>
      <c r="J55" s="51">
        <f t="shared" si="41"/>
        <v>0</v>
      </c>
      <c r="K55" s="51">
        <f t="shared" si="41"/>
        <v>0</v>
      </c>
      <c r="L55" s="51">
        <f t="shared" si="41"/>
        <v>0</v>
      </c>
      <c r="M55" s="51">
        <f t="shared" si="41"/>
        <v>0</v>
      </c>
      <c r="N55" s="51">
        <f t="shared" si="41"/>
        <v>0</v>
      </c>
      <c r="O55" s="51">
        <f t="shared" si="41"/>
        <v>0</v>
      </c>
      <c r="P55" s="51">
        <f t="shared" si="41"/>
        <v>0</v>
      </c>
      <c r="Q55" s="51">
        <f t="shared" si="41"/>
        <v>0</v>
      </c>
      <c r="R55" s="51">
        <f t="shared" si="41"/>
        <v>0</v>
      </c>
      <c r="S55" s="51">
        <f t="shared" si="41"/>
        <v>0</v>
      </c>
      <c r="T55" s="51">
        <f t="shared" si="41"/>
        <v>0</v>
      </c>
      <c r="U55" s="51">
        <f t="shared" si="41"/>
        <v>0</v>
      </c>
      <c r="V55" s="51">
        <f t="shared" si="41"/>
        <v>0</v>
      </c>
      <c r="W55" s="51">
        <f t="shared" si="41"/>
        <v>0</v>
      </c>
      <c r="X55" s="51">
        <f t="shared" si="41"/>
        <v>0</v>
      </c>
      <c r="Y55" s="51">
        <f t="shared" si="41"/>
        <v>0</v>
      </c>
      <c r="Z55" s="51">
        <f t="shared" si="41"/>
        <v>0</v>
      </c>
      <c r="AA55" s="51">
        <f t="shared" si="41"/>
        <v>0</v>
      </c>
      <c r="AB55" s="51">
        <f t="shared" si="41"/>
        <v>0</v>
      </c>
      <c r="AC55" s="51">
        <f t="shared" si="41"/>
        <v>0</v>
      </c>
      <c r="AD55" s="51">
        <f t="shared" si="41"/>
        <v>0</v>
      </c>
      <c r="AE55" s="51">
        <f t="shared" si="41"/>
        <v>0</v>
      </c>
      <c r="AF55" s="51">
        <f t="shared" si="41"/>
        <v>0</v>
      </c>
      <c r="AG55" s="51">
        <f t="shared" si="41"/>
        <v>0</v>
      </c>
      <c r="AH55" s="51">
        <f t="shared" si="41"/>
        <v>0</v>
      </c>
      <c r="AI55" s="51">
        <f t="shared" si="41"/>
        <v>0</v>
      </c>
      <c r="AJ55" s="51">
        <f t="shared" si="41"/>
        <v>0</v>
      </c>
      <c r="AK55" s="51">
        <f t="shared" si="41"/>
        <v>0</v>
      </c>
      <c r="AL55" s="51">
        <f t="shared" si="41"/>
        <v>0</v>
      </c>
      <c r="AM55" s="51">
        <f t="shared" si="41"/>
        <v>0</v>
      </c>
      <c r="AN55" s="51">
        <f t="shared" si="41"/>
        <v>0</v>
      </c>
      <c r="AO55" s="51">
        <f t="shared" si="41"/>
        <v>0</v>
      </c>
      <c r="AP55" s="51">
        <f t="shared" si="41"/>
        <v>0</v>
      </c>
      <c r="AQ55" s="51">
        <f t="shared" si="41"/>
        <v>0</v>
      </c>
      <c r="AR55" s="51">
        <f t="shared" si="41"/>
        <v>0</v>
      </c>
      <c r="AS55" s="51">
        <f t="shared" si="41"/>
        <v>0</v>
      </c>
      <c r="AT55" s="51">
        <f t="shared" si="41"/>
        <v>0</v>
      </c>
      <c r="AU55" s="51">
        <f t="shared" si="41"/>
        <v>0</v>
      </c>
      <c r="AV55" s="51">
        <f t="shared" si="41"/>
        <v>0</v>
      </c>
      <c r="AW55" s="51">
        <f t="shared" si="41"/>
        <v>0</v>
      </c>
      <c r="AX55" s="51">
        <f t="shared" si="41"/>
        <v>0</v>
      </c>
      <c r="AY55" s="51">
        <f t="shared" si="41"/>
        <v>0</v>
      </c>
      <c r="AZ55" s="51">
        <f t="shared" si="41"/>
        <v>0</v>
      </c>
      <c r="BA55" s="51">
        <f t="shared" si="41"/>
        <v>0</v>
      </c>
      <c r="BB55" s="51">
        <f t="shared" si="41"/>
        <v>0</v>
      </c>
      <c r="BC55" s="51">
        <f t="shared" si="41"/>
        <v>0</v>
      </c>
      <c r="BD55" s="51">
        <f t="shared" si="41"/>
        <v>0</v>
      </c>
      <c r="BE55" s="51"/>
    </row>
    <row r="56" spans="1:57" ht="14.25" customHeight="1" x14ac:dyDescent="0.3">
      <c r="A56" s="46"/>
      <c r="B56" s="37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46"/>
      <c r="BC56" s="46"/>
      <c r="BD56" s="46"/>
      <c r="BE56" s="46"/>
    </row>
    <row r="57" spans="1:57" ht="14.25" customHeight="1" x14ac:dyDescent="0.3">
      <c r="A57" s="46"/>
      <c r="B57" s="37"/>
      <c r="C57" s="37" t="s">
        <v>79</v>
      </c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6"/>
      <c r="AT57" s="46"/>
      <c r="AU57" s="46"/>
      <c r="AV57" s="46"/>
      <c r="AW57" s="46"/>
      <c r="AX57" s="46"/>
      <c r="AY57" s="46"/>
      <c r="AZ57" s="46"/>
      <c r="BA57" s="46"/>
      <c r="BB57" s="46"/>
      <c r="BC57" s="46"/>
      <c r="BD57" s="46"/>
      <c r="BE57" s="46"/>
    </row>
    <row r="58" spans="1:57" ht="14.25" customHeight="1" x14ac:dyDescent="0.3">
      <c r="A58" s="46"/>
      <c r="B58" s="37"/>
      <c r="C58" s="46" t="s">
        <v>80</v>
      </c>
      <c r="D58" s="47">
        <f>I4</f>
        <v>45688</v>
      </c>
      <c r="E58" s="46"/>
      <c r="F58" s="46"/>
      <c r="G58" s="46"/>
      <c r="H58" s="46"/>
      <c r="I58" s="46">
        <f t="shared" ref="I58:L58" si="42">IF(I4&gt;=$D$58,1,0)</f>
        <v>1</v>
      </c>
      <c r="J58" s="46">
        <f t="shared" si="42"/>
        <v>1</v>
      </c>
      <c r="K58" s="46">
        <f t="shared" si="42"/>
        <v>1</v>
      </c>
      <c r="L58" s="46">
        <f t="shared" si="42"/>
        <v>1</v>
      </c>
      <c r="M58" s="46">
        <f>IF(M4&gt;=$D$58,1,0)</f>
        <v>1</v>
      </c>
      <c r="N58" s="46">
        <f t="shared" ref="N58:BD58" si="43">IF(N4&gt;=$D$58,1,0)</f>
        <v>1</v>
      </c>
      <c r="O58" s="46">
        <f t="shared" si="43"/>
        <v>1</v>
      </c>
      <c r="P58" s="46">
        <f t="shared" si="43"/>
        <v>1</v>
      </c>
      <c r="Q58" s="46">
        <f t="shared" si="43"/>
        <v>1</v>
      </c>
      <c r="R58" s="46">
        <f t="shared" si="43"/>
        <v>1</v>
      </c>
      <c r="S58" s="46">
        <f t="shared" si="43"/>
        <v>1</v>
      </c>
      <c r="T58" s="46">
        <f t="shared" si="43"/>
        <v>1</v>
      </c>
      <c r="U58" s="46">
        <f t="shared" si="43"/>
        <v>1</v>
      </c>
      <c r="V58" s="46">
        <f t="shared" si="43"/>
        <v>1</v>
      </c>
      <c r="W58" s="46">
        <f t="shared" si="43"/>
        <v>1</v>
      </c>
      <c r="X58" s="46">
        <f t="shared" si="43"/>
        <v>1</v>
      </c>
      <c r="Y58" s="46">
        <f t="shared" si="43"/>
        <v>1</v>
      </c>
      <c r="Z58" s="46">
        <f t="shared" si="43"/>
        <v>1</v>
      </c>
      <c r="AA58" s="46">
        <f t="shared" si="43"/>
        <v>1</v>
      </c>
      <c r="AB58" s="46">
        <f t="shared" si="43"/>
        <v>1</v>
      </c>
      <c r="AC58" s="46">
        <f t="shared" si="43"/>
        <v>1</v>
      </c>
      <c r="AD58" s="46">
        <f t="shared" si="43"/>
        <v>1</v>
      </c>
      <c r="AE58" s="46">
        <f t="shared" si="43"/>
        <v>1</v>
      </c>
      <c r="AF58" s="46">
        <f t="shared" si="43"/>
        <v>1</v>
      </c>
      <c r="AG58" s="46">
        <f t="shared" si="43"/>
        <v>1</v>
      </c>
      <c r="AH58" s="46">
        <f t="shared" si="43"/>
        <v>1</v>
      </c>
      <c r="AI58" s="46">
        <f t="shared" si="43"/>
        <v>1</v>
      </c>
      <c r="AJ58" s="46">
        <f t="shared" si="43"/>
        <v>1</v>
      </c>
      <c r="AK58" s="46">
        <f t="shared" si="43"/>
        <v>1</v>
      </c>
      <c r="AL58" s="46">
        <f t="shared" si="43"/>
        <v>1</v>
      </c>
      <c r="AM58" s="46">
        <f t="shared" si="43"/>
        <v>1</v>
      </c>
      <c r="AN58" s="46">
        <f t="shared" si="43"/>
        <v>1</v>
      </c>
      <c r="AO58" s="46">
        <f t="shared" si="43"/>
        <v>1</v>
      </c>
      <c r="AP58" s="46">
        <f t="shared" si="43"/>
        <v>1</v>
      </c>
      <c r="AQ58" s="46">
        <f t="shared" si="43"/>
        <v>1</v>
      </c>
      <c r="AR58" s="46">
        <f t="shared" si="43"/>
        <v>1</v>
      </c>
      <c r="AS58" s="46">
        <f t="shared" si="43"/>
        <v>1</v>
      </c>
      <c r="AT58" s="46">
        <f t="shared" si="43"/>
        <v>1</v>
      </c>
      <c r="AU58" s="46">
        <f t="shared" si="43"/>
        <v>1</v>
      </c>
      <c r="AV58" s="46">
        <f t="shared" si="43"/>
        <v>1</v>
      </c>
      <c r="AW58" s="46">
        <f t="shared" si="43"/>
        <v>1</v>
      </c>
      <c r="AX58" s="46">
        <f t="shared" si="43"/>
        <v>1</v>
      </c>
      <c r="AY58" s="46">
        <f t="shared" si="43"/>
        <v>1</v>
      </c>
      <c r="AZ58" s="46">
        <f t="shared" si="43"/>
        <v>1</v>
      </c>
      <c r="BA58" s="46">
        <f t="shared" si="43"/>
        <v>1</v>
      </c>
      <c r="BB58" s="46">
        <f t="shared" si="43"/>
        <v>1</v>
      </c>
      <c r="BC58" s="46">
        <f t="shared" si="43"/>
        <v>1</v>
      </c>
      <c r="BD58" s="46">
        <f t="shared" si="43"/>
        <v>1</v>
      </c>
      <c r="BE58" s="46"/>
    </row>
    <row r="59" spans="1:57" ht="14.25" customHeight="1" x14ac:dyDescent="0.3">
      <c r="A59" s="46"/>
      <c r="B59" s="37"/>
      <c r="C59" s="37"/>
      <c r="D59" s="46" t="s">
        <v>49</v>
      </c>
      <c r="E59" s="46" t="s">
        <v>50</v>
      </c>
      <c r="F59" s="46" t="s">
        <v>51</v>
      </c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46"/>
      <c r="BC59" s="46"/>
      <c r="BD59" s="46"/>
      <c r="BE59" s="46"/>
    </row>
    <row r="60" spans="1:57" ht="14.25" customHeight="1" x14ac:dyDescent="0.3">
      <c r="A60" s="46"/>
      <c r="B60" s="37"/>
      <c r="C60" s="46" t="s">
        <v>81</v>
      </c>
      <c r="D60" s="49">
        <v>2</v>
      </c>
      <c r="E60" s="49">
        <v>5</v>
      </c>
      <c r="F60" s="50">
        <v>2.5000000000000001E-2</v>
      </c>
      <c r="G60" s="46"/>
      <c r="H60" s="46"/>
      <c r="I60" s="46">
        <v>6</v>
      </c>
      <c r="J60" s="46">
        <v>4</v>
      </c>
      <c r="K60" s="46">
        <v>0</v>
      </c>
      <c r="L60" s="46">
        <v>7</v>
      </c>
      <c r="M60" s="46">
        <v>4</v>
      </c>
      <c r="N60" s="46">
        <v>3</v>
      </c>
      <c r="O60" s="46">
        <v>0</v>
      </c>
      <c r="P60" s="46">
        <f t="shared" ref="P60:AE61" si="44">MIN(MAX($D60,O60)*(1+$F60)*P$58,$E60)</f>
        <v>2.0499999999999998</v>
      </c>
      <c r="Q60" s="46">
        <f t="shared" si="44"/>
        <v>2.1012499999999998</v>
      </c>
      <c r="R60" s="46">
        <f t="shared" si="44"/>
        <v>2.1537812499999998</v>
      </c>
      <c r="S60" s="46">
        <f t="shared" si="44"/>
        <v>2.2076257812499995</v>
      </c>
      <c r="T60" s="46">
        <f t="shared" si="44"/>
        <v>2.2628164257812493</v>
      </c>
      <c r="U60" s="46">
        <f t="shared" si="44"/>
        <v>2.3193868364257804</v>
      </c>
      <c r="V60" s="46">
        <f t="shared" si="44"/>
        <v>2.3773715073364245</v>
      </c>
      <c r="W60" s="46">
        <f t="shared" si="44"/>
        <v>2.436805795019835</v>
      </c>
      <c r="X60" s="46">
        <f t="shared" si="44"/>
        <v>2.4977259398953304</v>
      </c>
      <c r="Y60" s="46">
        <f t="shared" si="44"/>
        <v>2.5601690883927133</v>
      </c>
      <c r="Z60" s="46">
        <f t="shared" si="44"/>
        <v>2.6241733156025311</v>
      </c>
      <c r="AA60" s="46">
        <f t="shared" si="44"/>
        <v>2.6897776484925942</v>
      </c>
      <c r="AB60" s="46">
        <f t="shared" si="44"/>
        <v>2.7570220897049089</v>
      </c>
      <c r="AC60" s="46">
        <f t="shared" si="44"/>
        <v>2.8259476419475313</v>
      </c>
      <c r="AD60" s="46">
        <f t="shared" si="44"/>
        <v>2.8965963329962192</v>
      </c>
      <c r="AE60" s="46">
        <f t="shared" si="44"/>
        <v>2.9690112413211245</v>
      </c>
      <c r="AF60" s="46">
        <f t="shared" ref="AF60:AU61" si="45">MIN(MAX($D60,AE60)*(1+$F60)*AF$58,$E60)</f>
        <v>3.0432365223541522</v>
      </c>
      <c r="AG60" s="46">
        <f t="shared" si="45"/>
        <v>3.1193174354130058</v>
      </c>
      <c r="AH60" s="46">
        <f t="shared" si="45"/>
        <v>3.1973003712983306</v>
      </c>
      <c r="AI60" s="46">
        <f t="shared" si="45"/>
        <v>3.2772328805807884</v>
      </c>
      <c r="AJ60" s="46">
        <f t="shared" si="45"/>
        <v>3.3591637025953078</v>
      </c>
      <c r="AK60" s="46">
        <f t="shared" si="45"/>
        <v>3.4431427951601901</v>
      </c>
      <c r="AL60" s="46">
        <f t="shared" si="45"/>
        <v>3.5292213650391946</v>
      </c>
      <c r="AM60" s="46">
        <f t="shared" si="45"/>
        <v>3.6174518991651743</v>
      </c>
      <c r="AN60" s="46">
        <f t="shared" si="45"/>
        <v>3.7078881966443031</v>
      </c>
      <c r="AO60" s="46">
        <f t="shared" si="45"/>
        <v>3.8005854015604106</v>
      </c>
      <c r="AP60" s="46">
        <f t="shared" si="45"/>
        <v>3.8956000365994203</v>
      </c>
      <c r="AQ60" s="46">
        <f t="shared" si="45"/>
        <v>3.9929900375144056</v>
      </c>
      <c r="AR60" s="46">
        <f t="shared" si="45"/>
        <v>4.092814788452265</v>
      </c>
      <c r="AS60" s="46">
        <f t="shared" si="45"/>
        <v>4.1951351581635716</v>
      </c>
      <c r="AT60" s="46">
        <f t="shared" si="45"/>
        <v>4.3000135371176604</v>
      </c>
      <c r="AU60" s="46">
        <f t="shared" si="45"/>
        <v>4.4075138755456011</v>
      </c>
      <c r="AV60" s="46">
        <f t="shared" ref="AP60:BD61" si="46">MIN(MAX($D60,AU60)*(1+$F60)*AV$58,$E60)</f>
        <v>4.5177017224342411</v>
      </c>
      <c r="AW60" s="46">
        <f t="shared" si="46"/>
        <v>4.6306442654950963</v>
      </c>
      <c r="AX60" s="46">
        <f t="shared" si="46"/>
        <v>4.7464103721324733</v>
      </c>
      <c r="AY60" s="46">
        <f t="shared" si="46"/>
        <v>4.8650706314357848</v>
      </c>
      <c r="AZ60" s="46">
        <f t="shared" si="46"/>
        <v>4.986697397221679</v>
      </c>
      <c r="BA60" s="46">
        <f t="shared" si="46"/>
        <v>5</v>
      </c>
      <c r="BB60" s="46">
        <f t="shared" si="46"/>
        <v>5</v>
      </c>
      <c r="BC60" s="46">
        <f t="shared" si="46"/>
        <v>5</v>
      </c>
      <c r="BD60" s="46">
        <f t="shared" si="46"/>
        <v>5</v>
      </c>
      <c r="BE60" s="46"/>
    </row>
    <row r="61" spans="1:57" ht="14.25" customHeight="1" x14ac:dyDescent="0.3">
      <c r="A61" s="46"/>
      <c r="B61" s="37"/>
      <c r="C61" s="46" t="s">
        <v>82</v>
      </c>
      <c r="D61" s="49">
        <v>80000</v>
      </c>
      <c r="E61" s="49">
        <v>100000</v>
      </c>
      <c r="F61" s="50">
        <v>0.02</v>
      </c>
      <c r="G61" s="46"/>
      <c r="H61" s="46"/>
      <c r="I61" s="46">
        <v>103744.12666666599</v>
      </c>
      <c r="J61" s="46">
        <v>104075.75</v>
      </c>
      <c r="K61" s="46">
        <f t="shared" ref="K61:Y61" si="47">MIN(MAX($D61,J61)*(1+$F61)*K$58,$E61)</f>
        <v>100000</v>
      </c>
      <c r="L61" s="46">
        <v>93779</v>
      </c>
      <c r="M61" s="46">
        <v>87514</v>
      </c>
      <c r="N61" s="46">
        <v>97659</v>
      </c>
      <c r="O61" s="46">
        <f t="shared" si="47"/>
        <v>99612.180000000008</v>
      </c>
      <c r="P61" s="46">
        <f t="shared" si="47"/>
        <v>100000</v>
      </c>
      <c r="Q61" s="46">
        <f t="shared" si="47"/>
        <v>100000</v>
      </c>
      <c r="R61" s="46">
        <f t="shared" si="47"/>
        <v>100000</v>
      </c>
      <c r="S61" s="46">
        <f t="shared" si="47"/>
        <v>100000</v>
      </c>
      <c r="T61" s="46">
        <f t="shared" si="47"/>
        <v>100000</v>
      </c>
      <c r="U61" s="46">
        <f t="shared" si="47"/>
        <v>100000</v>
      </c>
      <c r="V61" s="46">
        <f t="shared" si="47"/>
        <v>100000</v>
      </c>
      <c r="W61" s="46">
        <f t="shared" si="47"/>
        <v>100000</v>
      </c>
      <c r="X61" s="46">
        <f t="shared" si="47"/>
        <v>100000</v>
      </c>
      <c r="Y61" s="46">
        <f t="shared" si="47"/>
        <v>100000</v>
      </c>
      <c r="Z61" s="46">
        <f t="shared" si="44"/>
        <v>100000</v>
      </c>
      <c r="AA61" s="46">
        <f t="shared" si="44"/>
        <v>100000</v>
      </c>
      <c r="AB61" s="46">
        <f t="shared" si="44"/>
        <v>100000</v>
      </c>
      <c r="AC61" s="46">
        <f t="shared" si="44"/>
        <v>100000</v>
      </c>
      <c r="AD61" s="46">
        <f t="shared" si="44"/>
        <v>100000</v>
      </c>
      <c r="AE61" s="46">
        <f t="shared" si="44"/>
        <v>100000</v>
      </c>
      <c r="AF61" s="46">
        <f t="shared" si="45"/>
        <v>100000</v>
      </c>
      <c r="AG61" s="46">
        <f t="shared" si="45"/>
        <v>100000</v>
      </c>
      <c r="AH61" s="46">
        <f t="shared" si="45"/>
        <v>100000</v>
      </c>
      <c r="AI61" s="46">
        <f t="shared" si="45"/>
        <v>100000</v>
      </c>
      <c r="AJ61" s="46">
        <f t="shared" si="45"/>
        <v>100000</v>
      </c>
      <c r="AK61" s="46">
        <f t="shared" si="45"/>
        <v>100000</v>
      </c>
      <c r="AL61" s="46">
        <f t="shared" si="45"/>
        <v>100000</v>
      </c>
      <c r="AM61" s="46">
        <f t="shared" si="45"/>
        <v>100000</v>
      </c>
      <c r="AN61" s="46">
        <f t="shared" si="45"/>
        <v>100000</v>
      </c>
      <c r="AO61" s="46">
        <f t="shared" si="45"/>
        <v>100000</v>
      </c>
      <c r="AP61" s="46">
        <f t="shared" si="46"/>
        <v>100000</v>
      </c>
      <c r="AQ61" s="46">
        <f t="shared" si="46"/>
        <v>100000</v>
      </c>
      <c r="AR61" s="46">
        <f t="shared" si="46"/>
        <v>100000</v>
      </c>
      <c r="AS61" s="46">
        <f t="shared" si="46"/>
        <v>100000</v>
      </c>
      <c r="AT61" s="46">
        <f t="shared" si="46"/>
        <v>100000</v>
      </c>
      <c r="AU61" s="46">
        <f t="shared" si="46"/>
        <v>100000</v>
      </c>
      <c r="AV61" s="46">
        <f t="shared" si="46"/>
        <v>100000</v>
      </c>
      <c r="AW61" s="46">
        <f t="shared" si="46"/>
        <v>100000</v>
      </c>
      <c r="AX61" s="46">
        <f t="shared" si="46"/>
        <v>100000</v>
      </c>
      <c r="AY61" s="46">
        <f t="shared" si="46"/>
        <v>100000</v>
      </c>
      <c r="AZ61" s="46">
        <f t="shared" si="46"/>
        <v>100000</v>
      </c>
      <c r="BA61" s="46">
        <f t="shared" si="46"/>
        <v>100000</v>
      </c>
      <c r="BB61" s="46">
        <f t="shared" si="46"/>
        <v>100000</v>
      </c>
      <c r="BC61" s="46">
        <f t="shared" si="46"/>
        <v>100000</v>
      </c>
      <c r="BD61" s="46">
        <f t="shared" si="46"/>
        <v>100000</v>
      </c>
      <c r="BE61" s="46"/>
    </row>
    <row r="62" spans="1:57" ht="14.25" customHeight="1" x14ac:dyDescent="0.3">
      <c r="A62" s="46"/>
      <c r="B62" s="37"/>
      <c r="C62" s="46" t="s">
        <v>83</v>
      </c>
      <c r="D62" s="46"/>
      <c r="E62" s="46"/>
      <c r="F62" s="46"/>
      <c r="G62" s="46"/>
      <c r="H62" s="46"/>
      <c r="I62" s="51">
        <f t="shared" ref="I62:BD62" si="48">I60*I61</f>
        <v>622464.75999999593</v>
      </c>
      <c r="J62" s="51">
        <f t="shared" si="48"/>
        <v>416303</v>
      </c>
      <c r="K62" s="51">
        <f t="shared" si="48"/>
        <v>0</v>
      </c>
      <c r="L62" s="51">
        <f t="shared" si="48"/>
        <v>656453</v>
      </c>
      <c r="M62" s="51">
        <f t="shared" si="48"/>
        <v>350056</v>
      </c>
      <c r="N62" s="51">
        <f t="shared" si="48"/>
        <v>292977</v>
      </c>
      <c r="O62" s="51">
        <f t="shared" si="48"/>
        <v>0</v>
      </c>
      <c r="P62" s="51">
        <f t="shared" si="48"/>
        <v>204999.99999999997</v>
      </c>
      <c r="Q62" s="51">
        <f t="shared" si="48"/>
        <v>210124.99999999997</v>
      </c>
      <c r="R62" s="51">
        <f t="shared" si="48"/>
        <v>215378.12499999997</v>
      </c>
      <c r="S62" s="51">
        <f t="shared" si="48"/>
        <v>220762.57812499994</v>
      </c>
      <c r="T62" s="51">
        <f t="shared" si="48"/>
        <v>226281.64257812494</v>
      </c>
      <c r="U62" s="51">
        <f t="shared" si="48"/>
        <v>231938.68364257805</v>
      </c>
      <c r="V62" s="51">
        <f t="shared" si="48"/>
        <v>237737.15073364245</v>
      </c>
      <c r="W62" s="51">
        <f t="shared" si="48"/>
        <v>243680.57950198351</v>
      </c>
      <c r="X62" s="51">
        <f t="shared" si="48"/>
        <v>249772.59398953305</v>
      </c>
      <c r="Y62" s="51">
        <f t="shared" si="48"/>
        <v>256016.90883927132</v>
      </c>
      <c r="Z62" s="51">
        <f t="shared" si="48"/>
        <v>262417.33156025311</v>
      </c>
      <c r="AA62" s="51">
        <f t="shared" si="48"/>
        <v>268977.7648492594</v>
      </c>
      <c r="AB62" s="51">
        <f t="shared" si="48"/>
        <v>275702.2089704909</v>
      </c>
      <c r="AC62" s="51">
        <f t="shared" si="48"/>
        <v>282594.76419475314</v>
      </c>
      <c r="AD62" s="51">
        <f t="shared" si="48"/>
        <v>289659.63329962193</v>
      </c>
      <c r="AE62" s="51">
        <f t="shared" si="48"/>
        <v>296901.12413211243</v>
      </c>
      <c r="AF62" s="51">
        <f t="shared" si="48"/>
        <v>304323.65223541524</v>
      </c>
      <c r="AG62" s="51">
        <f t="shared" si="48"/>
        <v>311931.74354130059</v>
      </c>
      <c r="AH62" s="51">
        <f t="shared" si="48"/>
        <v>319730.03712983307</v>
      </c>
      <c r="AI62" s="51">
        <f t="shared" si="48"/>
        <v>327723.28805807885</v>
      </c>
      <c r="AJ62" s="51">
        <f t="shared" si="48"/>
        <v>335916.37025953078</v>
      </c>
      <c r="AK62" s="51">
        <f t="shared" si="48"/>
        <v>344314.27951601899</v>
      </c>
      <c r="AL62" s="51">
        <f t="shared" si="48"/>
        <v>352922.13650391944</v>
      </c>
      <c r="AM62" s="51">
        <f t="shared" si="48"/>
        <v>361745.18991651741</v>
      </c>
      <c r="AN62" s="51">
        <f t="shared" si="48"/>
        <v>370788.81966443034</v>
      </c>
      <c r="AO62" s="51">
        <f t="shared" si="48"/>
        <v>380058.54015604104</v>
      </c>
      <c r="AP62" s="51">
        <f t="shared" si="48"/>
        <v>389560.00365994201</v>
      </c>
      <c r="AQ62" s="51">
        <f t="shared" si="48"/>
        <v>399299.00375144056</v>
      </c>
      <c r="AR62" s="51">
        <f t="shared" si="48"/>
        <v>409281.47884522652</v>
      </c>
      <c r="AS62" s="51">
        <f t="shared" si="48"/>
        <v>419513.51581635716</v>
      </c>
      <c r="AT62" s="51">
        <f t="shared" si="48"/>
        <v>430001.35371176602</v>
      </c>
      <c r="AU62" s="51">
        <f t="shared" si="48"/>
        <v>440751.38755456009</v>
      </c>
      <c r="AV62" s="51">
        <f t="shared" si="48"/>
        <v>451770.17224342411</v>
      </c>
      <c r="AW62" s="51">
        <f t="shared" si="48"/>
        <v>463064.42654950963</v>
      </c>
      <c r="AX62" s="51">
        <f t="shared" si="48"/>
        <v>474641.03721324733</v>
      </c>
      <c r="AY62" s="51">
        <f t="shared" si="48"/>
        <v>486507.06314357847</v>
      </c>
      <c r="AZ62" s="51">
        <f t="shared" si="48"/>
        <v>498669.7397221679</v>
      </c>
      <c r="BA62" s="51">
        <f t="shared" si="48"/>
        <v>500000</v>
      </c>
      <c r="BB62" s="51">
        <f t="shared" si="48"/>
        <v>500000</v>
      </c>
      <c r="BC62" s="51">
        <f t="shared" si="48"/>
        <v>500000</v>
      </c>
      <c r="BD62" s="51">
        <f t="shared" si="48"/>
        <v>500000</v>
      </c>
      <c r="BE62" s="51"/>
    </row>
    <row r="63" spans="1:57" ht="14.25" customHeight="1" x14ac:dyDescent="0.3">
      <c r="A63" s="46"/>
      <c r="B63" s="37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6"/>
      <c r="AM63" s="46"/>
      <c r="AN63" s="46"/>
      <c r="AO63" s="46"/>
      <c r="AP63" s="46"/>
      <c r="AQ63" s="46"/>
      <c r="AR63" s="46"/>
      <c r="AS63" s="46"/>
      <c r="AT63" s="46"/>
      <c r="AU63" s="46"/>
      <c r="AV63" s="46"/>
      <c r="AW63" s="46"/>
      <c r="AX63" s="46"/>
      <c r="AY63" s="46"/>
      <c r="AZ63" s="46"/>
      <c r="BA63" s="46"/>
      <c r="BB63" s="46"/>
      <c r="BC63" s="46"/>
      <c r="BD63" s="46"/>
      <c r="BE63" s="46"/>
    </row>
    <row r="64" spans="1:57" ht="14.25" customHeight="1" x14ac:dyDescent="0.3">
      <c r="A64" s="46"/>
      <c r="B64" s="37"/>
      <c r="C64" s="46" t="s">
        <v>84</v>
      </c>
      <c r="D64" s="52">
        <v>-8500</v>
      </c>
      <c r="E64" s="46"/>
      <c r="F64" s="46"/>
      <c r="G64" s="46"/>
      <c r="H64" s="46"/>
      <c r="I64" s="46">
        <f>I60*$D$64</f>
        <v>-51000</v>
      </c>
      <c r="J64" s="46">
        <f t="shared" ref="J64:BD64" si="49">J60*$D$64</f>
        <v>-34000</v>
      </c>
      <c r="K64" s="46">
        <f t="shared" si="49"/>
        <v>0</v>
      </c>
      <c r="L64" s="46">
        <f>-L62*0.1</f>
        <v>-65645.3</v>
      </c>
      <c r="M64" s="46">
        <f t="shared" ref="M64:O64" si="50">-M62*0.1</f>
        <v>-35005.599999999999</v>
      </c>
      <c r="N64" s="46">
        <f t="shared" si="50"/>
        <v>-29297.7</v>
      </c>
      <c r="O64" s="46">
        <f t="shared" si="50"/>
        <v>0</v>
      </c>
      <c r="P64" s="46">
        <f t="shared" si="49"/>
        <v>-17425</v>
      </c>
      <c r="Q64" s="46">
        <f t="shared" si="49"/>
        <v>-17860.625</v>
      </c>
      <c r="R64" s="46">
        <f t="shared" si="49"/>
        <v>-18307.140624999996</v>
      </c>
      <c r="S64" s="46">
        <f t="shared" si="49"/>
        <v>-18764.819140624997</v>
      </c>
      <c r="T64" s="46">
        <f t="shared" si="49"/>
        <v>-19233.939619140619</v>
      </c>
      <c r="U64" s="46">
        <f t="shared" si="49"/>
        <v>-19714.788109619134</v>
      </c>
      <c r="V64" s="46">
        <f t="shared" si="49"/>
        <v>-20207.657812359608</v>
      </c>
      <c r="W64" s="46">
        <f t="shared" si="49"/>
        <v>-20712.849257668597</v>
      </c>
      <c r="X64" s="46">
        <f t="shared" si="49"/>
        <v>-21230.670489110307</v>
      </c>
      <c r="Y64" s="46">
        <f t="shared" si="49"/>
        <v>-21761.437251338062</v>
      </c>
      <c r="Z64" s="46">
        <f t="shared" si="49"/>
        <v>-22305.473182621514</v>
      </c>
      <c r="AA64" s="46">
        <f t="shared" si="49"/>
        <v>-22863.110012187051</v>
      </c>
      <c r="AB64" s="46">
        <f t="shared" si="49"/>
        <v>-23434.687762491725</v>
      </c>
      <c r="AC64" s="46">
        <f t="shared" si="49"/>
        <v>-24020.554956554017</v>
      </c>
      <c r="AD64" s="46">
        <f t="shared" si="49"/>
        <v>-24621.068830467862</v>
      </c>
      <c r="AE64" s="46">
        <f t="shared" si="49"/>
        <v>-25236.595551229559</v>
      </c>
      <c r="AF64" s="46">
        <f t="shared" si="49"/>
        <v>-25867.510440010294</v>
      </c>
      <c r="AG64" s="46">
        <f t="shared" si="49"/>
        <v>-26514.198201010549</v>
      </c>
      <c r="AH64" s="46">
        <f t="shared" si="49"/>
        <v>-27177.05315603581</v>
      </c>
      <c r="AI64" s="46">
        <f t="shared" si="49"/>
        <v>-27856.479484936703</v>
      </c>
      <c r="AJ64" s="46">
        <f t="shared" si="49"/>
        <v>-28552.891472060117</v>
      </c>
      <c r="AK64" s="46">
        <f t="shared" si="49"/>
        <v>-29266.713758861617</v>
      </c>
      <c r="AL64" s="46">
        <f t="shared" si="49"/>
        <v>-29998.381602833153</v>
      </c>
      <c r="AM64" s="46">
        <f t="shared" si="49"/>
        <v>-30748.341142903981</v>
      </c>
      <c r="AN64" s="46">
        <f t="shared" si="49"/>
        <v>-31517.049671476576</v>
      </c>
      <c r="AO64" s="46">
        <f t="shared" si="49"/>
        <v>-32304.97591326349</v>
      </c>
      <c r="AP64" s="46">
        <f t="shared" si="49"/>
        <v>-33112.60031109507</v>
      </c>
      <c r="AQ64" s="46">
        <f t="shared" si="49"/>
        <v>-33940.415318872445</v>
      </c>
      <c r="AR64" s="46">
        <f t="shared" si="49"/>
        <v>-34788.925701844251</v>
      </c>
      <c r="AS64" s="46">
        <f t="shared" si="49"/>
        <v>-35658.648844390358</v>
      </c>
      <c r="AT64" s="46">
        <f t="shared" si="49"/>
        <v>-36550.115065500111</v>
      </c>
      <c r="AU64" s="46">
        <f t="shared" si="49"/>
        <v>-37463.867942137607</v>
      </c>
      <c r="AV64" s="46">
        <f t="shared" si="49"/>
        <v>-38400.464640691047</v>
      </c>
      <c r="AW64" s="46">
        <f t="shared" si="49"/>
        <v>-39360.476256708316</v>
      </c>
      <c r="AX64" s="46">
        <f t="shared" si="49"/>
        <v>-40344.488163126021</v>
      </c>
      <c r="AY64" s="46">
        <f t="shared" si="49"/>
        <v>-41353.10036720417</v>
      </c>
      <c r="AZ64" s="46">
        <f t="shared" si="49"/>
        <v>-42386.927876384274</v>
      </c>
      <c r="BA64" s="46">
        <f t="shared" si="49"/>
        <v>-42500</v>
      </c>
      <c r="BB64" s="46">
        <f t="shared" si="49"/>
        <v>-42500</v>
      </c>
      <c r="BC64" s="46">
        <f t="shared" si="49"/>
        <v>-42500</v>
      </c>
      <c r="BD64" s="46">
        <f t="shared" si="49"/>
        <v>-42500</v>
      </c>
      <c r="BE64" s="46"/>
    </row>
    <row r="65" spans="1:57" ht="14.25" customHeight="1" x14ac:dyDescent="0.3">
      <c r="A65" s="46"/>
      <c r="B65" s="37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46"/>
      <c r="AN65" s="46"/>
      <c r="AO65" s="46"/>
      <c r="AP65" s="46"/>
      <c r="AQ65" s="46"/>
      <c r="AR65" s="46"/>
      <c r="AS65" s="46"/>
      <c r="AT65" s="46"/>
      <c r="AU65" s="46"/>
      <c r="AV65" s="46"/>
      <c r="AW65" s="46"/>
      <c r="AX65" s="46"/>
      <c r="AY65" s="46"/>
      <c r="AZ65" s="46"/>
      <c r="BA65" s="46"/>
      <c r="BB65" s="46"/>
      <c r="BC65" s="46"/>
      <c r="BD65" s="46"/>
      <c r="BE65" s="46"/>
    </row>
    <row r="66" spans="1:57" ht="14.25" customHeight="1" x14ac:dyDescent="0.3">
      <c r="A66" s="46"/>
      <c r="B66" s="37"/>
      <c r="C66" s="37" t="s">
        <v>85</v>
      </c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46"/>
      <c r="AN66" s="46"/>
      <c r="AO66" s="46"/>
      <c r="AP66" s="46"/>
      <c r="AQ66" s="46"/>
      <c r="AR66" s="46"/>
      <c r="AS66" s="46"/>
      <c r="AT66" s="46"/>
      <c r="AU66" s="46"/>
      <c r="AV66" s="46"/>
      <c r="AW66" s="46"/>
      <c r="AX66" s="46"/>
      <c r="AY66" s="46"/>
      <c r="AZ66" s="46"/>
      <c r="BA66" s="46"/>
      <c r="BB66" s="46"/>
      <c r="BC66" s="46"/>
      <c r="BD66" s="46"/>
      <c r="BE66" s="46"/>
    </row>
    <row r="67" spans="1:57" ht="15" customHeight="1" x14ac:dyDescent="0.3">
      <c r="B67" s="37"/>
      <c r="D67" s="46" t="s">
        <v>49</v>
      </c>
      <c r="E67" s="46" t="s">
        <v>50</v>
      </c>
      <c r="F67" s="46" t="s">
        <v>51</v>
      </c>
      <c r="H67" s="46">
        <v>0</v>
      </c>
    </row>
    <row r="68" spans="1:57" ht="15" customHeight="1" x14ac:dyDescent="0.3">
      <c r="B68" s="37"/>
      <c r="C68" s="46" t="s">
        <v>86</v>
      </c>
      <c r="D68" s="49">
        <f>SUM(I68:O68)/7</f>
        <v>0.8571428571428571</v>
      </c>
      <c r="E68" s="52">
        <v>2</v>
      </c>
      <c r="F68" s="50">
        <v>0</v>
      </c>
      <c r="H68" s="46">
        <v>0</v>
      </c>
      <c r="I68" s="46">
        <v>0</v>
      </c>
      <c r="J68" s="46">
        <v>0</v>
      </c>
      <c r="K68" s="46">
        <v>3</v>
      </c>
      <c r="L68" s="46">
        <v>0</v>
      </c>
      <c r="M68" s="46">
        <v>0</v>
      </c>
      <c r="N68" s="46">
        <v>0</v>
      </c>
      <c r="O68" s="46">
        <v>3</v>
      </c>
      <c r="P68" s="46">
        <f t="shared" ref="P68:AE69" si="51">MIN(MAX($D68,O68)*(1+$F68)*P$58,$E68)</f>
        <v>2</v>
      </c>
      <c r="Q68" s="46">
        <f t="shared" si="51"/>
        <v>2</v>
      </c>
      <c r="R68" s="46">
        <f t="shared" si="51"/>
        <v>2</v>
      </c>
      <c r="S68" s="46">
        <f t="shared" si="51"/>
        <v>2</v>
      </c>
      <c r="T68" s="46">
        <f t="shared" si="51"/>
        <v>2</v>
      </c>
      <c r="U68" s="46">
        <f t="shared" si="51"/>
        <v>2</v>
      </c>
      <c r="V68" s="46">
        <f t="shared" si="51"/>
        <v>2</v>
      </c>
      <c r="W68" s="46">
        <f t="shared" si="51"/>
        <v>2</v>
      </c>
      <c r="X68" s="46">
        <f t="shared" si="51"/>
        <v>2</v>
      </c>
      <c r="Y68" s="46">
        <f t="shared" si="51"/>
        <v>2</v>
      </c>
      <c r="Z68" s="46">
        <f t="shared" si="51"/>
        <v>2</v>
      </c>
      <c r="AA68" s="46">
        <f t="shared" si="51"/>
        <v>2</v>
      </c>
      <c r="AB68" s="46">
        <f t="shared" si="51"/>
        <v>2</v>
      </c>
      <c r="AC68" s="46">
        <f t="shared" si="51"/>
        <v>2</v>
      </c>
      <c r="AD68" s="46">
        <f t="shared" si="51"/>
        <v>2</v>
      </c>
      <c r="AE68" s="46">
        <f t="shared" si="51"/>
        <v>2</v>
      </c>
      <c r="AF68" s="46">
        <f t="shared" ref="AF68:AU69" si="52">MIN(MAX($D68,AE68)*(1+$F68)*AF$58,$E68)</f>
        <v>2</v>
      </c>
      <c r="AG68" s="46">
        <f t="shared" si="52"/>
        <v>2</v>
      </c>
      <c r="AH68" s="46">
        <f t="shared" si="52"/>
        <v>2</v>
      </c>
      <c r="AI68" s="46">
        <f t="shared" si="52"/>
        <v>2</v>
      </c>
      <c r="AJ68" s="46">
        <f t="shared" si="52"/>
        <v>2</v>
      </c>
      <c r="AK68" s="46">
        <f t="shared" si="52"/>
        <v>2</v>
      </c>
      <c r="AL68" s="46">
        <f t="shared" si="52"/>
        <v>2</v>
      </c>
      <c r="AM68" s="46">
        <f t="shared" si="52"/>
        <v>2</v>
      </c>
      <c r="AN68" s="46">
        <f t="shared" si="52"/>
        <v>2</v>
      </c>
      <c r="AO68" s="46">
        <f t="shared" si="52"/>
        <v>2</v>
      </c>
      <c r="AP68" s="46">
        <f t="shared" si="52"/>
        <v>2</v>
      </c>
      <c r="AQ68" s="46">
        <f t="shared" si="52"/>
        <v>2</v>
      </c>
      <c r="AR68" s="46">
        <f t="shared" si="52"/>
        <v>2</v>
      </c>
      <c r="AS68" s="46">
        <f t="shared" si="52"/>
        <v>2</v>
      </c>
      <c r="AT68" s="46">
        <f t="shared" si="52"/>
        <v>2</v>
      </c>
      <c r="AU68" s="46">
        <f t="shared" si="52"/>
        <v>2</v>
      </c>
      <c r="AV68" s="46">
        <f t="shared" ref="AP68:BD69" si="53">MIN(MAX($D68,AU68)*(1+$F68)*AV$58,$E68)</f>
        <v>2</v>
      </c>
      <c r="AW68" s="46">
        <f t="shared" si="53"/>
        <v>2</v>
      </c>
      <c r="AX68" s="46">
        <f t="shared" si="53"/>
        <v>2</v>
      </c>
      <c r="AY68" s="46">
        <f t="shared" si="53"/>
        <v>2</v>
      </c>
      <c r="AZ68" s="46">
        <f t="shared" si="53"/>
        <v>2</v>
      </c>
      <c r="BA68" s="46">
        <f t="shared" si="53"/>
        <v>2</v>
      </c>
      <c r="BB68" s="46">
        <f t="shared" si="53"/>
        <v>2</v>
      </c>
      <c r="BC68" s="46">
        <f t="shared" si="53"/>
        <v>2</v>
      </c>
      <c r="BD68" s="46">
        <f t="shared" si="53"/>
        <v>2</v>
      </c>
      <c r="BE68" s="46"/>
    </row>
    <row r="69" spans="1:57" ht="15" customHeight="1" x14ac:dyDescent="0.3">
      <c r="B69" s="37"/>
      <c r="C69" s="46" t="s">
        <v>87</v>
      </c>
      <c r="D69" s="49">
        <v>120000</v>
      </c>
      <c r="E69" s="49">
        <v>120000</v>
      </c>
      <c r="F69" s="50">
        <v>0</v>
      </c>
      <c r="H69" s="46">
        <v>0</v>
      </c>
      <c r="I69" s="46">
        <f>MIN(MAX($D69,H69)*(1+$F69)*I$58,$E69)</f>
        <v>120000</v>
      </c>
      <c r="J69" s="46">
        <f t="shared" ref="J69:Y69" si="54">MIN(MAX($D69,I69)*(1+$F69)*J$58,$E69)</f>
        <v>120000</v>
      </c>
      <c r="K69" s="46">
        <v>176256.66666666599</v>
      </c>
      <c r="L69" s="46">
        <f t="shared" si="54"/>
        <v>120000</v>
      </c>
      <c r="M69" s="46">
        <f t="shared" si="54"/>
        <v>120000</v>
      </c>
      <c r="N69" s="46">
        <f t="shared" si="54"/>
        <v>120000</v>
      </c>
      <c r="O69" s="46">
        <v>118225</v>
      </c>
      <c r="P69" s="46">
        <f t="shared" si="54"/>
        <v>120000</v>
      </c>
      <c r="Q69" s="46">
        <f t="shared" si="54"/>
        <v>120000</v>
      </c>
      <c r="R69" s="46">
        <f t="shared" si="54"/>
        <v>120000</v>
      </c>
      <c r="S69" s="46">
        <f t="shared" si="54"/>
        <v>120000</v>
      </c>
      <c r="T69" s="46">
        <f t="shared" si="54"/>
        <v>120000</v>
      </c>
      <c r="U69" s="46">
        <f t="shared" si="54"/>
        <v>120000</v>
      </c>
      <c r="V69" s="46">
        <f t="shared" si="54"/>
        <v>120000</v>
      </c>
      <c r="W69" s="46">
        <f t="shared" si="54"/>
        <v>120000</v>
      </c>
      <c r="X69" s="46">
        <f t="shared" si="54"/>
        <v>120000</v>
      </c>
      <c r="Y69" s="46">
        <f t="shared" si="54"/>
        <v>120000</v>
      </c>
      <c r="Z69" s="46">
        <f t="shared" si="51"/>
        <v>120000</v>
      </c>
      <c r="AA69" s="46">
        <f t="shared" si="51"/>
        <v>120000</v>
      </c>
      <c r="AB69" s="46">
        <f t="shared" si="51"/>
        <v>120000</v>
      </c>
      <c r="AC69" s="46">
        <f t="shared" si="51"/>
        <v>120000</v>
      </c>
      <c r="AD69" s="46">
        <f t="shared" si="51"/>
        <v>120000</v>
      </c>
      <c r="AE69" s="46">
        <f t="shared" si="51"/>
        <v>120000</v>
      </c>
      <c r="AF69" s="46">
        <f t="shared" si="52"/>
        <v>120000</v>
      </c>
      <c r="AG69" s="46">
        <f t="shared" si="52"/>
        <v>120000</v>
      </c>
      <c r="AH69" s="46">
        <f t="shared" si="52"/>
        <v>120000</v>
      </c>
      <c r="AI69" s="46">
        <f t="shared" si="52"/>
        <v>120000</v>
      </c>
      <c r="AJ69" s="46">
        <f t="shared" si="52"/>
        <v>120000</v>
      </c>
      <c r="AK69" s="46">
        <f t="shared" si="52"/>
        <v>120000</v>
      </c>
      <c r="AL69" s="46">
        <f t="shared" si="52"/>
        <v>120000</v>
      </c>
      <c r="AM69" s="46">
        <f t="shared" si="52"/>
        <v>120000</v>
      </c>
      <c r="AN69" s="46">
        <f t="shared" si="52"/>
        <v>120000</v>
      </c>
      <c r="AO69" s="46">
        <f t="shared" si="52"/>
        <v>120000</v>
      </c>
      <c r="AP69" s="46">
        <f t="shared" si="53"/>
        <v>120000</v>
      </c>
      <c r="AQ69" s="46">
        <f t="shared" si="53"/>
        <v>120000</v>
      </c>
      <c r="AR69" s="46">
        <f t="shared" si="53"/>
        <v>120000</v>
      </c>
      <c r="AS69" s="46">
        <f t="shared" si="53"/>
        <v>120000</v>
      </c>
      <c r="AT69" s="46">
        <f t="shared" si="53"/>
        <v>120000</v>
      </c>
      <c r="AU69" s="46">
        <f t="shared" si="53"/>
        <v>120000</v>
      </c>
      <c r="AV69" s="46">
        <f t="shared" si="53"/>
        <v>120000</v>
      </c>
      <c r="AW69" s="46">
        <f t="shared" si="53"/>
        <v>120000</v>
      </c>
      <c r="AX69" s="46">
        <f t="shared" si="53"/>
        <v>120000</v>
      </c>
      <c r="AY69" s="46">
        <f t="shared" si="53"/>
        <v>120000</v>
      </c>
      <c r="AZ69" s="46">
        <f t="shared" si="53"/>
        <v>120000</v>
      </c>
      <c r="BA69" s="46">
        <f t="shared" si="53"/>
        <v>120000</v>
      </c>
      <c r="BB69" s="46">
        <f t="shared" si="53"/>
        <v>120000</v>
      </c>
      <c r="BC69" s="46">
        <f t="shared" si="53"/>
        <v>120000</v>
      </c>
      <c r="BD69" s="46">
        <f t="shared" si="53"/>
        <v>120000</v>
      </c>
      <c r="BE69" s="46"/>
    </row>
    <row r="70" spans="1:57" ht="15" customHeight="1" x14ac:dyDescent="0.3">
      <c r="B70" s="37"/>
      <c r="C70" s="46" t="s">
        <v>88</v>
      </c>
      <c r="D70" s="46"/>
      <c r="E70" s="46"/>
      <c r="F70" s="46"/>
      <c r="H70" s="46">
        <v>0</v>
      </c>
      <c r="I70" s="51">
        <f t="shared" ref="I70:BD70" si="55">I68*I69</f>
        <v>0</v>
      </c>
      <c r="J70" s="51">
        <f t="shared" si="55"/>
        <v>0</v>
      </c>
      <c r="K70" s="51">
        <f t="shared" si="55"/>
        <v>528769.9999999979</v>
      </c>
      <c r="L70" s="51">
        <f t="shared" si="55"/>
        <v>0</v>
      </c>
      <c r="M70" s="51">
        <f t="shared" si="55"/>
        <v>0</v>
      </c>
      <c r="N70" s="51">
        <f t="shared" si="55"/>
        <v>0</v>
      </c>
      <c r="O70" s="51">
        <f t="shared" si="55"/>
        <v>354675</v>
      </c>
      <c r="P70" s="51">
        <f t="shared" si="55"/>
        <v>240000</v>
      </c>
      <c r="Q70" s="51">
        <f t="shared" si="55"/>
        <v>240000</v>
      </c>
      <c r="R70" s="51">
        <f t="shared" si="55"/>
        <v>240000</v>
      </c>
      <c r="S70" s="51">
        <f t="shared" si="55"/>
        <v>240000</v>
      </c>
      <c r="T70" s="51">
        <f t="shared" si="55"/>
        <v>240000</v>
      </c>
      <c r="U70" s="51">
        <f t="shared" si="55"/>
        <v>240000</v>
      </c>
      <c r="V70" s="51">
        <f t="shared" si="55"/>
        <v>240000</v>
      </c>
      <c r="W70" s="51">
        <f t="shared" si="55"/>
        <v>240000</v>
      </c>
      <c r="X70" s="51">
        <f t="shared" si="55"/>
        <v>240000</v>
      </c>
      <c r="Y70" s="51">
        <f t="shared" si="55"/>
        <v>240000</v>
      </c>
      <c r="Z70" s="51">
        <f t="shared" si="55"/>
        <v>240000</v>
      </c>
      <c r="AA70" s="51">
        <f t="shared" si="55"/>
        <v>240000</v>
      </c>
      <c r="AB70" s="51">
        <f t="shared" si="55"/>
        <v>240000</v>
      </c>
      <c r="AC70" s="51">
        <f t="shared" si="55"/>
        <v>240000</v>
      </c>
      <c r="AD70" s="51">
        <f t="shared" si="55"/>
        <v>240000</v>
      </c>
      <c r="AE70" s="51">
        <f t="shared" si="55"/>
        <v>240000</v>
      </c>
      <c r="AF70" s="51">
        <f t="shared" si="55"/>
        <v>240000</v>
      </c>
      <c r="AG70" s="51">
        <f t="shared" si="55"/>
        <v>240000</v>
      </c>
      <c r="AH70" s="51">
        <f t="shared" si="55"/>
        <v>240000</v>
      </c>
      <c r="AI70" s="51">
        <f t="shared" si="55"/>
        <v>240000</v>
      </c>
      <c r="AJ70" s="51">
        <f t="shared" si="55"/>
        <v>240000</v>
      </c>
      <c r="AK70" s="51">
        <f t="shared" si="55"/>
        <v>240000</v>
      </c>
      <c r="AL70" s="51">
        <f t="shared" si="55"/>
        <v>240000</v>
      </c>
      <c r="AM70" s="51">
        <f t="shared" si="55"/>
        <v>240000</v>
      </c>
      <c r="AN70" s="51">
        <f t="shared" si="55"/>
        <v>240000</v>
      </c>
      <c r="AO70" s="51">
        <f t="shared" si="55"/>
        <v>240000</v>
      </c>
      <c r="AP70" s="51">
        <f t="shared" si="55"/>
        <v>240000</v>
      </c>
      <c r="AQ70" s="51">
        <f t="shared" si="55"/>
        <v>240000</v>
      </c>
      <c r="AR70" s="51">
        <f t="shared" si="55"/>
        <v>240000</v>
      </c>
      <c r="AS70" s="51">
        <f t="shared" si="55"/>
        <v>240000</v>
      </c>
      <c r="AT70" s="51">
        <f t="shared" si="55"/>
        <v>240000</v>
      </c>
      <c r="AU70" s="51">
        <f t="shared" si="55"/>
        <v>240000</v>
      </c>
      <c r="AV70" s="51">
        <f t="shared" si="55"/>
        <v>240000</v>
      </c>
      <c r="AW70" s="51">
        <f t="shared" si="55"/>
        <v>240000</v>
      </c>
      <c r="AX70" s="51">
        <f t="shared" si="55"/>
        <v>240000</v>
      </c>
      <c r="AY70" s="51">
        <f t="shared" si="55"/>
        <v>240000</v>
      </c>
      <c r="AZ70" s="51">
        <f t="shared" si="55"/>
        <v>240000</v>
      </c>
      <c r="BA70" s="51">
        <f t="shared" si="55"/>
        <v>240000</v>
      </c>
      <c r="BB70" s="51">
        <f t="shared" si="55"/>
        <v>240000</v>
      </c>
      <c r="BC70" s="51">
        <f t="shared" si="55"/>
        <v>240000</v>
      </c>
      <c r="BD70" s="51">
        <f t="shared" si="55"/>
        <v>240000</v>
      </c>
      <c r="BE70" s="51"/>
    </row>
    <row r="71" spans="1:57" ht="14.25" customHeight="1" x14ac:dyDescent="0.3">
      <c r="A71" s="46"/>
      <c r="B71" s="37"/>
      <c r="C71" s="46"/>
      <c r="D71" s="46"/>
      <c r="E71" s="46"/>
      <c r="F71" s="46"/>
      <c r="G71" s="46"/>
      <c r="H71" s="46">
        <v>0</v>
      </c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46"/>
      <c r="AM71" s="46"/>
      <c r="AN71" s="46"/>
      <c r="AO71" s="46"/>
      <c r="AP71" s="46"/>
      <c r="AQ71" s="46"/>
      <c r="AR71" s="46"/>
      <c r="AS71" s="46"/>
      <c r="AT71" s="46"/>
      <c r="AU71" s="46"/>
      <c r="AV71" s="46"/>
      <c r="AW71" s="46"/>
      <c r="AX71" s="46"/>
      <c r="AY71" s="46"/>
      <c r="AZ71" s="46"/>
      <c r="BA71" s="46"/>
      <c r="BB71" s="46"/>
      <c r="BC71" s="46"/>
      <c r="BD71" s="46"/>
      <c r="BE71" s="46"/>
    </row>
    <row r="72" spans="1:57" ht="14.25" customHeight="1" x14ac:dyDescent="0.3">
      <c r="A72" s="46"/>
      <c r="B72" s="37"/>
      <c r="C72" s="46" t="s">
        <v>89</v>
      </c>
      <c r="D72" s="49">
        <f>D69*-0.2</f>
        <v>-24000</v>
      </c>
      <c r="E72" s="46"/>
      <c r="F72" s="46"/>
      <c r="G72" s="46"/>
      <c r="H72" s="46"/>
      <c r="I72" s="46">
        <f t="shared" ref="I72:BD72" si="56">I68*$D72</f>
        <v>0</v>
      </c>
      <c r="J72" s="46">
        <f t="shared" si="56"/>
        <v>0</v>
      </c>
      <c r="K72" s="46">
        <f t="shared" si="56"/>
        <v>-72000</v>
      </c>
      <c r="L72" s="46">
        <f>-L70*0.2</f>
        <v>0</v>
      </c>
      <c r="M72" s="46">
        <f t="shared" ref="M72:O72" si="57">-M70*0.2</f>
        <v>0</v>
      </c>
      <c r="N72" s="46">
        <f t="shared" si="57"/>
        <v>0</v>
      </c>
      <c r="O72" s="46">
        <f t="shared" si="57"/>
        <v>-70935</v>
      </c>
      <c r="P72" s="46">
        <f t="shared" si="56"/>
        <v>-48000</v>
      </c>
      <c r="Q72" s="46">
        <f t="shared" si="56"/>
        <v>-48000</v>
      </c>
      <c r="R72" s="46">
        <f t="shared" si="56"/>
        <v>-48000</v>
      </c>
      <c r="S72" s="46">
        <f t="shared" si="56"/>
        <v>-48000</v>
      </c>
      <c r="T72" s="46">
        <f t="shared" si="56"/>
        <v>-48000</v>
      </c>
      <c r="U72" s="46">
        <f t="shared" si="56"/>
        <v>-48000</v>
      </c>
      <c r="V72" s="46">
        <f t="shared" si="56"/>
        <v>-48000</v>
      </c>
      <c r="W72" s="46">
        <f t="shared" si="56"/>
        <v>-48000</v>
      </c>
      <c r="X72" s="46">
        <f t="shared" si="56"/>
        <v>-48000</v>
      </c>
      <c r="Y72" s="46">
        <f t="shared" si="56"/>
        <v>-48000</v>
      </c>
      <c r="Z72" s="46">
        <f t="shared" si="56"/>
        <v>-48000</v>
      </c>
      <c r="AA72" s="46">
        <f t="shared" si="56"/>
        <v>-48000</v>
      </c>
      <c r="AB72" s="46">
        <f t="shared" si="56"/>
        <v>-48000</v>
      </c>
      <c r="AC72" s="46">
        <f t="shared" si="56"/>
        <v>-48000</v>
      </c>
      <c r="AD72" s="46">
        <f t="shared" si="56"/>
        <v>-48000</v>
      </c>
      <c r="AE72" s="46">
        <f t="shared" si="56"/>
        <v>-48000</v>
      </c>
      <c r="AF72" s="46">
        <f t="shared" si="56"/>
        <v>-48000</v>
      </c>
      <c r="AG72" s="46">
        <f t="shared" si="56"/>
        <v>-48000</v>
      </c>
      <c r="AH72" s="46">
        <f t="shared" si="56"/>
        <v>-48000</v>
      </c>
      <c r="AI72" s="46">
        <f t="shared" si="56"/>
        <v>-48000</v>
      </c>
      <c r="AJ72" s="46">
        <f t="shared" si="56"/>
        <v>-48000</v>
      </c>
      <c r="AK72" s="46">
        <f t="shared" si="56"/>
        <v>-48000</v>
      </c>
      <c r="AL72" s="46">
        <f t="shared" si="56"/>
        <v>-48000</v>
      </c>
      <c r="AM72" s="46">
        <f t="shared" si="56"/>
        <v>-48000</v>
      </c>
      <c r="AN72" s="46">
        <f t="shared" si="56"/>
        <v>-48000</v>
      </c>
      <c r="AO72" s="46">
        <f t="shared" si="56"/>
        <v>-48000</v>
      </c>
      <c r="AP72" s="46">
        <f t="shared" si="56"/>
        <v>-48000</v>
      </c>
      <c r="AQ72" s="46">
        <f t="shared" si="56"/>
        <v>-48000</v>
      </c>
      <c r="AR72" s="46">
        <f t="shared" si="56"/>
        <v>-48000</v>
      </c>
      <c r="AS72" s="46">
        <f t="shared" si="56"/>
        <v>-48000</v>
      </c>
      <c r="AT72" s="46">
        <f t="shared" si="56"/>
        <v>-48000</v>
      </c>
      <c r="AU72" s="46">
        <f t="shared" si="56"/>
        <v>-48000</v>
      </c>
      <c r="AV72" s="46">
        <f t="shared" si="56"/>
        <v>-48000</v>
      </c>
      <c r="AW72" s="46">
        <f t="shared" si="56"/>
        <v>-48000</v>
      </c>
      <c r="AX72" s="46">
        <f t="shared" si="56"/>
        <v>-48000</v>
      </c>
      <c r="AY72" s="46">
        <f t="shared" si="56"/>
        <v>-48000</v>
      </c>
      <c r="AZ72" s="46">
        <f t="shared" si="56"/>
        <v>-48000</v>
      </c>
      <c r="BA72" s="46">
        <f t="shared" si="56"/>
        <v>-48000</v>
      </c>
      <c r="BB72" s="46">
        <f t="shared" si="56"/>
        <v>-48000</v>
      </c>
      <c r="BC72" s="46">
        <f t="shared" si="56"/>
        <v>-48000</v>
      </c>
      <c r="BD72" s="46">
        <f t="shared" si="56"/>
        <v>-48000</v>
      </c>
      <c r="BE72" s="46"/>
    </row>
    <row r="73" spans="1:57" ht="14.25" customHeight="1" x14ac:dyDescent="0.3">
      <c r="A73" s="46"/>
      <c r="B73" s="37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  <c r="AQ73" s="46"/>
      <c r="AR73" s="46"/>
      <c r="AS73" s="46"/>
      <c r="AT73" s="46"/>
      <c r="AU73" s="46"/>
      <c r="AV73" s="46"/>
      <c r="AW73" s="46"/>
      <c r="AX73" s="46"/>
      <c r="AY73" s="46"/>
      <c r="AZ73" s="46"/>
      <c r="BA73" s="46"/>
      <c r="BB73" s="46"/>
      <c r="BC73" s="46"/>
      <c r="BD73" s="46"/>
      <c r="BE73" s="46"/>
    </row>
    <row r="74" spans="1:57" ht="14.25" customHeight="1" x14ac:dyDescent="0.3">
      <c r="A74" s="46"/>
      <c r="B74" s="37"/>
      <c r="C74" s="37" t="s">
        <v>90</v>
      </c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  <c r="AK74" s="46"/>
      <c r="AL74" s="46"/>
      <c r="AM74" s="46"/>
      <c r="AN74" s="46"/>
      <c r="AO74" s="46"/>
      <c r="AP74" s="46"/>
      <c r="AQ74" s="46"/>
      <c r="AR74" s="46"/>
      <c r="AS74" s="46"/>
      <c r="AT74" s="46"/>
      <c r="AU74" s="46"/>
      <c r="AV74" s="46"/>
      <c r="AW74" s="46"/>
      <c r="AX74" s="46"/>
      <c r="AY74" s="46"/>
      <c r="AZ74" s="46"/>
      <c r="BA74" s="46"/>
      <c r="BB74" s="46"/>
      <c r="BC74" s="46"/>
      <c r="BD74" s="46"/>
      <c r="BE74" s="46"/>
    </row>
    <row r="75" spans="1:57" ht="14.25" customHeight="1" x14ac:dyDescent="0.3">
      <c r="A75" s="46"/>
      <c r="B75" s="37"/>
      <c r="C75" s="46" t="s">
        <v>91</v>
      </c>
      <c r="D75" s="47">
        <f>I4</f>
        <v>45688</v>
      </c>
      <c r="E75" s="46"/>
      <c r="F75" s="46"/>
      <c r="G75" s="46"/>
      <c r="H75" s="46"/>
      <c r="I75" s="46">
        <f t="shared" ref="I75:BD75" si="58">IF(I4&gt;=$D$75,1,0)</f>
        <v>1</v>
      </c>
      <c r="J75" s="46">
        <f t="shared" si="58"/>
        <v>1</v>
      </c>
      <c r="K75" s="46">
        <f t="shared" si="58"/>
        <v>1</v>
      </c>
      <c r="L75" s="46">
        <f t="shared" si="58"/>
        <v>1</v>
      </c>
      <c r="M75" s="46">
        <f t="shared" si="58"/>
        <v>1</v>
      </c>
      <c r="N75" s="46">
        <f t="shared" si="58"/>
        <v>1</v>
      </c>
      <c r="O75" s="46">
        <f t="shared" si="58"/>
        <v>1</v>
      </c>
      <c r="P75" s="46">
        <f t="shared" si="58"/>
        <v>1</v>
      </c>
      <c r="Q75" s="46">
        <f t="shared" si="58"/>
        <v>1</v>
      </c>
      <c r="R75" s="46">
        <f t="shared" si="58"/>
        <v>1</v>
      </c>
      <c r="S75" s="46">
        <f t="shared" si="58"/>
        <v>1</v>
      </c>
      <c r="T75" s="46">
        <f t="shared" si="58"/>
        <v>1</v>
      </c>
      <c r="U75" s="46">
        <f t="shared" si="58"/>
        <v>1</v>
      </c>
      <c r="V75" s="46">
        <f t="shared" si="58"/>
        <v>1</v>
      </c>
      <c r="W75" s="46">
        <f t="shared" si="58"/>
        <v>1</v>
      </c>
      <c r="X75" s="46">
        <f t="shared" si="58"/>
        <v>1</v>
      </c>
      <c r="Y75" s="46">
        <f t="shared" si="58"/>
        <v>1</v>
      </c>
      <c r="Z75" s="46">
        <f t="shared" si="58"/>
        <v>1</v>
      </c>
      <c r="AA75" s="46">
        <f t="shared" si="58"/>
        <v>1</v>
      </c>
      <c r="AB75" s="46">
        <f t="shared" si="58"/>
        <v>1</v>
      </c>
      <c r="AC75" s="46">
        <f t="shared" si="58"/>
        <v>1</v>
      </c>
      <c r="AD75" s="46">
        <f t="shared" si="58"/>
        <v>1</v>
      </c>
      <c r="AE75" s="46">
        <f t="shared" si="58"/>
        <v>1</v>
      </c>
      <c r="AF75" s="46">
        <f t="shared" si="58"/>
        <v>1</v>
      </c>
      <c r="AG75" s="46">
        <f t="shared" si="58"/>
        <v>1</v>
      </c>
      <c r="AH75" s="46">
        <f t="shared" si="58"/>
        <v>1</v>
      </c>
      <c r="AI75" s="46">
        <f t="shared" si="58"/>
        <v>1</v>
      </c>
      <c r="AJ75" s="46">
        <f t="shared" si="58"/>
        <v>1</v>
      </c>
      <c r="AK75" s="46">
        <f t="shared" si="58"/>
        <v>1</v>
      </c>
      <c r="AL75" s="46">
        <f t="shared" si="58"/>
        <v>1</v>
      </c>
      <c r="AM75" s="46">
        <f t="shared" si="58"/>
        <v>1</v>
      </c>
      <c r="AN75" s="46">
        <f t="shared" si="58"/>
        <v>1</v>
      </c>
      <c r="AO75" s="46">
        <f t="shared" si="58"/>
        <v>1</v>
      </c>
      <c r="AP75" s="46">
        <f t="shared" si="58"/>
        <v>1</v>
      </c>
      <c r="AQ75" s="46">
        <f t="shared" si="58"/>
        <v>1</v>
      </c>
      <c r="AR75" s="46">
        <f t="shared" si="58"/>
        <v>1</v>
      </c>
      <c r="AS75" s="46">
        <f t="shared" si="58"/>
        <v>1</v>
      </c>
      <c r="AT75" s="46">
        <f t="shared" si="58"/>
        <v>1</v>
      </c>
      <c r="AU75" s="46">
        <f t="shared" si="58"/>
        <v>1</v>
      </c>
      <c r="AV75" s="46">
        <f t="shared" si="58"/>
        <v>1</v>
      </c>
      <c r="AW75" s="46">
        <f t="shared" si="58"/>
        <v>1</v>
      </c>
      <c r="AX75" s="46">
        <f t="shared" si="58"/>
        <v>1</v>
      </c>
      <c r="AY75" s="46">
        <f t="shared" si="58"/>
        <v>1</v>
      </c>
      <c r="AZ75" s="46">
        <f t="shared" si="58"/>
        <v>1</v>
      </c>
      <c r="BA75" s="46">
        <f t="shared" si="58"/>
        <v>1</v>
      </c>
      <c r="BB75" s="46">
        <f t="shared" si="58"/>
        <v>1</v>
      </c>
      <c r="BC75" s="46">
        <f t="shared" si="58"/>
        <v>1</v>
      </c>
      <c r="BD75" s="46">
        <f t="shared" si="58"/>
        <v>1</v>
      </c>
      <c r="BE75" s="46"/>
    </row>
    <row r="76" spans="1:57" ht="14.25" customHeight="1" x14ac:dyDescent="0.3">
      <c r="A76" s="46"/>
      <c r="B76" s="37"/>
      <c r="C76" s="37"/>
      <c r="D76" s="46" t="s">
        <v>49</v>
      </c>
      <c r="E76" s="46" t="s">
        <v>50</v>
      </c>
      <c r="F76" s="46" t="s">
        <v>51</v>
      </c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  <c r="AQ76" s="46"/>
      <c r="AR76" s="46"/>
      <c r="AS76" s="46"/>
      <c r="AT76" s="46"/>
      <c r="AU76" s="46"/>
      <c r="AV76" s="46"/>
      <c r="AW76" s="46"/>
      <c r="AX76" s="46"/>
      <c r="AY76" s="46"/>
      <c r="AZ76" s="46"/>
      <c r="BA76" s="46"/>
      <c r="BB76" s="46"/>
      <c r="BC76" s="46"/>
      <c r="BD76" s="46"/>
      <c r="BE76" s="46"/>
    </row>
    <row r="77" spans="1:57" ht="14.25" customHeight="1" x14ac:dyDescent="0.3">
      <c r="A77" s="46"/>
      <c r="B77" s="37"/>
      <c r="C77" s="46" t="s">
        <v>92</v>
      </c>
      <c r="D77" s="49">
        <v>5</v>
      </c>
      <c r="E77" s="49">
        <v>32</v>
      </c>
      <c r="F77" s="50">
        <v>0.01</v>
      </c>
      <c r="G77" s="46"/>
      <c r="H77" s="46"/>
      <c r="I77" s="46">
        <v>4</v>
      </c>
      <c r="J77" s="46">
        <v>4</v>
      </c>
      <c r="K77" s="46">
        <v>8</v>
      </c>
      <c r="L77" s="46">
        <v>5</v>
      </c>
      <c r="M77" s="46">
        <v>9</v>
      </c>
      <c r="N77" s="46">
        <v>8</v>
      </c>
      <c r="O77" s="46">
        <v>8</v>
      </c>
      <c r="P77" s="46">
        <f t="shared" ref="P77:AE78" si="59">MIN(MAX($D77,O77)*(1+$F77)*P$75,$E77)</f>
        <v>8.08</v>
      </c>
      <c r="Q77" s="46">
        <f t="shared" si="59"/>
        <v>8.1608000000000001</v>
      </c>
      <c r="R77" s="46">
        <f t="shared" si="59"/>
        <v>8.2424079999999993</v>
      </c>
      <c r="S77" s="46">
        <f t="shared" si="59"/>
        <v>8.3248320800000002</v>
      </c>
      <c r="T77" s="46">
        <f t="shared" si="59"/>
        <v>8.4080804007999994</v>
      </c>
      <c r="U77" s="46">
        <f t="shared" si="59"/>
        <v>8.4921612048079993</v>
      </c>
      <c r="V77" s="46">
        <f t="shared" si="59"/>
        <v>8.5770828168560787</v>
      </c>
      <c r="W77" s="46">
        <f t="shared" si="59"/>
        <v>8.6628536450246401</v>
      </c>
      <c r="X77" s="46">
        <f t="shared" si="59"/>
        <v>8.7494821814748871</v>
      </c>
      <c r="Y77" s="46">
        <f t="shared" si="59"/>
        <v>8.8369770032896362</v>
      </c>
      <c r="Z77" s="46">
        <f t="shared" si="59"/>
        <v>8.9253467733225325</v>
      </c>
      <c r="AA77" s="46">
        <f t="shared" si="59"/>
        <v>9.0146002410557582</v>
      </c>
      <c r="AB77" s="46">
        <f t="shared" si="59"/>
        <v>9.104746243466316</v>
      </c>
      <c r="AC77" s="46">
        <f t="shared" si="59"/>
        <v>9.1957937059009787</v>
      </c>
      <c r="AD77" s="46">
        <f t="shared" si="59"/>
        <v>9.2877516429599893</v>
      </c>
      <c r="AE77" s="46">
        <f t="shared" si="59"/>
        <v>9.3806291593895885</v>
      </c>
      <c r="AF77" s="46">
        <f t="shared" ref="AF77:AU78" si="60">MIN(MAX($D77,AE77)*(1+$F77)*AF$75,$E77)</f>
        <v>9.4744354509834849</v>
      </c>
      <c r="AG77" s="46">
        <f t="shared" si="60"/>
        <v>9.5691798054933201</v>
      </c>
      <c r="AH77" s="46">
        <f t="shared" si="60"/>
        <v>9.6648716035482529</v>
      </c>
      <c r="AI77" s="46">
        <f t="shared" si="60"/>
        <v>9.7615203195837363</v>
      </c>
      <c r="AJ77" s="46">
        <f t="shared" si="60"/>
        <v>9.8591355227795745</v>
      </c>
      <c r="AK77" s="46">
        <f t="shared" si="60"/>
        <v>9.9577268780073709</v>
      </c>
      <c r="AL77" s="46">
        <f t="shared" si="60"/>
        <v>10.057304146787445</v>
      </c>
      <c r="AM77" s="46">
        <f t="shared" si="60"/>
        <v>10.15787718825532</v>
      </c>
      <c r="AN77" s="46">
        <f t="shared" si="60"/>
        <v>10.259455960137872</v>
      </c>
      <c r="AO77" s="46">
        <f t="shared" si="60"/>
        <v>10.362050519739251</v>
      </c>
      <c r="AP77" s="46">
        <f t="shared" si="60"/>
        <v>10.465671024936643</v>
      </c>
      <c r="AQ77" s="46">
        <f t="shared" si="60"/>
        <v>10.570327735186011</v>
      </c>
      <c r="AR77" s="46">
        <f t="shared" si="60"/>
        <v>10.676031012537871</v>
      </c>
      <c r="AS77" s="46">
        <f t="shared" si="60"/>
        <v>10.78279132266325</v>
      </c>
      <c r="AT77" s="46">
        <f t="shared" si="60"/>
        <v>10.890619235889883</v>
      </c>
      <c r="AU77" s="46">
        <f t="shared" si="60"/>
        <v>10.999525428248782</v>
      </c>
      <c r="AV77" s="46">
        <f t="shared" ref="AP77:BD78" si="61">MIN(MAX($D77,AU77)*(1+$F77)*AV$75,$E77)</f>
        <v>11.10952068253127</v>
      </c>
      <c r="AW77" s="46">
        <f t="shared" si="61"/>
        <v>11.220615889356583</v>
      </c>
      <c r="AX77" s="46">
        <f t="shared" si="61"/>
        <v>11.332822048250149</v>
      </c>
      <c r="AY77" s="46">
        <f t="shared" si="61"/>
        <v>11.44615026873265</v>
      </c>
      <c r="AZ77" s="46">
        <f t="shared" si="61"/>
        <v>11.560611771419977</v>
      </c>
      <c r="BA77" s="46">
        <f t="shared" si="61"/>
        <v>11.676217889134177</v>
      </c>
      <c r="BB77" s="46">
        <f t="shared" si="61"/>
        <v>11.792980068025519</v>
      </c>
      <c r="BC77" s="46">
        <f t="shared" si="61"/>
        <v>11.910909868705774</v>
      </c>
      <c r="BD77" s="46">
        <f t="shared" si="61"/>
        <v>12.030018967392833</v>
      </c>
      <c r="BE77" s="46"/>
    </row>
    <row r="78" spans="1:57" ht="14.25" customHeight="1" x14ac:dyDescent="0.3">
      <c r="A78" s="46"/>
      <c r="B78" s="37"/>
      <c r="C78" s="46" t="s">
        <v>93</v>
      </c>
      <c r="D78" s="49">
        <f>SUM(I78:O78)/7</f>
        <v>65023.142857142855</v>
      </c>
      <c r="E78" s="49">
        <v>110000</v>
      </c>
      <c r="F78" s="50">
        <v>0.01</v>
      </c>
      <c r="G78" s="46"/>
      <c r="H78" s="46"/>
      <c r="I78" s="46">
        <v>77602</v>
      </c>
      <c r="J78" s="46">
        <v>87203</v>
      </c>
      <c r="K78" s="46">
        <v>61000</v>
      </c>
      <c r="L78" s="46">
        <v>73270</v>
      </c>
      <c r="M78" s="46">
        <v>65168</v>
      </c>
      <c r="N78" s="46">
        <v>60565</v>
      </c>
      <c r="O78" s="46">
        <v>30354</v>
      </c>
      <c r="P78" s="46">
        <f t="shared" si="59"/>
        <v>65673.374285714279</v>
      </c>
      <c r="Q78" s="46">
        <f t="shared" si="59"/>
        <v>66330.108028571427</v>
      </c>
      <c r="R78" s="46">
        <f t="shared" si="59"/>
        <v>66993.409108857144</v>
      </c>
      <c r="S78" s="46">
        <f t="shared" si="59"/>
        <v>67663.34319994571</v>
      </c>
      <c r="T78" s="46">
        <f t="shared" si="59"/>
        <v>68339.976631945174</v>
      </c>
      <c r="U78" s="46">
        <f t="shared" si="59"/>
        <v>69023.37639826462</v>
      </c>
      <c r="V78" s="46">
        <f t="shared" si="59"/>
        <v>69713.610162247263</v>
      </c>
      <c r="W78" s="46">
        <f t="shared" si="59"/>
        <v>70410.746263869733</v>
      </c>
      <c r="X78" s="46">
        <f t="shared" si="59"/>
        <v>71114.853726508431</v>
      </c>
      <c r="Y78" s="46">
        <f t="shared" si="59"/>
        <v>71826.002263773509</v>
      </c>
      <c r="Z78" s="46">
        <f t="shared" si="59"/>
        <v>72544.262286411249</v>
      </c>
      <c r="AA78" s="46">
        <f t="shared" si="59"/>
        <v>73269.704909275359</v>
      </c>
      <c r="AB78" s="46">
        <f t="shared" si="59"/>
        <v>74002.401958368107</v>
      </c>
      <c r="AC78" s="46">
        <f t="shared" si="59"/>
        <v>74742.425977951789</v>
      </c>
      <c r="AD78" s="46">
        <f t="shared" si="59"/>
        <v>75489.850237731313</v>
      </c>
      <c r="AE78" s="46">
        <f t="shared" si="59"/>
        <v>76244.748740108625</v>
      </c>
      <c r="AF78" s="46">
        <f t="shared" si="60"/>
        <v>77007.196227509718</v>
      </c>
      <c r="AG78" s="46">
        <f t="shared" si="60"/>
        <v>77777.268189784809</v>
      </c>
      <c r="AH78" s="46">
        <f t="shared" si="60"/>
        <v>78555.040871682664</v>
      </c>
      <c r="AI78" s="46">
        <f t="shared" si="60"/>
        <v>79340.591280399487</v>
      </c>
      <c r="AJ78" s="46">
        <f t="shared" si="60"/>
        <v>80133.997193203482</v>
      </c>
      <c r="AK78" s="46">
        <f t="shared" si="60"/>
        <v>80935.337165135512</v>
      </c>
      <c r="AL78" s="46">
        <f t="shared" si="60"/>
        <v>81744.690536786875</v>
      </c>
      <c r="AM78" s="46">
        <f t="shared" si="60"/>
        <v>82562.137442154752</v>
      </c>
      <c r="AN78" s="46">
        <f t="shared" si="60"/>
        <v>83387.758816576301</v>
      </c>
      <c r="AO78" s="46">
        <f t="shared" si="60"/>
        <v>84221.636404742065</v>
      </c>
      <c r="AP78" s="46">
        <f t="shared" si="61"/>
        <v>85063.852768789482</v>
      </c>
      <c r="AQ78" s="46">
        <f t="shared" si="61"/>
        <v>85914.491296477383</v>
      </c>
      <c r="AR78" s="46">
        <f t="shared" si="61"/>
        <v>86773.636209442164</v>
      </c>
      <c r="AS78" s="46">
        <f t="shared" si="61"/>
        <v>87641.372571536587</v>
      </c>
      <c r="AT78" s="46">
        <f t="shared" si="61"/>
        <v>88517.786297251951</v>
      </c>
      <c r="AU78" s="46">
        <f t="shared" si="61"/>
        <v>89402.964160224466</v>
      </c>
      <c r="AV78" s="46">
        <f t="shared" si="61"/>
        <v>90296.993801826713</v>
      </c>
      <c r="AW78" s="46">
        <f t="shared" si="61"/>
        <v>91199.963739844985</v>
      </c>
      <c r="AX78" s="46">
        <f t="shared" si="61"/>
        <v>92111.963377243432</v>
      </c>
      <c r="AY78" s="46">
        <f t="shared" si="61"/>
        <v>93033.083011015871</v>
      </c>
      <c r="AZ78" s="46">
        <f t="shared" si="61"/>
        <v>93963.413841126036</v>
      </c>
      <c r="BA78" s="46">
        <f t="shared" si="61"/>
        <v>94903.047979537296</v>
      </c>
      <c r="BB78" s="46">
        <f t="shared" si="61"/>
        <v>95852.078459332668</v>
      </c>
      <c r="BC78" s="46">
        <f t="shared" si="61"/>
        <v>96810.599243926001</v>
      </c>
      <c r="BD78" s="46">
        <f t="shared" si="61"/>
        <v>97778.705236365262</v>
      </c>
      <c r="BE78" s="46"/>
    </row>
    <row r="79" spans="1:57" ht="14.25" customHeight="1" x14ac:dyDescent="0.3">
      <c r="A79" s="46"/>
      <c r="B79" s="37"/>
      <c r="C79" s="46" t="s">
        <v>94</v>
      </c>
      <c r="D79" s="46"/>
      <c r="E79" s="46"/>
      <c r="F79" s="46"/>
      <c r="G79" s="46"/>
      <c r="H79" s="46"/>
      <c r="I79" s="51">
        <f t="shared" ref="I79:BD79" si="62">I77*I78</f>
        <v>310408</v>
      </c>
      <c r="J79" s="51">
        <f t="shared" si="62"/>
        <v>348812</v>
      </c>
      <c r="K79" s="51">
        <f t="shared" si="62"/>
        <v>488000</v>
      </c>
      <c r="L79" s="51">
        <f t="shared" si="62"/>
        <v>366350</v>
      </c>
      <c r="M79" s="51">
        <f t="shared" si="62"/>
        <v>586512</v>
      </c>
      <c r="N79" s="51">
        <f t="shared" si="62"/>
        <v>484520</v>
      </c>
      <c r="O79" s="51">
        <f t="shared" si="62"/>
        <v>242832</v>
      </c>
      <c r="P79" s="51">
        <f t="shared" si="62"/>
        <v>530640.86422857142</v>
      </c>
      <c r="Q79" s="51">
        <f t="shared" si="62"/>
        <v>541306.74559956568</v>
      </c>
      <c r="R79" s="51">
        <f t="shared" si="62"/>
        <v>552187.01118611696</v>
      </c>
      <c r="S79" s="51">
        <f t="shared" si="62"/>
        <v>563285.97011095786</v>
      </c>
      <c r="T79" s="51">
        <f t="shared" si="62"/>
        <v>574608.01811018819</v>
      </c>
      <c r="U79" s="51">
        <f t="shared" si="62"/>
        <v>586157.63927420287</v>
      </c>
      <c r="V79" s="51">
        <f t="shared" si="62"/>
        <v>597939.40782361431</v>
      </c>
      <c r="W79" s="51">
        <f t="shared" si="62"/>
        <v>609957.989920869</v>
      </c>
      <c r="X79" s="51">
        <f t="shared" si="62"/>
        <v>622218.14551827847</v>
      </c>
      <c r="Y79" s="51">
        <f t="shared" si="62"/>
        <v>634724.7302431959</v>
      </c>
      <c r="Z79" s="51">
        <f t="shared" si="62"/>
        <v>647482.6973210841</v>
      </c>
      <c r="AA79" s="51">
        <f t="shared" si="62"/>
        <v>660497.0995372379</v>
      </c>
      <c r="AB79" s="51">
        <f t="shared" si="62"/>
        <v>673773.0912379364</v>
      </c>
      <c r="AC79" s="51">
        <f t="shared" si="62"/>
        <v>687315.93037181883</v>
      </c>
      <c r="AD79" s="51">
        <f t="shared" si="62"/>
        <v>701130.98057229258</v>
      </c>
      <c r="AE79" s="51">
        <f t="shared" si="62"/>
        <v>715223.71328179562</v>
      </c>
      <c r="AF79" s="51">
        <f t="shared" si="62"/>
        <v>729599.70991875976</v>
      </c>
      <c r="AG79" s="51">
        <f t="shared" si="62"/>
        <v>744264.66408812674</v>
      </c>
      <c r="AH79" s="51">
        <f t="shared" si="62"/>
        <v>759224.38383629813</v>
      </c>
      <c r="AI79" s="51">
        <f t="shared" si="62"/>
        <v>774484.79395140777</v>
      </c>
      <c r="AJ79" s="51">
        <f t="shared" si="62"/>
        <v>790051.9383098312</v>
      </c>
      <c r="AK79" s="51">
        <f t="shared" si="62"/>
        <v>805931.98226985883</v>
      </c>
      <c r="AL79" s="51">
        <f t="shared" si="62"/>
        <v>822131.21511348302</v>
      </c>
      <c r="AM79" s="51">
        <f t="shared" si="62"/>
        <v>838656.05253726419</v>
      </c>
      <c r="AN79" s="51">
        <f t="shared" si="62"/>
        <v>855513.03919326316</v>
      </c>
      <c r="AO79" s="51">
        <f t="shared" si="62"/>
        <v>872708.85128104768</v>
      </c>
      <c r="AP79" s="51">
        <f t="shared" si="62"/>
        <v>890250.2991917968</v>
      </c>
      <c r="AQ79" s="51">
        <f t="shared" si="62"/>
        <v>908144.33020555205</v>
      </c>
      <c r="AR79" s="51">
        <f t="shared" si="62"/>
        <v>926398.03124268376</v>
      </c>
      <c r="AS79" s="51">
        <f t="shared" si="62"/>
        <v>945018.63167066174</v>
      </c>
      <c r="AT79" s="51">
        <f t="shared" si="62"/>
        <v>964013.50616724195</v>
      </c>
      <c r="AU79" s="51">
        <f t="shared" si="62"/>
        <v>983390.17764120363</v>
      </c>
      <c r="AV79" s="51">
        <f t="shared" si="62"/>
        <v>1003156.3202117918</v>
      </c>
      <c r="AW79" s="51">
        <f t="shared" si="62"/>
        <v>1023319.7622480489</v>
      </c>
      <c r="AX79" s="51">
        <f t="shared" si="62"/>
        <v>1043888.4894692346</v>
      </c>
      <c r="AY79" s="51">
        <f t="shared" si="62"/>
        <v>1064870.6481075662</v>
      </c>
      <c r="AZ79" s="51">
        <f t="shared" si="62"/>
        <v>1086274.5481345283</v>
      </c>
      <c r="BA79" s="51">
        <f t="shared" si="62"/>
        <v>1108108.6665520326</v>
      </c>
      <c r="BB79" s="51">
        <f t="shared" si="62"/>
        <v>1130381.6507497283</v>
      </c>
      <c r="BC79" s="51">
        <f t="shared" si="62"/>
        <v>1153102.321929798</v>
      </c>
      <c r="BD79" s="51">
        <f t="shared" si="62"/>
        <v>1176279.678600587</v>
      </c>
      <c r="BE79" s="51"/>
    </row>
    <row r="80" spans="1:57" ht="14.25" customHeight="1" x14ac:dyDescent="0.3">
      <c r="A80" s="46"/>
      <c r="B80" s="37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  <c r="AQ80" s="46"/>
      <c r="AR80" s="46"/>
      <c r="AS80" s="46"/>
      <c r="AT80" s="46"/>
      <c r="AU80" s="46"/>
      <c r="AV80" s="46"/>
      <c r="AW80" s="46"/>
      <c r="AX80" s="46"/>
      <c r="AY80" s="46"/>
      <c r="AZ80" s="46"/>
      <c r="BA80" s="46"/>
      <c r="BB80" s="46"/>
      <c r="BC80" s="46"/>
      <c r="BD80" s="46"/>
      <c r="BE80" s="46"/>
    </row>
    <row r="81" spans="1:57" ht="14.25" customHeight="1" x14ac:dyDescent="0.3">
      <c r="A81" s="46"/>
      <c r="B81" s="37"/>
      <c r="C81" s="46" t="s">
        <v>224</v>
      </c>
      <c r="D81" s="49">
        <f>-(D78)*0.87</f>
        <v>-56570.134285714281</v>
      </c>
      <c r="E81" s="46"/>
      <c r="F81" s="46"/>
      <c r="G81" s="46"/>
      <c r="H81" s="46"/>
      <c r="I81" s="46">
        <f>-I$79*0.87</f>
        <v>-270054.96000000002</v>
      </c>
      <c r="J81" s="46">
        <f t="shared" ref="J81:O81" si="63">-J$79*0.87</f>
        <v>-303466.44</v>
      </c>
      <c r="K81" s="46">
        <f t="shared" si="63"/>
        <v>-424560</v>
      </c>
      <c r="L81" s="46">
        <f t="shared" si="63"/>
        <v>-318724.5</v>
      </c>
      <c r="M81" s="46">
        <f t="shared" si="63"/>
        <v>-510265.44</v>
      </c>
      <c r="N81" s="46">
        <f t="shared" si="63"/>
        <v>-421532.4</v>
      </c>
      <c r="O81" s="46">
        <f t="shared" si="63"/>
        <v>-211263.84</v>
      </c>
      <c r="P81" s="46">
        <f t="shared" ref="P81:BD81" si="64">P77*$D81</f>
        <v>-457086.6850285714</v>
      </c>
      <c r="Q81" s="46">
        <f t="shared" si="64"/>
        <v>-461657.55187885708</v>
      </c>
      <c r="R81" s="46">
        <f t="shared" si="64"/>
        <v>-466274.12739764561</v>
      </c>
      <c r="S81" s="46">
        <f t="shared" si="64"/>
        <v>-470936.86867162213</v>
      </c>
      <c r="T81" s="46">
        <f t="shared" si="64"/>
        <v>-475646.23735833832</v>
      </c>
      <c r="U81" s="46">
        <f t="shared" si="64"/>
        <v>-480402.69973192172</v>
      </c>
      <c r="V81" s="46">
        <f t="shared" si="64"/>
        <v>-485206.72672924085</v>
      </c>
      <c r="W81" s="46">
        <f t="shared" si="64"/>
        <v>-490058.79399653332</v>
      </c>
      <c r="X81" s="46">
        <f t="shared" si="64"/>
        <v>-494959.38193649868</v>
      </c>
      <c r="Y81" s="46">
        <f t="shared" si="64"/>
        <v>-499908.97575586371</v>
      </c>
      <c r="Z81" s="46">
        <f t="shared" si="64"/>
        <v>-504908.06551342231</v>
      </c>
      <c r="AA81" s="46">
        <f t="shared" si="64"/>
        <v>-509957.14616855659</v>
      </c>
      <c r="AB81" s="46">
        <f t="shared" si="64"/>
        <v>-515056.71763024217</v>
      </c>
      <c r="AC81" s="46">
        <f t="shared" si="64"/>
        <v>-520207.28480654454</v>
      </c>
      <c r="AD81" s="46">
        <f t="shared" si="64"/>
        <v>-525409.35765461007</v>
      </c>
      <c r="AE81" s="46">
        <f t="shared" si="64"/>
        <v>-530663.45123115613</v>
      </c>
      <c r="AF81" s="46">
        <f t="shared" si="64"/>
        <v>-535970.08574346767</v>
      </c>
      <c r="AG81" s="46">
        <f t="shared" si="64"/>
        <v>-541329.78660090233</v>
      </c>
      <c r="AH81" s="46">
        <f t="shared" si="64"/>
        <v>-546743.08446691139</v>
      </c>
      <c r="AI81" s="46">
        <f t="shared" si="64"/>
        <v>-552210.5153115805</v>
      </c>
      <c r="AJ81" s="46">
        <f t="shared" si="64"/>
        <v>-557732.62046469643</v>
      </c>
      <c r="AK81" s="46">
        <f t="shared" si="64"/>
        <v>-563309.94666934339</v>
      </c>
      <c r="AL81" s="46">
        <f t="shared" si="64"/>
        <v>-568943.04613603686</v>
      </c>
      <c r="AM81" s="46">
        <f t="shared" si="64"/>
        <v>-574632.47659739724</v>
      </c>
      <c r="AN81" s="46">
        <f t="shared" si="64"/>
        <v>-580378.8013633712</v>
      </c>
      <c r="AO81" s="46">
        <f t="shared" si="64"/>
        <v>-586182.58937700489</v>
      </c>
      <c r="AP81" s="46">
        <f t="shared" si="64"/>
        <v>-592044.41527077497</v>
      </c>
      <c r="AQ81" s="46">
        <f t="shared" si="64"/>
        <v>-597964.85942348267</v>
      </c>
      <c r="AR81" s="46">
        <f t="shared" si="64"/>
        <v>-603944.50801771763</v>
      </c>
      <c r="AS81" s="46">
        <f t="shared" si="64"/>
        <v>-609983.95309789479</v>
      </c>
      <c r="AT81" s="46">
        <f t="shared" si="64"/>
        <v>-616083.79262887372</v>
      </c>
      <c r="AU81" s="46">
        <f t="shared" si="64"/>
        <v>-622244.63055516256</v>
      </c>
      <c r="AV81" s="46">
        <f t="shared" si="64"/>
        <v>-628467.07686071412</v>
      </c>
      <c r="AW81" s="46">
        <f t="shared" si="64"/>
        <v>-634751.7476293213</v>
      </c>
      <c r="AX81" s="46">
        <f t="shared" si="64"/>
        <v>-641099.26510561444</v>
      </c>
      <c r="AY81" s="46">
        <f t="shared" si="64"/>
        <v>-647510.25775667059</v>
      </c>
      <c r="AZ81" s="46">
        <f t="shared" si="64"/>
        <v>-653985.36033423734</v>
      </c>
      <c r="BA81" s="46">
        <f t="shared" si="64"/>
        <v>-660525.21393757977</v>
      </c>
      <c r="BB81" s="46">
        <f t="shared" si="64"/>
        <v>-667130.46607695555</v>
      </c>
      <c r="BC81" s="46">
        <f t="shared" si="64"/>
        <v>-673801.77073772508</v>
      </c>
      <c r="BD81" s="46">
        <f t="shared" si="64"/>
        <v>-680539.7884451024</v>
      </c>
      <c r="BE81" s="46"/>
    </row>
    <row r="82" spans="1:57" ht="14.25" customHeight="1" x14ac:dyDescent="0.3">
      <c r="A82" s="46"/>
      <c r="B82" s="37"/>
      <c r="C82" s="46"/>
      <c r="D82" s="5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  <c r="AK82" s="46"/>
      <c r="AL82" s="46"/>
      <c r="AM82" s="46"/>
      <c r="AN82" s="46"/>
      <c r="AO82" s="46"/>
      <c r="AP82" s="46"/>
      <c r="AQ82" s="46"/>
      <c r="AR82" s="46"/>
      <c r="AS82" s="46"/>
      <c r="AT82" s="46"/>
      <c r="AU82" s="46"/>
      <c r="AV82" s="46"/>
      <c r="AW82" s="46"/>
      <c r="AX82" s="46"/>
      <c r="AY82" s="46"/>
      <c r="AZ82" s="46"/>
      <c r="BA82" s="46"/>
      <c r="BB82" s="46"/>
      <c r="BC82" s="46"/>
      <c r="BD82" s="46"/>
      <c r="BE82" s="46"/>
    </row>
    <row r="83" spans="1:57" ht="14.25" customHeight="1" x14ac:dyDescent="0.3">
      <c r="A83" s="46"/>
      <c r="B83" s="37"/>
      <c r="C83" s="37" t="s">
        <v>225</v>
      </c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  <c r="AK83" s="46"/>
      <c r="AL83" s="46"/>
      <c r="AM83" s="46"/>
      <c r="AN83" s="46"/>
      <c r="AO83" s="46"/>
      <c r="AP83" s="46"/>
      <c r="AQ83" s="46"/>
      <c r="AR83" s="46"/>
      <c r="AS83" s="46"/>
      <c r="AT83" s="46"/>
      <c r="AU83" s="46"/>
      <c r="AV83" s="46"/>
      <c r="AW83" s="46"/>
      <c r="AX83" s="46"/>
      <c r="AY83" s="46"/>
      <c r="AZ83" s="46"/>
      <c r="BA83" s="46"/>
      <c r="BB83" s="46"/>
      <c r="BC83" s="46"/>
      <c r="BD83" s="46"/>
      <c r="BE83" s="46"/>
    </row>
    <row r="84" spans="1:57" ht="14.25" customHeight="1" x14ac:dyDescent="0.3">
      <c r="A84" s="46"/>
      <c r="B84" s="37"/>
      <c r="C84" s="46" t="s">
        <v>226</v>
      </c>
      <c r="D84" s="47">
        <f>I4</f>
        <v>45688</v>
      </c>
      <c r="E84" s="46"/>
      <c r="F84" s="46"/>
      <c r="G84" s="46"/>
      <c r="H84" s="46"/>
      <c r="I84" s="46">
        <f t="shared" ref="I84:BD84" si="65">IF(I12&gt;=$D$75,1,0)</f>
        <v>0</v>
      </c>
      <c r="J84" s="46">
        <f t="shared" si="65"/>
        <v>0</v>
      </c>
      <c r="K84" s="46">
        <f t="shared" si="65"/>
        <v>0</v>
      </c>
      <c r="L84" s="46">
        <f t="shared" si="65"/>
        <v>0</v>
      </c>
      <c r="M84" s="46">
        <f t="shared" si="65"/>
        <v>0</v>
      </c>
      <c r="N84" s="46">
        <f t="shared" si="65"/>
        <v>0</v>
      </c>
      <c r="O84" s="46">
        <f t="shared" si="65"/>
        <v>0</v>
      </c>
      <c r="P84" s="46">
        <f t="shared" si="65"/>
        <v>0</v>
      </c>
      <c r="Q84" s="46">
        <f t="shared" si="65"/>
        <v>0</v>
      </c>
      <c r="R84" s="46">
        <f t="shared" si="65"/>
        <v>0</v>
      </c>
      <c r="S84" s="46">
        <f t="shared" si="65"/>
        <v>0</v>
      </c>
      <c r="T84" s="46">
        <f t="shared" si="65"/>
        <v>0</v>
      </c>
      <c r="U84" s="46">
        <f t="shared" si="65"/>
        <v>0</v>
      </c>
      <c r="V84" s="46">
        <f t="shared" si="65"/>
        <v>0</v>
      </c>
      <c r="W84" s="46">
        <f t="shared" si="65"/>
        <v>0</v>
      </c>
      <c r="X84" s="46">
        <f t="shared" si="65"/>
        <v>0</v>
      </c>
      <c r="Y84" s="46">
        <f t="shared" si="65"/>
        <v>0</v>
      </c>
      <c r="Z84" s="46">
        <f t="shared" si="65"/>
        <v>0</v>
      </c>
      <c r="AA84" s="46">
        <f t="shared" si="65"/>
        <v>0</v>
      </c>
      <c r="AB84" s="46">
        <f t="shared" si="65"/>
        <v>0</v>
      </c>
      <c r="AC84" s="46">
        <f t="shared" si="65"/>
        <v>0</v>
      </c>
      <c r="AD84" s="46">
        <f t="shared" si="65"/>
        <v>0</v>
      </c>
      <c r="AE84" s="46">
        <f t="shared" si="65"/>
        <v>0</v>
      </c>
      <c r="AF84" s="46">
        <f t="shared" si="65"/>
        <v>0</v>
      </c>
      <c r="AG84" s="46">
        <f t="shared" si="65"/>
        <v>0</v>
      </c>
      <c r="AH84" s="46">
        <f t="shared" si="65"/>
        <v>0</v>
      </c>
      <c r="AI84" s="46">
        <f t="shared" si="65"/>
        <v>0</v>
      </c>
      <c r="AJ84" s="46">
        <f t="shared" si="65"/>
        <v>0</v>
      </c>
      <c r="AK84" s="46">
        <f t="shared" si="65"/>
        <v>0</v>
      </c>
      <c r="AL84" s="46">
        <f t="shared" si="65"/>
        <v>0</v>
      </c>
      <c r="AM84" s="46">
        <f t="shared" si="65"/>
        <v>0</v>
      </c>
      <c r="AN84" s="46">
        <f t="shared" si="65"/>
        <v>0</v>
      </c>
      <c r="AO84" s="46">
        <f t="shared" si="65"/>
        <v>0</v>
      </c>
      <c r="AP84" s="46">
        <f t="shared" si="65"/>
        <v>0</v>
      </c>
      <c r="AQ84" s="46">
        <f t="shared" si="65"/>
        <v>0</v>
      </c>
      <c r="AR84" s="46">
        <f t="shared" si="65"/>
        <v>0</v>
      </c>
      <c r="AS84" s="46">
        <f t="shared" si="65"/>
        <v>0</v>
      </c>
      <c r="AT84" s="46">
        <f t="shared" si="65"/>
        <v>0</v>
      </c>
      <c r="AU84" s="46">
        <f t="shared" si="65"/>
        <v>0</v>
      </c>
      <c r="AV84" s="46">
        <f t="shared" si="65"/>
        <v>0</v>
      </c>
      <c r="AW84" s="46">
        <f t="shared" si="65"/>
        <v>0</v>
      </c>
      <c r="AX84" s="46">
        <f t="shared" si="65"/>
        <v>0</v>
      </c>
      <c r="AY84" s="46">
        <f t="shared" si="65"/>
        <v>0</v>
      </c>
      <c r="AZ84" s="46">
        <f t="shared" si="65"/>
        <v>0</v>
      </c>
      <c r="BA84" s="46">
        <f t="shared" si="65"/>
        <v>0</v>
      </c>
      <c r="BB84" s="46">
        <f t="shared" si="65"/>
        <v>0</v>
      </c>
      <c r="BC84" s="46">
        <f t="shared" si="65"/>
        <v>0</v>
      </c>
      <c r="BD84" s="46">
        <f t="shared" si="65"/>
        <v>0</v>
      </c>
      <c r="BE84" s="46"/>
    </row>
    <row r="85" spans="1:57" ht="14.25" customHeight="1" x14ac:dyDescent="0.3">
      <c r="A85" s="46"/>
      <c r="B85" s="37"/>
      <c r="C85" s="37"/>
      <c r="D85" s="46" t="s">
        <v>49</v>
      </c>
      <c r="E85" s="46" t="s">
        <v>50</v>
      </c>
      <c r="F85" s="46" t="s">
        <v>51</v>
      </c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  <c r="AK85" s="46"/>
      <c r="AL85" s="46"/>
      <c r="AM85" s="46"/>
      <c r="AN85" s="46"/>
      <c r="AO85" s="46"/>
      <c r="AP85" s="46"/>
      <c r="AQ85" s="46"/>
      <c r="AR85" s="46"/>
      <c r="AS85" s="46"/>
      <c r="AT85" s="46"/>
      <c r="AU85" s="46"/>
      <c r="AV85" s="46"/>
      <c r="AW85" s="46"/>
      <c r="AX85" s="46"/>
      <c r="AY85" s="46"/>
      <c r="AZ85" s="46"/>
      <c r="BA85" s="46"/>
      <c r="BB85" s="46"/>
      <c r="BC85" s="46"/>
      <c r="BD85" s="46"/>
      <c r="BE85" s="46"/>
    </row>
    <row r="86" spans="1:57" ht="14.25" customHeight="1" x14ac:dyDescent="0.3">
      <c r="A86" s="46"/>
      <c r="B86" s="37"/>
      <c r="C86" s="46" t="s">
        <v>227</v>
      </c>
      <c r="D86" s="49">
        <v>0</v>
      </c>
      <c r="E86" s="49">
        <v>32</v>
      </c>
      <c r="F86" s="50">
        <v>0.01</v>
      </c>
      <c r="G86" s="46"/>
      <c r="H86" s="46"/>
      <c r="I86" s="46">
        <v>7</v>
      </c>
      <c r="J86" s="46">
        <v>7</v>
      </c>
      <c r="K86" s="46">
        <v>12</v>
      </c>
      <c r="L86" s="46">
        <v>19</v>
      </c>
      <c r="M86" s="46">
        <v>18</v>
      </c>
      <c r="N86" s="46">
        <v>13</v>
      </c>
      <c r="O86" s="46">
        <v>7</v>
      </c>
      <c r="P86" s="46">
        <f t="shared" ref="P86:AE87" si="66">MIN(MAX($D86,O86)*(1+$F86)*P$75,$E86)</f>
        <v>7.07</v>
      </c>
      <c r="Q86" s="46">
        <f t="shared" si="66"/>
        <v>7.1407000000000007</v>
      </c>
      <c r="R86" s="46">
        <f t="shared" si="66"/>
        <v>7.2121070000000005</v>
      </c>
      <c r="S86" s="46">
        <f t="shared" si="66"/>
        <v>7.2842280700000002</v>
      </c>
      <c r="T86" s="46">
        <f t="shared" si="66"/>
        <v>7.3570703506999999</v>
      </c>
      <c r="U86" s="46">
        <f t="shared" si="66"/>
        <v>7.4306410542070003</v>
      </c>
      <c r="V86" s="46">
        <f t="shared" si="66"/>
        <v>7.5049474647490699</v>
      </c>
      <c r="W86" s="46">
        <f t="shared" si="66"/>
        <v>7.5799969393965609</v>
      </c>
      <c r="X86" s="46">
        <f t="shared" si="66"/>
        <v>7.6557969087905269</v>
      </c>
      <c r="Y86" s="46">
        <f t="shared" si="66"/>
        <v>7.7323548778784321</v>
      </c>
      <c r="Z86" s="46">
        <f t="shared" si="66"/>
        <v>7.8096784266572161</v>
      </c>
      <c r="AA86" s="46">
        <f t="shared" si="66"/>
        <v>7.8877752109237882</v>
      </c>
      <c r="AB86" s="46">
        <f t="shared" si="66"/>
        <v>7.9666529630330265</v>
      </c>
      <c r="AC86" s="46">
        <f t="shared" si="66"/>
        <v>8.0463194926633577</v>
      </c>
      <c r="AD86" s="46">
        <f t="shared" si="66"/>
        <v>8.1267826875899907</v>
      </c>
      <c r="AE86" s="46">
        <f t="shared" si="66"/>
        <v>8.2080505144658904</v>
      </c>
      <c r="AF86" s="46">
        <f t="shared" ref="AF86:AU87" si="67">MIN(MAX($D86,AE86)*(1+$F86)*AF$75,$E86)</f>
        <v>8.2901310196105502</v>
      </c>
      <c r="AG86" s="46">
        <f t="shared" si="67"/>
        <v>8.3730323298066551</v>
      </c>
      <c r="AH86" s="46">
        <f t="shared" si="67"/>
        <v>8.4567626531047217</v>
      </c>
      <c r="AI86" s="46">
        <f t="shared" si="67"/>
        <v>8.5413302796357691</v>
      </c>
      <c r="AJ86" s="46">
        <f t="shared" si="67"/>
        <v>8.6267435824321268</v>
      </c>
      <c r="AK86" s="46">
        <f t="shared" si="67"/>
        <v>8.7130110182564486</v>
      </c>
      <c r="AL86" s="46">
        <f t="shared" si="67"/>
        <v>8.8001411284390141</v>
      </c>
      <c r="AM86" s="46">
        <f t="shared" si="67"/>
        <v>8.888142539723404</v>
      </c>
      <c r="AN86" s="46">
        <f t="shared" si="67"/>
        <v>8.9770239651206385</v>
      </c>
      <c r="AO86" s="46">
        <f t="shared" si="67"/>
        <v>9.0667942047718455</v>
      </c>
      <c r="AP86" s="46">
        <f t="shared" si="67"/>
        <v>9.1574621468195634</v>
      </c>
      <c r="AQ86" s="46">
        <f t="shared" si="67"/>
        <v>9.249036768287759</v>
      </c>
      <c r="AR86" s="46">
        <f t="shared" si="67"/>
        <v>9.3415271359706367</v>
      </c>
      <c r="AS86" s="46">
        <f t="shared" si="67"/>
        <v>9.4349424073303432</v>
      </c>
      <c r="AT86" s="46">
        <f t="shared" si="67"/>
        <v>9.529291831403647</v>
      </c>
      <c r="AU86" s="46">
        <f t="shared" si="67"/>
        <v>9.624584749717684</v>
      </c>
      <c r="AV86" s="46">
        <f t="shared" ref="AV86:BD87" si="68">MIN(MAX($D86,AU86)*(1+$F86)*AV$75,$E86)</f>
        <v>9.7208305972148601</v>
      </c>
      <c r="AW86" s="46">
        <f t="shared" si="68"/>
        <v>9.8180389031870092</v>
      </c>
      <c r="AX86" s="46">
        <f t="shared" si="68"/>
        <v>9.9162192922188801</v>
      </c>
      <c r="AY86" s="46">
        <f t="shared" si="68"/>
        <v>10.015381485141068</v>
      </c>
      <c r="AZ86" s="46">
        <f t="shared" si="68"/>
        <v>10.115535299992478</v>
      </c>
      <c r="BA86" s="46">
        <f t="shared" si="68"/>
        <v>10.216690652992403</v>
      </c>
      <c r="BB86" s="46">
        <f t="shared" si="68"/>
        <v>10.318857559522327</v>
      </c>
      <c r="BC86" s="46">
        <f t="shared" si="68"/>
        <v>10.422046135117551</v>
      </c>
      <c r="BD86" s="46">
        <f t="shared" si="68"/>
        <v>10.526266596468727</v>
      </c>
      <c r="BE86" s="46"/>
    </row>
    <row r="87" spans="1:57" ht="14.25" customHeight="1" x14ac:dyDescent="0.3">
      <c r="A87" s="46"/>
      <c r="B87" s="37"/>
      <c r="C87" s="46" t="s">
        <v>93</v>
      </c>
      <c r="D87" s="49">
        <f>SUM(I87:O87)/7</f>
        <v>19828.571428571428</v>
      </c>
      <c r="E87" s="49">
        <v>35000</v>
      </c>
      <c r="F87" s="50">
        <v>0.01</v>
      </c>
      <c r="G87" s="46"/>
      <c r="H87" s="46"/>
      <c r="I87" s="46">
        <v>17299</v>
      </c>
      <c r="J87" s="46">
        <v>14557</v>
      </c>
      <c r="K87" s="46">
        <v>15482</v>
      </c>
      <c r="L87" s="46">
        <v>10698</v>
      </c>
      <c r="M87" s="46">
        <v>50868</v>
      </c>
      <c r="N87" s="46">
        <v>6848</v>
      </c>
      <c r="O87" s="46">
        <v>23048</v>
      </c>
      <c r="P87" s="46">
        <f t="shared" si="66"/>
        <v>23278.48</v>
      </c>
      <c r="Q87" s="46">
        <f t="shared" si="66"/>
        <v>23511.264800000001</v>
      </c>
      <c r="R87" s="46">
        <f t="shared" si="66"/>
        <v>23746.377447999999</v>
      </c>
      <c r="S87" s="46">
        <f t="shared" si="66"/>
        <v>23983.841222479998</v>
      </c>
      <c r="T87" s="46">
        <f t="shared" si="66"/>
        <v>24223.679634704797</v>
      </c>
      <c r="U87" s="46">
        <f t="shared" si="66"/>
        <v>24465.916431051846</v>
      </c>
      <c r="V87" s="46">
        <f t="shared" si="66"/>
        <v>24710.575595362367</v>
      </c>
      <c r="W87" s="46">
        <f t="shared" si="66"/>
        <v>24957.68135131599</v>
      </c>
      <c r="X87" s="46">
        <f t="shared" si="66"/>
        <v>25207.258164829149</v>
      </c>
      <c r="Y87" s="46">
        <f t="shared" si="66"/>
        <v>25459.330746477441</v>
      </c>
      <c r="Z87" s="46">
        <f t="shared" si="66"/>
        <v>25713.924053942217</v>
      </c>
      <c r="AA87" s="46">
        <f t="shared" si="66"/>
        <v>25971.063294481639</v>
      </c>
      <c r="AB87" s="46">
        <f t="shared" si="66"/>
        <v>26230.773927426457</v>
      </c>
      <c r="AC87" s="46">
        <f t="shared" si="66"/>
        <v>26493.08166670072</v>
      </c>
      <c r="AD87" s="46">
        <f t="shared" si="66"/>
        <v>26758.012483367729</v>
      </c>
      <c r="AE87" s="46">
        <f t="shared" si="66"/>
        <v>27025.592608201408</v>
      </c>
      <c r="AF87" s="46">
        <f t="shared" si="67"/>
        <v>27295.848534283421</v>
      </c>
      <c r="AG87" s="46">
        <f t="shared" si="67"/>
        <v>27568.807019626256</v>
      </c>
      <c r="AH87" s="46">
        <f t="shared" si="67"/>
        <v>27844.495089822518</v>
      </c>
      <c r="AI87" s="46">
        <f t="shared" si="67"/>
        <v>28122.940040720743</v>
      </c>
      <c r="AJ87" s="46">
        <f t="shared" si="67"/>
        <v>28404.16944112795</v>
      </c>
      <c r="AK87" s="46">
        <f t="shared" si="67"/>
        <v>28688.21113553923</v>
      </c>
      <c r="AL87" s="46">
        <f t="shared" si="67"/>
        <v>28975.093246894623</v>
      </c>
      <c r="AM87" s="46">
        <f t="shared" si="67"/>
        <v>29264.844179363568</v>
      </c>
      <c r="AN87" s="46">
        <f t="shared" si="67"/>
        <v>29557.492621157206</v>
      </c>
      <c r="AO87" s="46">
        <f t="shared" si="67"/>
        <v>29853.067547368777</v>
      </c>
      <c r="AP87" s="46">
        <f t="shared" si="67"/>
        <v>30151.598222842465</v>
      </c>
      <c r="AQ87" s="46">
        <f t="shared" si="67"/>
        <v>30453.114205070891</v>
      </c>
      <c r="AR87" s="46">
        <f t="shared" si="67"/>
        <v>30757.645347121601</v>
      </c>
      <c r="AS87" s="46">
        <f t="shared" si="67"/>
        <v>31065.221800592819</v>
      </c>
      <c r="AT87" s="46">
        <f t="shared" si="67"/>
        <v>31375.874018598748</v>
      </c>
      <c r="AU87" s="46">
        <f t="shared" si="67"/>
        <v>31689.632758784737</v>
      </c>
      <c r="AV87" s="46">
        <f t="shared" si="68"/>
        <v>32006.529086372586</v>
      </c>
      <c r="AW87" s="46">
        <f t="shared" si="68"/>
        <v>32326.594377236313</v>
      </c>
      <c r="AX87" s="46">
        <f t="shared" si="68"/>
        <v>32649.860321008677</v>
      </c>
      <c r="AY87" s="46">
        <f t="shared" si="68"/>
        <v>32976.358924218766</v>
      </c>
      <c r="AZ87" s="46">
        <f t="shared" si="68"/>
        <v>33306.122513460956</v>
      </c>
      <c r="BA87" s="46">
        <f t="shared" si="68"/>
        <v>33639.183738595566</v>
      </c>
      <c r="BB87" s="46">
        <f t="shared" si="68"/>
        <v>33975.575575981522</v>
      </c>
      <c r="BC87" s="46">
        <f t="shared" si="68"/>
        <v>34315.331331741334</v>
      </c>
      <c r="BD87" s="46">
        <f t="shared" si="68"/>
        <v>34658.48464505875</v>
      </c>
      <c r="BE87" s="46"/>
    </row>
    <row r="88" spans="1:57" ht="14.25" customHeight="1" x14ac:dyDescent="0.3">
      <c r="A88" s="46"/>
      <c r="B88" s="37"/>
      <c r="C88" s="46" t="s">
        <v>228</v>
      </c>
      <c r="D88" s="46"/>
      <c r="E88" s="46"/>
      <c r="F88" s="46"/>
      <c r="G88" s="46"/>
      <c r="H88" s="46"/>
      <c r="I88" s="51">
        <f t="shared" ref="I88:BD88" si="69">I86*I87</f>
        <v>121093</v>
      </c>
      <c r="J88" s="51">
        <f t="shared" si="69"/>
        <v>101899</v>
      </c>
      <c r="K88" s="51">
        <f t="shared" si="69"/>
        <v>185784</v>
      </c>
      <c r="L88" s="51">
        <f t="shared" si="69"/>
        <v>203262</v>
      </c>
      <c r="M88" s="51">
        <f t="shared" si="69"/>
        <v>915624</v>
      </c>
      <c r="N88" s="51">
        <f t="shared" si="69"/>
        <v>89024</v>
      </c>
      <c r="O88" s="51">
        <f t="shared" si="69"/>
        <v>161336</v>
      </c>
      <c r="P88" s="51">
        <f t="shared" si="69"/>
        <v>164578.8536</v>
      </c>
      <c r="Q88" s="51">
        <f t="shared" si="69"/>
        <v>167886.88855736001</v>
      </c>
      <c r="R88" s="51">
        <f t="shared" si="69"/>
        <v>171261.41501736295</v>
      </c>
      <c r="S88" s="51">
        <f t="shared" si="69"/>
        <v>174703.76945921191</v>
      </c>
      <c r="T88" s="51">
        <f t="shared" si="69"/>
        <v>178215.31522534206</v>
      </c>
      <c r="U88" s="51">
        <f t="shared" si="69"/>
        <v>181797.44306137145</v>
      </c>
      <c r="V88" s="51">
        <f t="shared" si="69"/>
        <v>185451.57166690505</v>
      </c>
      <c r="W88" s="51">
        <f t="shared" si="69"/>
        <v>189179.14825740983</v>
      </c>
      <c r="X88" s="51">
        <f t="shared" si="69"/>
        <v>192981.64913738376</v>
      </c>
      <c r="Y88" s="51">
        <f t="shared" si="69"/>
        <v>196860.58028504517</v>
      </c>
      <c r="Z88" s="51">
        <f t="shared" si="69"/>
        <v>200817.47794877461</v>
      </c>
      <c r="AA88" s="51">
        <f t="shared" si="69"/>
        <v>204853.90925554498</v>
      </c>
      <c r="AB88" s="51">
        <f t="shared" si="69"/>
        <v>208971.47283158143</v>
      </c>
      <c r="AC88" s="51">
        <f t="shared" si="69"/>
        <v>213171.79943549624</v>
      </c>
      <c r="AD88" s="51">
        <f t="shared" si="69"/>
        <v>217456.55260414971</v>
      </c>
      <c r="AE88" s="51">
        <f t="shared" si="69"/>
        <v>221827.42931149315</v>
      </c>
      <c r="AF88" s="51">
        <f t="shared" si="69"/>
        <v>226286.16064065415</v>
      </c>
      <c r="AG88" s="51">
        <f t="shared" si="69"/>
        <v>230834.5124695313</v>
      </c>
      <c r="AH88" s="51">
        <f t="shared" si="69"/>
        <v>235474.28617016887</v>
      </c>
      <c r="AI88" s="51">
        <f t="shared" si="69"/>
        <v>240207.31932218926</v>
      </c>
      <c r="AJ88" s="51">
        <f t="shared" si="69"/>
        <v>245035.48644056526</v>
      </c>
      <c r="AK88" s="51">
        <f t="shared" si="69"/>
        <v>249960.69971802065</v>
      </c>
      <c r="AL88" s="51">
        <f t="shared" si="69"/>
        <v>254984.90978235292</v>
      </c>
      <c r="AM88" s="51">
        <f t="shared" si="69"/>
        <v>260110.10646897819</v>
      </c>
      <c r="AN88" s="51">
        <f t="shared" si="69"/>
        <v>265338.31960900465</v>
      </c>
      <c r="AO88" s="51">
        <f t="shared" si="69"/>
        <v>270671.6198331457</v>
      </c>
      <c r="AP88" s="51">
        <f t="shared" si="69"/>
        <v>276112.11939179187</v>
      </c>
      <c r="AQ88" s="51">
        <f t="shared" si="69"/>
        <v>281661.97299156693</v>
      </c>
      <c r="AR88" s="51">
        <f t="shared" si="69"/>
        <v>287323.3786486974</v>
      </c>
      <c r="AS88" s="51">
        <f t="shared" si="69"/>
        <v>293098.57855953625</v>
      </c>
      <c r="AT88" s="51">
        <f t="shared" si="69"/>
        <v>298989.85998858296</v>
      </c>
      <c r="AU88" s="51">
        <f t="shared" si="69"/>
        <v>304999.55617435352</v>
      </c>
      <c r="AV88" s="51">
        <f t="shared" si="69"/>
        <v>311130.047253458</v>
      </c>
      <c r="AW88" s="51">
        <f t="shared" si="69"/>
        <v>317383.76120325254</v>
      </c>
      <c r="AX88" s="51">
        <f t="shared" si="69"/>
        <v>323763.17480343796</v>
      </c>
      <c r="AY88" s="51">
        <f t="shared" si="69"/>
        <v>330270.81461698707</v>
      </c>
      <c r="AZ88" s="51">
        <f t="shared" si="69"/>
        <v>336909.25799078849</v>
      </c>
      <c r="BA88" s="51">
        <f t="shared" si="69"/>
        <v>343681.13407640334</v>
      </c>
      <c r="BB88" s="51">
        <f t="shared" si="69"/>
        <v>350589.12487133907</v>
      </c>
      <c r="BC88" s="51">
        <f t="shared" si="69"/>
        <v>357635.96628125297</v>
      </c>
      <c r="BD88" s="51">
        <f t="shared" si="69"/>
        <v>364824.44920350617</v>
      </c>
      <c r="BE88" s="51"/>
    </row>
    <row r="89" spans="1:57" ht="14.25" customHeight="1" x14ac:dyDescent="0.3">
      <c r="A89" s="46"/>
      <c r="B89" s="37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46"/>
      <c r="AL89" s="46"/>
      <c r="AM89" s="46"/>
      <c r="AN89" s="46"/>
      <c r="AO89" s="46"/>
      <c r="AP89" s="46"/>
      <c r="AQ89" s="46"/>
      <c r="AR89" s="46"/>
      <c r="AS89" s="46"/>
      <c r="AT89" s="46"/>
      <c r="AU89" s="46"/>
      <c r="AV89" s="46"/>
      <c r="AW89" s="46"/>
      <c r="AX89" s="46"/>
      <c r="AY89" s="46"/>
      <c r="AZ89" s="46"/>
      <c r="BA89" s="46"/>
      <c r="BB89" s="46"/>
      <c r="BC89" s="46"/>
      <c r="BD89" s="46"/>
      <c r="BE89" s="46"/>
    </row>
    <row r="90" spans="1:57" ht="14.25" customHeight="1" x14ac:dyDescent="0.3">
      <c r="A90" s="46"/>
      <c r="B90" s="37"/>
      <c r="C90" s="46" t="s">
        <v>229</v>
      </c>
      <c r="D90" s="49">
        <f>-(D87)*0.3</f>
        <v>-5948.5714285714284</v>
      </c>
      <c r="E90" s="46"/>
      <c r="F90" s="46"/>
      <c r="G90" s="46"/>
      <c r="H90" s="46"/>
      <c r="I90" s="46">
        <f>-I$88*0.3</f>
        <v>-36327.9</v>
      </c>
      <c r="J90" s="46">
        <f t="shared" ref="J90:O90" si="70">-J$88*0.3</f>
        <v>-30569.699999999997</v>
      </c>
      <c r="K90" s="46">
        <f t="shared" si="70"/>
        <v>-55735.199999999997</v>
      </c>
      <c r="L90" s="46">
        <f t="shared" si="70"/>
        <v>-60978.6</v>
      </c>
      <c r="M90" s="46">
        <f t="shared" si="70"/>
        <v>-274687.2</v>
      </c>
      <c r="N90" s="46">
        <f t="shared" si="70"/>
        <v>-26707.200000000001</v>
      </c>
      <c r="O90" s="46">
        <f t="shared" si="70"/>
        <v>-48400.799999999996</v>
      </c>
      <c r="P90" s="46">
        <f t="shared" ref="P90:BD90" si="71">P86*$D90</f>
        <v>-42056.4</v>
      </c>
      <c r="Q90" s="46">
        <f t="shared" si="71"/>
        <v>-42476.964</v>
      </c>
      <c r="R90" s="46">
        <f t="shared" si="71"/>
        <v>-42901.733639999999</v>
      </c>
      <c r="S90" s="46">
        <f t="shared" si="71"/>
        <v>-43330.750976399999</v>
      </c>
      <c r="T90" s="46">
        <f t="shared" si="71"/>
        <v>-43764.058486164002</v>
      </c>
      <c r="U90" s="46">
        <f t="shared" si="71"/>
        <v>-44201.699071025643</v>
      </c>
      <c r="V90" s="46">
        <f t="shared" si="71"/>
        <v>-44643.716061735897</v>
      </c>
      <c r="W90" s="46">
        <f t="shared" si="71"/>
        <v>-45090.153222353256</v>
      </c>
      <c r="X90" s="46">
        <f t="shared" si="71"/>
        <v>-45541.054754576791</v>
      </c>
      <c r="Y90" s="46">
        <f t="shared" si="71"/>
        <v>-45996.46530212256</v>
      </c>
      <c r="Z90" s="46">
        <f t="shared" si="71"/>
        <v>-46456.42995514378</v>
      </c>
      <c r="AA90" s="46">
        <f t="shared" si="71"/>
        <v>-46920.994254695222</v>
      </c>
      <c r="AB90" s="46">
        <f t="shared" si="71"/>
        <v>-47390.204197242172</v>
      </c>
      <c r="AC90" s="46">
        <f t="shared" si="71"/>
        <v>-47864.106239214598</v>
      </c>
      <c r="AD90" s="46">
        <f t="shared" si="71"/>
        <v>-48342.747301606745</v>
      </c>
      <c r="AE90" s="46">
        <f t="shared" si="71"/>
        <v>-48826.174774622807</v>
      </c>
      <c r="AF90" s="46">
        <f t="shared" si="71"/>
        <v>-49314.43652236904</v>
      </c>
      <c r="AG90" s="46">
        <f t="shared" si="71"/>
        <v>-49807.580887592732</v>
      </c>
      <c r="AH90" s="46">
        <f t="shared" si="71"/>
        <v>-50305.656696468657</v>
      </c>
      <c r="AI90" s="46">
        <f t="shared" si="71"/>
        <v>-50808.713263433347</v>
      </c>
      <c r="AJ90" s="46">
        <f t="shared" si="71"/>
        <v>-51316.80039606768</v>
      </c>
      <c r="AK90" s="46">
        <f t="shared" si="71"/>
        <v>-51829.96840002836</v>
      </c>
      <c r="AL90" s="46">
        <f t="shared" si="71"/>
        <v>-52348.268084028648</v>
      </c>
      <c r="AM90" s="46">
        <f t="shared" si="71"/>
        <v>-52871.750764868935</v>
      </c>
      <c r="AN90" s="46">
        <f t="shared" si="71"/>
        <v>-53400.468272517624</v>
      </c>
      <c r="AO90" s="46">
        <f t="shared" si="71"/>
        <v>-53934.472955242803</v>
      </c>
      <c r="AP90" s="46">
        <f t="shared" si="71"/>
        <v>-54473.817684795227</v>
      </c>
      <c r="AQ90" s="46">
        <f t="shared" si="71"/>
        <v>-55018.555861643181</v>
      </c>
      <c r="AR90" s="46">
        <f t="shared" si="71"/>
        <v>-55568.741420259612</v>
      </c>
      <c r="AS90" s="46">
        <f t="shared" si="71"/>
        <v>-56124.428834462211</v>
      </c>
      <c r="AT90" s="46">
        <f t="shared" si="71"/>
        <v>-56685.673122806838</v>
      </c>
      <c r="AU90" s="46">
        <f t="shared" si="71"/>
        <v>-57252.52985403491</v>
      </c>
      <c r="AV90" s="46">
        <f t="shared" si="71"/>
        <v>-57825.055152575253</v>
      </c>
      <c r="AW90" s="46">
        <f t="shared" si="71"/>
        <v>-58403.305704101011</v>
      </c>
      <c r="AX90" s="46">
        <f t="shared" si="71"/>
        <v>-58987.338761142026</v>
      </c>
      <c r="AY90" s="46">
        <f t="shared" si="71"/>
        <v>-59577.212148753439</v>
      </c>
      <c r="AZ90" s="46">
        <f t="shared" si="71"/>
        <v>-60172.984270240973</v>
      </c>
      <c r="BA90" s="46">
        <f t="shared" si="71"/>
        <v>-60774.71411294338</v>
      </c>
      <c r="BB90" s="46">
        <f t="shared" si="71"/>
        <v>-61382.461254072812</v>
      </c>
      <c r="BC90" s="46">
        <f t="shared" si="71"/>
        <v>-61996.285866613543</v>
      </c>
      <c r="BD90" s="46">
        <f t="shared" si="71"/>
        <v>-62616.248725279678</v>
      </c>
      <c r="BE90" s="46"/>
    </row>
    <row r="91" spans="1:57" ht="14.25" customHeight="1" x14ac:dyDescent="0.3">
      <c r="A91" s="46"/>
      <c r="B91" s="37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  <c r="AL91" s="46"/>
      <c r="AM91" s="46"/>
      <c r="AN91" s="46"/>
      <c r="AO91" s="46"/>
      <c r="AP91" s="46"/>
      <c r="AQ91" s="46"/>
      <c r="AR91" s="46"/>
      <c r="AS91" s="46"/>
      <c r="AT91" s="46"/>
      <c r="AU91" s="46"/>
      <c r="AV91" s="46"/>
      <c r="AW91" s="46"/>
      <c r="AX91" s="46"/>
      <c r="AY91" s="46"/>
      <c r="AZ91" s="46"/>
      <c r="BA91" s="46"/>
      <c r="BB91" s="46"/>
      <c r="BC91" s="46"/>
      <c r="BD91" s="46"/>
      <c r="BE91" s="46"/>
    </row>
    <row r="92" spans="1:57" ht="15" customHeight="1" x14ac:dyDescent="0.3">
      <c r="B92" s="37"/>
      <c r="C92" s="37" t="s">
        <v>95</v>
      </c>
      <c r="D92" s="46" t="s">
        <v>49</v>
      </c>
      <c r="E92" s="46" t="s">
        <v>50</v>
      </c>
      <c r="F92" s="46" t="s">
        <v>51</v>
      </c>
    </row>
    <row r="93" spans="1:57" ht="15" customHeight="1" x14ac:dyDescent="0.3">
      <c r="B93" s="37"/>
      <c r="C93" s="46" t="s">
        <v>96</v>
      </c>
      <c r="D93" s="49">
        <v>15</v>
      </c>
      <c r="E93" s="49">
        <v>130</v>
      </c>
      <c r="F93" s="50">
        <v>0.02</v>
      </c>
      <c r="H93" s="46">
        <v>0</v>
      </c>
      <c r="I93" s="46">
        <v>42.3</v>
      </c>
      <c r="J93" s="46">
        <v>48</v>
      </c>
      <c r="K93" s="46">
        <v>26.8</v>
      </c>
      <c r="L93" s="46">
        <v>20.6</v>
      </c>
      <c r="M93" s="46">
        <v>26.7</v>
      </c>
      <c r="N93" s="46">
        <v>20</v>
      </c>
      <c r="O93" s="46">
        <v>15.4</v>
      </c>
      <c r="P93" s="46">
        <f t="shared" ref="P93:AE94" si="72">MIN(MAX($D93,O93)*(1+$F93)*P$9,$E93)</f>
        <v>15.708</v>
      </c>
      <c r="Q93" s="46">
        <f t="shared" si="72"/>
        <v>16.02216</v>
      </c>
      <c r="R93" s="46">
        <f t="shared" si="72"/>
        <v>16.342603199999999</v>
      </c>
      <c r="S93" s="46">
        <f t="shared" si="72"/>
        <v>16.669455264</v>
      </c>
      <c r="T93" s="46">
        <f t="shared" si="72"/>
        <v>17.002844369280002</v>
      </c>
      <c r="U93" s="46">
        <f t="shared" si="72"/>
        <v>17.342901256665602</v>
      </c>
      <c r="V93" s="46">
        <f t="shared" si="72"/>
        <v>17.689759281798914</v>
      </c>
      <c r="W93" s="46">
        <f t="shared" si="72"/>
        <v>18.043554467434891</v>
      </c>
      <c r="X93" s="46">
        <f t="shared" si="72"/>
        <v>18.40442555678359</v>
      </c>
      <c r="Y93" s="46">
        <f t="shared" si="72"/>
        <v>18.772514067919261</v>
      </c>
      <c r="Z93" s="46">
        <f t="shared" si="72"/>
        <v>19.147964349277647</v>
      </c>
      <c r="AA93" s="46">
        <f t="shared" si="72"/>
        <v>19.5309236362632</v>
      </c>
      <c r="AB93" s="46">
        <f t="shared" si="72"/>
        <v>19.921542108988465</v>
      </c>
      <c r="AC93" s="46">
        <f t="shared" si="72"/>
        <v>20.319972951168236</v>
      </c>
      <c r="AD93" s="46">
        <f t="shared" si="72"/>
        <v>20.726372410191601</v>
      </c>
      <c r="AE93" s="46">
        <f t="shared" si="72"/>
        <v>21.140899858395432</v>
      </c>
      <c r="AF93" s="46">
        <f t="shared" ref="AF93:AU94" si="73">MIN(MAX($D93,AE93)*(1+$F93)*AF$9,$E93)</f>
        <v>21.56371785556334</v>
      </c>
      <c r="AG93" s="46">
        <f t="shared" si="73"/>
        <v>21.994992212674607</v>
      </c>
      <c r="AH93" s="46">
        <f t="shared" si="73"/>
        <v>22.434892056928099</v>
      </c>
      <c r="AI93" s="46">
        <f t="shared" si="73"/>
        <v>22.88358989806666</v>
      </c>
      <c r="AJ93" s="46">
        <f t="shared" si="73"/>
        <v>23.341261696027992</v>
      </c>
      <c r="AK93" s="46">
        <f t="shared" si="73"/>
        <v>23.808086929948551</v>
      </c>
      <c r="AL93" s="46">
        <f t="shared" si="73"/>
        <v>24.284248668547523</v>
      </c>
      <c r="AM93" s="46">
        <f t="shared" si="73"/>
        <v>24.769933641918474</v>
      </c>
      <c r="AN93" s="46">
        <f t="shared" si="73"/>
        <v>25.265332314756844</v>
      </c>
      <c r="AO93" s="46">
        <f t="shared" si="73"/>
        <v>25.770638961051979</v>
      </c>
      <c r="AP93" s="46">
        <f t="shared" si="73"/>
        <v>26.28605174027302</v>
      </c>
      <c r="AQ93" s="46">
        <f t="shared" si="73"/>
        <v>26.811772775078481</v>
      </c>
      <c r="AR93" s="46">
        <f t="shared" si="73"/>
        <v>27.348008230580049</v>
      </c>
      <c r="AS93" s="46">
        <f t="shared" si="73"/>
        <v>27.894968395191651</v>
      </c>
      <c r="AT93" s="46">
        <f t="shared" si="73"/>
        <v>28.452867763095483</v>
      </c>
      <c r="AU93" s="46">
        <f t="shared" si="73"/>
        <v>29.021925118357395</v>
      </c>
      <c r="AV93" s="46">
        <f t="shared" ref="AO93:BD94" si="74">MIN(MAX($D93,AU93)*(1+$F93)*AV$9,$E93)</f>
        <v>29.602363620724542</v>
      </c>
      <c r="AW93" s="46">
        <f t="shared" si="74"/>
        <v>30.194410893139032</v>
      </c>
      <c r="AX93" s="46">
        <f t="shared" si="74"/>
        <v>30.798299111001814</v>
      </c>
      <c r="AY93" s="46">
        <f t="shared" si="74"/>
        <v>31.41426509322185</v>
      </c>
      <c r="AZ93" s="46">
        <f t="shared" si="74"/>
        <v>32.042550395086288</v>
      </c>
      <c r="BA93" s="46">
        <f t="shared" si="74"/>
        <v>32.683401402988011</v>
      </c>
      <c r="BB93" s="46">
        <f t="shared" si="74"/>
        <v>33.337069431047773</v>
      </c>
      <c r="BC93" s="46">
        <f t="shared" si="74"/>
        <v>34.003810819668729</v>
      </c>
      <c r="BD93" s="46">
        <f t="shared" si="74"/>
        <v>34.683887036062103</v>
      </c>
      <c r="BE93" s="46"/>
    </row>
    <row r="94" spans="1:57" ht="15" customHeight="1" x14ac:dyDescent="0.3">
      <c r="B94" s="37"/>
      <c r="C94" s="46" t="s">
        <v>65</v>
      </c>
      <c r="D94" s="49">
        <v>3650</v>
      </c>
      <c r="E94" s="49">
        <v>4225</v>
      </c>
      <c r="F94" s="50">
        <v>0.02</v>
      </c>
      <c r="H94" s="46">
        <v>0</v>
      </c>
      <c r="I94" s="46">
        <v>2774</v>
      </c>
      <c r="J94" s="46">
        <v>2774</v>
      </c>
      <c r="K94" s="46">
        <v>2774</v>
      </c>
      <c r="L94" s="46">
        <v>2774</v>
      </c>
      <c r="M94" s="46">
        <v>2774</v>
      </c>
      <c r="N94" s="46">
        <v>2774</v>
      </c>
      <c r="O94" s="46">
        <v>2774</v>
      </c>
      <c r="P94" s="46">
        <f t="shared" si="72"/>
        <v>3723</v>
      </c>
      <c r="Q94" s="46">
        <f t="shared" si="72"/>
        <v>3797.46</v>
      </c>
      <c r="R94" s="46">
        <f t="shared" si="72"/>
        <v>3873.4092000000001</v>
      </c>
      <c r="S94" s="46">
        <f t="shared" si="72"/>
        <v>3950.8773840000003</v>
      </c>
      <c r="T94" s="46">
        <f t="shared" si="72"/>
        <v>4029.8949316800004</v>
      </c>
      <c r="U94" s="46">
        <f t="shared" si="72"/>
        <v>4110.4928303136003</v>
      </c>
      <c r="V94" s="46">
        <f t="shared" si="72"/>
        <v>4192.7026869198726</v>
      </c>
      <c r="W94" s="46">
        <f t="shared" si="72"/>
        <v>4225</v>
      </c>
      <c r="X94" s="46">
        <f t="shared" si="72"/>
        <v>4225</v>
      </c>
      <c r="Y94" s="46">
        <f t="shared" si="72"/>
        <v>4225</v>
      </c>
      <c r="Z94" s="46">
        <f t="shared" si="72"/>
        <v>4225</v>
      </c>
      <c r="AA94" s="46">
        <f t="shared" si="72"/>
        <v>4225</v>
      </c>
      <c r="AB94" s="46">
        <f t="shared" si="72"/>
        <v>4225</v>
      </c>
      <c r="AC94" s="46">
        <f t="shared" si="72"/>
        <v>4225</v>
      </c>
      <c r="AD94" s="46">
        <f t="shared" si="72"/>
        <v>4225</v>
      </c>
      <c r="AE94" s="46">
        <f t="shared" si="72"/>
        <v>4225</v>
      </c>
      <c r="AF94" s="46">
        <f t="shared" si="73"/>
        <v>4225</v>
      </c>
      <c r="AG94" s="46">
        <f t="shared" si="73"/>
        <v>4225</v>
      </c>
      <c r="AH94" s="46">
        <f t="shared" si="73"/>
        <v>4225</v>
      </c>
      <c r="AI94" s="46">
        <f t="shared" si="73"/>
        <v>4225</v>
      </c>
      <c r="AJ94" s="46">
        <f t="shared" si="73"/>
        <v>4225</v>
      </c>
      <c r="AK94" s="46">
        <f t="shared" si="73"/>
        <v>4225</v>
      </c>
      <c r="AL94" s="46">
        <f t="shared" si="73"/>
        <v>4225</v>
      </c>
      <c r="AM94" s="46">
        <f t="shared" si="73"/>
        <v>4225</v>
      </c>
      <c r="AN94" s="46">
        <f t="shared" si="73"/>
        <v>4225</v>
      </c>
      <c r="AO94" s="46">
        <f t="shared" si="74"/>
        <v>4225</v>
      </c>
      <c r="AP94" s="46">
        <f t="shared" si="74"/>
        <v>4225</v>
      </c>
      <c r="AQ94" s="46">
        <f t="shared" si="74"/>
        <v>4225</v>
      </c>
      <c r="AR94" s="46">
        <f t="shared" si="74"/>
        <v>4225</v>
      </c>
      <c r="AS94" s="46">
        <f t="shared" si="74"/>
        <v>4225</v>
      </c>
      <c r="AT94" s="46">
        <f t="shared" si="74"/>
        <v>4225</v>
      </c>
      <c r="AU94" s="46">
        <f t="shared" si="74"/>
        <v>4225</v>
      </c>
      <c r="AV94" s="46">
        <f t="shared" si="74"/>
        <v>4225</v>
      </c>
      <c r="AW94" s="46">
        <f t="shared" si="74"/>
        <v>4225</v>
      </c>
      <c r="AX94" s="46">
        <f t="shared" si="74"/>
        <v>4225</v>
      </c>
      <c r="AY94" s="46">
        <f t="shared" si="74"/>
        <v>4225</v>
      </c>
      <c r="AZ94" s="46">
        <f t="shared" si="74"/>
        <v>4225</v>
      </c>
      <c r="BA94" s="46">
        <f t="shared" si="74"/>
        <v>4225</v>
      </c>
      <c r="BB94" s="46">
        <f t="shared" si="74"/>
        <v>4225</v>
      </c>
      <c r="BC94" s="46">
        <f t="shared" si="74"/>
        <v>4225</v>
      </c>
      <c r="BD94" s="46">
        <f t="shared" si="74"/>
        <v>4225</v>
      </c>
      <c r="BE94" s="46"/>
    </row>
    <row r="95" spans="1:57" ht="15" customHeight="1" x14ac:dyDescent="0.3">
      <c r="B95" s="37"/>
      <c r="C95" s="46" t="s">
        <v>97</v>
      </c>
      <c r="D95" s="46"/>
      <c r="E95" s="46"/>
      <c r="F95" s="46"/>
      <c r="H95" s="46">
        <v>0</v>
      </c>
      <c r="I95" s="51">
        <f t="shared" ref="I95:BD95" si="75">I93*I94</f>
        <v>117340.2</v>
      </c>
      <c r="J95" s="51">
        <f t="shared" si="75"/>
        <v>133152</v>
      </c>
      <c r="K95" s="51">
        <f t="shared" si="75"/>
        <v>74343.199999999997</v>
      </c>
      <c r="L95" s="51">
        <f t="shared" si="75"/>
        <v>57144.4</v>
      </c>
      <c r="M95" s="51">
        <f t="shared" si="75"/>
        <v>74065.8</v>
      </c>
      <c r="N95" s="51">
        <f t="shared" si="75"/>
        <v>55480</v>
      </c>
      <c r="O95" s="51">
        <f t="shared" si="75"/>
        <v>42719.6</v>
      </c>
      <c r="P95" s="51">
        <f t="shared" si="75"/>
        <v>58480.883999999998</v>
      </c>
      <c r="Q95" s="51">
        <f t="shared" si="75"/>
        <v>60843.511713599997</v>
      </c>
      <c r="R95" s="51">
        <f t="shared" si="75"/>
        <v>63301.589586829439</v>
      </c>
      <c r="S95" s="51">
        <f t="shared" si="75"/>
        <v>65858.97380613735</v>
      </c>
      <c r="T95" s="51">
        <f t="shared" si="75"/>
        <v>68519.676347905304</v>
      </c>
      <c r="U95" s="51">
        <f t="shared" si="75"/>
        <v>71287.871272360688</v>
      </c>
      <c r="V95" s="51">
        <f t="shared" si="75"/>
        <v>74167.901271764058</v>
      </c>
      <c r="W95" s="51">
        <f t="shared" si="75"/>
        <v>76234.01762491242</v>
      </c>
      <c r="X95" s="51">
        <f t="shared" si="75"/>
        <v>77758.697977410673</v>
      </c>
      <c r="Y95" s="51">
        <f t="shared" si="75"/>
        <v>79313.87193695888</v>
      </c>
      <c r="Z95" s="51">
        <f t="shared" si="75"/>
        <v>80900.149375698064</v>
      </c>
      <c r="AA95" s="51">
        <f t="shared" si="75"/>
        <v>82518.152363212022</v>
      </c>
      <c r="AB95" s="51">
        <f t="shared" si="75"/>
        <v>84168.515410476262</v>
      </c>
      <c r="AC95" s="51">
        <f t="shared" si="75"/>
        <v>85851.885718685793</v>
      </c>
      <c r="AD95" s="51">
        <f t="shared" si="75"/>
        <v>87568.923433059521</v>
      </c>
      <c r="AE95" s="51">
        <f t="shared" si="75"/>
        <v>89320.301901720697</v>
      </c>
      <c r="AF95" s="51">
        <f t="shared" si="75"/>
        <v>91106.707939755113</v>
      </c>
      <c r="AG95" s="51">
        <f t="shared" si="75"/>
        <v>92928.842098550216</v>
      </c>
      <c r="AH95" s="51">
        <f t="shared" si="75"/>
        <v>94787.418940521224</v>
      </c>
      <c r="AI95" s="51">
        <f t="shared" si="75"/>
        <v>96683.167319331638</v>
      </c>
      <c r="AJ95" s="51">
        <f t="shared" si="75"/>
        <v>98616.830665718269</v>
      </c>
      <c r="AK95" s="51">
        <f t="shared" si="75"/>
        <v>100589.16727903263</v>
      </c>
      <c r="AL95" s="51">
        <f t="shared" si="75"/>
        <v>102600.95062461328</v>
      </c>
      <c r="AM95" s="51">
        <f t="shared" si="75"/>
        <v>104652.96963710555</v>
      </c>
      <c r="AN95" s="51">
        <f t="shared" si="75"/>
        <v>106746.02902984766</v>
      </c>
      <c r="AO95" s="51">
        <f t="shared" si="75"/>
        <v>108880.94961044462</v>
      </c>
      <c r="AP95" s="51">
        <f t="shared" si="75"/>
        <v>111058.56860265351</v>
      </c>
      <c r="AQ95" s="51">
        <f t="shared" si="75"/>
        <v>113279.73997470658</v>
      </c>
      <c r="AR95" s="51">
        <f t="shared" si="75"/>
        <v>115545.3347742007</v>
      </c>
      <c r="AS95" s="51">
        <f t="shared" si="75"/>
        <v>117856.24146968473</v>
      </c>
      <c r="AT95" s="51">
        <f t="shared" si="75"/>
        <v>120213.36629907842</v>
      </c>
      <c r="AU95" s="51">
        <f t="shared" si="75"/>
        <v>122617.63362505999</v>
      </c>
      <c r="AV95" s="51">
        <f t="shared" si="75"/>
        <v>125069.98629756119</v>
      </c>
      <c r="AW95" s="51">
        <f t="shared" si="75"/>
        <v>127571.38602351242</v>
      </c>
      <c r="AX95" s="51">
        <f t="shared" si="75"/>
        <v>130122.81374398267</v>
      </c>
      <c r="AY95" s="51">
        <f t="shared" si="75"/>
        <v>132725.27001886233</v>
      </c>
      <c r="AZ95" s="51">
        <f t="shared" si="75"/>
        <v>135379.77541923957</v>
      </c>
      <c r="BA95" s="51">
        <f t="shared" si="75"/>
        <v>138087.37092762435</v>
      </c>
      <c r="BB95" s="51">
        <f t="shared" si="75"/>
        <v>140849.11834617684</v>
      </c>
      <c r="BC95" s="51">
        <f t="shared" si="75"/>
        <v>143666.10071310037</v>
      </c>
      <c r="BD95" s="51">
        <f t="shared" si="75"/>
        <v>146539.4227273624</v>
      </c>
      <c r="BE95" s="51"/>
    </row>
    <row r="96" spans="1:57" ht="15" customHeight="1" x14ac:dyDescent="0.3">
      <c r="B96" s="37"/>
      <c r="C96" s="46"/>
      <c r="D96" s="46"/>
      <c r="E96" s="46"/>
      <c r="F96" s="46"/>
      <c r="H96" s="46">
        <v>0</v>
      </c>
    </row>
    <row r="97" spans="1:57" ht="15" customHeight="1" x14ac:dyDescent="0.3">
      <c r="B97" s="37"/>
      <c r="C97" s="37" t="s">
        <v>98</v>
      </c>
      <c r="D97" s="46" t="s">
        <v>49</v>
      </c>
      <c r="E97" s="46" t="s">
        <v>50</v>
      </c>
      <c r="F97" s="46" t="s">
        <v>51</v>
      </c>
      <c r="H97" s="46">
        <v>0</v>
      </c>
    </row>
    <row r="98" spans="1:57" ht="15" customHeight="1" x14ac:dyDescent="0.3">
      <c r="B98" s="37"/>
      <c r="C98" s="46" t="s">
        <v>99</v>
      </c>
      <c r="D98" s="52">
        <f>D93</f>
        <v>15</v>
      </c>
      <c r="E98" s="52">
        <f>E93</f>
        <v>130</v>
      </c>
      <c r="F98" s="50">
        <v>0.05</v>
      </c>
      <c r="H98" s="46">
        <v>0</v>
      </c>
      <c r="I98" s="46"/>
      <c r="J98" s="46"/>
      <c r="K98" s="46"/>
      <c r="L98" s="46"/>
      <c r="M98" s="46"/>
      <c r="N98" s="46"/>
      <c r="O98" s="46"/>
      <c r="P98" s="46">
        <f t="shared" ref="P98:AE99" si="76">MIN(MAX($D98,O98)*(1+$F98)*P$9,$E98)</f>
        <v>15.75</v>
      </c>
      <c r="Q98" s="46">
        <f t="shared" si="76"/>
        <v>16.537500000000001</v>
      </c>
      <c r="R98" s="46">
        <f t="shared" si="76"/>
        <v>17.364375000000003</v>
      </c>
      <c r="S98" s="46">
        <f t="shared" si="76"/>
        <v>18.232593750000003</v>
      </c>
      <c r="T98" s="46">
        <f t="shared" si="76"/>
        <v>19.144223437500003</v>
      </c>
      <c r="U98" s="46">
        <f t="shared" si="76"/>
        <v>20.101434609375005</v>
      </c>
      <c r="V98" s="46">
        <f t="shared" si="76"/>
        <v>21.106506339843754</v>
      </c>
      <c r="W98" s="46">
        <f t="shared" si="76"/>
        <v>22.161831656835943</v>
      </c>
      <c r="X98" s="46">
        <f t="shared" si="76"/>
        <v>23.269923239677741</v>
      </c>
      <c r="Y98" s="46">
        <f t="shared" si="76"/>
        <v>24.433419401661631</v>
      </c>
      <c r="Z98" s="46">
        <f t="shared" si="76"/>
        <v>25.655090371744713</v>
      </c>
      <c r="AA98" s="46">
        <f t="shared" si="76"/>
        <v>26.937844890331949</v>
      </c>
      <c r="AB98" s="46">
        <f t="shared" si="76"/>
        <v>28.284737134848548</v>
      </c>
      <c r="AC98" s="46">
        <f t="shared" si="76"/>
        <v>29.698973991590975</v>
      </c>
      <c r="AD98" s="46">
        <f t="shared" si="76"/>
        <v>31.183922691170526</v>
      </c>
      <c r="AE98" s="46">
        <f t="shared" si="76"/>
        <v>32.743118825729056</v>
      </c>
      <c r="AF98" s="46">
        <f t="shared" ref="AF98:AU99" si="77">MIN(MAX($D98,AE98)*(1+$F98)*AF$9,$E98)</f>
        <v>34.380274767015507</v>
      </c>
      <c r="AG98" s="46">
        <f t="shared" si="77"/>
        <v>36.099288505366282</v>
      </c>
      <c r="AH98" s="46">
        <f t="shared" si="77"/>
        <v>37.904252930634598</v>
      </c>
      <c r="AI98" s="46">
        <f t="shared" si="77"/>
        <v>39.79946557716633</v>
      </c>
      <c r="AJ98" s="46">
        <f t="shared" si="77"/>
        <v>41.789438856024645</v>
      </c>
      <c r="AK98" s="46">
        <f t="shared" si="77"/>
        <v>43.878910798825878</v>
      </c>
      <c r="AL98" s="46">
        <f t="shared" si="77"/>
        <v>46.072856338767174</v>
      </c>
      <c r="AM98" s="46">
        <f t="shared" si="77"/>
        <v>48.376499155705538</v>
      </c>
      <c r="AN98" s="46">
        <f t="shared" si="77"/>
        <v>50.795324113490814</v>
      </c>
      <c r="AO98" s="46">
        <f t="shared" si="77"/>
        <v>53.33509031916536</v>
      </c>
      <c r="AP98" s="46">
        <f t="shared" si="77"/>
        <v>56.001844835123627</v>
      </c>
      <c r="AQ98" s="46">
        <f t="shared" si="77"/>
        <v>58.80193707687981</v>
      </c>
      <c r="AR98" s="46">
        <f t="shared" si="77"/>
        <v>61.7420339307238</v>
      </c>
      <c r="AS98" s="46">
        <f t="shared" si="77"/>
        <v>64.829135627259987</v>
      </c>
      <c r="AT98" s="46">
        <f t="shared" si="77"/>
        <v>68.070592408622986</v>
      </c>
      <c r="AU98" s="46">
        <f t="shared" si="77"/>
        <v>71.474122029054143</v>
      </c>
      <c r="AV98" s="46">
        <f t="shared" ref="AO98:BD99" si="78">MIN(MAX($D98,AU98)*(1+$F98)*AV$9,$E98)</f>
        <v>75.047828130506858</v>
      </c>
      <c r="AW98" s="46">
        <f t="shared" si="78"/>
        <v>78.800219537032206</v>
      </c>
      <c r="AX98" s="46">
        <f t="shared" si="78"/>
        <v>82.740230513883816</v>
      </c>
      <c r="AY98" s="46">
        <f t="shared" si="78"/>
        <v>86.877242039578007</v>
      </c>
      <c r="AZ98" s="46">
        <f t="shared" si="78"/>
        <v>91.221104141556907</v>
      </c>
      <c r="BA98" s="46">
        <f t="shared" si="78"/>
        <v>95.78215934863475</v>
      </c>
      <c r="BB98" s="46">
        <f t="shared" si="78"/>
        <v>100.5712673160665</v>
      </c>
      <c r="BC98" s="46">
        <f t="shared" si="78"/>
        <v>105.59983068186983</v>
      </c>
      <c r="BD98" s="46">
        <f t="shared" si="78"/>
        <v>110.87982221596333</v>
      </c>
      <c r="BE98" s="46"/>
    </row>
    <row r="99" spans="1:57" ht="15" customHeight="1" x14ac:dyDescent="0.3">
      <c r="B99" s="37"/>
      <c r="C99" s="46" t="s">
        <v>87</v>
      </c>
      <c r="D99" s="49">
        <v>3000</v>
      </c>
      <c r="E99" s="49">
        <v>4000</v>
      </c>
      <c r="F99" s="50">
        <v>0.02</v>
      </c>
      <c r="H99" s="46">
        <v>0</v>
      </c>
      <c r="I99" s="46"/>
      <c r="J99" s="46"/>
      <c r="K99" s="46"/>
      <c r="L99" s="46"/>
      <c r="M99" s="46"/>
      <c r="N99" s="46"/>
      <c r="O99" s="46"/>
      <c r="P99" s="46">
        <f t="shared" si="76"/>
        <v>3060</v>
      </c>
      <c r="Q99" s="46">
        <f t="shared" si="76"/>
        <v>3121.2000000000003</v>
      </c>
      <c r="R99" s="46">
        <f t="shared" si="76"/>
        <v>3183.6240000000003</v>
      </c>
      <c r="S99" s="46">
        <f t="shared" si="76"/>
        <v>3247.2964800000004</v>
      </c>
      <c r="T99" s="46">
        <f t="shared" si="76"/>
        <v>3312.2424096000004</v>
      </c>
      <c r="U99" s="46">
        <f t="shared" si="76"/>
        <v>3378.4872577920005</v>
      </c>
      <c r="V99" s="46">
        <f t="shared" si="76"/>
        <v>3446.0570029478404</v>
      </c>
      <c r="W99" s="46">
        <f t="shared" si="76"/>
        <v>3514.9781430067974</v>
      </c>
      <c r="X99" s="46">
        <f t="shared" si="76"/>
        <v>3585.2777058669335</v>
      </c>
      <c r="Y99" s="46">
        <f t="shared" si="76"/>
        <v>3656.9832599842721</v>
      </c>
      <c r="Z99" s="46">
        <f t="shared" si="76"/>
        <v>3730.1229251839577</v>
      </c>
      <c r="AA99" s="46">
        <f t="shared" si="76"/>
        <v>3804.7253836876371</v>
      </c>
      <c r="AB99" s="46">
        <f t="shared" si="76"/>
        <v>3880.8198913613901</v>
      </c>
      <c r="AC99" s="46">
        <f t="shared" si="76"/>
        <v>3958.436289188618</v>
      </c>
      <c r="AD99" s="46">
        <f t="shared" si="76"/>
        <v>4000</v>
      </c>
      <c r="AE99" s="46">
        <f t="shared" si="76"/>
        <v>4000</v>
      </c>
      <c r="AF99" s="46">
        <f t="shared" si="77"/>
        <v>4000</v>
      </c>
      <c r="AG99" s="46">
        <f t="shared" si="77"/>
        <v>4000</v>
      </c>
      <c r="AH99" s="46">
        <f t="shared" si="77"/>
        <v>4000</v>
      </c>
      <c r="AI99" s="46">
        <f t="shared" si="77"/>
        <v>4000</v>
      </c>
      <c r="AJ99" s="46">
        <f t="shared" si="77"/>
        <v>4000</v>
      </c>
      <c r="AK99" s="46">
        <f t="shared" si="77"/>
        <v>4000</v>
      </c>
      <c r="AL99" s="46">
        <f t="shared" si="77"/>
        <v>4000</v>
      </c>
      <c r="AM99" s="46">
        <f t="shared" si="77"/>
        <v>4000</v>
      </c>
      <c r="AN99" s="46">
        <f t="shared" si="77"/>
        <v>4000</v>
      </c>
      <c r="AO99" s="46">
        <f t="shared" si="78"/>
        <v>4000</v>
      </c>
      <c r="AP99" s="46">
        <f t="shared" si="78"/>
        <v>4000</v>
      </c>
      <c r="AQ99" s="46">
        <f t="shared" si="78"/>
        <v>4000</v>
      </c>
      <c r="AR99" s="46">
        <f t="shared" si="78"/>
        <v>4000</v>
      </c>
      <c r="AS99" s="46">
        <f t="shared" si="78"/>
        <v>4000</v>
      </c>
      <c r="AT99" s="46">
        <f t="shared" si="78"/>
        <v>4000</v>
      </c>
      <c r="AU99" s="46">
        <f t="shared" si="78"/>
        <v>4000</v>
      </c>
      <c r="AV99" s="46">
        <f t="shared" si="78"/>
        <v>4000</v>
      </c>
      <c r="AW99" s="46">
        <f t="shared" si="78"/>
        <v>4000</v>
      </c>
      <c r="AX99" s="46">
        <f t="shared" si="78"/>
        <v>4000</v>
      </c>
      <c r="AY99" s="46">
        <f t="shared" si="78"/>
        <v>4000</v>
      </c>
      <c r="AZ99" s="46">
        <f t="shared" si="78"/>
        <v>4000</v>
      </c>
      <c r="BA99" s="46">
        <f t="shared" si="78"/>
        <v>4000</v>
      </c>
      <c r="BB99" s="46">
        <f t="shared" si="78"/>
        <v>4000</v>
      </c>
      <c r="BC99" s="46">
        <f t="shared" si="78"/>
        <v>4000</v>
      </c>
      <c r="BD99" s="46">
        <f t="shared" si="78"/>
        <v>4000</v>
      </c>
      <c r="BE99" s="46"/>
    </row>
    <row r="100" spans="1:57" ht="15" customHeight="1" x14ac:dyDescent="0.3">
      <c r="B100" s="37"/>
      <c r="C100" s="46" t="s">
        <v>100</v>
      </c>
      <c r="D100" s="46"/>
      <c r="E100" s="46"/>
      <c r="F100" s="46"/>
      <c r="H100" s="46">
        <v>0</v>
      </c>
      <c r="I100" s="51">
        <v>121685</v>
      </c>
      <c r="J100" s="51">
        <v>99698</v>
      </c>
      <c r="K100" s="51">
        <v>120493</v>
      </c>
      <c r="L100" s="51">
        <v>93722</v>
      </c>
      <c r="M100" s="51">
        <v>100729</v>
      </c>
      <c r="N100" s="51">
        <v>73874</v>
      </c>
      <c r="O100" s="51">
        <v>57077</v>
      </c>
      <c r="P100" s="51">
        <f t="shared" ref="P100:BD100" si="79">P98*P99</f>
        <v>48195</v>
      </c>
      <c r="Q100" s="51">
        <f t="shared" si="79"/>
        <v>51616.845000000008</v>
      </c>
      <c r="R100" s="51">
        <f t="shared" si="79"/>
        <v>55281.640995000016</v>
      </c>
      <c r="S100" s="51">
        <f t="shared" si="79"/>
        <v>59206.63750564502</v>
      </c>
      <c r="T100" s="51">
        <f t="shared" si="79"/>
        <v>63410.308768545809</v>
      </c>
      <c r="U100" s="51">
        <f t="shared" si="79"/>
        <v>67912.44069111257</v>
      </c>
      <c r="V100" s="51">
        <f t="shared" si="79"/>
        <v>72734.223980181559</v>
      </c>
      <c r="W100" s="51">
        <f t="shared" si="79"/>
        <v>77898.353882774463</v>
      </c>
      <c r="X100" s="51">
        <f t="shared" si="79"/>
        <v>83429.137008451449</v>
      </c>
      <c r="Y100" s="51">
        <f t="shared" si="79"/>
        <v>89352.605736051511</v>
      </c>
      <c r="Z100" s="51">
        <f t="shared" si="79"/>
        <v>95696.640743311174</v>
      </c>
      <c r="AA100" s="51">
        <f t="shared" si="79"/>
        <v>102491.10223608628</v>
      </c>
      <c r="AB100" s="51">
        <f t="shared" si="79"/>
        <v>109767.97049484841</v>
      </c>
      <c r="AC100" s="51">
        <f t="shared" si="79"/>
        <v>117561.49639998266</v>
      </c>
      <c r="AD100" s="51">
        <f t="shared" si="79"/>
        <v>124735.69076468211</v>
      </c>
      <c r="AE100" s="51">
        <f t="shared" si="79"/>
        <v>130972.47530291622</v>
      </c>
      <c r="AF100" s="51">
        <f t="shared" si="79"/>
        <v>137521.09906806203</v>
      </c>
      <c r="AG100" s="51">
        <f t="shared" si="79"/>
        <v>144397.15402146513</v>
      </c>
      <c r="AH100" s="51">
        <f t="shared" si="79"/>
        <v>151617.01172253839</v>
      </c>
      <c r="AI100" s="51">
        <f t="shared" si="79"/>
        <v>159197.86230866532</v>
      </c>
      <c r="AJ100" s="51">
        <f t="shared" si="79"/>
        <v>167157.75542409858</v>
      </c>
      <c r="AK100" s="51">
        <f t="shared" si="79"/>
        <v>175515.64319530351</v>
      </c>
      <c r="AL100" s="51">
        <f t="shared" si="79"/>
        <v>184291.4253550687</v>
      </c>
      <c r="AM100" s="51">
        <f t="shared" si="79"/>
        <v>193505.99662282216</v>
      </c>
      <c r="AN100" s="51">
        <f t="shared" si="79"/>
        <v>203181.29645396327</v>
      </c>
      <c r="AO100" s="51">
        <f t="shared" si="79"/>
        <v>213340.36127666145</v>
      </c>
      <c r="AP100" s="51">
        <f t="shared" si="79"/>
        <v>224007.37934049452</v>
      </c>
      <c r="AQ100" s="51">
        <f t="shared" si="79"/>
        <v>235207.74830751924</v>
      </c>
      <c r="AR100" s="51">
        <f t="shared" si="79"/>
        <v>246968.13572289521</v>
      </c>
      <c r="AS100" s="51">
        <f t="shared" si="79"/>
        <v>259316.54250903995</v>
      </c>
      <c r="AT100" s="51">
        <f t="shared" si="79"/>
        <v>272282.36963449192</v>
      </c>
      <c r="AU100" s="51">
        <f t="shared" si="79"/>
        <v>285896.48811621655</v>
      </c>
      <c r="AV100" s="51">
        <f t="shared" si="79"/>
        <v>300191.31252202741</v>
      </c>
      <c r="AW100" s="51">
        <f t="shared" si="79"/>
        <v>315200.8781481288</v>
      </c>
      <c r="AX100" s="51">
        <f t="shared" si="79"/>
        <v>330960.92205553525</v>
      </c>
      <c r="AY100" s="51">
        <f t="shared" si="79"/>
        <v>347508.96815831203</v>
      </c>
      <c r="AZ100" s="51">
        <f t="shared" si="79"/>
        <v>364884.41656622762</v>
      </c>
      <c r="BA100" s="51">
        <f t="shared" si="79"/>
        <v>383128.63739453902</v>
      </c>
      <c r="BB100" s="51">
        <f t="shared" si="79"/>
        <v>402285.069264266</v>
      </c>
      <c r="BC100" s="51">
        <f t="shared" si="79"/>
        <v>422399.32272747933</v>
      </c>
      <c r="BD100" s="51">
        <f t="shared" si="79"/>
        <v>443519.28886385332</v>
      </c>
      <c r="BE100" s="51"/>
    </row>
    <row r="101" spans="1:57" ht="14.25" customHeight="1" x14ac:dyDescent="0.3">
      <c r="A101" s="46"/>
      <c r="B101" s="37"/>
      <c r="C101" s="46"/>
      <c r="D101" s="46"/>
      <c r="E101" s="46"/>
      <c r="F101" s="46"/>
      <c r="G101" s="46"/>
      <c r="H101" s="46">
        <v>0</v>
      </c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6"/>
      <c r="AM101" s="46"/>
      <c r="AN101" s="46"/>
      <c r="AO101" s="46"/>
      <c r="AP101" s="46"/>
      <c r="AQ101" s="46"/>
      <c r="AR101" s="46"/>
      <c r="AS101" s="46"/>
      <c r="AT101" s="46"/>
      <c r="AU101" s="46"/>
      <c r="AV101" s="46"/>
      <c r="AW101" s="46"/>
      <c r="AX101" s="46"/>
      <c r="AY101" s="46"/>
      <c r="AZ101" s="46"/>
      <c r="BA101" s="46"/>
      <c r="BB101" s="46"/>
      <c r="BC101" s="46"/>
      <c r="BD101" s="46"/>
      <c r="BE101" s="46"/>
    </row>
    <row r="102" spans="1:57" ht="14.25" customHeight="1" x14ac:dyDescent="0.3">
      <c r="A102" s="46"/>
      <c r="B102" s="37"/>
      <c r="C102" s="46" t="s">
        <v>101</v>
      </c>
      <c r="D102" s="49">
        <f>-(D99*0.4)</f>
        <v>-1200</v>
      </c>
      <c r="E102" s="46"/>
      <c r="F102" s="46"/>
      <c r="G102" s="46"/>
      <c r="H102" s="46"/>
      <c r="I102" s="46">
        <f>-I100*0.35</f>
        <v>-42589.75</v>
      </c>
      <c r="J102" s="46">
        <f t="shared" ref="J102:BD102" si="80">-J100*0.35</f>
        <v>-34894.299999999996</v>
      </c>
      <c r="K102" s="46">
        <f t="shared" si="80"/>
        <v>-42172.549999999996</v>
      </c>
      <c r="L102" s="46">
        <f t="shared" si="80"/>
        <v>-32802.699999999997</v>
      </c>
      <c r="M102" s="46">
        <f t="shared" si="80"/>
        <v>-35255.149999999994</v>
      </c>
      <c r="N102" s="46">
        <f t="shared" si="80"/>
        <v>-25855.899999999998</v>
      </c>
      <c r="O102" s="46">
        <f t="shared" si="80"/>
        <v>-19976.949999999997</v>
      </c>
      <c r="P102" s="46">
        <f t="shared" si="80"/>
        <v>-16868.25</v>
      </c>
      <c r="Q102" s="46">
        <f t="shared" si="80"/>
        <v>-18065.895750000003</v>
      </c>
      <c r="R102" s="46">
        <f t="shared" si="80"/>
        <v>-19348.574348250004</v>
      </c>
      <c r="S102" s="46">
        <f t="shared" si="80"/>
        <v>-20722.323126975756</v>
      </c>
      <c r="T102" s="46">
        <f t="shared" si="80"/>
        <v>-22193.60806899103</v>
      </c>
      <c r="U102" s="46">
        <f t="shared" si="80"/>
        <v>-23769.354241889399</v>
      </c>
      <c r="V102" s="46">
        <f t="shared" si="80"/>
        <v>-25456.978393063546</v>
      </c>
      <c r="W102" s="46">
        <f t="shared" si="80"/>
        <v>-27264.423858971062</v>
      </c>
      <c r="X102" s="46">
        <f t="shared" si="80"/>
        <v>-29200.197952958006</v>
      </c>
      <c r="Y102" s="46">
        <f t="shared" si="80"/>
        <v>-31273.412007618026</v>
      </c>
      <c r="Z102" s="46">
        <f t="shared" si="80"/>
        <v>-33493.824260158908</v>
      </c>
      <c r="AA102" s="46">
        <f t="shared" si="80"/>
        <v>-35871.885782630197</v>
      </c>
      <c r="AB102" s="46">
        <f t="shared" si="80"/>
        <v>-38418.789673196945</v>
      </c>
      <c r="AC102" s="46">
        <f t="shared" si="80"/>
        <v>-41146.523739993929</v>
      </c>
      <c r="AD102" s="46">
        <f t="shared" si="80"/>
        <v>-43657.491767638734</v>
      </c>
      <c r="AE102" s="46">
        <f t="shared" si="80"/>
        <v>-45840.366356020677</v>
      </c>
      <c r="AF102" s="46">
        <f t="shared" si="80"/>
        <v>-48132.384673821711</v>
      </c>
      <c r="AG102" s="46">
        <f t="shared" si="80"/>
        <v>-50539.003907512793</v>
      </c>
      <c r="AH102" s="46">
        <f t="shared" si="80"/>
        <v>-53065.954102888434</v>
      </c>
      <c r="AI102" s="46">
        <f t="shared" si="80"/>
        <v>-55719.251808032859</v>
      </c>
      <c r="AJ102" s="46">
        <f t="shared" si="80"/>
        <v>-58505.214398434495</v>
      </c>
      <c r="AK102" s="46">
        <f t="shared" si="80"/>
        <v>-61430.475118356226</v>
      </c>
      <c r="AL102" s="46">
        <f t="shared" si="80"/>
        <v>-64501.998874274039</v>
      </c>
      <c r="AM102" s="46">
        <f t="shared" si="80"/>
        <v>-67727.098817987746</v>
      </c>
      <c r="AN102" s="46">
        <f t="shared" si="80"/>
        <v>-71113.453758887132</v>
      </c>
      <c r="AO102" s="46">
        <f t="shared" si="80"/>
        <v>-74669.126446831506</v>
      </c>
      <c r="AP102" s="46">
        <f t="shared" si="80"/>
        <v>-78402.582769173081</v>
      </c>
      <c r="AQ102" s="46">
        <f t="shared" si="80"/>
        <v>-82322.711907631732</v>
      </c>
      <c r="AR102" s="46">
        <f t="shared" si="80"/>
        <v>-86438.847503013312</v>
      </c>
      <c r="AS102" s="46">
        <f t="shared" si="80"/>
        <v>-90760.789878163981</v>
      </c>
      <c r="AT102" s="46">
        <f t="shared" si="80"/>
        <v>-95298.82937207217</v>
      </c>
      <c r="AU102" s="46">
        <f t="shared" si="80"/>
        <v>-100063.77084067579</v>
      </c>
      <c r="AV102" s="46">
        <f t="shared" si="80"/>
        <v>-105066.95938270958</v>
      </c>
      <c r="AW102" s="46">
        <f t="shared" si="80"/>
        <v>-110320.30735184507</v>
      </c>
      <c r="AX102" s="46">
        <f t="shared" si="80"/>
        <v>-115836.32271943733</v>
      </c>
      <c r="AY102" s="46">
        <f t="shared" si="80"/>
        <v>-121628.1388554092</v>
      </c>
      <c r="AZ102" s="46">
        <f t="shared" si="80"/>
        <v>-127709.54579817966</v>
      </c>
      <c r="BA102" s="46">
        <f t="shared" si="80"/>
        <v>-134095.02308808864</v>
      </c>
      <c r="BB102" s="46">
        <f t="shared" si="80"/>
        <v>-140799.77424249309</v>
      </c>
      <c r="BC102" s="46">
        <f t="shared" si="80"/>
        <v>-147839.76295461776</v>
      </c>
      <c r="BD102" s="46">
        <f t="shared" si="80"/>
        <v>-155231.75110234864</v>
      </c>
      <c r="BE102" s="46"/>
    </row>
    <row r="103" spans="1:57" ht="14.25" customHeight="1" x14ac:dyDescent="0.3">
      <c r="A103" s="46"/>
      <c r="B103" s="37"/>
      <c r="C103" s="46"/>
      <c r="D103" s="46"/>
      <c r="E103" s="46"/>
      <c r="F103" s="46"/>
      <c r="G103" s="46"/>
      <c r="H103" s="46">
        <v>0</v>
      </c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  <c r="AE103" s="46"/>
      <c r="AF103" s="46"/>
      <c r="AG103" s="46"/>
      <c r="AH103" s="46"/>
      <c r="AI103" s="46"/>
      <c r="AJ103" s="46"/>
      <c r="AK103" s="46"/>
      <c r="AL103" s="46"/>
      <c r="AM103" s="46"/>
      <c r="AN103" s="46"/>
      <c r="AO103" s="46"/>
      <c r="AP103" s="46"/>
      <c r="AQ103" s="46"/>
      <c r="AR103" s="46"/>
      <c r="AS103" s="46"/>
      <c r="AT103" s="46"/>
      <c r="AU103" s="46"/>
      <c r="AV103" s="46"/>
      <c r="AW103" s="46"/>
      <c r="AX103" s="46"/>
      <c r="AY103" s="46"/>
      <c r="AZ103" s="46"/>
      <c r="BA103" s="46"/>
      <c r="BB103" s="46"/>
      <c r="BC103" s="46"/>
      <c r="BD103" s="46"/>
      <c r="BE103" s="46"/>
    </row>
    <row r="104" spans="1:57" ht="15" customHeight="1" x14ac:dyDescent="0.3">
      <c r="B104" s="37"/>
      <c r="C104" s="37" t="s">
        <v>102</v>
      </c>
      <c r="D104" s="46" t="s">
        <v>49</v>
      </c>
      <c r="E104" s="46" t="s">
        <v>50</v>
      </c>
      <c r="F104" s="46" t="s">
        <v>51</v>
      </c>
      <c r="H104" s="46">
        <v>0</v>
      </c>
    </row>
    <row r="105" spans="1:57" ht="15" customHeight="1" x14ac:dyDescent="0.3">
      <c r="B105" s="37"/>
      <c r="C105" s="46" t="s">
        <v>103</v>
      </c>
      <c r="D105" s="52">
        <f>D93</f>
        <v>15</v>
      </c>
      <c r="E105" s="52">
        <f>E93</f>
        <v>130</v>
      </c>
      <c r="F105" s="50">
        <v>0.05</v>
      </c>
      <c r="H105" s="46">
        <v>0</v>
      </c>
      <c r="I105" s="46"/>
      <c r="J105" s="46"/>
      <c r="K105" s="46"/>
      <c r="L105" s="46"/>
      <c r="M105" s="46"/>
      <c r="N105" s="46"/>
      <c r="O105" s="46"/>
      <c r="P105" s="46">
        <f t="shared" ref="P105:AE106" si="81">MIN(MAX($D105,O105)*(1+$F105)*P$9,$E105)</f>
        <v>15.75</v>
      </c>
      <c r="Q105" s="46">
        <f t="shared" si="81"/>
        <v>16.537500000000001</v>
      </c>
      <c r="R105" s="46">
        <f t="shared" si="81"/>
        <v>17.364375000000003</v>
      </c>
      <c r="S105" s="46">
        <f t="shared" si="81"/>
        <v>18.232593750000003</v>
      </c>
      <c r="T105" s="46">
        <f t="shared" si="81"/>
        <v>19.144223437500003</v>
      </c>
      <c r="U105" s="46">
        <f t="shared" si="81"/>
        <v>20.101434609375005</v>
      </c>
      <c r="V105" s="46">
        <f t="shared" si="81"/>
        <v>21.106506339843754</v>
      </c>
      <c r="W105" s="46">
        <f t="shared" si="81"/>
        <v>22.161831656835943</v>
      </c>
      <c r="X105" s="46">
        <f t="shared" si="81"/>
        <v>23.269923239677741</v>
      </c>
      <c r="Y105" s="46">
        <f t="shared" si="81"/>
        <v>24.433419401661631</v>
      </c>
      <c r="Z105" s="46">
        <f t="shared" si="81"/>
        <v>25.655090371744713</v>
      </c>
      <c r="AA105" s="46">
        <f t="shared" si="81"/>
        <v>26.937844890331949</v>
      </c>
      <c r="AB105" s="46">
        <f t="shared" si="81"/>
        <v>28.284737134848548</v>
      </c>
      <c r="AC105" s="46">
        <f t="shared" si="81"/>
        <v>29.698973991590975</v>
      </c>
      <c r="AD105" s="46">
        <f t="shared" si="81"/>
        <v>31.183922691170526</v>
      </c>
      <c r="AE105" s="46">
        <f t="shared" si="81"/>
        <v>32.743118825729056</v>
      </c>
      <c r="AF105" s="46">
        <f t="shared" ref="AF105:AU106" si="82">MIN(MAX($D105,AE105)*(1+$F105)*AF$9,$E105)</f>
        <v>34.380274767015507</v>
      </c>
      <c r="AG105" s="46">
        <f t="shared" si="82"/>
        <v>36.099288505366282</v>
      </c>
      <c r="AH105" s="46">
        <f t="shared" si="82"/>
        <v>37.904252930634598</v>
      </c>
      <c r="AI105" s="46">
        <f t="shared" si="82"/>
        <v>39.79946557716633</v>
      </c>
      <c r="AJ105" s="46">
        <f t="shared" si="82"/>
        <v>41.789438856024645</v>
      </c>
      <c r="AK105" s="46">
        <f t="shared" si="82"/>
        <v>43.878910798825878</v>
      </c>
      <c r="AL105" s="46">
        <f t="shared" si="82"/>
        <v>46.072856338767174</v>
      </c>
      <c r="AM105" s="46">
        <f t="shared" si="82"/>
        <v>48.376499155705538</v>
      </c>
      <c r="AN105" s="46">
        <f t="shared" si="82"/>
        <v>50.795324113490814</v>
      </c>
      <c r="AO105" s="46">
        <f t="shared" si="82"/>
        <v>53.33509031916536</v>
      </c>
      <c r="AP105" s="46">
        <f t="shared" si="82"/>
        <v>56.001844835123627</v>
      </c>
      <c r="AQ105" s="46">
        <f t="shared" si="82"/>
        <v>58.80193707687981</v>
      </c>
      <c r="AR105" s="46">
        <f t="shared" si="82"/>
        <v>61.7420339307238</v>
      </c>
      <c r="AS105" s="46">
        <f t="shared" si="82"/>
        <v>64.829135627259987</v>
      </c>
      <c r="AT105" s="46">
        <f t="shared" si="82"/>
        <v>68.070592408622986</v>
      </c>
      <c r="AU105" s="46">
        <f t="shared" si="82"/>
        <v>71.474122029054143</v>
      </c>
      <c r="AV105" s="46">
        <f t="shared" ref="AO105:BD106" si="83">MIN(MAX($D105,AU105)*(1+$F105)*AV$9,$E105)</f>
        <v>75.047828130506858</v>
      </c>
      <c r="AW105" s="46">
        <f t="shared" si="83"/>
        <v>78.800219537032206</v>
      </c>
      <c r="AX105" s="46">
        <f t="shared" si="83"/>
        <v>82.740230513883816</v>
      </c>
      <c r="AY105" s="46">
        <f t="shared" si="83"/>
        <v>86.877242039578007</v>
      </c>
      <c r="AZ105" s="46">
        <f t="shared" si="83"/>
        <v>91.221104141556907</v>
      </c>
      <c r="BA105" s="46">
        <f t="shared" si="83"/>
        <v>95.78215934863475</v>
      </c>
      <c r="BB105" s="46">
        <f t="shared" si="83"/>
        <v>100.5712673160665</v>
      </c>
      <c r="BC105" s="46">
        <f t="shared" si="83"/>
        <v>105.59983068186983</v>
      </c>
      <c r="BD105" s="46">
        <f t="shared" si="83"/>
        <v>110.87982221596333</v>
      </c>
      <c r="BE105" s="46"/>
    </row>
    <row r="106" spans="1:57" ht="15" customHeight="1" x14ac:dyDescent="0.3">
      <c r="B106" s="37"/>
      <c r="C106" s="46" t="s">
        <v>87</v>
      </c>
      <c r="D106" s="49">
        <v>2545</v>
      </c>
      <c r="E106" s="49">
        <v>5261</v>
      </c>
      <c r="F106" s="50">
        <v>0.05</v>
      </c>
      <c r="H106" s="46">
        <v>0</v>
      </c>
      <c r="I106" s="46"/>
      <c r="J106" s="46"/>
      <c r="K106" s="46"/>
      <c r="L106" s="46"/>
      <c r="M106" s="46"/>
      <c r="N106" s="46"/>
      <c r="O106" s="46"/>
      <c r="P106" s="46">
        <f t="shared" si="81"/>
        <v>2672.25</v>
      </c>
      <c r="Q106" s="46">
        <f t="shared" si="81"/>
        <v>2805.8625000000002</v>
      </c>
      <c r="R106" s="46">
        <f t="shared" si="81"/>
        <v>2946.1556250000003</v>
      </c>
      <c r="S106" s="46">
        <f t="shared" si="81"/>
        <v>3093.4634062500004</v>
      </c>
      <c r="T106" s="46">
        <f t="shared" si="81"/>
        <v>3248.1365765625005</v>
      </c>
      <c r="U106" s="46">
        <f t="shared" si="81"/>
        <v>3410.5434053906256</v>
      </c>
      <c r="V106" s="46">
        <f t="shared" si="81"/>
        <v>3581.0705756601569</v>
      </c>
      <c r="W106" s="46">
        <f t="shared" si="81"/>
        <v>3760.1241044431649</v>
      </c>
      <c r="X106" s="46">
        <f t="shared" si="81"/>
        <v>3948.1303096653232</v>
      </c>
      <c r="Y106" s="46">
        <f t="shared" si="81"/>
        <v>4145.5368251485897</v>
      </c>
      <c r="Z106" s="46">
        <f t="shared" si="81"/>
        <v>4352.8136664060194</v>
      </c>
      <c r="AA106" s="46">
        <f t="shared" si="81"/>
        <v>4570.4543497263203</v>
      </c>
      <c r="AB106" s="46">
        <f t="shared" si="81"/>
        <v>4798.9770672126369</v>
      </c>
      <c r="AC106" s="46">
        <f t="shared" si="81"/>
        <v>5038.9259205732687</v>
      </c>
      <c r="AD106" s="46">
        <f t="shared" si="81"/>
        <v>5261</v>
      </c>
      <c r="AE106" s="46">
        <f t="shared" si="81"/>
        <v>5261</v>
      </c>
      <c r="AF106" s="46">
        <f t="shared" si="82"/>
        <v>5261</v>
      </c>
      <c r="AG106" s="46">
        <f t="shared" si="82"/>
        <v>5261</v>
      </c>
      <c r="AH106" s="46">
        <f t="shared" si="82"/>
        <v>5261</v>
      </c>
      <c r="AI106" s="46">
        <f t="shared" si="82"/>
        <v>5261</v>
      </c>
      <c r="AJ106" s="46">
        <f t="shared" si="82"/>
        <v>5261</v>
      </c>
      <c r="AK106" s="46">
        <f t="shared" si="82"/>
        <v>5261</v>
      </c>
      <c r="AL106" s="46">
        <f t="shared" si="82"/>
        <v>5261</v>
      </c>
      <c r="AM106" s="46">
        <f t="shared" si="82"/>
        <v>5261</v>
      </c>
      <c r="AN106" s="46">
        <f t="shared" si="82"/>
        <v>5261</v>
      </c>
      <c r="AO106" s="46">
        <f t="shared" si="83"/>
        <v>5261</v>
      </c>
      <c r="AP106" s="46">
        <f t="shared" si="83"/>
        <v>5261</v>
      </c>
      <c r="AQ106" s="46">
        <f t="shared" si="83"/>
        <v>5261</v>
      </c>
      <c r="AR106" s="46">
        <f t="shared" si="83"/>
        <v>5261</v>
      </c>
      <c r="AS106" s="46">
        <f t="shared" si="83"/>
        <v>5261</v>
      </c>
      <c r="AT106" s="46">
        <f t="shared" si="83"/>
        <v>5261</v>
      </c>
      <c r="AU106" s="46">
        <f t="shared" si="83"/>
        <v>5261</v>
      </c>
      <c r="AV106" s="46">
        <f t="shared" si="83"/>
        <v>5261</v>
      </c>
      <c r="AW106" s="46">
        <f t="shared" si="83"/>
        <v>5261</v>
      </c>
      <c r="AX106" s="46">
        <f t="shared" si="83"/>
        <v>5261</v>
      </c>
      <c r="AY106" s="46">
        <f t="shared" si="83"/>
        <v>5261</v>
      </c>
      <c r="AZ106" s="46">
        <f t="shared" si="83"/>
        <v>5261</v>
      </c>
      <c r="BA106" s="46">
        <f t="shared" si="83"/>
        <v>5261</v>
      </c>
      <c r="BB106" s="46">
        <f t="shared" si="83"/>
        <v>5261</v>
      </c>
      <c r="BC106" s="46">
        <f t="shared" si="83"/>
        <v>5261</v>
      </c>
      <c r="BD106" s="46">
        <f t="shared" si="83"/>
        <v>5261</v>
      </c>
      <c r="BE106" s="46"/>
    </row>
    <row r="107" spans="1:57" ht="15" customHeight="1" x14ac:dyDescent="0.3">
      <c r="B107" s="37"/>
      <c r="C107" s="46" t="s">
        <v>104</v>
      </c>
      <c r="D107" s="46"/>
      <c r="E107" s="46"/>
      <c r="F107" s="46"/>
      <c r="H107" s="46">
        <v>0</v>
      </c>
      <c r="I107" s="51">
        <v>123834</v>
      </c>
      <c r="J107" s="51">
        <v>102626</v>
      </c>
      <c r="K107" s="51">
        <v>93934</v>
      </c>
      <c r="L107" s="51">
        <v>137037</v>
      </c>
      <c r="M107" s="51">
        <v>120455</v>
      </c>
      <c r="N107" s="51">
        <v>144217</v>
      </c>
      <c r="O107" s="51">
        <v>80536</v>
      </c>
      <c r="P107" s="51">
        <f t="shared" ref="P107:BD107" si="84">P105*P106</f>
        <v>42087.9375</v>
      </c>
      <c r="Q107" s="51">
        <f t="shared" si="84"/>
        <v>46401.951093750009</v>
      </c>
      <c r="R107" s="51">
        <f t="shared" si="84"/>
        <v>51158.151080859388</v>
      </c>
      <c r="S107" s="51">
        <f t="shared" si="84"/>
        <v>56401.86156664748</v>
      </c>
      <c r="T107" s="51">
        <f t="shared" si="84"/>
        <v>62183.052377228843</v>
      </c>
      <c r="U107" s="51">
        <f t="shared" si="84"/>
        <v>68556.815245894803</v>
      </c>
      <c r="V107" s="51">
        <f t="shared" si="84"/>
        <v>75583.888808599018</v>
      </c>
      <c r="W107" s="51">
        <f t="shared" si="84"/>
        <v>83331.237411480426</v>
      </c>
      <c r="X107" s="51">
        <f t="shared" si="84"/>
        <v>91872.689246157184</v>
      </c>
      <c r="Y107" s="51">
        <f t="shared" si="84"/>
        <v>101289.63989388831</v>
      </c>
      <c r="Z107" s="51">
        <f t="shared" si="84"/>
        <v>111671.82798301187</v>
      </c>
      <c r="AA107" s="51">
        <f t="shared" si="84"/>
        <v>123118.19035127059</v>
      </c>
      <c r="AB107" s="51">
        <f t="shared" si="84"/>
        <v>135737.80486227584</v>
      </c>
      <c r="AC107" s="51">
        <f t="shared" si="84"/>
        <v>149650.92986065912</v>
      </c>
      <c r="AD107" s="51">
        <f t="shared" si="84"/>
        <v>164058.61727824813</v>
      </c>
      <c r="AE107" s="51">
        <f t="shared" si="84"/>
        <v>172261.54814216055</v>
      </c>
      <c r="AF107" s="51">
        <f t="shared" si="84"/>
        <v>180874.62554926859</v>
      </c>
      <c r="AG107" s="51">
        <f t="shared" si="84"/>
        <v>189918.35682673202</v>
      </c>
      <c r="AH107" s="51">
        <f t="shared" si="84"/>
        <v>199414.27466806863</v>
      </c>
      <c r="AI107" s="51">
        <f t="shared" si="84"/>
        <v>209384.98840147207</v>
      </c>
      <c r="AJ107" s="51">
        <f t="shared" si="84"/>
        <v>219854.23782154566</v>
      </c>
      <c r="AK107" s="51">
        <f t="shared" si="84"/>
        <v>230846.94971262294</v>
      </c>
      <c r="AL107" s="51">
        <f t="shared" si="84"/>
        <v>242389.29719825409</v>
      </c>
      <c r="AM107" s="51">
        <f t="shared" si="84"/>
        <v>254508.76205816685</v>
      </c>
      <c r="AN107" s="51">
        <f t="shared" si="84"/>
        <v>267234.20016107516</v>
      </c>
      <c r="AO107" s="51">
        <f t="shared" si="84"/>
        <v>280595.91016912897</v>
      </c>
      <c r="AP107" s="51">
        <f t="shared" si="84"/>
        <v>294625.70567758539</v>
      </c>
      <c r="AQ107" s="51">
        <f t="shared" si="84"/>
        <v>309356.9909614647</v>
      </c>
      <c r="AR107" s="51">
        <f t="shared" si="84"/>
        <v>324824.8405095379</v>
      </c>
      <c r="AS107" s="51">
        <f t="shared" si="84"/>
        <v>341066.08253501478</v>
      </c>
      <c r="AT107" s="51">
        <f t="shared" si="84"/>
        <v>358119.38666176551</v>
      </c>
      <c r="AU107" s="51">
        <f t="shared" si="84"/>
        <v>376025.35599485383</v>
      </c>
      <c r="AV107" s="51">
        <f t="shared" si="84"/>
        <v>394826.62379459658</v>
      </c>
      <c r="AW107" s="51">
        <f t="shared" si="84"/>
        <v>414567.95498432644</v>
      </c>
      <c r="AX107" s="51">
        <f t="shared" si="84"/>
        <v>435296.35273354274</v>
      </c>
      <c r="AY107" s="51">
        <f t="shared" si="84"/>
        <v>457061.17037021992</v>
      </c>
      <c r="AZ107" s="51">
        <f t="shared" si="84"/>
        <v>479914.22888873087</v>
      </c>
      <c r="BA107" s="51">
        <f t="shared" si="84"/>
        <v>503909.94033316744</v>
      </c>
      <c r="BB107" s="51">
        <f t="shared" si="84"/>
        <v>529105.43734982586</v>
      </c>
      <c r="BC107" s="51">
        <f t="shared" si="84"/>
        <v>555560.70921731717</v>
      </c>
      <c r="BD107" s="51">
        <f t="shared" si="84"/>
        <v>583338.74467818311</v>
      </c>
      <c r="BE107" s="51"/>
    </row>
    <row r="108" spans="1:57" ht="14.25" customHeight="1" x14ac:dyDescent="0.3">
      <c r="A108" s="46"/>
      <c r="B108" s="37"/>
      <c r="C108" s="46"/>
      <c r="D108" s="46"/>
      <c r="E108" s="46"/>
      <c r="F108" s="46"/>
      <c r="G108" s="46"/>
      <c r="H108" s="46">
        <v>0</v>
      </c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  <c r="AD108" s="46"/>
      <c r="AE108" s="46"/>
      <c r="AF108" s="46"/>
      <c r="AG108" s="46"/>
      <c r="AH108" s="46"/>
      <c r="AI108" s="46"/>
      <c r="AJ108" s="46"/>
      <c r="AK108" s="46"/>
      <c r="AL108" s="46"/>
      <c r="AM108" s="46"/>
      <c r="AN108" s="46"/>
      <c r="AO108" s="46"/>
      <c r="AP108" s="46"/>
      <c r="AQ108" s="46"/>
      <c r="AR108" s="46"/>
      <c r="AS108" s="46"/>
      <c r="AT108" s="46"/>
      <c r="AU108" s="46"/>
      <c r="AV108" s="46"/>
      <c r="AW108" s="46"/>
      <c r="AX108" s="46"/>
      <c r="AY108" s="46"/>
      <c r="AZ108" s="46"/>
      <c r="BA108" s="46"/>
      <c r="BB108" s="46"/>
      <c r="BC108" s="46"/>
      <c r="BD108" s="46"/>
      <c r="BE108" s="46"/>
    </row>
    <row r="109" spans="1:57" ht="14.25" customHeight="1" x14ac:dyDescent="0.3">
      <c r="A109" s="46"/>
      <c r="B109" s="37"/>
      <c r="C109" s="46" t="s">
        <v>105</v>
      </c>
      <c r="D109" s="49">
        <f>-(D106*0.65)</f>
        <v>-1654.25</v>
      </c>
      <c r="E109" s="46"/>
      <c r="F109" s="46"/>
      <c r="G109" s="46"/>
      <c r="H109" s="46"/>
      <c r="I109" s="46">
        <f>-I107*0.65</f>
        <v>-80492.100000000006</v>
      </c>
      <c r="J109" s="46">
        <f t="shared" ref="J109:BD109" si="85">-J107*0.65</f>
        <v>-66706.900000000009</v>
      </c>
      <c r="K109" s="46">
        <f t="shared" si="85"/>
        <v>-61057.1</v>
      </c>
      <c r="L109" s="46">
        <f t="shared" si="85"/>
        <v>-89074.05</v>
      </c>
      <c r="M109" s="46">
        <f t="shared" si="85"/>
        <v>-78295.75</v>
      </c>
      <c r="N109" s="46">
        <f t="shared" si="85"/>
        <v>-93741.05</v>
      </c>
      <c r="O109" s="46">
        <f t="shared" si="85"/>
        <v>-52348.4</v>
      </c>
      <c r="P109" s="46">
        <f t="shared" si="85"/>
        <v>-27357.159374999999</v>
      </c>
      <c r="Q109" s="46">
        <f t="shared" si="85"/>
        <v>-30161.268210937506</v>
      </c>
      <c r="R109" s="46">
        <f t="shared" si="85"/>
        <v>-33252.798202558602</v>
      </c>
      <c r="S109" s="46">
        <f t="shared" si="85"/>
        <v>-36661.21001832086</v>
      </c>
      <c r="T109" s="46">
        <f t="shared" si="85"/>
        <v>-40418.984045198747</v>
      </c>
      <c r="U109" s="46">
        <f t="shared" si="85"/>
        <v>-44561.929909831626</v>
      </c>
      <c r="V109" s="46">
        <f t="shared" si="85"/>
        <v>-49129.527725589367</v>
      </c>
      <c r="W109" s="46">
        <f t="shared" si="85"/>
        <v>-54165.30431746228</v>
      </c>
      <c r="X109" s="46">
        <f t="shared" si="85"/>
        <v>-59717.248010002171</v>
      </c>
      <c r="Y109" s="46">
        <f t="shared" si="85"/>
        <v>-65838.265931027403</v>
      </c>
      <c r="Z109" s="46">
        <f t="shared" si="85"/>
        <v>-72586.68818895772</v>
      </c>
      <c r="AA109" s="46">
        <f t="shared" si="85"/>
        <v>-80026.823728325893</v>
      </c>
      <c r="AB109" s="46">
        <f t="shared" si="85"/>
        <v>-88229.573160479296</v>
      </c>
      <c r="AC109" s="46">
        <f t="shared" si="85"/>
        <v>-97273.10440942843</v>
      </c>
      <c r="AD109" s="46">
        <f t="shared" si="85"/>
        <v>-106638.10123086128</v>
      </c>
      <c r="AE109" s="46">
        <f t="shared" si="85"/>
        <v>-111970.00629240436</v>
      </c>
      <c r="AF109" s="46">
        <f t="shared" si="85"/>
        <v>-117568.50660702458</v>
      </c>
      <c r="AG109" s="46">
        <f t="shared" si="85"/>
        <v>-123446.93193737582</v>
      </c>
      <c r="AH109" s="46">
        <f t="shared" si="85"/>
        <v>-129619.27853424462</v>
      </c>
      <c r="AI109" s="46">
        <f t="shared" si="85"/>
        <v>-136100.24246095686</v>
      </c>
      <c r="AJ109" s="46">
        <f t="shared" si="85"/>
        <v>-142905.2545840047</v>
      </c>
      <c r="AK109" s="46">
        <f t="shared" si="85"/>
        <v>-150050.51731320491</v>
      </c>
      <c r="AL109" s="46">
        <f t="shared" si="85"/>
        <v>-157553.04317886516</v>
      </c>
      <c r="AM109" s="46">
        <f t="shared" si="85"/>
        <v>-165430.69533780846</v>
      </c>
      <c r="AN109" s="46">
        <f t="shared" si="85"/>
        <v>-173702.23010469886</v>
      </c>
      <c r="AO109" s="46">
        <f t="shared" si="85"/>
        <v>-182387.34160993385</v>
      </c>
      <c r="AP109" s="46">
        <f t="shared" si="85"/>
        <v>-191506.7086904305</v>
      </c>
      <c r="AQ109" s="46">
        <f t="shared" si="85"/>
        <v>-201082.04412495205</v>
      </c>
      <c r="AR109" s="46">
        <f t="shared" si="85"/>
        <v>-211136.14633119965</v>
      </c>
      <c r="AS109" s="46">
        <f t="shared" si="85"/>
        <v>-221692.95364775963</v>
      </c>
      <c r="AT109" s="46">
        <f t="shared" si="85"/>
        <v>-232777.60133014759</v>
      </c>
      <c r="AU109" s="46">
        <f t="shared" si="85"/>
        <v>-244416.481396655</v>
      </c>
      <c r="AV109" s="46">
        <f t="shared" si="85"/>
        <v>-256637.3054664878</v>
      </c>
      <c r="AW109" s="46">
        <f t="shared" si="85"/>
        <v>-269469.17073981219</v>
      </c>
      <c r="AX109" s="46">
        <f t="shared" si="85"/>
        <v>-282942.62927680276</v>
      </c>
      <c r="AY109" s="46">
        <f t="shared" si="85"/>
        <v>-297089.76074064296</v>
      </c>
      <c r="AZ109" s="46">
        <f t="shared" si="85"/>
        <v>-311944.24877767509</v>
      </c>
      <c r="BA109" s="46">
        <f t="shared" si="85"/>
        <v>-327541.46121655882</v>
      </c>
      <c r="BB109" s="46">
        <f t="shared" si="85"/>
        <v>-343918.53427738685</v>
      </c>
      <c r="BC109" s="46">
        <f t="shared" si="85"/>
        <v>-361114.46099125617</v>
      </c>
      <c r="BD109" s="46">
        <f t="shared" si="85"/>
        <v>-379170.18404081906</v>
      </c>
      <c r="BE109" s="46"/>
    </row>
    <row r="110" spans="1:57" ht="14.25" customHeight="1" x14ac:dyDescent="0.3">
      <c r="A110" s="46"/>
      <c r="B110" s="37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  <c r="AD110" s="46"/>
      <c r="AE110" s="46"/>
      <c r="AF110" s="46"/>
      <c r="AG110" s="46"/>
      <c r="AH110" s="46"/>
      <c r="AI110" s="46"/>
      <c r="AJ110" s="46"/>
      <c r="AK110" s="46"/>
      <c r="AL110" s="46"/>
      <c r="AM110" s="46"/>
      <c r="AN110" s="46"/>
      <c r="AO110" s="46"/>
      <c r="AP110" s="46"/>
      <c r="AQ110" s="46"/>
      <c r="AR110" s="46"/>
      <c r="AS110" s="46"/>
      <c r="AT110" s="46"/>
      <c r="AU110" s="46"/>
      <c r="AV110" s="46"/>
      <c r="AW110" s="46"/>
      <c r="AX110" s="46"/>
      <c r="AY110" s="46"/>
      <c r="AZ110" s="46"/>
      <c r="BA110" s="46"/>
      <c r="BB110" s="46"/>
      <c r="BC110" s="46"/>
      <c r="BD110" s="46"/>
      <c r="BE110" s="46"/>
    </row>
    <row r="111" spans="1:57" ht="15" customHeight="1" x14ac:dyDescent="0.3">
      <c r="B111" s="37"/>
      <c r="C111" s="37" t="s">
        <v>106</v>
      </c>
      <c r="D111" s="46" t="s">
        <v>49</v>
      </c>
      <c r="E111" s="46" t="s">
        <v>50</v>
      </c>
      <c r="F111" s="46" t="s">
        <v>51</v>
      </c>
      <c r="H111" s="46">
        <v>0</v>
      </c>
    </row>
    <row r="112" spans="1:57" ht="15" customHeight="1" x14ac:dyDescent="0.3">
      <c r="B112" s="37"/>
      <c r="C112" s="46" t="s">
        <v>107</v>
      </c>
      <c r="D112" s="52">
        <v>0</v>
      </c>
      <c r="E112" s="52">
        <v>0</v>
      </c>
      <c r="F112" s="50">
        <v>0</v>
      </c>
      <c r="H112" s="46">
        <v>0</v>
      </c>
      <c r="I112" s="46">
        <v>1</v>
      </c>
      <c r="J112" s="46">
        <f t="shared" ref="J112:Y113" si="86">MIN(MAX($D112,I112)*(1+$F112)*J$9,$E112)</f>
        <v>0</v>
      </c>
      <c r="K112" s="46">
        <f t="shared" si="86"/>
        <v>0</v>
      </c>
      <c r="L112" s="46">
        <f t="shared" si="86"/>
        <v>0</v>
      </c>
      <c r="M112" s="46">
        <f t="shared" si="86"/>
        <v>0</v>
      </c>
      <c r="N112" s="46">
        <f t="shared" si="86"/>
        <v>0</v>
      </c>
      <c r="O112" s="46">
        <f t="shared" si="86"/>
        <v>0</v>
      </c>
      <c r="P112" s="46">
        <f t="shared" si="86"/>
        <v>0</v>
      </c>
      <c r="Q112" s="46">
        <f t="shared" si="86"/>
        <v>0</v>
      </c>
      <c r="R112" s="46">
        <f t="shared" si="86"/>
        <v>0</v>
      </c>
      <c r="S112" s="46">
        <f t="shared" si="86"/>
        <v>0</v>
      </c>
      <c r="T112" s="46">
        <f t="shared" si="86"/>
        <v>0</v>
      </c>
      <c r="U112" s="46">
        <f t="shared" si="86"/>
        <v>0</v>
      </c>
      <c r="V112" s="46">
        <f t="shared" si="86"/>
        <v>0</v>
      </c>
      <c r="W112" s="46">
        <f t="shared" si="86"/>
        <v>0</v>
      </c>
      <c r="X112" s="46">
        <f t="shared" si="86"/>
        <v>0</v>
      </c>
      <c r="Y112" s="46">
        <f t="shared" si="86"/>
        <v>0</v>
      </c>
      <c r="Z112" s="46">
        <f t="shared" ref="Z112:AO113" si="87">MIN(MAX($D112,Y112)*(1+$F112)*Z$9,$E112)</f>
        <v>0</v>
      </c>
      <c r="AA112" s="46">
        <f t="shared" si="87"/>
        <v>0</v>
      </c>
      <c r="AB112" s="46">
        <f t="shared" si="87"/>
        <v>0</v>
      </c>
      <c r="AC112" s="46">
        <f t="shared" si="87"/>
        <v>0</v>
      </c>
      <c r="AD112" s="46">
        <f t="shared" si="87"/>
        <v>0</v>
      </c>
      <c r="AE112" s="46">
        <f t="shared" si="87"/>
        <v>0</v>
      </c>
      <c r="AF112" s="46">
        <f t="shared" si="87"/>
        <v>0</v>
      </c>
      <c r="AG112" s="46">
        <f t="shared" si="87"/>
        <v>0</v>
      </c>
      <c r="AH112" s="46">
        <f t="shared" si="87"/>
        <v>0</v>
      </c>
      <c r="AI112" s="46">
        <f t="shared" si="87"/>
        <v>0</v>
      </c>
      <c r="AJ112" s="46">
        <f t="shared" si="87"/>
        <v>0</v>
      </c>
      <c r="AK112" s="46">
        <f t="shared" si="87"/>
        <v>0</v>
      </c>
      <c r="AL112" s="46">
        <f t="shared" si="87"/>
        <v>0</v>
      </c>
      <c r="AM112" s="46">
        <f t="shared" si="87"/>
        <v>0</v>
      </c>
      <c r="AN112" s="46">
        <f t="shared" si="87"/>
        <v>0</v>
      </c>
      <c r="AO112" s="46">
        <f t="shared" si="87"/>
        <v>0</v>
      </c>
      <c r="AP112" s="46">
        <f t="shared" ref="AO112:BD113" si="88">MIN(MAX($D112,AO112)*(1+$F112)*AP$9,$E112)</f>
        <v>0</v>
      </c>
      <c r="AQ112" s="46">
        <f t="shared" si="88"/>
        <v>0</v>
      </c>
      <c r="AR112" s="46">
        <f t="shared" si="88"/>
        <v>0</v>
      </c>
      <c r="AS112" s="46">
        <f t="shared" si="88"/>
        <v>0</v>
      </c>
      <c r="AT112" s="46">
        <f t="shared" si="88"/>
        <v>0</v>
      </c>
      <c r="AU112" s="46">
        <f t="shared" si="88"/>
        <v>0</v>
      </c>
      <c r="AV112" s="46">
        <f t="shared" si="88"/>
        <v>0</v>
      </c>
      <c r="AW112" s="46">
        <f t="shared" si="88"/>
        <v>0</v>
      </c>
      <c r="AX112" s="46">
        <f t="shared" si="88"/>
        <v>0</v>
      </c>
      <c r="AY112" s="46">
        <f t="shared" si="88"/>
        <v>0</v>
      </c>
      <c r="AZ112" s="46">
        <f t="shared" si="88"/>
        <v>0</v>
      </c>
      <c r="BA112" s="46">
        <f t="shared" si="88"/>
        <v>0</v>
      </c>
      <c r="BB112" s="46">
        <f t="shared" si="88"/>
        <v>0</v>
      </c>
      <c r="BC112" s="46">
        <f t="shared" si="88"/>
        <v>0</v>
      </c>
      <c r="BD112" s="46">
        <f t="shared" si="88"/>
        <v>0</v>
      </c>
      <c r="BE112" s="46"/>
    </row>
    <row r="113" spans="1:57" ht="15" customHeight="1" x14ac:dyDescent="0.3">
      <c r="B113" s="37"/>
      <c r="C113" s="46" t="s">
        <v>87</v>
      </c>
      <c r="D113" s="49">
        <v>450000</v>
      </c>
      <c r="E113" s="49">
        <v>450000</v>
      </c>
      <c r="F113" s="50">
        <v>0</v>
      </c>
      <c r="H113" s="46">
        <v>0</v>
      </c>
      <c r="I113" s="46">
        <v>414600</v>
      </c>
      <c r="J113" s="46">
        <f t="shared" si="86"/>
        <v>450000</v>
      </c>
      <c r="K113" s="46">
        <f t="shared" si="86"/>
        <v>450000</v>
      </c>
      <c r="L113" s="46">
        <f t="shared" si="86"/>
        <v>450000</v>
      </c>
      <c r="M113" s="46">
        <f t="shared" si="86"/>
        <v>450000</v>
      </c>
      <c r="N113" s="46">
        <f t="shared" si="86"/>
        <v>450000</v>
      </c>
      <c r="O113" s="46">
        <f t="shared" si="86"/>
        <v>450000</v>
      </c>
      <c r="P113" s="46">
        <f t="shared" si="86"/>
        <v>450000</v>
      </c>
      <c r="Q113" s="46">
        <f t="shared" si="86"/>
        <v>450000</v>
      </c>
      <c r="R113" s="46">
        <f t="shared" si="86"/>
        <v>450000</v>
      </c>
      <c r="S113" s="46">
        <f t="shared" si="86"/>
        <v>450000</v>
      </c>
      <c r="T113" s="46">
        <f t="shared" si="86"/>
        <v>450000</v>
      </c>
      <c r="U113" s="46">
        <f t="shared" si="86"/>
        <v>450000</v>
      </c>
      <c r="V113" s="46">
        <f t="shared" si="86"/>
        <v>450000</v>
      </c>
      <c r="W113" s="46">
        <f t="shared" si="86"/>
        <v>450000</v>
      </c>
      <c r="X113" s="46">
        <f t="shared" si="86"/>
        <v>450000</v>
      </c>
      <c r="Y113" s="46">
        <f t="shared" si="86"/>
        <v>450000</v>
      </c>
      <c r="Z113" s="46">
        <f t="shared" si="87"/>
        <v>450000</v>
      </c>
      <c r="AA113" s="46">
        <f t="shared" si="87"/>
        <v>450000</v>
      </c>
      <c r="AB113" s="46">
        <f t="shared" si="87"/>
        <v>450000</v>
      </c>
      <c r="AC113" s="46">
        <f t="shared" si="87"/>
        <v>450000</v>
      </c>
      <c r="AD113" s="46">
        <f t="shared" si="87"/>
        <v>450000</v>
      </c>
      <c r="AE113" s="46">
        <f t="shared" si="87"/>
        <v>450000</v>
      </c>
      <c r="AF113" s="46">
        <f t="shared" si="87"/>
        <v>450000</v>
      </c>
      <c r="AG113" s="46">
        <f t="shared" si="87"/>
        <v>450000</v>
      </c>
      <c r="AH113" s="46">
        <f t="shared" si="87"/>
        <v>450000</v>
      </c>
      <c r="AI113" s="46">
        <f t="shared" si="87"/>
        <v>450000</v>
      </c>
      <c r="AJ113" s="46">
        <f t="shared" si="87"/>
        <v>450000</v>
      </c>
      <c r="AK113" s="46">
        <f t="shared" si="87"/>
        <v>450000</v>
      </c>
      <c r="AL113" s="46">
        <f t="shared" si="87"/>
        <v>450000</v>
      </c>
      <c r="AM113" s="46">
        <f t="shared" si="87"/>
        <v>450000</v>
      </c>
      <c r="AN113" s="46">
        <f t="shared" si="87"/>
        <v>450000</v>
      </c>
      <c r="AO113" s="46">
        <f t="shared" si="88"/>
        <v>450000</v>
      </c>
      <c r="AP113" s="46">
        <f t="shared" si="88"/>
        <v>450000</v>
      </c>
      <c r="AQ113" s="46">
        <f t="shared" si="88"/>
        <v>450000</v>
      </c>
      <c r="AR113" s="46">
        <f t="shared" si="88"/>
        <v>450000</v>
      </c>
      <c r="AS113" s="46">
        <f t="shared" si="88"/>
        <v>450000</v>
      </c>
      <c r="AT113" s="46">
        <f t="shared" si="88"/>
        <v>450000</v>
      </c>
      <c r="AU113" s="46">
        <f t="shared" si="88"/>
        <v>450000</v>
      </c>
      <c r="AV113" s="46">
        <f t="shared" si="88"/>
        <v>450000</v>
      </c>
      <c r="AW113" s="46">
        <f t="shared" si="88"/>
        <v>450000</v>
      </c>
      <c r="AX113" s="46">
        <f t="shared" si="88"/>
        <v>450000</v>
      </c>
      <c r="AY113" s="46">
        <f t="shared" si="88"/>
        <v>450000</v>
      </c>
      <c r="AZ113" s="46">
        <f t="shared" si="88"/>
        <v>450000</v>
      </c>
      <c r="BA113" s="46">
        <f t="shared" si="88"/>
        <v>450000</v>
      </c>
      <c r="BB113" s="46">
        <f t="shared" si="88"/>
        <v>450000</v>
      </c>
      <c r="BC113" s="46">
        <f t="shared" si="88"/>
        <v>450000</v>
      </c>
      <c r="BD113" s="46">
        <f t="shared" si="88"/>
        <v>450000</v>
      </c>
      <c r="BE113" s="46"/>
    </row>
    <row r="114" spans="1:57" ht="15" customHeight="1" x14ac:dyDescent="0.3">
      <c r="B114" s="37"/>
      <c r="C114" s="46" t="s">
        <v>108</v>
      </c>
      <c r="D114" s="46"/>
      <c r="E114" s="46"/>
      <c r="F114" s="46"/>
      <c r="H114" s="46">
        <v>0</v>
      </c>
      <c r="I114" s="51">
        <f t="shared" ref="I114:BD114" si="89">I112*I113</f>
        <v>414600</v>
      </c>
      <c r="J114" s="51">
        <f t="shared" si="89"/>
        <v>0</v>
      </c>
      <c r="K114" s="51">
        <f t="shared" si="89"/>
        <v>0</v>
      </c>
      <c r="L114" s="51">
        <f t="shared" si="89"/>
        <v>0</v>
      </c>
      <c r="M114" s="51">
        <f t="shared" si="89"/>
        <v>0</v>
      </c>
      <c r="N114" s="51">
        <f t="shared" si="89"/>
        <v>0</v>
      </c>
      <c r="O114" s="51">
        <f t="shared" si="89"/>
        <v>0</v>
      </c>
      <c r="P114" s="51">
        <f t="shared" si="89"/>
        <v>0</v>
      </c>
      <c r="Q114" s="51">
        <f t="shared" si="89"/>
        <v>0</v>
      </c>
      <c r="R114" s="51">
        <f t="shared" si="89"/>
        <v>0</v>
      </c>
      <c r="S114" s="51">
        <f t="shared" si="89"/>
        <v>0</v>
      </c>
      <c r="T114" s="51">
        <f t="shared" si="89"/>
        <v>0</v>
      </c>
      <c r="U114" s="51">
        <f t="shared" si="89"/>
        <v>0</v>
      </c>
      <c r="V114" s="51">
        <f t="shared" si="89"/>
        <v>0</v>
      </c>
      <c r="W114" s="51">
        <f t="shared" si="89"/>
        <v>0</v>
      </c>
      <c r="X114" s="51">
        <f t="shared" si="89"/>
        <v>0</v>
      </c>
      <c r="Y114" s="51">
        <f t="shared" si="89"/>
        <v>0</v>
      </c>
      <c r="Z114" s="51">
        <f t="shared" si="89"/>
        <v>0</v>
      </c>
      <c r="AA114" s="51">
        <f t="shared" si="89"/>
        <v>0</v>
      </c>
      <c r="AB114" s="51">
        <f t="shared" si="89"/>
        <v>0</v>
      </c>
      <c r="AC114" s="51">
        <f t="shared" si="89"/>
        <v>0</v>
      </c>
      <c r="AD114" s="51">
        <f t="shared" si="89"/>
        <v>0</v>
      </c>
      <c r="AE114" s="51">
        <f t="shared" si="89"/>
        <v>0</v>
      </c>
      <c r="AF114" s="51">
        <f t="shared" si="89"/>
        <v>0</v>
      </c>
      <c r="AG114" s="51">
        <f t="shared" si="89"/>
        <v>0</v>
      </c>
      <c r="AH114" s="51">
        <f t="shared" si="89"/>
        <v>0</v>
      </c>
      <c r="AI114" s="51">
        <f t="shared" si="89"/>
        <v>0</v>
      </c>
      <c r="AJ114" s="51">
        <f t="shared" si="89"/>
        <v>0</v>
      </c>
      <c r="AK114" s="51">
        <f t="shared" si="89"/>
        <v>0</v>
      </c>
      <c r="AL114" s="51">
        <f t="shared" si="89"/>
        <v>0</v>
      </c>
      <c r="AM114" s="51">
        <f t="shared" si="89"/>
        <v>0</v>
      </c>
      <c r="AN114" s="51">
        <f t="shared" si="89"/>
        <v>0</v>
      </c>
      <c r="AO114" s="51">
        <f t="shared" si="89"/>
        <v>0</v>
      </c>
      <c r="AP114" s="51">
        <f t="shared" si="89"/>
        <v>0</v>
      </c>
      <c r="AQ114" s="51">
        <f t="shared" si="89"/>
        <v>0</v>
      </c>
      <c r="AR114" s="51">
        <f t="shared" si="89"/>
        <v>0</v>
      </c>
      <c r="AS114" s="51">
        <f t="shared" si="89"/>
        <v>0</v>
      </c>
      <c r="AT114" s="51">
        <f t="shared" si="89"/>
        <v>0</v>
      </c>
      <c r="AU114" s="51">
        <f t="shared" si="89"/>
        <v>0</v>
      </c>
      <c r="AV114" s="51">
        <f t="shared" si="89"/>
        <v>0</v>
      </c>
      <c r="AW114" s="51">
        <f t="shared" si="89"/>
        <v>0</v>
      </c>
      <c r="AX114" s="51">
        <f t="shared" si="89"/>
        <v>0</v>
      </c>
      <c r="AY114" s="51">
        <f t="shared" si="89"/>
        <v>0</v>
      </c>
      <c r="AZ114" s="51">
        <f t="shared" si="89"/>
        <v>0</v>
      </c>
      <c r="BA114" s="51">
        <f t="shared" si="89"/>
        <v>0</v>
      </c>
      <c r="BB114" s="51">
        <f t="shared" si="89"/>
        <v>0</v>
      </c>
      <c r="BC114" s="51">
        <f t="shared" si="89"/>
        <v>0</v>
      </c>
      <c r="BD114" s="51">
        <f t="shared" si="89"/>
        <v>0</v>
      </c>
      <c r="BE114" s="51"/>
    </row>
    <row r="115" spans="1:57" ht="14.25" customHeight="1" x14ac:dyDescent="0.3">
      <c r="A115" s="46"/>
      <c r="B115" s="37"/>
      <c r="C115" s="46"/>
      <c r="D115" s="46"/>
      <c r="E115" s="46"/>
      <c r="F115" s="46"/>
      <c r="G115" s="46"/>
      <c r="H115" s="46">
        <v>0</v>
      </c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  <c r="AD115" s="46"/>
      <c r="AE115" s="46"/>
      <c r="AF115" s="46"/>
      <c r="AG115" s="46"/>
      <c r="AH115" s="46"/>
      <c r="AI115" s="46"/>
      <c r="AJ115" s="46"/>
      <c r="AK115" s="46"/>
      <c r="AL115" s="46"/>
      <c r="AM115" s="46"/>
      <c r="AN115" s="46"/>
      <c r="AO115" s="46"/>
      <c r="AP115" s="46"/>
      <c r="AQ115" s="46"/>
      <c r="AR115" s="46"/>
      <c r="AS115" s="46"/>
      <c r="AT115" s="46"/>
      <c r="AU115" s="46"/>
      <c r="AV115" s="46"/>
      <c r="AW115" s="46"/>
      <c r="AX115" s="46"/>
      <c r="AY115" s="46"/>
      <c r="AZ115" s="46"/>
      <c r="BA115" s="46"/>
      <c r="BB115" s="46"/>
      <c r="BC115" s="46"/>
      <c r="BD115" s="46"/>
      <c r="BE115" s="46"/>
    </row>
    <row r="116" spans="1:57" ht="14.25" customHeight="1" x14ac:dyDescent="0.3">
      <c r="A116" s="46"/>
      <c r="B116" s="37"/>
      <c r="C116" s="46" t="s">
        <v>109</v>
      </c>
      <c r="D116" s="49">
        <v>350000</v>
      </c>
      <c r="E116" s="46"/>
      <c r="F116" s="46"/>
      <c r="G116" s="46"/>
      <c r="H116" s="46"/>
      <c r="I116" s="46">
        <f>-I113*0.9</f>
        <v>-373140</v>
      </c>
      <c r="J116" s="46">
        <f t="shared" ref="J116:BD116" si="90">J112*$D116</f>
        <v>0</v>
      </c>
      <c r="K116" s="46">
        <f t="shared" si="90"/>
        <v>0</v>
      </c>
      <c r="L116" s="46">
        <f t="shared" si="90"/>
        <v>0</v>
      </c>
      <c r="M116" s="46">
        <f t="shared" si="90"/>
        <v>0</v>
      </c>
      <c r="N116" s="46">
        <f t="shared" si="90"/>
        <v>0</v>
      </c>
      <c r="O116" s="46">
        <f t="shared" si="90"/>
        <v>0</v>
      </c>
      <c r="P116" s="46">
        <f t="shared" si="90"/>
        <v>0</v>
      </c>
      <c r="Q116" s="46">
        <f t="shared" si="90"/>
        <v>0</v>
      </c>
      <c r="R116" s="46">
        <f t="shared" si="90"/>
        <v>0</v>
      </c>
      <c r="S116" s="46">
        <f t="shared" si="90"/>
        <v>0</v>
      </c>
      <c r="T116" s="46">
        <f t="shared" si="90"/>
        <v>0</v>
      </c>
      <c r="U116" s="46">
        <f t="shared" si="90"/>
        <v>0</v>
      </c>
      <c r="V116" s="46">
        <f t="shared" si="90"/>
        <v>0</v>
      </c>
      <c r="W116" s="46">
        <f t="shared" si="90"/>
        <v>0</v>
      </c>
      <c r="X116" s="46">
        <f t="shared" si="90"/>
        <v>0</v>
      </c>
      <c r="Y116" s="46">
        <f t="shared" si="90"/>
        <v>0</v>
      </c>
      <c r="Z116" s="46">
        <f t="shared" si="90"/>
        <v>0</v>
      </c>
      <c r="AA116" s="46">
        <f t="shared" si="90"/>
        <v>0</v>
      </c>
      <c r="AB116" s="46">
        <f t="shared" si="90"/>
        <v>0</v>
      </c>
      <c r="AC116" s="46">
        <f t="shared" si="90"/>
        <v>0</v>
      </c>
      <c r="AD116" s="46">
        <f t="shared" si="90"/>
        <v>0</v>
      </c>
      <c r="AE116" s="46">
        <f t="shared" si="90"/>
        <v>0</v>
      </c>
      <c r="AF116" s="46">
        <f t="shared" si="90"/>
        <v>0</v>
      </c>
      <c r="AG116" s="46">
        <f t="shared" si="90"/>
        <v>0</v>
      </c>
      <c r="AH116" s="46">
        <f t="shared" si="90"/>
        <v>0</v>
      </c>
      <c r="AI116" s="46">
        <f t="shared" si="90"/>
        <v>0</v>
      </c>
      <c r="AJ116" s="46">
        <f t="shared" si="90"/>
        <v>0</v>
      </c>
      <c r="AK116" s="46">
        <f t="shared" si="90"/>
        <v>0</v>
      </c>
      <c r="AL116" s="46">
        <f t="shared" si="90"/>
        <v>0</v>
      </c>
      <c r="AM116" s="46">
        <f t="shared" si="90"/>
        <v>0</v>
      </c>
      <c r="AN116" s="46">
        <f t="shared" si="90"/>
        <v>0</v>
      </c>
      <c r="AO116" s="46">
        <f t="shared" si="90"/>
        <v>0</v>
      </c>
      <c r="AP116" s="46">
        <f t="shared" si="90"/>
        <v>0</v>
      </c>
      <c r="AQ116" s="46">
        <f t="shared" si="90"/>
        <v>0</v>
      </c>
      <c r="AR116" s="46">
        <f t="shared" si="90"/>
        <v>0</v>
      </c>
      <c r="AS116" s="46">
        <f t="shared" si="90"/>
        <v>0</v>
      </c>
      <c r="AT116" s="46">
        <f t="shared" si="90"/>
        <v>0</v>
      </c>
      <c r="AU116" s="46">
        <f t="shared" si="90"/>
        <v>0</v>
      </c>
      <c r="AV116" s="46">
        <f t="shared" si="90"/>
        <v>0</v>
      </c>
      <c r="AW116" s="46">
        <f t="shared" si="90"/>
        <v>0</v>
      </c>
      <c r="AX116" s="46">
        <f t="shared" si="90"/>
        <v>0</v>
      </c>
      <c r="AY116" s="46">
        <f t="shared" si="90"/>
        <v>0</v>
      </c>
      <c r="AZ116" s="46">
        <f t="shared" si="90"/>
        <v>0</v>
      </c>
      <c r="BA116" s="46">
        <f t="shared" si="90"/>
        <v>0</v>
      </c>
      <c r="BB116" s="46">
        <f t="shared" si="90"/>
        <v>0</v>
      </c>
      <c r="BC116" s="46">
        <f t="shared" si="90"/>
        <v>0</v>
      </c>
      <c r="BD116" s="46">
        <f t="shared" si="90"/>
        <v>0</v>
      </c>
      <c r="BE116" s="46"/>
    </row>
    <row r="117" spans="1:57" ht="14.25" customHeight="1" x14ac:dyDescent="0.3">
      <c r="A117" s="46"/>
      <c r="B117" s="37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  <c r="AD117" s="46"/>
      <c r="AE117" s="46"/>
      <c r="AF117" s="46"/>
      <c r="AG117" s="46"/>
      <c r="AH117" s="46"/>
      <c r="AI117" s="46"/>
      <c r="AJ117" s="46"/>
      <c r="AK117" s="46"/>
      <c r="AL117" s="46"/>
      <c r="AM117" s="46"/>
      <c r="AN117" s="46"/>
      <c r="AO117" s="46"/>
      <c r="AP117" s="46"/>
      <c r="AQ117" s="46"/>
      <c r="AR117" s="46"/>
      <c r="AS117" s="46"/>
      <c r="AT117" s="46"/>
      <c r="AU117" s="46"/>
      <c r="AV117" s="46"/>
      <c r="AW117" s="46"/>
      <c r="AX117" s="46"/>
      <c r="AY117" s="46"/>
      <c r="AZ117" s="46"/>
      <c r="BA117" s="46"/>
      <c r="BB117" s="46"/>
      <c r="BC117" s="46"/>
      <c r="BD117" s="46"/>
      <c r="BE117" s="46"/>
    </row>
    <row r="118" spans="1:57" ht="15" customHeight="1" x14ac:dyDescent="0.3">
      <c r="B118" s="37"/>
      <c r="C118" s="37" t="s">
        <v>110</v>
      </c>
      <c r="D118" s="46" t="s">
        <v>49</v>
      </c>
      <c r="E118" s="46" t="s">
        <v>50</v>
      </c>
      <c r="F118" s="46" t="s">
        <v>51</v>
      </c>
      <c r="H118" s="46">
        <v>0</v>
      </c>
    </row>
    <row r="119" spans="1:57" ht="15" customHeight="1" x14ac:dyDescent="0.3">
      <c r="B119" s="37"/>
      <c r="C119" s="46" t="s">
        <v>111</v>
      </c>
      <c r="D119" s="52">
        <v>0</v>
      </c>
      <c r="E119" s="52">
        <v>25</v>
      </c>
      <c r="F119" s="50">
        <v>0.1</v>
      </c>
      <c r="H119" s="46">
        <v>0</v>
      </c>
      <c r="I119" s="46">
        <f t="shared" ref="I119:X120" si="91">MIN(MAX($D119,H119)*(1+$F119)*I$9,$E119)</f>
        <v>0</v>
      </c>
      <c r="J119" s="46">
        <f t="shared" si="91"/>
        <v>0</v>
      </c>
      <c r="K119" s="46">
        <f t="shared" si="91"/>
        <v>0</v>
      </c>
      <c r="L119" s="46">
        <f t="shared" si="91"/>
        <v>0</v>
      </c>
      <c r="M119" s="46">
        <f t="shared" si="91"/>
        <v>0</v>
      </c>
      <c r="N119" s="46">
        <f t="shared" si="91"/>
        <v>0</v>
      </c>
      <c r="O119" s="46">
        <f t="shared" si="91"/>
        <v>0</v>
      </c>
      <c r="P119" s="46">
        <f t="shared" si="91"/>
        <v>0</v>
      </c>
      <c r="Q119" s="46">
        <f t="shared" si="91"/>
        <v>0</v>
      </c>
      <c r="R119" s="46">
        <f t="shared" si="91"/>
        <v>0</v>
      </c>
      <c r="S119" s="46">
        <f t="shared" si="91"/>
        <v>0</v>
      </c>
      <c r="T119" s="46">
        <f t="shared" si="91"/>
        <v>0</v>
      </c>
      <c r="U119" s="46">
        <f t="shared" si="91"/>
        <v>0</v>
      </c>
      <c r="V119" s="46">
        <f t="shared" si="91"/>
        <v>0</v>
      </c>
      <c r="W119" s="46">
        <f t="shared" si="91"/>
        <v>0</v>
      </c>
      <c r="X119" s="46">
        <f t="shared" si="91"/>
        <v>0</v>
      </c>
      <c r="Y119" s="46">
        <f t="shared" ref="Y119:AN120" si="92">MIN(MAX($D119,X119)*(1+$F119)*Y$9,$E119)</f>
        <v>0</v>
      </c>
      <c r="Z119" s="46">
        <f t="shared" si="92"/>
        <v>0</v>
      </c>
      <c r="AA119" s="46">
        <f t="shared" si="92"/>
        <v>0</v>
      </c>
      <c r="AB119" s="46">
        <f t="shared" si="92"/>
        <v>0</v>
      </c>
      <c r="AC119" s="46">
        <f t="shared" si="92"/>
        <v>0</v>
      </c>
      <c r="AD119" s="46">
        <f t="shared" si="92"/>
        <v>0</v>
      </c>
      <c r="AE119" s="46">
        <f t="shared" si="92"/>
        <v>0</v>
      </c>
      <c r="AF119" s="46">
        <f t="shared" si="92"/>
        <v>0</v>
      </c>
      <c r="AG119" s="46">
        <f t="shared" si="92"/>
        <v>0</v>
      </c>
      <c r="AH119" s="46">
        <f t="shared" si="92"/>
        <v>0</v>
      </c>
      <c r="AI119" s="46">
        <f t="shared" si="92"/>
        <v>0</v>
      </c>
      <c r="AJ119" s="46">
        <f t="shared" si="92"/>
        <v>0</v>
      </c>
      <c r="AK119" s="46">
        <f t="shared" si="92"/>
        <v>0</v>
      </c>
      <c r="AL119" s="46">
        <f t="shared" si="92"/>
        <v>0</v>
      </c>
      <c r="AM119" s="46">
        <f t="shared" si="92"/>
        <v>0</v>
      </c>
      <c r="AN119" s="46">
        <f t="shared" si="92"/>
        <v>0</v>
      </c>
      <c r="AO119" s="46">
        <f t="shared" ref="AO119:BD120" si="93">MIN(MAX($D119,AN119)*(1+$F119)*AO$9,$E119)</f>
        <v>0</v>
      </c>
      <c r="AP119" s="46">
        <f t="shared" si="93"/>
        <v>0</v>
      </c>
      <c r="AQ119" s="46">
        <f t="shared" si="93"/>
        <v>0</v>
      </c>
      <c r="AR119" s="46">
        <f t="shared" si="93"/>
        <v>0</v>
      </c>
      <c r="AS119" s="46">
        <f t="shared" si="93"/>
        <v>0</v>
      </c>
      <c r="AT119" s="46">
        <f t="shared" si="93"/>
        <v>0</v>
      </c>
      <c r="AU119" s="46">
        <f t="shared" si="93"/>
        <v>0</v>
      </c>
      <c r="AV119" s="46">
        <f t="shared" si="93"/>
        <v>0</v>
      </c>
      <c r="AW119" s="46">
        <f t="shared" si="93"/>
        <v>0</v>
      </c>
      <c r="AX119" s="46">
        <f t="shared" si="93"/>
        <v>0</v>
      </c>
      <c r="AY119" s="46">
        <f t="shared" si="93"/>
        <v>0</v>
      </c>
      <c r="AZ119" s="46">
        <f t="shared" si="93"/>
        <v>0</v>
      </c>
      <c r="BA119" s="46">
        <f t="shared" si="93"/>
        <v>0</v>
      </c>
      <c r="BB119" s="46">
        <f t="shared" si="93"/>
        <v>0</v>
      </c>
      <c r="BC119" s="46">
        <f t="shared" si="93"/>
        <v>0</v>
      </c>
      <c r="BD119" s="46">
        <f t="shared" si="93"/>
        <v>0</v>
      </c>
      <c r="BE119" s="46"/>
    </row>
    <row r="120" spans="1:57" ht="15" customHeight="1" x14ac:dyDescent="0.3">
      <c r="B120" s="37"/>
      <c r="C120" s="46" t="s">
        <v>112</v>
      </c>
      <c r="D120" s="49">
        <v>6000</v>
      </c>
      <c r="E120" s="49">
        <v>6000</v>
      </c>
      <c r="F120" s="50">
        <v>0</v>
      </c>
      <c r="H120" s="46">
        <v>0</v>
      </c>
      <c r="I120" s="46">
        <f t="shared" si="91"/>
        <v>6000</v>
      </c>
      <c r="J120" s="46">
        <f t="shared" si="91"/>
        <v>6000</v>
      </c>
      <c r="K120" s="46">
        <f t="shared" si="91"/>
        <v>6000</v>
      </c>
      <c r="L120" s="46">
        <f t="shared" si="91"/>
        <v>6000</v>
      </c>
      <c r="M120" s="46">
        <f t="shared" si="91"/>
        <v>6000</v>
      </c>
      <c r="N120" s="46">
        <f t="shared" si="91"/>
        <v>6000</v>
      </c>
      <c r="O120" s="46">
        <f t="shared" si="91"/>
        <v>6000</v>
      </c>
      <c r="P120" s="46">
        <f t="shared" si="91"/>
        <v>6000</v>
      </c>
      <c r="Q120" s="46">
        <f t="shared" si="91"/>
        <v>6000</v>
      </c>
      <c r="R120" s="46">
        <f t="shared" si="91"/>
        <v>6000</v>
      </c>
      <c r="S120" s="46">
        <f t="shared" si="91"/>
        <v>6000</v>
      </c>
      <c r="T120" s="46">
        <f t="shared" si="91"/>
        <v>6000</v>
      </c>
      <c r="U120" s="46">
        <f t="shared" si="91"/>
        <v>6000</v>
      </c>
      <c r="V120" s="46">
        <f t="shared" si="91"/>
        <v>6000</v>
      </c>
      <c r="W120" s="46">
        <f t="shared" si="91"/>
        <v>6000</v>
      </c>
      <c r="X120" s="46">
        <f t="shared" si="91"/>
        <v>6000</v>
      </c>
      <c r="Y120" s="46">
        <f t="shared" si="92"/>
        <v>6000</v>
      </c>
      <c r="Z120" s="46">
        <f t="shared" si="92"/>
        <v>6000</v>
      </c>
      <c r="AA120" s="46">
        <f t="shared" si="92"/>
        <v>6000</v>
      </c>
      <c r="AB120" s="46">
        <f t="shared" si="92"/>
        <v>6000</v>
      </c>
      <c r="AC120" s="46">
        <f t="shared" si="92"/>
        <v>6000</v>
      </c>
      <c r="AD120" s="46">
        <f t="shared" si="92"/>
        <v>6000</v>
      </c>
      <c r="AE120" s="46">
        <f t="shared" si="92"/>
        <v>6000</v>
      </c>
      <c r="AF120" s="46">
        <f t="shared" si="92"/>
        <v>6000</v>
      </c>
      <c r="AG120" s="46">
        <f t="shared" si="92"/>
        <v>6000</v>
      </c>
      <c r="AH120" s="46">
        <f t="shared" si="92"/>
        <v>6000</v>
      </c>
      <c r="AI120" s="46">
        <f t="shared" si="92"/>
        <v>6000</v>
      </c>
      <c r="AJ120" s="46">
        <f t="shared" si="92"/>
        <v>6000</v>
      </c>
      <c r="AK120" s="46">
        <f t="shared" si="92"/>
        <v>6000</v>
      </c>
      <c r="AL120" s="46">
        <f t="shared" si="92"/>
        <v>6000</v>
      </c>
      <c r="AM120" s="46">
        <f t="shared" si="92"/>
        <v>6000</v>
      </c>
      <c r="AN120" s="46">
        <f t="shared" si="92"/>
        <v>6000</v>
      </c>
      <c r="AO120" s="46">
        <f t="shared" si="93"/>
        <v>6000</v>
      </c>
      <c r="AP120" s="46">
        <f t="shared" si="93"/>
        <v>6000</v>
      </c>
      <c r="AQ120" s="46">
        <f t="shared" si="93"/>
        <v>6000</v>
      </c>
      <c r="AR120" s="46">
        <f t="shared" si="93"/>
        <v>6000</v>
      </c>
      <c r="AS120" s="46">
        <f t="shared" si="93"/>
        <v>6000</v>
      </c>
      <c r="AT120" s="46">
        <f t="shared" si="93"/>
        <v>6000</v>
      </c>
      <c r="AU120" s="46">
        <f t="shared" si="93"/>
        <v>6000</v>
      </c>
      <c r="AV120" s="46">
        <f t="shared" si="93"/>
        <v>6000</v>
      </c>
      <c r="AW120" s="46">
        <f t="shared" si="93"/>
        <v>6000</v>
      </c>
      <c r="AX120" s="46">
        <f t="shared" si="93"/>
        <v>6000</v>
      </c>
      <c r="AY120" s="46">
        <f t="shared" si="93"/>
        <v>6000</v>
      </c>
      <c r="AZ120" s="46">
        <f t="shared" si="93"/>
        <v>6000</v>
      </c>
      <c r="BA120" s="46">
        <f t="shared" si="93"/>
        <v>6000</v>
      </c>
      <c r="BB120" s="46">
        <f t="shared" si="93"/>
        <v>6000</v>
      </c>
      <c r="BC120" s="46">
        <f t="shared" si="93"/>
        <v>6000</v>
      </c>
      <c r="BD120" s="46">
        <f t="shared" si="93"/>
        <v>6000</v>
      </c>
      <c r="BE120" s="46"/>
    </row>
    <row r="121" spans="1:57" ht="15" customHeight="1" x14ac:dyDescent="0.3">
      <c r="B121" s="37"/>
      <c r="C121" s="46" t="s">
        <v>113</v>
      </c>
      <c r="D121" s="46"/>
      <c r="E121" s="46"/>
      <c r="F121" s="46"/>
      <c r="H121" s="46">
        <v>0</v>
      </c>
      <c r="I121" s="51">
        <f t="shared" ref="I121:BD121" si="94">I119*I120</f>
        <v>0</v>
      </c>
      <c r="J121" s="51">
        <f t="shared" si="94"/>
        <v>0</v>
      </c>
      <c r="K121" s="51">
        <f t="shared" si="94"/>
        <v>0</v>
      </c>
      <c r="L121" s="51">
        <f t="shared" si="94"/>
        <v>0</v>
      </c>
      <c r="M121" s="51">
        <f t="shared" si="94"/>
        <v>0</v>
      </c>
      <c r="N121" s="51">
        <f t="shared" si="94"/>
        <v>0</v>
      </c>
      <c r="O121" s="51">
        <f t="shared" si="94"/>
        <v>0</v>
      </c>
      <c r="P121" s="51">
        <f t="shared" si="94"/>
        <v>0</v>
      </c>
      <c r="Q121" s="51">
        <f t="shared" si="94"/>
        <v>0</v>
      </c>
      <c r="R121" s="51">
        <f t="shared" si="94"/>
        <v>0</v>
      </c>
      <c r="S121" s="51">
        <f t="shared" si="94"/>
        <v>0</v>
      </c>
      <c r="T121" s="51">
        <f t="shared" si="94"/>
        <v>0</v>
      </c>
      <c r="U121" s="51">
        <f t="shared" si="94"/>
        <v>0</v>
      </c>
      <c r="V121" s="51">
        <f t="shared" si="94"/>
        <v>0</v>
      </c>
      <c r="W121" s="51">
        <f t="shared" si="94"/>
        <v>0</v>
      </c>
      <c r="X121" s="51">
        <f t="shared" si="94"/>
        <v>0</v>
      </c>
      <c r="Y121" s="51">
        <f t="shared" si="94"/>
        <v>0</v>
      </c>
      <c r="Z121" s="51">
        <f t="shared" si="94"/>
        <v>0</v>
      </c>
      <c r="AA121" s="51">
        <f t="shared" si="94"/>
        <v>0</v>
      </c>
      <c r="AB121" s="51">
        <f t="shared" si="94"/>
        <v>0</v>
      </c>
      <c r="AC121" s="51">
        <f t="shared" si="94"/>
        <v>0</v>
      </c>
      <c r="AD121" s="51">
        <f t="shared" si="94"/>
        <v>0</v>
      </c>
      <c r="AE121" s="51">
        <f t="shared" si="94"/>
        <v>0</v>
      </c>
      <c r="AF121" s="51">
        <f t="shared" si="94"/>
        <v>0</v>
      </c>
      <c r="AG121" s="51">
        <f t="shared" si="94"/>
        <v>0</v>
      </c>
      <c r="AH121" s="51">
        <f t="shared" si="94"/>
        <v>0</v>
      </c>
      <c r="AI121" s="51">
        <f t="shared" si="94"/>
        <v>0</v>
      </c>
      <c r="AJ121" s="51">
        <f t="shared" si="94"/>
        <v>0</v>
      </c>
      <c r="AK121" s="51">
        <f t="shared" si="94"/>
        <v>0</v>
      </c>
      <c r="AL121" s="51">
        <f t="shared" si="94"/>
        <v>0</v>
      </c>
      <c r="AM121" s="51">
        <f t="shared" si="94"/>
        <v>0</v>
      </c>
      <c r="AN121" s="51">
        <f t="shared" si="94"/>
        <v>0</v>
      </c>
      <c r="AO121" s="51">
        <f t="shared" si="94"/>
        <v>0</v>
      </c>
      <c r="AP121" s="51">
        <f t="shared" si="94"/>
        <v>0</v>
      </c>
      <c r="AQ121" s="51">
        <f t="shared" si="94"/>
        <v>0</v>
      </c>
      <c r="AR121" s="51">
        <f t="shared" si="94"/>
        <v>0</v>
      </c>
      <c r="AS121" s="51">
        <f t="shared" si="94"/>
        <v>0</v>
      </c>
      <c r="AT121" s="51">
        <f t="shared" si="94"/>
        <v>0</v>
      </c>
      <c r="AU121" s="51">
        <f t="shared" si="94"/>
        <v>0</v>
      </c>
      <c r="AV121" s="51">
        <f t="shared" si="94"/>
        <v>0</v>
      </c>
      <c r="AW121" s="51">
        <f t="shared" si="94"/>
        <v>0</v>
      </c>
      <c r="AX121" s="51">
        <f t="shared" si="94"/>
        <v>0</v>
      </c>
      <c r="AY121" s="51">
        <f t="shared" si="94"/>
        <v>0</v>
      </c>
      <c r="AZ121" s="51">
        <f t="shared" si="94"/>
        <v>0</v>
      </c>
      <c r="BA121" s="51">
        <f t="shared" si="94"/>
        <v>0</v>
      </c>
      <c r="BB121" s="51">
        <f t="shared" si="94"/>
        <v>0</v>
      </c>
      <c r="BC121" s="51">
        <f t="shared" si="94"/>
        <v>0</v>
      </c>
      <c r="BD121" s="51">
        <f t="shared" si="94"/>
        <v>0</v>
      </c>
      <c r="BE121" s="51"/>
    </row>
    <row r="122" spans="1:57" ht="14.25" customHeight="1" x14ac:dyDescent="0.3">
      <c r="A122" s="46"/>
      <c r="B122" s="37"/>
      <c r="C122" s="46"/>
      <c r="D122" s="46"/>
      <c r="E122" s="46"/>
      <c r="F122" s="46"/>
      <c r="G122" s="46"/>
      <c r="H122" s="46">
        <v>0</v>
      </c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  <c r="AD122" s="46"/>
      <c r="AE122" s="46"/>
      <c r="AF122" s="46"/>
      <c r="AG122" s="46"/>
      <c r="AH122" s="46"/>
      <c r="AI122" s="46"/>
      <c r="AJ122" s="46"/>
      <c r="AK122" s="46"/>
      <c r="AL122" s="46"/>
      <c r="AM122" s="46"/>
      <c r="AN122" s="46"/>
      <c r="AO122" s="46"/>
      <c r="AP122" s="46"/>
      <c r="AQ122" s="46"/>
      <c r="AR122" s="46"/>
      <c r="AS122" s="46"/>
      <c r="AT122" s="46"/>
      <c r="AU122" s="46"/>
      <c r="AV122" s="46"/>
      <c r="AW122" s="46"/>
      <c r="AX122" s="46"/>
      <c r="AY122" s="46"/>
      <c r="AZ122" s="46"/>
      <c r="BA122" s="46"/>
      <c r="BB122" s="46"/>
      <c r="BC122" s="46"/>
      <c r="BD122" s="46"/>
      <c r="BE122" s="46"/>
    </row>
    <row r="123" spans="1:57" ht="14.25" customHeight="1" x14ac:dyDescent="0.3">
      <c r="A123" s="46"/>
      <c r="B123" s="37"/>
      <c r="C123" s="46" t="s">
        <v>114</v>
      </c>
      <c r="D123" s="49">
        <f>-(D120*0.75)</f>
        <v>-4500</v>
      </c>
      <c r="E123" s="46"/>
      <c r="F123" s="46"/>
      <c r="G123" s="46"/>
      <c r="H123" s="46"/>
      <c r="I123" s="46">
        <f t="shared" ref="I123:BD123" si="95">I119*$D123</f>
        <v>0</v>
      </c>
      <c r="J123" s="46">
        <f t="shared" si="95"/>
        <v>0</v>
      </c>
      <c r="K123" s="46">
        <f t="shared" si="95"/>
        <v>0</v>
      </c>
      <c r="L123" s="46">
        <f t="shared" si="95"/>
        <v>0</v>
      </c>
      <c r="M123" s="46">
        <f t="shared" si="95"/>
        <v>0</v>
      </c>
      <c r="N123" s="46">
        <f t="shared" si="95"/>
        <v>0</v>
      </c>
      <c r="O123" s="46">
        <f t="shared" si="95"/>
        <v>0</v>
      </c>
      <c r="P123" s="46">
        <f t="shared" si="95"/>
        <v>0</v>
      </c>
      <c r="Q123" s="46">
        <f t="shared" si="95"/>
        <v>0</v>
      </c>
      <c r="R123" s="46">
        <f t="shared" si="95"/>
        <v>0</v>
      </c>
      <c r="S123" s="46">
        <f t="shared" si="95"/>
        <v>0</v>
      </c>
      <c r="T123" s="46">
        <f t="shared" si="95"/>
        <v>0</v>
      </c>
      <c r="U123" s="46">
        <f t="shared" si="95"/>
        <v>0</v>
      </c>
      <c r="V123" s="46">
        <f t="shared" si="95"/>
        <v>0</v>
      </c>
      <c r="W123" s="46">
        <f t="shared" si="95"/>
        <v>0</v>
      </c>
      <c r="X123" s="46">
        <f t="shared" si="95"/>
        <v>0</v>
      </c>
      <c r="Y123" s="46">
        <f t="shared" si="95"/>
        <v>0</v>
      </c>
      <c r="Z123" s="46">
        <f t="shared" si="95"/>
        <v>0</v>
      </c>
      <c r="AA123" s="46">
        <f t="shared" si="95"/>
        <v>0</v>
      </c>
      <c r="AB123" s="46">
        <f t="shared" si="95"/>
        <v>0</v>
      </c>
      <c r="AC123" s="46">
        <f t="shared" si="95"/>
        <v>0</v>
      </c>
      <c r="AD123" s="46">
        <f t="shared" si="95"/>
        <v>0</v>
      </c>
      <c r="AE123" s="46">
        <f t="shared" si="95"/>
        <v>0</v>
      </c>
      <c r="AF123" s="46">
        <f t="shared" si="95"/>
        <v>0</v>
      </c>
      <c r="AG123" s="46">
        <f t="shared" si="95"/>
        <v>0</v>
      </c>
      <c r="AH123" s="46">
        <f t="shared" si="95"/>
        <v>0</v>
      </c>
      <c r="AI123" s="46">
        <f t="shared" si="95"/>
        <v>0</v>
      </c>
      <c r="AJ123" s="46">
        <f t="shared" si="95"/>
        <v>0</v>
      </c>
      <c r="AK123" s="46">
        <f t="shared" si="95"/>
        <v>0</v>
      </c>
      <c r="AL123" s="46">
        <f t="shared" si="95"/>
        <v>0</v>
      </c>
      <c r="AM123" s="46">
        <f t="shared" si="95"/>
        <v>0</v>
      </c>
      <c r="AN123" s="46">
        <f t="shared" si="95"/>
        <v>0</v>
      </c>
      <c r="AO123" s="46">
        <f t="shared" si="95"/>
        <v>0</v>
      </c>
      <c r="AP123" s="46">
        <f t="shared" si="95"/>
        <v>0</v>
      </c>
      <c r="AQ123" s="46">
        <f t="shared" si="95"/>
        <v>0</v>
      </c>
      <c r="AR123" s="46">
        <f t="shared" si="95"/>
        <v>0</v>
      </c>
      <c r="AS123" s="46">
        <f t="shared" si="95"/>
        <v>0</v>
      </c>
      <c r="AT123" s="46">
        <f t="shared" si="95"/>
        <v>0</v>
      </c>
      <c r="AU123" s="46">
        <f t="shared" si="95"/>
        <v>0</v>
      </c>
      <c r="AV123" s="46">
        <f t="shared" si="95"/>
        <v>0</v>
      </c>
      <c r="AW123" s="46">
        <f t="shared" si="95"/>
        <v>0</v>
      </c>
      <c r="AX123" s="46">
        <f t="shared" si="95"/>
        <v>0</v>
      </c>
      <c r="AY123" s="46">
        <f t="shared" si="95"/>
        <v>0</v>
      </c>
      <c r="AZ123" s="46">
        <f t="shared" si="95"/>
        <v>0</v>
      </c>
      <c r="BA123" s="46">
        <f t="shared" si="95"/>
        <v>0</v>
      </c>
      <c r="BB123" s="46">
        <f t="shared" si="95"/>
        <v>0</v>
      </c>
      <c r="BC123" s="46">
        <f t="shared" si="95"/>
        <v>0</v>
      </c>
      <c r="BD123" s="46">
        <f t="shared" si="95"/>
        <v>0</v>
      </c>
      <c r="BE123" s="46"/>
    </row>
    <row r="124" spans="1:57" ht="14.25" customHeight="1" x14ac:dyDescent="0.3">
      <c r="A124" s="46"/>
      <c r="B124" s="37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46"/>
      <c r="AE124" s="46"/>
      <c r="AF124" s="46"/>
      <c r="AG124" s="46"/>
      <c r="AH124" s="46"/>
      <c r="AI124" s="46"/>
      <c r="AJ124" s="46"/>
      <c r="AK124" s="46"/>
      <c r="AL124" s="46"/>
      <c r="AM124" s="46"/>
      <c r="AN124" s="46"/>
      <c r="AO124" s="46"/>
      <c r="AP124" s="46"/>
      <c r="AQ124" s="46"/>
      <c r="AR124" s="46"/>
      <c r="AS124" s="46"/>
      <c r="AT124" s="46"/>
      <c r="AU124" s="46"/>
      <c r="AV124" s="46"/>
      <c r="AW124" s="46"/>
      <c r="AX124" s="46"/>
      <c r="AY124" s="46"/>
      <c r="AZ124" s="46"/>
      <c r="BA124" s="46"/>
      <c r="BB124" s="46"/>
      <c r="BC124" s="46"/>
      <c r="BD124" s="46"/>
      <c r="BE124" s="46"/>
    </row>
    <row r="125" spans="1:57" ht="14.25" customHeight="1" x14ac:dyDescent="0.3">
      <c r="A125" s="46"/>
      <c r="B125" s="37"/>
      <c r="C125" s="37" t="s">
        <v>115</v>
      </c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  <c r="AE125" s="46"/>
      <c r="AF125" s="46"/>
      <c r="AG125" s="46"/>
      <c r="AH125" s="46"/>
      <c r="AI125" s="46"/>
      <c r="AJ125" s="46"/>
      <c r="AK125" s="46"/>
      <c r="AL125" s="46"/>
      <c r="AM125" s="46"/>
      <c r="AN125" s="46"/>
      <c r="AO125" s="46"/>
      <c r="AP125" s="46"/>
      <c r="AQ125" s="46"/>
      <c r="AR125" s="46"/>
      <c r="AS125" s="46"/>
      <c r="AT125" s="46"/>
      <c r="AU125" s="46"/>
      <c r="AV125" s="46"/>
      <c r="AW125" s="46"/>
      <c r="AX125" s="46"/>
      <c r="AY125" s="46"/>
      <c r="AZ125" s="46"/>
      <c r="BA125" s="46"/>
      <c r="BB125" s="46"/>
      <c r="BC125" s="46"/>
      <c r="BD125" s="46"/>
      <c r="BE125" s="46"/>
    </row>
    <row r="126" spans="1:57" ht="14.25" customHeight="1" x14ac:dyDescent="0.3">
      <c r="A126" s="46"/>
      <c r="B126" s="37"/>
      <c r="C126" s="46" t="s">
        <v>116</v>
      </c>
      <c r="D126" s="47">
        <f>S4</f>
        <v>45991</v>
      </c>
      <c r="E126" s="46"/>
      <c r="F126" s="46"/>
      <c r="G126" s="46"/>
      <c r="H126" s="46"/>
      <c r="I126" s="46">
        <f t="shared" ref="I126:BD126" si="96">IF(I4&gt;=$D$126,1,0)</f>
        <v>0</v>
      </c>
      <c r="J126" s="46">
        <f t="shared" si="96"/>
        <v>0</v>
      </c>
      <c r="K126" s="46">
        <f t="shared" si="96"/>
        <v>0</v>
      </c>
      <c r="L126" s="46">
        <f t="shared" si="96"/>
        <v>0</v>
      </c>
      <c r="M126" s="46">
        <f t="shared" si="96"/>
        <v>0</v>
      </c>
      <c r="N126" s="46">
        <f t="shared" si="96"/>
        <v>0</v>
      </c>
      <c r="O126" s="46">
        <f t="shared" si="96"/>
        <v>0</v>
      </c>
      <c r="P126" s="46">
        <f t="shared" si="96"/>
        <v>0</v>
      </c>
      <c r="Q126" s="46">
        <f t="shared" si="96"/>
        <v>0</v>
      </c>
      <c r="R126" s="46">
        <f t="shared" si="96"/>
        <v>0</v>
      </c>
      <c r="S126" s="46">
        <f t="shared" si="96"/>
        <v>1</v>
      </c>
      <c r="T126" s="46">
        <f t="shared" si="96"/>
        <v>1</v>
      </c>
      <c r="U126" s="46">
        <f t="shared" si="96"/>
        <v>1</v>
      </c>
      <c r="V126" s="46">
        <f t="shared" si="96"/>
        <v>1</v>
      </c>
      <c r="W126" s="46">
        <f t="shared" si="96"/>
        <v>1</v>
      </c>
      <c r="X126" s="46">
        <f t="shared" si="96"/>
        <v>1</v>
      </c>
      <c r="Y126" s="46">
        <f t="shared" si="96"/>
        <v>1</v>
      </c>
      <c r="Z126" s="46">
        <f t="shared" si="96"/>
        <v>1</v>
      </c>
      <c r="AA126" s="46">
        <f t="shared" si="96"/>
        <v>1</v>
      </c>
      <c r="AB126" s="46">
        <f t="shared" si="96"/>
        <v>1</v>
      </c>
      <c r="AC126" s="46">
        <f t="shared" si="96"/>
        <v>1</v>
      </c>
      <c r="AD126" s="46">
        <f t="shared" si="96"/>
        <v>1</v>
      </c>
      <c r="AE126" s="46">
        <f t="shared" si="96"/>
        <v>1</v>
      </c>
      <c r="AF126" s="46">
        <f t="shared" si="96"/>
        <v>1</v>
      </c>
      <c r="AG126" s="46">
        <f t="shared" si="96"/>
        <v>1</v>
      </c>
      <c r="AH126" s="46">
        <f t="shared" si="96"/>
        <v>1</v>
      </c>
      <c r="AI126" s="46">
        <f t="shared" si="96"/>
        <v>1</v>
      </c>
      <c r="AJ126" s="46">
        <f t="shared" si="96"/>
        <v>1</v>
      </c>
      <c r="AK126" s="46">
        <f t="shared" si="96"/>
        <v>1</v>
      </c>
      <c r="AL126" s="46">
        <f t="shared" si="96"/>
        <v>1</v>
      </c>
      <c r="AM126" s="46">
        <f t="shared" si="96"/>
        <v>1</v>
      </c>
      <c r="AN126" s="46">
        <f t="shared" si="96"/>
        <v>1</v>
      </c>
      <c r="AO126" s="46">
        <f t="shared" si="96"/>
        <v>1</v>
      </c>
      <c r="AP126" s="46">
        <f t="shared" si="96"/>
        <v>1</v>
      </c>
      <c r="AQ126" s="46">
        <f t="shared" si="96"/>
        <v>1</v>
      </c>
      <c r="AR126" s="46">
        <f t="shared" si="96"/>
        <v>1</v>
      </c>
      <c r="AS126" s="46">
        <f t="shared" si="96"/>
        <v>1</v>
      </c>
      <c r="AT126" s="46">
        <f t="shared" si="96"/>
        <v>1</v>
      </c>
      <c r="AU126" s="46">
        <f t="shared" si="96"/>
        <v>1</v>
      </c>
      <c r="AV126" s="46">
        <f t="shared" si="96"/>
        <v>1</v>
      </c>
      <c r="AW126" s="46">
        <f t="shared" si="96"/>
        <v>1</v>
      </c>
      <c r="AX126" s="46">
        <f t="shared" si="96"/>
        <v>1</v>
      </c>
      <c r="AY126" s="46">
        <f t="shared" si="96"/>
        <v>1</v>
      </c>
      <c r="AZ126" s="46">
        <f t="shared" si="96"/>
        <v>1</v>
      </c>
      <c r="BA126" s="46">
        <f t="shared" si="96"/>
        <v>1</v>
      </c>
      <c r="BB126" s="46">
        <f t="shared" si="96"/>
        <v>1</v>
      </c>
      <c r="BC126" s="46">
        <f t="shared" si="96"/>
        <v>1</v>
      </c>
      <c r="BD126" s="46">
        <f t="shared" si="96"/>
        <v>1</v>
      </c>
      <c r="BE126" s="46"/>
    </row>
    <row r="127" spans="1:57" ht="15" customHeight="1" x14ac:dyDescent="0.3">
      <c r="B127" s="37"/>
      <c r="D127" s="46" t="s">
        <v>49</v>
      </c>
      <c r="E127" s="46" t="s">
        <v>50</v>
      </c>
      <c r="F127" s="46" t="s">
        <v>51</v>
      </c>
      <c r="H127" s="46">
        <v>0</v>
      </c>
    </row>
    <row r="128" spans="1:57" ht="15" customHeight="1" x14ac:dyDescent="0.3">
      <c r="B128" s="37"/>
      <c r="C128" s="46" t="s">
        <v>117</v>
      </c>
      <c r="D128" s="52">
        <v>20</v>
      </c>
      <c r="E128" s="52">
        <v>200</v>
      </c>
      <c r="F128" s="50">
        <v>0.05</v>
      </c>
      <c r="H128" s="46">
        <v>0</v>
      </c>
      <c r="I128" s="46">
        <f>MIN(MAX($D128,H128)*(1+$F128)*I$126,$E128)</f>
        <v>0</v>
      </c>
      <c r="J128" s="46">
        <f t="shared" ref="J128:BD128" si="97">MIN(MAX($D128,I128)*(1+$F128)*J$126,$E128)</f>
        <v>0</v>
      </c>
      <c r="K128" s="46">
        <f t="shared" si="97"/>
        <v>0</v>
      </c>
      <c r="L128" s="46">
        <f t="shared" si="97"/>
        <v>0</v>
      </c>
      <c r="M128" s="46">
        <f t="shared" si="97"/>
        <v>0</v>
      </c>
      <c r="N128" s="46">
        <f t="shared" si="97"/>
        <v>0</v>
      </c>
      <c r="O128" s="46">
        <f t="shared" si="97"/>
        <v>0</v>
      </c>
      <c r="P128" s="46">
        <f t="shared" si="97"/>
        <v>0</v>
      </c>
      <c r="Q128" s="46">
        <f t="shared" si="97"/>
        <v>0</v>
      </c>
      <c r="R128" s="46">
        <f t="shared" si="97"/>
        <v>0</v>
      </c>
      <c r="S128" s="46">
        <f t="shared" si="97"/>
        <v>21</v>
      </c>
      <c r="T128" s="46">
        <f t="shared" si="97"/>
        <v>22.05</v>
      </c>
      <c r="U128" s="46">
        <f t="shared" si="97"/>
        <v>23.152500000000003</v>
      </c>
      <c r="V128" s="46">
        <f t="shared" si="97"/>
        <v>24.310125000000003</v>
      </c>
      <c r="W128" s="46">
        <f t="shared" si="97"/>
        <v>25.525631250000004</v>
      </c>
      <c r="X128" s="46">
        <f t="shared" si="97"/>
        <v>26.801912812500007</v>
      </c>
      <c r="Y128" s="46">
        <f t="shared" si="97"/>
        <v>28.142008453125008</v>
      </c>
      <c r="Z128" s="46">
        <f t="shared" si="97"/>
        <v>29.549108875781261</v>
      </c>
      <c r="AA128" s="46">
        <f t="shared" si="97"/>
        <v>31.026564319570326</v>
      </c>
      <c r="AB128" s="46">
        <f t="shared" si="97"/>
        <v>32.577892535548841</v>
      </c>
      <c r="AC128" s="46">
        <f t="shared" si="97"/>
        <v>34.206787162326286</v>
      </c>
      <c r="AD128" s="46">
        <f t="shared" si="97"/>
        <v>35.917126520442601</v>
      </c>
      <c r="AE128" s="46">
        <f t="shared" si="97"/>
        <v>37.712982846464733</v>
      </c>
      <c r="AF128" s="46">
        <f t="shared" si="97"/>
        <v>39.598631988787972</v>
      </c>
      <c r="AG128" s="46">
        <f t="shared" si="97"/>
        <v>41.578563588227375</v>
      </c>
      <c r="AH128" s="46">
        <f t="shared" si="97"/>
        <v>43.657491767638746</v>
      </c>
      <c r="AI128" s="46">
        <f t="shared" si="97"/>
        <v>45.840366356020688</v>
      </c>
      <c r="AJ128" s="46">
        <f t="shared" si="97"/>
        <v>48.132384673821726</v>
      </c>
      <c r="AK128" s="46">
        <f t="shared" si="97"/>
        <v>50.539003907512814</v>
      </c>
      <c r="AL128" s="46">
        <f t="shared" si="97"/>
        <v>53.065954102888455</v>
      </c>
      <c r="AM128" s="46">
        <f t="shared" si="97"/>
        <v>55.71925180803288</v>
      </c>
      <c r="AN128" s="46">
        <f t="shared" si="97"/>
        <v>58.505214398434525</v>
      </c>
      <c r="AO128" s="46">
        <f t="shared" si="97"/>
        <v>61.430475118356256</v>
      </c>
      <c r="AP128" s="46">
        <f t="shared" si="97"/>
        <v>64.501998874274065</v>
      </c>
      <c r="AQ128" s="46">
        <f t="shared" si="97"/>
        <v>67.727098817987766</v>
      </c>
      <c r="AR128" s="46">
        <f t="shared" si="97"/>
        <v>71.113453758887161</v>
      </c>
      <c r="AS128" s="46">
        <f t="shared" si="97"/>
        <v>74.669126446831527</v>
      </c>
      <c r="AT128" s="46">
        <f t="shared" si="97"/>
        <v>78.402582769173108</v>
      </c>
      <c r="AU128" s="46">
        <f t="shared" si="97"/>
        <v>82.322711907631771</v>
      </c>
      <c r="AV128" s="46">
        <f t="shared" si="97"/>
        <v>86.438847503013363</v>
      </c>
      <c r="AW128" s="46">
        <f t="shared" si="97"/>
        <v>90.760789878164033</v>
      </c>
      <c r="AX128" s="46">
        <f t="shared" si="97"/>
        <v>95.298829372072234</v>
      </c>
      <c r="AY128" s="46">
        <f t="shared" si="97"/>
        <v>100.06377084067584</v>
      </c>
      <c r="AZ128" s="46">
        <f t="shared" si="97"/>
        <v>105.06695938270964</v>
      </c>
      <c r="BA128" s="46">
        <f t="shared" si="97"/>
        <v>110.32030735184513</v>
      </c>
      <c r="BB128" s="46">
        <f t="shared" si="97"/>
        <v>115.83632271943739</v>
      </c>
      <c r="BC128" s="46">
        <f t="shared" si="97"/>
        <v>121.62813885540926</v>
      </c>
      <c r="BD128" s="46">
        <f t="shared" si="97"/>
        <v>127.70954579817973</v>
      </c>
      <c r="BE128" s="46"/>
    </row>
    <row r="129" spans="1:57" ht="15" customHeight="1" x14ac:dyDescent="0.3">
      <c r="B129" s="37"/>
      <c r="C129" s="46" t="s">
        <v>87</v>
      </c>
      <c r="D129" s="49">
        <v>1500</v>
      </c>
      <c r="E129" s="49">
        <v>1500</v>
      </c>
      <c r="F129" s="50">
        <v>0</v>
      </c>
      <c r="H129" s="46">
        <v>0</v>
      </c>
      <c r="I129" s="46">
        <f t="shared" ref="I129:BD129" si="98">MIN(MAX($D129,H129)*(1+$F129)*I$9,$E129)</f>
        <v>1500</v>
      </c>
      <c r="J129" s="46">
        <f t="shared" si="98"/>
        <v>1500</v>
      </c>
      <c r="K129" s="46">
        <f t="shared" si="98"/>
        <v>1500</v>
      </c>
      <c r="L129" s="46">
        <f t="shared" si="98"/>
        <v>1500</v>
      </c>
      <c r="M129" s="46">
        <f t="shared" si="98"/>
        <v>1500</v>
      </c>
      <c r="N129" s="46">
        <f t="shared" si="98"/>
        <v>1500</v>
      </c>
      <c r="O129" s="46">
        <f t="shared" si="98"/>
        <v>1500</v>
      </c>
      <c r="P129" s="46">
        <f t="shared" si="98"/>
        <v>1500</v>
      </c>
      <c r="Q129" s="46">
        <f t="shared" si="98"/>
        <v>1500</v>
      </c>
      <c r="R129" s="46">
        <f t="shared" si="98"/>
        <v>1500</v>
      </c>
      <c r="S129" s="46">
        <f t="shared" si="98"/>
        <v>1500</v>
      </c>
      <c r="T129" s="46">
        <f t="shared" si="98"/>
        <v>1500</v>
      </c>
      <c r="U129" s="46">
        <f t="shared" si="98"/>
        <v>1500</v>
      </c>
      <c r="V129" s="46">
        <f t="shared" si="98"/>
        <v>1500</v>
      </c>
      <c r="W129" s="46">
        <f t="shared" si="98"/>
        <v>1500</v>
      </c>
      <c r="X129" s="46">
        <f t="shared" si="98"/>
        <v>1500</v>
      </c>
      <c r="Y129" s="46">
        <f t="shared" si="98"/>
        <v>1500</v>
      </c>
      <c r="Z129" s="46">
        <f t="shared" si="98"/>
        <v>1500</v>
      </c>
      <c r="AA129" s="46">
        <f t="shared" si="98"/>
        <v>1500</v>
      </c>
      <c r="AB129" s="46">
        <f t="shared" si="98"/>
        <v>1500</v>
      </c>
      <c r="AC129" s="46">
        <f t="shared" si="98"/>
        <v>1500</v>
      </c>
      <c r="AD129" s="46">
        <f t="shared" si="98"/>
        <v>1500</v>
      </c>
      <c r="AE129" s="46">
        <f t="shared" si="98"/>
        <v>1500</v>
      </c>
      <c r="AF129" s="46">
        <f t="shared" si="98"/>
        <v>1500</v>
      </c>
      <c r="AG129" s="46">
        <f t="shared" si="98"/>
        <v>1500</v>
      </c>
      <c r="AH129" s="46">
        <f t="shared" si="98"/>
        <v>1500</v>
      </c>
      <c r="AI129" s="46">
        <f t="shared" si="98"/>
        <v>1500</v>
      </c>
      <c r="AJ129" s="46">
        <f t="shared" si="98"/>
        <v>1500</v>
      </c>
      <c r="AK129" s="46">
        <f t="shared" si="98"/>
        <v>1500</v>
      </c>
      <c r="AL129" s="46">
        <f t="shared" si="98"/>
        <v>1500</v>
      </c>
      <c r="AM129" s="46">
        <f t="shared" si="98"/>
        <v>1500</v>
      </c>
      <c r="AN129" s="46">
        <f t="shared" si="98"/>
        <v>1500</v>
      </c>
      <c r="AO129" s="46">
        <f t="shared" si="98"/>
        <v>1500</v>
      </c>
      <c r="AP129" s="46">
        <f t="shared" si="98"/>
        <v>1500</v>
      </c>
      <c r="AQ129" s="46">
        <f t="shared" si="98"/>
        <v>1500</v>
      </c>
      <c r="AR129" s="46">
        <f t="shared" si="98"/>
        <v>1500</v>
      </c>
      <c r="AS129" s="46">
        <f t="shared" si="98"/>
        <v>1500</v>
      </c>
      <c r="AT129" s="46">
        <f t="shared" si="98"/>
        <v>1500</v>
      </c>
      <c r="AU129" s="46">
        <f t="shared" si="98"/>
        <v>1500</v>
      </c>
      <c r="AV129" s="46">
        <f t="shared" si="98"/>
        <v>1500</v>
      </c>
      <c r="AW129" s="46">
        <f t="shared" si="98"/>
        <v>1500</v>
      </c>
      <c r="AX129" s="46">
        <f t="shared" si="98"/>
        <v>1500</v>
      </c>
      <c r="AY129" s="46">
        <f t="shared" si="98"/>
        <v>1500</v>
      </c>
      <c r="AZ129" s="46">
        <f t="shared" si="98"/>
        <v>1500</v>
      </c>
      <c r="BA129" s="46">
        <f t="shared" si="98"/>
        <v>1500</v>
      </c>
      <c r="BB129" s="46">
        <f t="shared" si="98"/>
        <v>1500</v>
      </c>
      <c r="BC129" s="46">
        <f t="shared" si="98"/>
        <v>1500</v>
      </c>
      <c r="BD129" s="46">
        <f t="shared" si="98"/>
        <v>1500</v>
      </c>
      <c r="BE129" s="46"/>
    </row>
    <row r="130" spans="1:57" ht="15" customHeight="1" x14ac:dyDescent="0.3">
      <c r="B130" s="37"/>
      <c r="C130" s="46" t="s">
        <v>118</v>
      </c>
      <c r="D130" s="46"/>
      <c r="E130" s="46"/>
      <c r="F130" s="46"/>
      <c r="H130" s="46">
        <v>0</v>
      </c>
      <c r="I130" s="51">
        <f t="shared" ref="I130:BD130" si="99">I128*I129</f>
        <v>0</v>
      </c>
      <c r="J130" s="51">
        <f t="shared" si="99"/>
        <v>0</v>
      </c>
      <c r="K130" s="51">
        <f t="shared" si="99"/>
        <v>0</v>
      </c>
      <c r="L130" s="51">
        <f t="shared" si="99"/>
        <v>0</v>
      </c>
      <c r="M130" s="51">
        <f t="shared" si="99"/>
        <v>0</v>
      </c>
      <c r="N130" s="51">
        <f t="shared" si="99"/>
        <v>0</v>
      </c>
      <c r="O130" s="51">
        <f t="shared" si="99"/>
        <v>0</v>
      </c>
      <c r="P130" s="51">
        <f t="shared" si="99"/>
        <v>0</v>
      </c>
      <c r="Q130" s="51">
        <f t="shared" si="99"/>
        <v>0</v>
      </c>
      <c r="R130" s="51">
        <f t="shared" si="99"/>
        <v>0</v>
      </c>
      <c r="S130" s="51">
        <f t="shared" si="99"/>
        <v>31500</v>
      </c>
      <c r="T130" s="51">
        <f t="shared" si="99"/>
        <v>33075</v>
      </c>
      <c r="U130" s="51">
        <f t="shared" si="99"/>
        <v>34728.750000000007</v>
      </c>
      <c r="V130" s="51">
        <f t="shared" si="99"/>
        <v>36465.187500000007</v>
      </c>
      <c r="W130" s="51">
        <f t="shared" si="99"/>
        <v>38288.446875000009</v>
      </c>
      <c r="X130" s="51">
        <f t="shared" si="99"/>
        <v>40202.869218750013</v>
      </c>
      <c r="Y130" s="51">
        <f t="shared" si="99"/>
        <v>42213.012679687512</v>
      </c>
      <c r="Z130" s="51">
        <f t="shared" si="99"/>
        <v>44323.663313671888</v>
      </c>
      <c r="AA130" s="51">
        <f t="shared" si="99"/>
        <v>46539.846479355489</v>
      </c>
      <c r="AB130" s="51">
        <f t="shared" si="99"/>
        <v>48866.838803323262</v>
      </c>
      <c r="AC130" s="51">
        <f t="shared" si="99"/>
        <v>51310.180743489429</v>
      </c>
      <c r="AD130" s="51">
        <f t="shared" si="99"/>
        <v>53875.689780663903</v>
      </c>
      <c r="AE130" s="51">
        <f t="shared" si="99"/>
        <v>56569.474269697101</v>
      </c>
      <c r="AF130" s="51">
        <f t="shared" si="99"/>
        <v>59397.947983181955</v>
      </c>
      <c r="AG130" s="51">
        <f t="shared" si="99"/>
        <v>62367.84538234106</v>
      </c>
      <c r="AH130" s="51">
        <f t="shared" si="99"/>
        <v>65486.237651458119</v>
      </c>
      <c r="AI130" s="51">
        <f t="shared" si="99"/>
        <v>68760.54953403103</v>
      </c>
      <c r="AJ130" s="51">
        <f t="shared" si="99"/>
        <v>72198.577010732595</v>
      </c>
      <c r="AK130" s="51">
        <f t="shared" si="99"/>
        <v>75808.505861269223</v>
      </c>
      <c r="AL130" s="51">
        <f t="shared" si="99"/>
        <v>79598.931154332677</v>
      </c>
      <c r="AM130" s="51">
        <f t="shared" si="99"/>
        <v>83578.877712049318</v>
      </c>
      <c r="AN130" s="51">
        <f t="shared" si="99"/>
        <v>87757.821597651782</v>
      </c>
      <c r="AO130" s="51">
        <f t="shared" si="99"/>
        <v>92145.712677534379</v>
      </c>
      <c r="AP130" s="51">
        <f t="shared" si="99"/>
        <v>96752.998311411095</v>
      </c>
      <c r="AQ130" s="51">
        <f t="shared" si="99"/>
        <v>101590.64822698165</v>
      </c>
      <c r="AR130" s="51">
        <f t="shared" si="99"/>
        <v>106670.18063833074</v>
      </c>
      <c r="AS130" s="51">
        <f t="shared" si="99"/>
        <v>112003.68967024729</v>
      </c>
      <c r="AT130" s="51">
        <f t="shared" si="99"/>
        <v>117603.87415375967</v>
      </c>
      <c r="AU130" s="51">
        <f t="shared" si="99"/>
        <v>123484.06786144765</v>
      </c>
      <c r="AV130" s="51">
        <f t="shared" si="99"/>
        <v>129658.27125452005</v>
      </c>
      <c r="AW130" s="51">
        <f t="shared" si="99"/>
        <v>136141.18481724604</v>
      </c>
      <c r="AX130" s="51">
        <f t="shared" si="99"/>
        <v>142948.24405810836</v>
      </c>
      <c r="AY130" s="51">
        <f t="shared" si="99"/>
        <v>150095.65626101376</v>
      </c>
      <c r="AZ130" s="51">
        <f t="shared" si="99"/>
        <v>157600.43907406446</v>
      </c>
      <c r="BA130" s="51">
        <f t="shared" si="99"/>
        <v>165480.46102776768</v>
      </c>
      <c r="BB130" s="51">
        <f t="shared" si="99"/>
        <v>173754.4840791561</v>
      </c>
      <c r="BC130" s="51">
        <f t="shared" si="99"/>
        <v>182442.2082831139</v>
      </c>
      <c r="BD130" s="51">
        <f t="shared" si="99"/>
        <v>191564.3186972696</v>
      </c>
      <c r="BE130" s="51"/>
    </row>
    <row r="131" spans="1:57" ht="14.25" customHeight="1" x14ac:dyDescent="0.3">
      <c r="A131" s="46"/>
      <c r="B131" s="37"/>
      <c r="C131" s="46"/>
      <c r="D131" s="46"/>
      <c r="E131" s="46"/>
      <c r="F131" s="46"/>
      <c r="G131" s="46"/>
      <c r="H131" s="46">
        <v>0</v>
      </c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  <c r="AN131" s="46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46"/>
      <c r="BC131" s="46"/>
      <c r="BD131" s="46"/>
      <c r="BE131" s="46"/>
    </row>
    <row r="132" spans="1:57" ht="14.25" customHeight="1" x14ac:dyDescent="0.3">
      <c r="A132" s="46"/>
      <c r="B132" s="37"/>
      <c r="C132" s="46" t="s">
        <v>119</v>
      </c>
      <c r="D132" s="49">
        <f>-(D129*0.6)</f>
        <v>-900</v>
      </c>
      <c r="E132" s="46"/>
      <c r="F132" s="46"/>
      <c r="G132" s="46"/>
      <c r="H132" s="46"/>
      <c r="I132" s="46">
        <f t="shared" ref="I132:BD132" si="100">I128*$D132</f>
        <v>0</v>
      </c>
      <c r="J132" s="46">
        <f t="shared" si="100"/>
        <v>0</v>
      </c>
      <c r="K132" s="46">
        <f t="shared" si="100"/>
        <v>0</v>
      </c>
      <c r="L132" s="46">
        <f t="shared" si="100"/>
        <v>0</v>
      </c>
      <c r="M132" s="46">
        <f t="shared" si="100"/>
        <v>0</v>
      </c>
      <c r="N132" s="46">
        <f t="shared" si="100"/>
        <v>0</v>
      </c>
      <c r="O132" s="46">
        <f t="shared" si="100"/>
        <v>0</v>
      </c>
      <c r="P132" s="46">
        <f t="shared" si="100"/>
        <v>0</v>
      </c>
      <c r="Q132" s="46">
        <f t="shared" si="100"/>
        <v>0</v>
      </c>
      <c r="R132" s="46">
        <f t="shared" si="100"/>
        <v>0</v>
      </c>
      <c r="S132" s="46">
        <f t="shared" si="100"/>
        <v>-18900</v>
      </c>
      <c r="T132" s="46">
        <f t="shared" si="100"/>
        <v>-19845</v>
      </c>
      <c r="U132" s="46">
        <f t="shared" si="100"/>
        <v>-20837.250000000004</v>
      </c>
      <c r="V132" s="46">
        <f t="shared" si="100"/>
        <v>-21879.112500000003</v>
      </c>
      <c r="W132" s="46">
        <f t="shared" si="100"/>
        <v>-22973.068125000002</v>
      </c>
      <c r="X132" s="46">
        <f t="shared" si="100"/>
        <v>-24121.721531250005</v>
      </c>
      <c r="Y132" s="46">
        <f t="shared" si="100"/>
        <v>-25327.807607812509</v>
      </c>
      <c r="Z132" s="46">
        <f t="shared" si="100"/>
        <v>-26594.197988203134</v>
      </c>
      <c r="AA132" s="46">
        <f t="shared" si="100"/>
        <v>-27923.907887613295</v>
      </c>
      <c r="AB132" s="46">
        <f t="shared" si="100"/>
        <v>-29320.103281993957</v>
      </c>
      <c r="AC132" s="46">
        <f t="shared" si="100"/>
        <v>-30786.108446093658</v>
      </c>
      <c r="AD132" s="46">
        <f t="shared" si="100"/>
        <v>-32325.41386839834</v>
      </c>
      <c r="AE132" s="46">
        <f t="shared" si="100"/>
        <v>-33941.684561818263</v>
      </c>
      <c r="AF132" s="46">
        <f t="shared" si="100"/>
        <v>-35638.768789909176</v>
      </c>
      <c r="AG132" s="46">
        <f t="shared" si="100"/>
        <v>-37420.707229404637</v>
      </c>
      <c r="AH132" s="46">
        <f t="shared" si="100"/>
        <v>-39291.74259087487</v>
      </c>
      <c r="AI132" s="46">
        <f t="shared" si="100"/>
        <v>-41256.329720418616</v>
      </c>
      <c r="AJ132" s="46">
        <f t="shared" si="100"/>
        <v>-43319.146206439553</v>
      </c>
      <c r="AK132" s="46">
        <f t="shared" si="100"/>
        <v>-45485.103516761534</v>
      </c>
      <c r="AL132" s="46">
        <f t="shared" si="100"/>
        <v>-47759.358692599606</v>
      </c>
      <c r="AM132" s="46">
        <f t="shared" si="100"/>
        <v>-50147.326627229595</v>
      </c>
      <c r="AN132" s="46">
        <f t="shared" si="100"/>
        <v>-52654.692958591069</v>
      </c>
      <c r="AO132" s="46">
        <f t="shared" si="100"/>
        <v>-55287.427606520629</v>
      </c>
      <c r="AP132" s="46">
        <f t="shared" si="100"/>
        <v>-58051.798986846661</v>
      </c>
      <c r="AQ132" s="46">
        <f t="shared" si="100"/>
        <v>-60954.388936188989</v>
      </c>
      <c r="AR132" s="46">
        <f t="shared" si="100"/>
        <v>-64002.108382998442</v>
      </c>
      <c r="AS132" s="46">
        <f t="shared" si="100"/>
        <v>-67202.21380214837</v>
      </c>
      <c r="AT132" s="46">
        <f t="shared" si="100"/>
        <v>-70562.324492255793</v>
      </c>
      <c r="AU132" s="46">
        <f t="shared" si="100"/>
        <v>-74090.440716868587</v>
      </c>
      <c r="AV132" s="46">
        <f t="shared" si="100"/>
        <v>-77794.962752712032</v>
      </c>
      <c r="AW132" s="46">
        <f t="shared" si="100"/>
        <v>-81684.710890347633</v>
      </c>
      <c r="AX132" s="46">
        <f t="shared" si="100"/>
        <v>-85768.946434865007</v>
      </c>
      <c r="AY132" s="46">
        <f t="shared" si="100"/>
        <v>-90057.39375660826</v>
      </c>
      <c r="AZ132" s="46">
        <f t="shared" si="100"/>
        <v>-94560.263444438679</v>
      </c>
      <c r="BA132" s="46">
        <f t="shared" si="100"/>
        <v>-99288.276616660616</v>
      </c>
      <c r="BB132" s="46">
        <f t="shared" si="100"/>
        <v>-104252.69044749365</v>
      </c>
      <c r="BC132" s="46">
        <f t="shared" si="100"/>
        <v>-109465.32496986834</v>
      </c>
      <c r="BD132" s="46">
        <f t="shared" si="100"/>
        <v>-114938.59121836176</v>
      </c>
      <c r="BE132" s="46"/>
    </row>
    <row r="133" spans="1:57" ht="14.25" customHeight="1" x14ac:dyDescent="0.3">
      <c r="A133" s="46"/>
      <c r="B133" s="37"/>
      <c r="C133" s="46"/>
      <c r="D133" s="46"/>
      <c r="E133" s="46"/>
      <c r="F133" s="46"/>
      <c r="G133" s="46"/>
      <c r="H133" s="46">
        <v>0</v>
      </c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6"/>
      <c r="AN133" s="46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46"/>
      <c r="BC133" s="46"/>
      <c r="BD133" s="46"/>
      <c r="BE133" s="46"/>
    </row>
    <row r="134" spans="1:57" ht="14.25" customHeight="1" x14ac:dyDescent="0.3">
      <c r="A134" s="46"/>
      <c r="B134" s="37"/>
      <c r="C134" s="46" t="str">
        <f>C$13</f>
        <v>IV Number of Treatments</v>
      </c>
      <c r="D134" s="46"/>
      <c r="E134" s="46"/>
      <c r="F134" s="46"/>
      <c r="G134" s="46"/>
      <c r="H134" s="46"/>
      <c r="I134" s="46">
        <f t="shared" ref="I134:BD134" si="101">I$13</f>
        <v>47</v>
      </c>
      <c r="J134" s="46">
        <f t="shared" si="101"/>
        <v>43</v>
      </c>
      <c r="K134" s="46">
        <f t="shared" si="101"/>
        <v>63</v>
      </c>
      <c r="L134" s="46">
        <f t="shared" si="101"/>
        <v>54</v>
      </c>
      <c r="M134" s="46">
        <f t="shared" si="101"/>
        <v>39</v>
      </c>
      <c r="N134" s="46">
        <f t="shared" si="101"/>
        <v>35</v>
      </c>
      <c r="O134" s="46">
        <f t="shared" si="101"/>
        <v>75</v>
      </c>
      <c r="P134" s="46">
        <f t="shared" si="101"/>
        <v>75.75</v>
      </c>
      <c r="Q134" s="46">
        <f t="shared" si="101"/>
        <v>76.507500000000007</v>
      </c>
      <c r="R134" s="46">
        <f t="shared" si="101"/>
        <v>77.272575000000003</v>
      </c>
      <c r="S134" s="46">
        <f t="shared" si="101"/>
        <v>78.04530075000001</v>
      </c>
      <c r="T134" s="46">
        <f t="shared" si="101"/>
        <v>78.82575375750001</v>
      </c>
      <c r="U134" s="46">
        <f t="shared" si="101"/>
        <v>79.614011295075017</v>
      </c>
      <c r="V134" s="46">
        <f t="shared" si="101"/>
        <v>80.410151408025769</v>
      </c>
      <c r="W134" s="46">
        <f t="shared" si="101"/>
        <v>81.214252922106027</v>
      </c>
      <c r="X134" s="46">
        <f t="shared" si="101"/>
        <v>82.02639545132709</v>
      </c>
      <c r="Y134" s="46">
        <f t="shared" si="101"/>
        <v>82.846659405840356</v>
      </c>
      <c r="Z134" s="46">
        <f t="shared" si="101"/>
        <v>83.675125999898754</v>
      </c>
      <c r="AA134" s="46">
        <f t="shared" si="101"/>
        <v>84.511877259897744</v>
      </c>
      <c r="AB134" s="46">
        <f t="shared" si="101"/>
        <v>85.356996032496724</v>
      </c>
      <c r="AC134" s="46">
        <f t="shared" si="101"/>
        <v>86.210565992821685</v>
      </c>
      <c r="AD134" s="46">
        <f t="shared" si="101"/>
        <v>87.072671652749904</v>
      </c>
      <c r="AE134" s="46">
        <f t="shared" si="101"/>
        <v>87.943398369277404</v>
      </c>
      <c r="AF134" s="46">
        <f t="shared" si="101"/>
        <v>88.822832352970181</v>
      </c>
      <c r="AG134" s="46">
        <f t="shared" si="101"/>
        <v>89.711060676499883</v>
      </c>
      <c r="AH134" s="46">
        <f t="shared" si="101"/>
        <v>90.60817128326488</v>
      </c>
      <c r="AI134" s="46">
        <f t="shared" si="101"/>
        <v>91.514252996097525</v>
      </c>
      <c r="AJ134" s="46">
        <f t="shared" si="101"/>
        <v>92.429395526058499</v>
      </c>
      <c r="AK134" s="46">
        <f t="shared" si="101"/>
        <v>93.35368948131908</v>
      </c>
      <c r="AL134" s="46">
        <f t="shared" si="101"/>
        <v>94.287226376132267</v>
      </c>
      <c r="AM134" s="46">
        <f t="shared" si="101"/>
        <v>95.230098639893598</v>
      </c>
      <c r="AN134" s="46">
        <f t="shared" si="101"/>
        <v>96.182399626292536</v>
      </c>
      <c r="AO134" s="46">
        <f t="shared" si="101"/>
        <v>97.144223622555458</v>
      </c>
      <c r="AP134" s="46">
        <f t="shared" si="101"/>
        <v>98.115665858781014</v>
      </c>
      <c r="AQ134" s="46">
        <f t="shared" si="101"/>
        <v>99.096822517368821</v>
      </c>
      <c r="AR134" s="46">
        <f t="shared" si="101"/>
        <v>100.08779074254251</v>
      </c>
      <c r="AS134" s="46">
        <f t="shared" si="101"/>
        <v>101.08866864996793</v>
      </c>
      <c r="AT134" s="46">
        <f t="shared" si="101"/>
        <v>102.0995553364676</v>
      </c>
      <c r="AU134" s="46">
        <f t="shared" si="101"/>
        <v>103.12055088983227</v>
      </c>
      <c r="AV134" s="46">
        <f t="shared" si="101"/>
        <v>104.1517563987306</v>
      </c>
      <c r="AW134" s="46">
        <f t="shared" si="101"/>
        <v>105.19327396271791</v>
      </c>
      <c r="AX134" s="46">
        <f t="shared" si="101"/>
        <v>106.24520670234509</v>
      </c>
      <c r="AY134" s="46">
        <f t="shared" si="101"/>
        <v>107.30765876936854</v>
      </c>
      <c r="AZ134" s="46">
        <f t="shared" si="101"/>
        <v>108.38073535706224</v>
      </c>
      <c r="BA134" s="46">
        <f t="shared" si="101"/>
        <v>109.46454271063286</v>
      </c>
      <c r="BB134" s="46">
        <f t="shared" si="101"/>
        <v>110.55918813773918</v>
      </c>
      <c r="BC134" s="46">
        <f t="shared" si="101"/>
        <v>111.66478001911658</v>
      </c>
      <c r="BD134" s="46">
        <f t="shared" si="101"/>
        <v>112.78142781930774</v>
      </c>
      <c r="BE134" s="46"/>
    </row>
    <row r="135" spans="1:57" ht="14.25" customHeight="1" x14ac:dyDescent="0.3">
      <c r="A135" s="46"/>
      <c r="B135" s="37"/>
      <c r="C135" s="46" t="str">
        <f>C$20</f>
        <v>IV Curcumin Number of Treatments</v>
      </c>
      <c r="D135" s="46"/>
      <c r="E135" s="46"/>
      <c r="F135" s="46"/>
      <c r="G135" s="46"/>
      <c r="H135" s="46"/>
      <c r="I135" s="46">
        <f t="shared" ref="I135:BD135" si="102">I$20</f>
        <v>29</v>
      </c>
      <c r="J135" s="46">
        <f t="shared" si="102"/>
        <v>29.29</v>
      </c>
      <c r="K135" s="46">
        <f t="shared" si="102"/>
        <v>32</v>
      </c>
      <c r="L135" s="46">
        <f t="shared" si="102"/>
        <v>39</v>
      </c>
      <c r="M135" s="46">
        <f t="shared" si="102"/>
        <v>15</v>
      </c>
      <c r="N135" s="46">
        <f t="shared" si="102"/>
        <v>7</v>
      </c>
      <c r="O135" s="46">
        <f t="shared" si="102"/>
        <v>28</v>
      </c>
      <c r="P135" s="46">
        <f t="shared" si="102"/>
        <v>28.28</v>
      </c>
      <c r="Q135" s="46">
        <f t="shared" si="102"/>
        <v>28.562800000000003</v>
      </c>
      <c r="R135" s="46">
        <f t="shared" si="102"/>
        <v>28.848428000000002</v>
      </c>
      <c r="S135" s="46">
        <f t="shared" si="102"/>
        <v>29.136912280000001</v>
      </c>
      <c r="T135" s="46">
        <f t="shared" si="102"/>
        <v>29.4282814028</v>
      </c>
      <c r="U135" s="46">
        <f t="shared" si="102"/>
        <v>29.722564216828001</v>
      </c>
      <c r="V135" s="46">
        <f t="shared" si="102"/>
        <v>30.01978985899628</v>
      </c>
      <c r="W135" s="46">
        <f t="shared" si="102"/>
        <v>30.319987757586244</v>
      </c>
      <c r="X135" s="46">
        <f t="shared" si="102"/>
        <v>30.623187635162108</v>
      </c>
      <c r="Y135" s="46">
        <f t="shared" si="102"/>
        <v>30.929419511513728</v>
      </c>
      <c r="Z135" s="46">
        <f t="shared" si="102"/>
        <v>31.238713706628864</v>
      </c>
      <c r="AA135" s="46">
        <f t="shared" si="102"/>
        <v>31.551100843695153</v>
      </c>
      <c r="AB135" s="46">
        <f t="shared" si="102"/>
        <v>31.866611852132106</v>
      </c>
      <c r="AC135" s="46">
        <f t="shared" si="102"/>
        <v>32.185277970653431</v>
      </c>
      <c r="AD135" s="46">
        <f t="shared" si="102"/>
        <v>32.507130750359963</v>
      </c>
      <c r="AE135" s="46">
        <f t="shared" si="102"/>
        <v>32.832202057863562</v>
      </c>
      <c r="AF135" s="46">
        <f t="shared" si="102"/>
        <v>33.160524078442201</v>
      </c>
      <c r="AG135" s="46">
        <f t="shared" si="102"/>
        <v>33.492129319226621</v>
      </c>
      <c r="AH135" s="46">
        <f t="shared" si="102"/>
        <v>33.827050612418887</v>
      </c>
      <c r="AI135" s="46">
        <f t="shared" si="102"/>
        <v>34.165321118543076</v>
      </c>
      <c r="AJ135" s="46">
        <f t="shared" si="102"/>
        <v>34.506974329728507</v>
      </c>
      <c r="AK135" s="46">
        <f t="shared" si="102"/>
        <v>34.852044073025795</v>
      </c>
      <c r="AL135" s="46">
        <f t="shared" si="102"/>
        <v>35.200564513756056</v>
      </c>
      <c r="AM135" s="46">
        <f t="shared" si="102"/>
        <v>35.552570158893616</v>
      </c>
      <c r="AN135" s="46">
        <f t="shared" si="102"/>
        <v>35.908095860482554</v>
      </c>
      <c r="AO135" s="46">
        <f t="shared" si="102"/>
        <v>36.267176819087382</v>
      </c>
      <c r="AP135" s="46">
        <f t="shared" si="102"/>
        <v>36.629848587278254</v>
      </c>
      <c r="AQ135" s="46">
        <f t="shared" si="102"/>
        <v>36.996147073151036</v>
      </c>
      <c r="AR135" s="46">
        <f t="shared" si="102"/>
        <v>37.366108543882547</v>
      </c>
      <c r="AS135" s="46">
        <f t="shared" si="102"/>
        <v>37.739769629321373</v>
      </c>
      <c r="AT135" s="46">
        <f t="shared" si="102"/>
        <v>38.117167325614588</v>
      </c>
      <c r="AU135" s="46">
        <f t="shared" si="102"/>
        <v>38.498338998870736</v>
      </c>
      <c r="AV135" s="46">
        <f t="shared" si="102"/>
        <v>38.88332238885944</v>
      </c>
      <c r="AW135" s="46">
        <f t="shared" si="102"/>
        <v>39.272155612748037</v>
      </c>
      <c r="AX135" s="46">
        <f t="shared" si="102"/>
        <v>39.66487716887552</v>
      </c>
      <c r="AY135" s="46">
        <f t="shared" si="102"/>
        <v>40.061525940564273</v>
      </c>
      <c r="AZ135" s="46">
        <f t="shared" si="102"/>
        <v>40.462141199969913</v>
      </c>
      <c r="BA135" s="46">
        <f t="shared" si="102"/>
        <v>40.866762611969612</v>
      </c>
      <c r="BB135" s="46">
        <f t="shared" si="102"/>
        <v>41.275430238089307</v>
      </c>
      <c r="BC135" s="46">
        <f t="shared" si="102"/>
        <v>41.688184540470203</v>
      </c>
      <c r="BD135" s="46">
        <f t="shared" si="102"/>
        <v>42.105066385874906</v>
      </c>
      <c r="BE135" s="46"/>
    </row>
    <row r="136" spans="1:57" ht="14.25" customHeight="1" x14ac:dyDescent="0.3">
      <c r="A136" s="46"/>
      <c r="B136" s="37"/>
      <c r="C136" s="46" t="str">
        <f>C$27</f>
        <v>Laser Number of Treatments</v>
      </c>
      <c r="D136" s="46"/>
      <c r="E136" s="46"/>
      <c r="F136" s="46"/>
      <c r="G136" s="46"/>
      <c r="H136" s="46"/>
      <c r="I136" s="46">
        <f t="shared" ref="I136:BD136" si="103">I$27</f>
        <v>48</v>
      </c>
      <c r="J136" s="46">
        <f t="shared" si="103"/>
        <v>30</v>
      </c>
      <c r="K136" s="46">
        <f t="shared" si="103"/>
        <v>50</v>
      </c>
      <c r="L136" s="46">
        <f t="shared" si="103"/>
        <v>40</v>
      </c>
      <c r="M136" s="46">
        <f t="shared" si="103"/>
        <v>10</v>
      </c>
      <c r="N136" s="46">
        <f t="shared" si="103"/>
        <v>0</v>
      </c>
      <c r="O136" s="46">
        <f t="shared" si="103"/>
        <v>17</v>
      </c>
      <c r="P136" s="46">
        <f t="shared" si="103"/>
        <v>17.34</v>
      </c>
      <c r="Q136" s="46">
        <f t="shared" si="103"/>
        <v>17.686800000000002</v>
      </c>
      <c r="R136" s="46">
        <f t="shared" si="103"/>
        <v>18.040536000000003</v>
      </c>
      <c r="S136" s="46">
        <f t="shared" si="103"/>
        <v>18.401346720000003</v>
      </c>
      <c r="T136" s="46">
        <f t="shared" si="103"/>
        <v>18.769373654400002</v>
      </c>
      <c r="U136" s="46">
        <f t="shared" si="103"/>
        <v>19.144761127488003</v>
      </c>
      <c r="V136" s="46">
        <f t="shared" si="103"/>
        <v>19.527656350037763</v>
      </c>
      <c r="W136" s="46">
        <f t="shared" si="103"/>
        <v>19.91820947703852</v>
      </c>
      <c r="X136" s="46">
        <f t="shared" si="103"/>
        <v>20.316573666579291</v>
      </c>
      <c r="Y136" s="46">
        <f t="shared" si="103"/>
        <v>20.722905139910878</v>
      </c>
      <c r="Z136" s="46">
        <f t="shared" si="103"/>
        <v>21.137363242709096</v>
      </c>
      <c r="AA136" s="46">
        <f t="shared" si="103"/>
        <v>21.560110507563277</v>
      </c>
      <c r="AB136" s="46">
        <f t="shared" si="103"/>
        <v>21.991312717714543</v>
      </c>
      <c r="AC136" s="46">
        <f t="shared" si="103"/>
        <v>22.431138972068833</v>
      </c>
      <c r="AD136" s="46">
        <f t="shared" si="103"/>
        <v>22.879761751510209</v>
      </c>
      <c r="AE136" s="46">
        <f t="shared" si="103"/>
        <v>23.337356986540414</v>
      </c>
      <c r="AF136" s="46">
        <f t="shared" si="103"/>
        <v>23.804104126271223</v>
      </c>
      <c r="AG136" s="46">
        <f t="shared" si="103"/>
        <v>24.28018620879665</v>
      </c>
      <c r="AH136" s="46">
        <f t="shared" si="103"/>
        <v>24.765789932972584</v>
      </c>
      <c r="AI136" s="46">
        <f t="shared" si="103"/>
        <v>25.261105731632036</v>
      </c>
      <c r="AJ136" s="46">
        <f t="shared" si="103"/>
        <v>25.766327846264677</v>
      </c>
      <c r="AK136" s="46">
        <f t="shared" si="103"/>
        <v>26.281654403189972</v>
      </c>
      <c r="AL136" s="46">
        <f t="shared" si="103"/>
        <v>26.807287491253771</v>
      </c>
      <c r="AM136" s="46">
        <f t="shared" si="103"/>
        <v>27.343433241078845</v>
      </c>
      <c r="AN136" s="46">
        <f t="shared" si="103"/>
        <v>27.890301905900422</v>
      </c>
      <c r="AO136" s="46">
        <f t="shared" si="103"/>
        <v>28.448107944018432</v>
      </c>
      <c r="AP136" s="46">
        <f t="shared" si="103"/>
        <v>29.017070102898799</v>
      </c>
      <c r="AQ136" s="46">
        <f t="shared" si="103"/>
        <v>29.597411504956774</v>
      </c>
      <c r="AR136" s="46">
        <f t="shared" si="103"/>
        <v>30.189359735055909</v>
      </c>
      <c r="AS136" s="46">
        <f t="shared" si="103"/>
        <v>30.793146929757029</v>
      </c>
      <c r="AT136" s="46">
        <f t="shared" si="103"/>
        <v>31.409009868352172</v>
      </c>
      <c r="AU136" s="46">
        <f t="shared" si="103"/>
        <v>32.037190065719216</v>
      </c>
      <c r="AV136" s="46">
        <f t="shared" si="103"/>
        <v>32.677933867033602</v>
      </c>
      <c r="AW136" s="46">
        <f t="shared" si="103"/>
        <v>33.331492544374271</v>
      </c>
      <c r="AX136" s="46">
        <f t="shared" si="103"/>
        <v>33.99812239526176</v>
      </c>
      <c r="AY136" s="46">
        <f t="shared" si="103"/>
        <v>34.678084843166992</v>
      </c>
      <c r="AZ136" s="46">
        <f t="shared" si="103"/>
        <v>35.371646540030333</v>
      </c>
      <c r="BA136" s="46">
        <f t="shared" si="103"/>
        <v>36.079079470830941</v>
      </c>
      <c r="BB136" s="46">
        <f t="shared" si="103"/>
        <v>36.800661060247563</v>
      </c>
      <c r="BC136" s="46">
        <f t="shared" si="103"/>
        <v>37.536674281452513</v>
      </c>
      <c r="BD136" s="46">
        <f t="shared" si="103"/>
        <v>38.287407767081561</v>
      </c>
      <c r="BE136" s="46"/>
    </row>
    <row r="137" spans="1:57" ht="14.25" customHeight="1" x14ac:dyDescent="0.3">
      <c r="A137" s="46"/>
      <c r="B137" s="37"/>
      <c r="C137" s="46" t="str">
        <f>C$32</f>
        <v>mEHT Number of Sessions</v>
      </c>
      <c r="D137" s="46"/>
      <c r="E137" s="46"/>
      <c r="F137" s="46"/>
      <c r="G137" s="46"/>
      <c r="H137" s="46"/>
      <c r="I137" s="46">
        <f t="shared" ref="I137:BD137" si="104">I$32</f>
        <v>147</v>
      </c>
      <c r="J137" s="46">
        <f t="shared" si="104"/>
        <v>127.5</v>
      </c>
      <c r="K137" s="46">
        <f t="shared" si="104"/>
        <v>166</v>
      </c>
      <c r="L137" s="46">
        <f t="shared" si="104"/>
        <v>132</v>
      </c>
      <c r="M137" s="46">
        <f t="shared" si="104"/>
        <v>79.5</v>
      </c>
      <c r="N137" s="46">
        <f t="shared" si="104"/>
        <v>102</v>
      </c>
      <c r="O137" s="46">
        <f t="shared" si="104"/>
        <v>100.5</v>
      </c>
      <c r="P137" s="46">
        <f t="shared" si="104"/>
        <v>105.52500000000001</v>
      </c>
      <c r="Q137" s="46">
        <f t="shared" si="104"/>
        <v>110.80125000000001</v>
      </c>
      <c r="R137" s="46">
        <f t="shared" si="104"/>
        <v>116.34131250000002</v>
      </c>
      <c r="S137" s="46">
        <f t="shared" si="104"/>
        <v>122.15837812500003</v>
      </c>
      <c r="T137" s="46">
        <f t="shared" si="104"/>
        <v>128.26629703125005</v>
      </c>
      <c r="U137" s="46">
        <f t="shared" si="104"/>
        <v>134.67961188281257</v>
      </c>
      <c r="V137" s="46">
        <f t="shared" si="104"/>
        <v>141.4135924769532</v>
      </c>
      <c r="W137" s="46">
        <f t="shared" si="104"/>
        <v>148.48427210080087</v>
      </c>
      <c r="X137" s="46">
        <f t="shared" si="104"/>
        <v>155.90848570584092</v>
      </c>
      <c r="Y137" s="46">
        <f t="shared" si="104"/>
        <v>163.70390999113297</v>
      </c>
      <c r="Z137" s="46">
        <f t="shared" si="104"/>
        <v>171.88910549068964</v>
      </c>
      <c r="AA137" s="46">
        <f t="shared" si="104"/>
        <v>180.48356076522413</v>
      </c>
      <c r="AB137" s="46">
        <f t="shared" si="104"/>
        <v>189.50773880348535</v>
      </c>
      <c r="AC137" s="46">
        <f t="shared" si="104"/>
        <v>198.98312574365963</v>
      </c>
      <c r="AD137" s="46">
        <f t="shared" si="104"/>
        <v>208</v>
      </c>
      <c r="AE137" s="46">
        <f t="shared" si="104"/>
        <v>208</v>
      </c>
      <c r="AF137" s="46">
        <f t="shared" si="104"/>
        <v>208</v>
      </c>
      <c r="AG137" s="46">
        <f t="shared" si="104"/>
        <v>208</v>
      </c>
      <c r="AH137" s="46">
        <f t="shared" si="104"/>
        <v>208</v>
      </c>
      <c r="AI137" s="46">
        <f t="shared" si="104"/>
        <v>208</v>
      </c>
      <c r="AJ137" s="46">
        <f t="shared" si="104"/>
        <v>208</v>
      </c>
      <c r="AK137" s="46">
        <f t="shared" si="104"/>
        <v>208</v>
      </c>
      <c r="AL137" s="46">
        <f t="shared" si="104"/>
        <v>208</v>
      </c>
      <c r="AM137" s="46">
        <f t="shared" si="104"/>
        <v>208</v>
      </c>
      <c r="AN137" s="46">
        <f t="shared" si="104"/>
        <v>208</v>
      </c>
      <c r="AO137" s="46">
        <f t="shared" si="104"/>
        <v>208</v>
      </c>
      <c r="AP137" s="46">
        <f t="shared" si="104"/>
        <v>208</v>
      </c>
      <c r="AQ137" s="46">
        <f t="shared" si="104"/>
        <v>208</v>
      </c>
      <c r="AR137" s="46">
        <f t="shared" si="104"/>
        <v>208</v>
      </c>
      <c r="AS137" s="46">
        <f t="shared" si="104"/>
        <v>208</v>
      </c>
      <c r="AT137" s="46">
        <f t="shared" si="104"/>
        <v>208</v>
      </c>
      <c r="AU137" s="46">
        <f t="shared" si="104"/>
        <v>208</v>
      </c>
      <c r="AV137" s="46">
        <f t="shared" si="104"/>
        <v>208</v>
      </c>
      <c r="AW137" s="46">
        <f t="shared" si="104"/>
        <v>208</v>
      </c>
      <c r="AX137" s="46">
        <f t="shared" si="104"/>
        <v>208</v>
      </c>
      <c r="AY137" s="46">
        <f t="shared" si="104"/>
        <v>208</v>
      </c>
      <c r="AZ137" s="46">
        <f t="shared" si="104"/>
        <v>208</v>
      </c>
      <c r="BA137" s="46">
        <f t="shared" si="104"/>
        <v>208</v>
      </c>
      <c r="BB137" s="46">
        <f t="shared" si="104"/>
        <v>208</v>
      </c>
      <c r="BC137" s="46">
        <f t="shared" si="104"/>
        <v>208</v>
      </c>
      <c r="BD137" s="46">
        <f t="shared" si="104"/>
        <v>208</v>
      </c>
      <c r="BE137" s="46"/>
    </row>
    <row r="138" spans="1:57" ht="14.25" customHeight="1" x14ac:dyDescent="0.3">
      <c r="A138" s="46"/>
      <c r="B138" s="37"/>
      <c r="C138" s="46" t="str">
        <f>C$39</f>
        <v>mEHT 2 Number of Sessions</v>
      </c>
      <c r="D138" s="46"/>
      <c r="E138" s="46"/>
      <c r="F138" s="46"/>
      <c r="G138" s="46"/>
      <c r="H138" s="46"/>
      <c r="I138" s="46">
        <f t="shared" ref="I138:BD138" si="105">I$39</f>
        <v>0</v>
      </c>
      <c r="J138" s="46">
        <f t="shared" si="105"/>
        <v>0</v>
      </c>
      <c r="K138" s="46">
        <f t="shared" si="105"/>
        <v>0</v>
      </c>
      <c r="L138" s="46">
        <f t="shared" si="105"/>
        <v>0</v>
      </c>
      <c r="M138" s="46">
        <f t="shared" si="105"/>
        <v>0</v>
      </c>
      <c r="N138" s="46">
        <f t="shared" si="105"/>
        <v>0</v>
      </c>
      <c r="O138" s="46">
        <f t="shared" si="105"/>
        <v>0</v>
      </c>
      <c r="P138" s="46">
        <f t="shared" si="105"/>
        <v>0</v>
      </c>
      <c r="Q138" s="46">
        <f t="shared" si="105"/>
        <v>0</v>
      </c>
      <c r="R138" s="46">
        <f t="shared" si="105"/>
        <v>31.5</v>
      </c>
      <c r="S138" s="46">
        <f t="shared" si="105"/>
        <v>33.075000000000003</v>
      </c>
      <c r="T138" s="46">
        <f t="shared" si="105"/>
        <v>34.728750000000005</v>
      </c>
      <c r="U138" s="46">
        <f t="shared" si="105"/>
        <v>36.465187500000006</v>
      </c>
      <c r="V138" s="46">
        <f t="shared" si="105"/>
        <v>38.288446875000005</v>
      </c>
      <c r="W138" s="46">
        <f t="shared" si="105"/>
        <v>40.20286921875001</v>
      </c>
      <c r="X138" s="46">
        <f t="shared" si="105"/>
        <v>42.213012679687509</v>
      </c>
      <c r="Y138" s="46">
        <f t="shared" si="105"/>
        <v>44.323663313671886</v>
      </c>
      <c r="Z138" s="46">
        <f t="shared" si="105"/>
        <v>46.539846479355482</v>
      </c>
      <c r="AA138" s="46">
        <f t="shared" si="105"/>
        <v>48.866838803323262</v>
      </c>
      <c r="AB138" s="46">
        <f t="shared" si="105"/>
        <v>51.310180743489425</v>
      </c>
      <c r="AC138" s="46">
        <f t="shared" si="105"/>
        <v>53.875689780663897</v>
      </c>
      <c r="AD138" s="46">
        <f t="shared" si="105"/>
        <v>56.569474269697096</v>
      </c>
      <c r="AE138" s="46">
        <f t="shared" si="105"/>
        <v>59.39794798318195</v>
      </c>
      <c r="AF138" s="46">
        <f t="shared" si="105"/>
        <v>62.367845382341052</v>
      </c>
      <c r="AG138" s="46">
        <f t="shared" si="105"/>
        <v>65.486237651458111</v>
      </c>
      <c r="AH138" s="46">
        <f t="shared" si="105"/>
        <v>68.760549534031014</v>
      </c>
      <c r="AI138" s="46">
        <f t="shared" si="105"/>
        <v>72.198577010732564</v>
      </c>
      <c r="AJ138" s="46">
        <f t="shared" si="105"/>
        <v>75.808505861269197</v>
      </c>
      <c r="AK138" s="46">
        <f t="shared" si="105"/>
        <v>79.598931154332661</v>
      </c>
      <c r="AL138" s="46">
        <f t="shared" si="105"/>
        <v>83.578877712049291</v>
      </c>
      <c r="AM138" s="46">
        <f t="shared" si="105"/>
        <v>87.757821597651755</v>
      </c>
      <c r="AN138" s="46">
        <f t="shared" si="105"/>
        <v>92.145712677534348</v>
      </c>
      <c r="AO138" s="46">
        <f t="shared" si="105"/>
        <v>96.752998311411076</v>
      </c>
      <c r="AP138" s="46">
        <f t="shared" si="105"/>
        <v>101.59064822698163</v>
      </c>
      <c r="AQ138" s="46">
        <f t="shared" si="105"/>
        <v>106.67018063833072</v>
      </c>
      <c r="AR138" s="46">
        <f t="shared" si="105"/>
        <v>112.00368967024725</v>
      </c>
      <c r="AS138" s="46">
        <f t="shared" si="105"/>
        <v>117.60387415375962</v>
      </c>
      <c r="AT138" s="46">
        <f t="shared" si="105"/>
        <v>123.4840678614476</v>
      </c>
      <c r="AU138" s="46">
        <f t="shared" si="105"/>
        <v>129.65827125451997</v>
      </c>
      <c r="AV138" s="46">
        <f t="shared" si="105"/>
        <v>136.14118481724597</v>
      </c>
      <c r="AW138" s="46">
        <f t="shared" si="105"/>
        <v>142.94824405810829</v>
      </c>
      <c r="AX138" s="46">
        <f t="shared" si="105"/>
        <v>150.09565626101372</v>
      </c>
      <c r="AY138" s="46">
        <f t="shared" si="105"/>
        <v>157.60043907406441</v>
      </c>
      <c r="AZ138" s="46">
        <f t="shared" si="105"/>
        <v>165.48046102776763</v>
      </c>
      <c r="BA138" s="46">
        <f t="shared" si="105"/>
        <v>173.75448407915601</v>
      </c>
      <c r="BB138" s="46">
        <f t="shared" si="105"/>
        <v>182.44220828311381</v>
      </c>
      <c r="BC138" s="46">
        <f t="shared" si="105"/>
        <v>191.5643186972695</v>
      </c>
      <c r="BD138" s="46">
        <f t="shared" si="105"/>
        <v>201.14253463213299</v>
      </c>
      <c r="BE138" s="46"/>
    </row>
    <row r="139" spans="1:57" ht="14.25" customHeight="1" x14ac:dyDescent="0.3">
      <c r="A139" s="46"/>
      <c r="B139" s="37"/>
      <c r="C139" s="46" t="str">
        <f>C$46</f>
        <v>HBOT 1 Number of Sessions</v>
      </c>
      <c r="D139" s="46"/>
      <c r="E139" s="46"/>
      <c r="F139" s="46"/>
      <c r="G139" s="46"/>
      <c r="H139" s="46"/>
      <c r="I139" s="46">
        <f t="shared" ref="I139:BD139" si="106">I$46</f>
        <v>0</v>
      </c>
      <c r="J139" s="46">
        <f t="shared" si="106"/>
        <v>0</v>
      </c>
      <c r="K139" s="46">
        <f t="shared" si="106"/>
        <v>0</v>
      </c>
      <c r="L139" s="46">
        <f t="shared" si="106"/>
        <v>0</v>
      </c>
      <c r="M139" s="46">
        <f t="shared" si="106"/>
        <v>0</v>
      </c>
      <c r="N139" s="46">
        <f t="shared" si="106"/>
        <v>0</v>
      </c>
      <c r="O139" s="46">
        <f t="shared" si="106"/>
        <v>0</v>
      </c>
      <c r="P139" s="46">
        <f t="shared" si="106"/>
        <v>0</v>
      </c>
      <c r="Q139" s="46">
        <f t="shared" si="106"/>
        <v>0</v>
      </c>
      <c r="R139" s="46">
        <f t="shared" si="106"/>
        <v>0</v>
      </c>
      <c r="S139" s="46">
        <f t="shared" si="106"/>
        <v>0</v>
      </c>
      <c r="T139" s="46">
        <f t="shared" si="106"/>
        <v>16.8</v>
      </c>
      <c r="U139" s="46">
        <f t="shared" si="106"/>
        <v>17.64</v>
      </c>
      <c r="V139" s="46">
        <f t="shared" si="106"/>
        <v>18.522000000000002</v>
      </c>
      <c r="W139" s="46">
        <f t="shared" si="106"/>
        <v>19.448100000000004</v>
      </c>
      <c r="X139" s="46">
        <f t="shared" si="106"/>
        <v>20.420505000000006</v>
      </c>
      <c r="Y139" s="46">
        <f t="shared" si="106"/>
        <v>21.441530250000007</v>
      </c>
      <c r="Z139" s="46">
        <f t="shared" si="106"/>
        <v>22.513606762500007</v>
      </c>
      <c r="AA139" s="46">
        <f t="shared" si="106"/>
        <v>23.639287100625008</v>
      </c>
      <c r="AB139" s="46">
        <f t="shared" si="106"/>
        <v>24.82125145565626</v>
      </c>
      <c r="AC139" s="46">
        <f t="shared" si="106"/>
        <v>26.062314028439072</v>
      </c>
      <c r="AD139" s="46">
        <f t="shared" si="106"/>
        <v>27.365429729861027</v>
      </c>
      <c r="AE139" s="46">
        <f t="shared" si="106"/>
        <v>28.733701216354081</v>
      </c>
      <c r="AF139" s="46">
        <f t="shared" si="106"/>
        <v>30.170386277171787</v>
      </c>
      <c r="AG139" s="46">
        <f t="shared" si="106"/>
        <v>31.678905591030379</v>
      </c>
      <c r="AH139" s="46">
        <f t="shared" si="106"/>
        <v>33.2628508705819</v>
      </c>
      <c r="AI139" s="46">
        <f t="shared" si="106"/>
        <v>34.925993414110998</v>
      </c>
      <c r="AJ139" s="46">
        <f t="shared" si="106"/>
        <v>36.672293084816552</v>
      </c>
      <c r="AK139" s="46">
        <f t="shared" si="106"/>
        <v>38.505907739057378</v>
      </c>
      <c r="AL139" s="46">
        <f t="shared" si="106"/>
        <v>40.431203126010246</v>
      </c>
      <c r="AM139" s="46">
        <f t="shared" si="106"/>
        <v>42.452763282310762</v>
      </c>
      <c r="AN139" s="46">
        <f t="shared" si="106"/>
        <v>44.575401446426305</v>
      </c>
      <c r="AO139" s="46">
        <f t="shared" si="106"/>
        <v>46.804171518747623</v>
      </c>
      <c r="AP139" s="46">
        <f t="shared" si="106"/>
        <v>49.144380094685005</v>
      </c>
      <c r="AQ139" s="46">
        <f t="shared" si="106"/>
        <v>51.601599099419261</v>
      </c>
      <c r="AR139" s="46">
        <f t="shared" si="106"/>
        <v>54.181679054390223</v>
      </c>
      <c r="AS139" s="46">
        <f t="shared" si="106"/>
        <v>56.890763007109733</v>
      </c>
      <c r="AT139" s="46">
        <f t="shared" si="106"/>
        <v>59.735301157465223</v>
      </c>
      <c r="AU139" s="46">
        <f t="shared" si="106"/>
        <v>62.722066215338486</v>
      </c>
      <c r="AV139" s="46">
        <f t="shared" si="106"/>
        <v>65.858169526105414</v>
      </c>
      <c r="AW139" s="46">
        <f t="shared" si="106"/>
        <v>69.151078002410685</v>
      </c>
      <c r="AX139" s="46">
        <f t="shared" si="106"/>
        <v>72.608631902531229</v>
      </c>
      <c r="AY139" s="46">
        <f t="shared" si="106"/>
        <v>76.239063497657796</v>
      </c>
      <c r="AZ139" s="46">
        <f t="shared" si="106"/>
        <v>80.051016672540683</v>
      </c>
      <c r="BA139" s="46">
        <f t="shared" si="106"/>
        <v>84.053567506167724</v>
      </c>
      <c r="BB139" s="46">
        <f t="shared" si="106"/>
        <v>88.256245881476119</v>
      </c>
      <c r="BC139" s="46">
        <f t="shared" si="106"/>
        <v>92.669058175549935</v>
      </c>
      <c r="BD139" s="46">
        <f t="shared" si="106"/>
        <v>97.302511084327435</v>
      </c>
      <c r="BE139" s="46"/>
    </row>
    <row r="140" spans="1:57" ht="14.25" customHeight="1" x14ac:dyDescent="0.3">
      <c r="A140" s="46"/>
      <c r="B140" s="37"/>
      <c r="C140" s="46" t="str">
        <f>C$53</f>
        <v>HBOT 2 Number of Sessions</v>
      </c>
      <c r="D140" s="46"/>
      <c r="E140" s="46"/>
      <c r="F140" s="46"/>
      <c r="G140" s="46"/>
      <c r="H140" s="46"/>
      <c r="I140" s="46">
        <f t="shared" ref="I140:BD140" si="107">I$53</f>
        <v>0</v>
      </c>
      <c r="J140" s="46">
        <f t="shared" si="107"/>
        <v>0</v>
      </c>
      <c r="K140" s="46">
        <f t="shared" si="107"/>
        <v>0</v>
      </c>
      <c r="L140" s="46">
        <f t="shared" si="107"/>
        <v>0</v>
      </c>
      <c r="M140" s="46">
        <f t="shared" si="107"/>
        <v>0</v>
      </c>
      <c r="N140" s="46">
        <f t="shared" si="107"/>
        <v>0</v>
      </c>
      <c r="O140" s="46">
        <f t="shared" si="107"/>
        <v>0</v>
      </c>
      <c r="P140" s="46">
        <f t="shared" si="107"/>
        <v>0</v>
      </c>
      <c r="Q140" s="46">
        <f t="shared" si="107"/>
        <v>0</v>
      </c>
      <c r="R140" s="46">
        <f t="shared" si="107"/>
        <v>0</v>
      </c>
      <c r="S140" s="46">
        <f t="shared" si="107"/>
        <v>0</v>
      </c>
      <c r="T140" s="46">
        <f t="shared" si="107"/>
        <v>0</v>
      </c>
      <c r="U140" s="46">
        <f t="shared" si="107"/>
        <v>0</v>
      </c>
      <c r="V140" s="46">
        <f t="shared" si="107"/>
        <v>0</v>
      </c>
      <c r="W140" s="46">
        <f t="shared" si="107"/>
        <v>0</v>
      </c>
      <c r="X140" s="46">
        <f t="shared" si="107"/>
        <v>0</v>
      </c>
      <c r="Y140" s="46">
        <f t="shared" si="107"/>
        <v>0</v>
      </c>
      <c r="Z140" s="46">
        <f t="shared" si="107"/>
        <v>0</v>
      </c>
      <c r="AA140" s="46">
        <f t="shared" si="107"/>
        <v>0</v>
      </c>
      <c r="AB140" s="46">
        <f t="shared" si="107"/>
        <v>0</v>
      </c>
      <c r="AC140" s="46">
        <f t="shared" si="107"/>
        <v>0</v>
      </c>
      <c r="AD140" s="46">
        <f t="shared" si="107"/>
        <v>0</v>
      </c>
      <c r="AE140" s="46">
        <f t="shared" si="107"/>
        <v>0</v>
      </c>
      <c r="AF140" s="46">
        <f t="shared" si="107"/>
        <v>0</v>
      </c>
      <c r="AG140" s="46">
        <f t="shared" si="107"/>
        <v>0</v>
      </c>
      <c r="AH140" s="46">
        <f t="shared" si="107"/>
        <v>0</v>
      </c>
      <c r="AI140" s="46">
        <f t="shared" si="107"/>
        <v>0</v>
      </c>
      <c r="AJ140" s="46">
        <f t="shared" si="107"/>
        <v>0</v>
      </c>
      <c r="AK140" s="46">
        <f t="shared" si="107"/>
        <v>0</v>
      </c>
      <c r="AL140" s="46">
        <f t="shared" si="107"/>
        <v>0</v>
      </c>
      <c r="AM140" s="46">
        <f t="shared" si="107"/>
        <v>0</v>
      </c>
      <c r="AN140" s="46">
        <f t="shared" si="107"/>
        <v>0</v>
      </c>
      <c r="AO140" s="46">
        <f t="shared" si="107"/>
        <v>0</v>
      </c>
      <c r="AP140" s="46">
        <f t="shared" si="107"/>
        <v>0</v>
      </c>
      <c r="AQ140" s="46">
        <f t="shared" si="107"/>
        <v>0</v>
      </c>
      <c r="AR140" s="46">
        <f t="shared" si="107"/>
        <v>0</v>
      </c>
      <c r="AS140" s="46">
        <f t="shared" si="107"/>
        <v>0</v>
      </c>
      <c r="AT140" s="46">
        <f t="shared" si="107"/>
        <v>0</v>
      </c>
      <c r="AU140" s="46">
        <f t="shared" si="107"/>
        <v>0</v>
      </c>
      <c r="AV140" s="46">
        <f t="shared" si="107"/>
        <v>0</v>
      </c>
      <c r="AW140" s="46">
        <f t="shared" si="107"/>
        <v>0</v>
      </c>
      <c r="AX140" s="46">
        <f t="shared" si="107"/>
        <v>0</v>
      </c>
      <c r="AY140" s="46">
        <f t="shared" si="107"/>
        <v>0</v>
      </c>
      <c r="AZ140" s="46">
        <f t="shared" si="107"/>
        <v>0</v>
      </c>
      <c r="BA140" s="46">
        <f t="shared" si="107"/>
        <v>0</v>
      </c>
      <c r="BB140" s="46">
        <f t="shared" si="107"/>
        <v>0</v>
      </c>
      <c r="BC140" s="46">
        <f t="shared" si="107"/>
        <v>0</v>
      </c>
      <c r="BD140" s="46">
        <f t="shared" si="107"/>
        <v>0</v>
      </c>
      <c r="BE140" s="46"/>
    </row>
    <row r="141" spans="1:57" ht="14.25" customHeight="1" x14ac:dyDescent="0.3">
      <c r="A141" s="46"/>
      <c r="B141" s="37"/>
      <c r="C141" s="46" t="str">
        <f>C$60</f>
        <v>PDT Low Number of Treatments</v>
      </c>
      <c r="D141" s="46"/>
      <c r="E141" s="46"/>
      <c r="F141" s="46"/>
      <c r="G141" s="46"/>
      <c r="H141" s="46"/>
      <c r="I141" s="46">
        <f>I$60</f>
        <v>6</v>
      </c>
      <c r="J141" s="46">
        <f t="shared" ref="J141:BD141" si="108">J$60</f>
        <v>4</v>
      </c>
      <c r="K141" s="46">
        <f t="shared" si="108"/>
        <v>0</v>
      </c>
      <c r="L141" s="46">
        <f t="shared" si="108"/>
        <v>7</v>
      </c>
      <c r="M141" s="46">
        <f t="shared" si="108"/>
        <v>4</v>
      </c>
      <c r="N141" s="46">
        <f t="shared" si="108"/>
        <v>3</v>
      </c>
      <c r="O141" s="46">
        <f t="shared" si="108"/>
        <v>0</v>
      </c>
      <c r="P141" s="46">
        <f t="shared" si="108"/>
        <v>2.0499999999999998</v>
      </c>
      <c r="Q141" s="46">
        <f t="shared" si="108"/>
        <v>2.1012499999999998</v>
      </c>
      <c r="R141" s="46">
        <f t="shared" si="108"/>
        <v>2.1537812499999998</v>
      </c>
      <c r="S141" s="46">
        <f t="shared" si="108"/>
        <v>2.2076257812499995</v>
      </c>
      <c r="T141" s="46">
        <f t="shared" si="108"/>
        <v>2.2628164257812493</v>
      </c>
      <c r="U141" s="46">
        <f t="shared" si="108"/>
        <v>2.3193868364257804</v>
      </c>
      <c r="V141" s="46">
        <f t="shared" si="108"/>
        <v>2.3773715073364245</v>
      </c>
      <c r="W141" s="46">
        <f t="shared" si="108"/>
        <v>2.436805795019835</v>
      </c>
      <c r="X141" s="46">
        <f t="shared" si="108"/>
        <v>2.4977259398953304</v>
      </c>
      <c r="Y141" s="46">
        <f t="shared" si="108"/>
        <v>2.5601690883927133</v>
      </c>
      <c r="Z141" s="46">
        <f t="shared" si="108"/>
        <v>2.6241733156025311</v>
      </c>
      <c r="AA141" s="46">
        <f t="shared" si="108"/>
        <v>2.6897776484925942</v>
      </c>
      <c r="AB141" s="46">
        <f t="shared" si="108"/>
        <v>2.7570220897049089</v>
      </c>
      <c r="AC141" s="46">
        <f t="shared" si="108"/>
        <v>2.8259476419475313</v>
      </c>
      <c r="AD141" s="46">
        <f t="shared" si="108"/>
        <v>2.8965963329962192</v>
      </c>
      <c r="AE141" s="46">
        <f t="shared" si="108"/>
        <v>2.9690112413211245</v>
      </c>
      <c r="AF141" s="46">
        <f t="shared" si="108"/>
        <v>3.0432365223541522</v>
      </c>
      <c r="AG141" s="46">
        <f t="shared" si="108"/>
        <v>3.1193174354130058</v>
      </c>
      <c r="AH141" s="46">
        <f t="shared" si="108"/>
        <v>3.1973003712983306</v>
      </c>
      <c r="AI141" s="46">
        <f t="shared" si="108"/>
        <v>3.2772328805807884</v>
      </c>
      <c r="AJ141" s="46">
        <f t="shared" si="108"/>
        <v>3.3591637025953078</v>
      </c>
      <c r="AK141" s="46">
        <f t="shared" si="108"/>
        <v>3.4431427951601901</v>
      </c>
      <c r="AL141" s="46">
        <f t="shared" si="108"/>
        <v>3.5292213650391946</v>
      </c>
      <c r="AM141" s="46">
        <f t="shared" si="108"/>
        <v>3.6174518991651743</v>
      </c>
      <c r="AN141" s="46">
        <f t="shared" si="108"/>
        <v>3.7078881966443031</v>
      </c>
      <c r="AO141" s="46">
        <f t="shared" si="108"/>
        <v>3.8005854015604106</v>
      </c>
      <c r="AP141" s="46">
        <f t="shared" si="108"/>
        <v>3.8956000365994203</v>
      </c>
      <c r="AQ141" s="46">
        <f t="shared" si="108"/>
        <v>3.9929900375144056</v>
      </c>
      <c r="AR141" s="46">
        <f t="shared" si="108"/>
        <v>4.092814788452265</v>
      </c>
      <c r="AS141" s="46">
        <f t="shared" si="108"/>
        <v>4.1951351581635716</v>
      </c>
      <c r="AT141" s="46">
        <f t="shared" si="108"/>
        <v>4.3000135371176604</v>
      </c>
      <c r="AU141" s="46">
        <f t="shared" si="108"/>
        <v>4.4075138755456011</v>
      </c>
      <c r="AV141" s="46">
        <f t="shared" si="108"/>
        <v>4.5177017224342411</v>
      </c>
      <c r="AW141" s="46">
        <f t="shared" si="108"/>
        <v>4.6306442654950963</v>
      </c>
      <c r="AX141" s="46">
        <f t="shared" si="108"/>
        <v>4.7464103721324733</v>
      </c>
      <c r="AY141" s="46">
        <f t="shared" si="108"/>
        <v>4.8650706314357848</v>
      </c>
      <c r="AZ141" s="46">
        <f t="shared" si="108"/>
        <v>4.986697397221679</v>
      </c>
      <c r="BA141" s="46">
        <f t="shared" si="108"/>
        <v>5</v>
      </c>
      <c r="BB141" s="46">
        <f t="shared" si="108"/>
        <v>5</v>
      </c>
      <c r="BC141" s="46">
        <f t="shared" si="108"/>
        <v>5</v>
      </c>
      <c r="BD141" s="46">
        <f t="shared" si="108"/>
        <v>5</v>
      </c>
      <c r="BE141" s="46"/>
    </row>
    <row r="142" spans="1:57" ht="14.25" customHeight="1" x14ac:dyDescent="0.3">
      <c r="A142" s="46"/>
      <c r="B142" s="37"/>
      <c r="C142" s="46" t="str">
        <f>C$68</f>
        <v>PDT High Number of Patients</v>
      </c>
      <c r="D142" s="46"/>
      <c r="E142" s="46"/>
      <c r="F142" s="46"/>
      <c r="G142" s="46"/>
      <c r="H142" s="46"/>
      <c r="I142" s="46"/>
      <c r="J142" s="46">
        <f t="shared" ref="J142:BD142" si="109">J$68</f>
        <v>0</v>
      </c>
      <c r="K142" s="46">
        <f t="shared" si="109"/>
        <v>3</v>
      </c>
      <c r="L142" s="46">
        <f t="shared" si="109"/>
        <v>0</v>
      </c>
      <c r="M142" s="46">
        <f t="shared" si="109"/>
        <v>0</v>
      </c>
      <c r="N142" s="46">
        <f t="shared" si="109"/>
        <v>0</v>
      </c>
      <c r="O142" s="46">
        <f t="shared" si="109"/>
        <v>3</v>
      </c>
      <c r="P142" s="46">
        <f t="shared" si="109"/>
        <v>2</v>
      </c>
      <c r="Q142" s="46">
        <f t="shared" si="109"/>
        <v>2</v>
      </c>
      <c r="R142" s="46">
        <f t="shared" si="109"/>
        <v>2</v>
      </c>
      <c r="S142" s="46">
        <f t="shared" si="109"/>
        <v>2</v>
      </c>
      <c r="T142" s="46">
        <f t="shared" si="109"/>
        <v>2</v>
      </c>
      <c r="U142" s="46">
        <f t="shared" si="109"/>
        <v>2</v>
      </c>
      <c r="V142" s="46">
        <f t="shared" si="109"/>
        <v>2</v>
      </c>
      <c r="W142" s="46">
        <f t="shared" si="109"/>
        <v>2</v>
      </c>
      <c r="X142" s="46">
        <f t="shared" si="109"/>
        <v>2</v>
      </c>
      <c r="Y142" s="46">
        <f t="shared" si="109"/>
        <v>2</v>
      </c>
      <c r="Z142" s="46">
        <f t="shared" si="109"/>
        <v>2</v>
      </c>
      <c r="AA142" s="46">
        <f t="shared" si="109"/>
        <v>2</v>
      </c>
      <c r="AB142" s="46">
        <f t="shared" si="109"/>
        <v>2</v>
      </c>
      <c r="AC142" s="46">
        <f t="shared" si="109"/>
        <v>2</v>
      </c>
      <c r="AD142" s="46">
        <f t="shared" si="109"/>
        <v>2</v>
      </c>
      <c r="AE142" s="46">
        <f t="shared" si="109"/>
        <v>2</v>
      </c>
      <c r="AF142" s="46">
        <f t="shared" si="109"/>
        <v>2</v>
      </c>
      <c r="AG142" s="46">
        <f t="shared" si="109"/>
        <v>2</v>
      </c>
      <c r="AH142" s="46">
        <f t="shared" si="109"/>
        <v>2</v>
      </c>
      <c r="AI142" s="46">
        <f t="shared" si="109"/>
        <v>2</v>
      </c>
      <c r="AJ142" s="46">
        <f t="shared" si="109"/>
        <v>2</v>
      </c>
      <c r="AK142" s="46">
        <f t="shared" si="109"/>
        <v>2</v>
      </c>
      <c r="AL142" s="46">
        <f t="shared" si="109"/>
        <v>2</v>
      </c>
      <c r="AM142" s="46">
        <f t="shared" si="109"/>
        <v>2</v>
      </c>
      <c r="AN142" s="46">
        <f t="shared" si="109"/>
        <v>2</v>
      </c>
      <c r="AO142" s="46">
        <f t="shared" si="109"/>
        <v>2</v>
      </c>
      <c r="AP142" s="46">
        <f t="shared" si="109"/>
        <v>2</v>
      </c>
      <c r="AQ142" s="46">
        <f t="shared" si="109"/>
        <v>2</v>
      </c>
      <c r="AR142" s="46">
        <f t="shared" si="109"/>
        <v>2</v>
      </c>
      <c r="AS142" s="46">
        <f t="shared" si="109"/>
        <v>2</v>
      </c>
      <c r="AT142" s="46">
        <f t="shared" si="109"/>
        <v>2</v>
      </c>
      <c r="AU142" s="46">
        <f t="shared" si="109"/>
        <v>2</v>
      </c>
      <c r="AV142" s="46">
        <f t="shared" si="109"/>
        <v>2</v>
      </c>
      <c r="AW142" s="46">
        <f t="shared" si="109"/>
        <v>2</v>
      </c>
      <c r="AX142" s="46">
        <f t="shared" si="109"/>
        <v>2</v>
      </c>
      <c r="AY142" s="46">
        <f t="shared" si="109"/>
        <v>2</v>
      </c>
      <c r="AZ142" s="46">
        <f t="shared" si="109"/>
        <v>2</v>
      </c>
      <c r="BA142" s="46">
        <f t="shared" si="109"/>
        <v>2</v>
      </c>
      <c r="BB142" s="46">
        <f t="shared" si="109"/>
        <v>2</v>
      </c>
      <c r="BC142" s="46">
        <f t="shared" si="109"/>
        <v>2</v>
      </c>
      <c r="BD142" s="46">
        <f t="shared" si="109"/>
        <v>2</v>
      </c>
      <c r="BE142" s="46"/>
    </row>
    <row r="143" spans="1:57" ht="14.25" customHeight="1" x14ac:dyDescent="0.3">
      <c r="A143" s="46"/>
      <c r="B143" s="37"/>
      <c r="C143" s="46" t="str">
        <f>C$77</f>
        <v>Immunotherapy Number of Treatments</v>
      </c>
      <c r="D143" s="46"/>
      <c r="E143" s="46"/>
      <c r="F143" s="46"/>
      <c r="G143" s="46"/>
      <c r="H143" s="46"/>
      <c r="I143" s="46">
        <f t="shared" ref="I143:BD143" si="110">I$77</f>
        <v>4</v>
      </c>
      <c r="J143" s="46">
        <f t="shared" si="110"/>
        <v>4</v>
      </c>
      <c r="K143" s="46">
        <f t="shared" si="110"/>
        <v>8</v>
      </c>
      <c r="L143" s="46">
        <f t="shared" si="110"/>
        <v>5</v>
      </c>
      <c r="M143" s="46">
        <f t="shared" si="110"/>
        <v>9</v>
      </c>
      <c r="N143" s="46">
        <f t="shared" si="110"/>
        <v>8</v>
      </c>
      <c r="O143" s="46">
        <f t="shared" si="110"/>
        <v>8</v>
      </c>
      <c r="P143" s="46">
        <f t="shared" si="110"/>
        <v>8.08</v>
      </c>
      <c r="Q143" s="46">
        <f t="shared" si="110"/>
        <v>8.1608000000000001</v>
      </c>
      <c r="R143" s="46">
        <f t="shared" si="110"/>
        <v>8.2424079999999993</v>
      </c>
      <c r="S143" s="46">
        <f t="shared" si="110"/>
        <v>8.3248320800000002</v>
      </c>
      <c r="T143" s="46">
        <f t="shared" si="110"/>
        <v>8.4080804007999994</v>
      </c>
      <c r="U143" s="46">
        <f t="shared" si="110"/>
        <v>8.4921612048079993</v>
      </c>
      <c r="V143" s="46">
        <f t="shared" si="110"/>
        <v>8.5770828168560787</v>
      </c>
      <c r="W143" s="46">
        <f t="shared" si="110"/>
        <v>8.6628536450246401</v>
      </c>
      <c r="X143" s="46">
        <f t="shared" si="110"/>
        <v>8.7494821814748871</v>
      </c>
      <c r="Y143" s="46">
        <f t="shared" si="110"/>
        <v>8.8369770032896362</v>
      </c>
      <c r="Z143" s="46">
        <f t="shared" si="110"/>
        <v>8.9253467733225325</v>
      </c>
      <c r="AA143" s="46">
        <f t="shared" si="110"/>
        <v>9.0146002410557582</v>
      </c>
      <c r="AB143" s="46">
        <f t="shared" si="110"/>
        <v>9.104746243466316</v>
      </c>
      <c r="AC143" s="46">
        <f t="shared" si="110"/>
        <v>9.1957937059009787</v>
      </c>
      <c r="AD143" s="46">
        <f t="shared" si="110"/>
        <v>9.2877516429599893</v>
      </c>
      <c r="AE143" s="46">
        <f t="shared" si="110"/>
        <v>9.3806291593895885</v>
      </c>
      <c r="AF143" s="46">
        <f t="shared" si="110"/>
        <v>9.4744354509834849</v>
      </c>
      <c r="AG143" s="46">
        <f t="shared" si="110"/>
        <v>9.5691798054933201</v>
      </c>
      <c r="AH143" s="46">
        <f t="shared" si="110"/>
        <v>9.6648716035482529</v>
      </c>
      <c r="AI143" s="46">
        <f t="shared" si="110"/>
        <v>9.7615203195837363</v>
      </c>
      <c r="AJ143" s="46">
        <f t="shared" si="110"/>
        <v>9.8591355227795745</v>
      </c>
      <c r="AK143" s="46">
        <f t="shared" si="110"/>
        <v>9.9577268780073709</v>
      </c>
      <c r="AL143" s="46">
        <f t="shared" si="110"/>
        <v>10.057304146787445</v>
      </c>
      <c r="AM143" s="46">
        <f t="shared" si="110"/>
        <v>10.15787718825532</v>
      </c>
      <c r="AN143" s="46">
        <f t="shared" si="110"/>
        <v>10.259455960137872</v>
      </c>
      <c r="AO143" s="46">
        <f t="shared" si="110"/>
        <v>10.362050519739251</v>
      </c>
      <c r="AP143" s="46">
        <f t="shared" si="110"/>
        <v>10.465671024936643</v>
      </c>
      <c r="AQ143" s="46">
        <f t="shared" si="110"/>
        <v>10.570327735186011</v>
      </c>
      <c r="AR143" s="46">
        <f t="shared" si="110"/>
        <v>10.676031012537871</v>
      </c>
      <c r="AS143" s="46">
        <f t="shared" si="110"/>
        <v>10.78279132266325</v>
      </c>
      <c r="AT143" s="46">
        <f t="shared" si="110"/>
        <v>10.890619235889883</v>
      </c>
      <c r="AU143" s="46">
        <f t="shared" si="110"/>
        <v>10.999525428248782</v>
      </c>
      <c r="AV143" s="46">
        <f t="shared" si="110"/>
        <v>11.10952068253127</v>
      </c>
      <c r="AW143" s="46">
        <f t="shared" si="110"/>
        <v>11.220615889356583</v>
      </c>
      <c r="AX143" s="46">
        <f t="shared" si="110"/>
        <v>11.332822048250149</v>
      </c>
      <c r="AY143" s="46">
        <f t="shared" si="110"/>
        <v>11.44615026873265</v>
      </c>
      <c r="AZ143" s="46">
        <f t="shared" si="110"/>
        <v>11.560611771419977</v>
      </c>
      <c r="BA143" s="46">
        <f t="shared" si="110"/>
        <v>11.676217889134177</v>
      </c>
      <c r="BB143" s="46">
        <f t="shared" si="110"/>
        <v>11.792980068025519</v>
      </c>
      <c r="BC143" s="46">
        <f t="shared" si="110"/>
        <v>11.910909868705774</v>
      </c>
      <c r="BD143" s="46">
        <f t="shared" si="110"/>
        <v>12.030018967392833</v>
      </c>
      <c r="BE143" s="46"/>
    </row>
    <row r="144" spans="1:57" ht="14.25" customHeight="1" x14ac:dyDescent="0.3">
      <c r="A144" s="46"/>
      <c r="B144" s="37"/>
      <c r="C144" s="46" t="str">
        <f>C$86</f>
        <v>Chemotherapy Number of Treatments</v>
      </c>
      <c r="D144" s="46"/>
      <c r="E144" s="46"/>
      <c r="F144" s="46"/>
      <c r="G144" s="46"/>
      <c r="H144" s="46"/>
      <c r="I144" s="46"/>
      <c r="J144" s="46">
        <f t="shared" ref="J144:BD144" si="111">J$86</f>
        <v>7</v>
      </c>
      <c r="K144" s="46">
        <f t="shared" si="111"/>
        <v>12</v>
      </c>
      <c r="L144" s="46">
        <f t="shared" si="111"/>
        <v>19</v>
      </c>
      <c r="M144" s="46">
        <f t="shared" si="111"/>
        <v>18</v>
      </c>
      <c r="N144" s="46">
        <f t="shared" si="111"/>
        <v>13</v>
      </c>
      <c r="O144" s="46">
        <f t="shared" si="111"/>
        <v>7</v>
      </c>
      <c r="P144" s="46">
        <f t="shared" si="111"/>
        <v>7.07</v>
      </c>
      <c r="Q144" s="46">
        <f t="shared" si="111"/>
        <v>7.1407000000000007</v>
      </c>
      <c r="R144" s="46">
        <f t="shared" si="111"/>
        <v>7.2121070000000005</v>
      </c>
      <c r="S144" s="46">
        <f t="shared" si="111"/>
        <v>7.2842280700000002</v>
      </c>
      <c r="T144" s="46">
        <f t="shared" si="111"/>
        <v>7.3570703506999999</v>
      </c>
      <c r="U144" s="46">
        <f t="shared" si="111"/>
        <v>7.4306410542070003</v>
      </c>
      <c r="V144" s="46">
        <f t="shared" si="111"/>
        <v>7.5049474647490699</v>
      </c>
      <c r="W144" s="46">
        <f t="shared" si="111"/>
        <v>7.5799969393965609</v>
      </c>
      <c r="X144" s="46">
        <f t="shared" si="111"/>
        <v>7.6557969087905269</v>
      </c>
      <c r="Y144" s="46">
        <f t="shared" si="111"/>
        <v>7.7323548778784321</v>
      </c>
      <c r="Z144" s="46">
        <f t="shared" si="111"/>
        <v>7.8096784266572161</v>
      </c>
      <c r="AA144" s="46">
        <f t="shared" si="111"/>
        <v>7.8877752109237882</v>
      </c>
      <c r="AB144" s="46">
        <f t="shared" si="111"/>
        <v>7.9666529630330265</v>
      </c>
      <c r="AC144" s="46">
        <f t="shared" si="111"/>
        <v>8.0463194926633577</v>
      </c>
      <c r="AD144" s="46">
        <f t="shared" si="111"/>
        <v>8.1267826875899907</v>
      </c>
      <c r="AE144" s="46">
        <f t="shared" si="111"/>
        <v>8.2080505144658904</v>
      </c>
      <c r="AF144" s="46">
        <f t="shared" si="111"/>
        <v>8.2901310196105502</v>
      </c>
      <c r="AG144" s="46">
        <f t="shared" si="111"/>
        <v>8.3730323298066551</v>
      </c>
      <c r="AH144" s="46">
        <f t="shared" si="111"/>
        <v>8.4567626531047217</v>
      </c>
      <c r="AI144" s="46">
        <f t="shared" si="111"/>
        <v>8.5413302796357691</v>
      </c>
      <c r="AJ144" s="46">
        <f t="shared" si="111"/>
        <v>8.6267435824321268</v>
      </c>
      <c r="AK144" s="46">
        <f t="shared" si="111"/>
        <v>8.7130110182564486</v>
      </c>
      <c r="AL144" s="46">
        <f t="shared" si="111"/>
        <v>8.8001411284390141</v>
      </c>
      <c r="AM144" s="46">
        <f t="shared" si="111"/>
        <v>8.888142539723404</v>
      </c>
      <c r="AN144" s="46">
        <f t="shared" si="111"/>
        <v>8.9770239651206385</v>
      </c>
      <c r="AO144" s="46">
        <f t="shared" si="111"/>
        <v>9.0667942047718455</v>
      </c>
      <c r="AP144" s="46">
        <f t="shared" si="111"/>
        <v>9.1574621468195634</v>
      </c>
      <c r="AQ144" s="46">
        <f t="shared" si="111"/>
        <v>9.249036768287759</v>
      </c>
      <c r="AR144" s="46">
        <f t="shared" si="111"/>
        <v>9.3415271359706367</v>
      </c>
      <c r="AS144" s="46">
        <f t="shared" si="111"/>
        <v>9.4349424073303432</v>
      </c>
      <c r="AT144" s="46">
        <f t="shared" si="111"/>
        <v>9.529291831403647</v>
      </c>
      <c r="AU144" s="46">
        <f t="shared" si="111"/>
        <v>9.624584749717684</v>
      </c>
      <c r="AV144" s="46">
        <f t="shared" si="111"/>
        <v>9.7208305972148601</v>
      </c>
      <c r="AW144" s="46">
        <f t="shared" si="111"/>
        <v>9.8180389031870092</v>
      </c>
      <c r="AX144" s="46">
        <f t="shared" si="111"/>
        <v>9.9162192922188801</v>
      </c>
      <c r="AY144" s="46">
        <f t="shared" si="111"/>
        <v>10.015381485141068</v>
      </c>
      <c r="AZ144" s="46">
        <f t="shared" si="111"/>
        <v>10.115535299992478</v>
      </c>
      <c r="BA144" s="46">
        <f t="shared" si="111"/>
        <v>10.216690652992403</v>
      </c>
      <c r="BB144" s="46">
        <f t="shared" si="111"/>
        <v>10.318857559522327</v>
      </c>
      <c r="BC144" s="46">
        <f t="shared" si="111"/>
        <v>10.422046135117551</v>
      </c>
      <c r="BD144" s="46">
        <f t="shared" si="111"/>
        <v>10.526266596468727</v>
      </c>
      <c r="BE144" s="46"/>
    </row>
    <row r="145" spans="1:57" ht="14.25" customHeight="1" x14ac:dyDescent="0.3">
      <c r="A145" s="46"/>
      <c r="B145" s="37"/>
      <c r="C145" s="46" t="str">
        <f>C$93</f>
        <v>Consultation Number of Sessions</v>
      </c>
      <c r="D145" s="46"/>
      <c r="E145" s="46"/>
      <c r="F145" s="46"/>
      <c r="G145" s="46"/>
      <c r="H145" s="46"/>
      <c r="I145" s="46">
        <f t="shared" ref="I145:BD145" si="112">I$93</f>
        <v>42.3</v>
      </c>
      <c r="J145" s="46">
        <f t="shared" si="112"/>
        <v>48</v>
      </c>
      <c r="K145" s="46">
        <f t="shared" si="112"/>
        <v>26.8</v>
      </c>
      <c r="L145" s="46">
        <f t="shared" si="112"/>
        <v>20.6</v>
      </c>
      <c r="M145" s="46">
        <f t="shared" si="112"/>
        <v>26.7</v>
      </c>
      <c r="N145" s="46">
        <f t="shared" si="112"/>
        <v>20</v>
      </c>
      <c r="O145" s="46">
        <f t="shared" si="112"/>
        <v>15.4</v>
      </c>
      <c r="P145" s="46">
        <f t="shared" si="112"/>
        <v>15.708</v>
      </c>
      <c r="Q145" s="46">
        <f t="shared" si="112"/>
        <v>16.02216</v>
      </c>
      <c r="R145" s="46">
        <f t="shared" si="112"/>
        <v>16.342603199999999</v>
      </c>
      <c r="S145" s="46">
        <f t="shared" si="112"/>
        <v>16.669455264</v>
      </c>
      <c r="T145" s="46">
        <f t="shared" si="112"/>
        <v>17.002844369280002</v>
      </c>
      <c r="U145" s="46">
        <f t="shared" si="112"/>
        <v>17.342901256665602</v>
      </c>
      <c r="V145" s="46">
        <f t="shared" si="112"/>
        <v>17.689759281798914</v>
      </c>
      <c r="W145" s="46">
        <f t="shared" si="112"/>
        <v>18.043554467434891</v>
      </c>
      <c r="X145" s="46">
        <f t="shared" si="112"/>
        <v>18.40442555678359</v>
      </c>
      <c r="Y145" s="46">
        <f t="shared" si="112"/>
        <v>18.772514067919261</v>
      </c>
      <c r="Z145" s="46">
        <f t="shared" si="112"/>
        <v>19.147964349277647</v>
      </c>
      <c r="AA145" s="46">
        <f t="shared" si="112"/>
        <v>19.5309236362632</v>
      </c>
      <c r="AB145" s="46">
        <f t="shared" si="112"/>
        <v>19.921542108988465</v>
      </c>
      <c r="AC145" s="46">
        <f t="shared" si="112"/>
        <v>20.319972951168236</v>
      </c>
      <c r="AD145" s="46">
        <f t="shared" si="112"/>
        <v>20.726372410191601</v>
      </c>
      <c r="AE145" s="46">
        <f t="shared" si="112"/>
        <v>21.140899858395432</v>
      </c>
      <c r="AF145" s="46">
        <f t="shared" si="112"/>
        <v>21.56371785556334</v>
      </c>
      <c r="AG145" s="46">
        <f t="shared" si="112"/>
        <v>21.994992212674607</v>
      </c>
      <c r="AH145" s="46">
        <f t="shared" si="112"/>
        <v>22.434892056928099</v>
      </c>
      <c r="AI145" s="46">
        <f t="shared" si="112"/>
        <v>22.88358989806666</v>
      </c>
      <c r="AJ145" s="46">
        <f t="shared" si="112"/>
        <v>23.341261696027992</v>
      </c>
      <c r="AK145" s="46">
        <f t="shared" si="112"/>
        <v>23.808086929948551</v>
      </c>
      <c r="AL145" s="46">
        <f t="shared" si="112"/>
        <v>24.284248668547523</v>
      </c>
      <c r="AM145" s="46">
        <f t="shared" si="112"/>
        <v>24.769933641918474</v>
      </c>
      <c r="AN145" s="46">
        <f t="shared" si="112"/>
        <v>25.265332314756844</v>
      </c>
      <c r="AO145" s="46">
        <f t="shared" si="112"/>
        <v>25.770638961051979</v>
      </c>
      <c r="AP145" s="46">
        <f t="shared" si="112"/>
        <v>26.28605174027302</v>
      </c>
      <c r="AQ145" s="46">
        <f t="shared" si="112"/>
        <v>26.811772775078481</v>
      </c>
      <c r="AR145" s="46">
        <f t="shared" si="112"/>
        <v>27.348008230580049</v>
      </c>
      <c r="AS145" s="46">
        <f t="shared" si="112"/>
        <v>27.894968395191651</v>
      </c>
      <c r="AT145" s="46">
        <f t="shared" si="112"/>
        <v>28.452867763095483</v>
      </c>
      <c r="AU145" s="46">
        <f t="shared" si="112"/>
        <v>29.021925118357395</v>
      </c>
      <c r="AV145" s="46">
        <f t="shared" si="112"/>
        <v>29.602363620724542</v>
      </c>
      <c r="AW145" s="46">
        <f t="shared" si="112"/>
        <v>30.194410893139032</v>
      </c>
      <c r="AX145" s="46">
        <f t="shared" si="112"/>
        <v>30.798299111001814</v>
      </c>
      <c r="AY145" s="46">
        <f t="shared" si="112"/>
        <v>31.41426509322185</v>
      </c>
      <c r="AZ145" s="46">
        <f t="shared" si="112"/>
        <v>32.042550395086288</v>
      </c>
      <c r="BA145" s="46">
        <f t="shared" si="112"/>
        <v>32.683401402988011</v>
      </c>
      <c r="BB145" s="46">
        <f t="shared" si="112"/>
        <v>33.337069431047773</v>
      </c>
      <c r="BC145" s="46">
        <f t="shared" si="112"/>
        <v>34.003810819668729</v>
      </c>
      <c r="BD145" s="46">
        <f t="shared" si="112"/>
        <v>34.683887036062103</v>
      </c>
      <c r="BE145" s="46"/>
    </row>
    <row r="146" spans="1:57" ht="14.25" customHeight="1" x14ac:dyDescent="0.3">
      <c r="A146" s="46"/>
      <c r="B146" s="37"/>
      <c r="C146" s="46" t="str">
        <f>C$98</f>
        <v>Supplements Number of Patients</v>
      </c>
      <c r="D146" s="46"/>
      <c r="E146" s="46"/>
      <c r="F146" s="46"/>
      <c r="G146" s="46"/>
      <c r="H146" s="46"/>
      <c r="I146" s="46">
        <f t="shared" ref="I146:BD146" si="113">I$98</f>
        <v>0</v>
      </c>
      <c r="J146" s="46">
        <f t="shared" si="113"/>
        <v>0</v>
      </c>
      <c r="K146" s="46">
        <f t="shared" si="113"/>
        <v>0</v>
      </c>
      <c r="L146" s="46">
        <f t="shared" si="113"/>
        <v>0</v>
      </c>
      <c r="M146" s="46">
        <f t="shared" si="113"/>
        <v>0</v>
      </c>
      <c r="N146" s="46">
        <f t="shared" si="113"/>
        <v>0</v>
      </c>
      <c r="O146" s="46">
        <f t="shared" si="113"/>
        <v>0</v>
      </c>
      <c r="P146" s="46">
        <f t="shared" si="113"/>
        <v>15.75</v>
      </c>
      <c r="Q146" s="46">
        <f t="shared" si="113"/>
        <v>16.537500000000001</v>
      </c>
      <c r="R146" s="46">
        <f t="shared" si="113"/>
        <v>17.364375000000003</v>
      </c>
      <c r="S146" s="46">
        <f t="shared" si="113"/>
        <v>18.232593750000003</v>
      </c>
      <c r="T146" s="46">
        <f t="shared" si="113"/>
        <v>19.144223437500003</v>
      </c>
      <c r="U146" s="46">
        <f t="shared" si="113"/>
        <v>20.101434609375005</v>
      </c>
      <c r="V146" s="46">
        <f t="shared" si="113"/>
        <v>21.106506339843754</v>
      </c>
      <c r="W146" s="46">
        <f t="shared" si="113"/>
        <v>22.161831656835943</v>
      </c>
      <c r="X146" s="46">
        <f t="shared" si="113"/>
        <v>23.269923239677741</v>
      </c>
      <c r="Y146" s="46">
        <f t="shared" si="113"/>
        <v>24.433419401661631</v>
      </c>
      <c r="Z146" s="46">
        <f t="shared" si="113"/>
        <v>25.655090371744713</v>
      </c>
      <c r="AA146" s="46">
        <f t="shared" si="113"/>
        <v>26.937844890331949</v>
      </c>
      <c r="AB146" s="46">
        <f t="shared" si="113"/>
        <v>28.284737134848548</v>
      </c>
      <c r="AC146" s="46">
        <f t="shared" si="113"/>
        <v>29.698973991590975</v>
      </c>
      <c r="AD146" s="46">
        <f t="shared" si="113"/>
        <v>31.183922691170526</v>
      </c>
      <c r="AE146" s="46">
        <f t="shared" si="113"/>
        <v>32.743118825729056</v>
      </c>
      <c r="AF146" s="46">
        <f t="shared" si="113"/>
        <v>34.380274767015507</v>
      </c>
      <c r="AG146" s="46">
        <f t="shared" si="113"/>
        <v>36.099288505366282</v>
      </c>
      <c r="AH146" s="46">
        <f t="shared" si="113"/>
        <v>37.904252930634598</v>
      </c>
      <c r="AI146" s="46">
        <f t="shared" si="113"/>
        <v>39.79946557716633</v>
      </c>
      <c r="AJ146" s="46">
        <f t="shared" si="113"/>
        <v>41.789438856024645</v>
      </c>
      <c r="AK146" s="46">
        <f t="shared" si="113"/>
        <v>43.878910798825878</v>
      </c>
      <c r="AL146" s="46">
        <f t="shared" si="113"/>
        <v>46.072856338767174</v>
      </c>
      <c r="AM146" s="46">
        <f t="shared" si="113"/>
        <v>48.376499155705538</v>
      </c>
      <c r="AN146" s="46">
        <f t="shared" si="113"/>
        <v>50.795324113490814</v>
      </c>
      <c r="AO146" s="46">
        <f t="shared" si="113"/>
        <v>53.33509031916536</v>
      </c>
      <c r="AP146" s="46">
        <f t="shared" si="113"/>
        <v>56.001844835123627</v>
      </c>
      <c r="AQ146" s="46">
        <f t="shared" si="113"/>
        <v>58.80193707687981</v>
      </c>
      <c r="AR146" s="46">
        <f t="shared" si="113"/>
        <v>61.7420339307238</v>
      </c>
      <c r="AS146" s="46">
        <f t="shared" si="113"/>
        <v>64.829135627259987</v>
      </c>
      <c r="AT146" s="46">
        <f t="shared" si="113"/>
        <v>68.070592408622986</v>
      </c>
      <c r="AU146" s="46">
        <f t="shared" si="113"/>
        <v>71.474122029054143</v>
      </c>
      <c r="AV146" s="46">
        <f t="shared" si="113"/>
        <v>75.047828130506858</v>
      </c>
      <c r="AW146" s="46">
        <f t="shared" si="113"/>
        <v>78.800219537032206</v>
      </c>
      <c r="AX146" s="46">
        <f t="shared" si="113"/>
        <v>82.740230513883816</v>
      </c>
      <c r="AY146" s="46">
        <f t="shared" si="113"/>
        <v>86.877242039578007</v>
      </c>
      <c r="AZ146" s="46">
        <f t="shared" si="113"/>
        <v>91.221104141556907</v>
      </c>
      <c r="BA146" s="46">
        <f t="shared" si="113"/>
        <v>95.78215934863475</v>
      </c>
      <c r="BB146" s="46">
        <f t="shared" si="113"/>
        <v>100.5712673160665</v>
      </c>
      <c r="BC146" s="46">
        <f t="shared" si="113"/>
        <v>105.59983068186983</v>
      </c>
      <c r="BD146" s="46">
        <f t="shared" si="113"/>
        <v>110.87982221596333</v>
      </c>
      <c r="BE146" s="46"/>
    </row>
    <row r="147" spans="1:57" ht="14.25" customHeight="1" x14ac:dyDescent="0.3">
      <c r="A147" s="46"/>
      <c r="B147" s="37"/>
      <c r="C147" s="46" t="str">
        <f>C$105</f>
        <v>Scripted Medication Number of Patients</v>
      </c>
      <c r="D147" s="46"/>
      <c r="E147" s="46"/>
      <c r="F147" s="46"/>
      <c r="G147" s="46"/>
      <c r="H147" s="46"/>
      <c r="I147" s="46">
        <f t="shared" ref="I147:BD147" si="114">I$105</f>
        <v>0</v>
      </c>
      <c r="J147" s="46">
        <f t="shared" si="114"/>
        <v>0</v>
      </c>
      <c r="K147" s="46">
        <f t="shared" si="114"/>
        <v>0</v>
      </c>
      <c r="L147" s="46">
        <f t="shared" si="114"/>
        <v>0</v>
      </c>
      <c r="M147" s="46">
        <f t="shared" si="114"/>
        <v>0</v>
      </c>
      <c r="N147" s="46">
        <f t="shared" si="114"/>
        <v>0</v>
      </c>
      <c r="O147" s="46">
        <f t="shared" si="114"/>
        <v>0</v>
      </c>
      <c r="P147" s="46">
        <f t="shared" si="114"/>
        <v>15.75</v>
      </c>
      <c r="Q147" s="46">
        <f t="shared" si="114"/>
        <v>16.537500000000001</v>
      </c>
      <c r="R147" s="46">
        <f t="shared" si="114"/>
        <v>17.364375000000003</v>
      </c>
      <c r="S147" s="46">
        <f t="shared" si="114"/>
        <v>18.232593750000003</v>
      </c>
      <c r="T147" s="46">
        <f t="shared" si="114"/>
        <v>19.144223437500003</v>
      </c>
      <c r="U147" s="46">
        <f t="shared" si="114"/>
        <v>20.101434609375005</v>
      </c>
      <c r="V147" s="46">
        <f t="shared" si="114"/>
        <v>21.106506339843754</v>
      </c>
      <c r="W147" s="46">
        <f t="shared" si="114"/>
        <v>22.161831656835943</v>
      </c>
      <c r="X147" s="46">
        <f t="shared" si="114"/>
        <v>23.269923239677741</v>
      </c>
      <c r="Y147" s="46">
        <f t="shared" si="114"/>
        <v>24.433419401661631</v>
      </c>
      <c r="Z147" s="46">
        <f t="shared" si="114"/>
        <v>25.655090371744713</v>
      </c>
      <c r="AA147" s="46">
        <f t="shared" si="114"/>
        <v>26.937844890331949</v>
      </c>
      <c r="AB147" s="46">
        <f t="shared" si="114"/>
        <v>28.284737134848548</v>
      </c>
      <c r="AC147" s="46">
        <f t="shared" si="114"/>
        <v>29.698973991590975</v>
      </c>
      <c r="AD147" s="46">
        <f t="shared" si="114"/>
        <v>31.183922691170526</v>
      </c>
      <c r="AE147" s="46">
        <f t="shared" si="114"/>
        <v>32.743118825729056</v>
      </c>
      <c r="AF147" s="46">
        <f t="shared" si="114"/>
        <v>34.380274767015507</v>
      </c>
      <c r="AG147" s="46">
        <f t="shared" si="114"/>
        <v>36.099288505366282</v>
      </c>
      <c r="AH147" s="46">
        <f t="shared" si="114"/>
        <v>37.904252930634598</v>
      </c>
      <c r="AI147" s="46">
        <f t="shared" si="114"/>
        <v>39.79946557716633</v>
      </c>
      <c r="AJ147" s="46">
        <f t="shared" si="114"/>
        <v>41.789438856024645</v>
      </c>
      <c r="AK147" s="46">
        <f t="shared" si="114"/>
        <v>43.878910798825878</v>
      </c>
      <c r="AL147" s="46">
        <f t="shared" si="114"/>
        <v>46.072856338767174</v>
      </c>
      <c r="AM147" s="46">
        <f t="shared" si="114"/>
        <v>48.376499155705538</v>
      </c>
      <c r="AN147" s="46">
        <f t="shared" si="114"/>
        <v>50.795324113490814</v>
      </c>
      <c r="AO147" s="46">
        <f t="shared" si="114"/>
        <v>53.33509031916536</v>
      </c>
      <c r="AP147" s="46">
        <f t="shared" si="114"/>
        <v>56.001844835123627</v>
      </c>
      <c r="AQ147" s="46">
        <f t="shared" si="114"/>
        <v>58.80193707687981</v>
      </c>
      <c r="AR147" s="46">
        <f t="shared" si="114"/>
        <v>61.7420339307238</v>
      </c>
      <c r="AS147" s="46">
        <f t="shared" si="114"/>
        <v>64.829135627259987</v>
      </c>
      <c r="AT147" s="46">
        <f t="shared" si="114"/>
        <v>68.070592408622986</v>
      </c>
      <c r="AU147" s="46">
        <f t="shared" si="114"/>
        <v>71.474122029054143</v>
      </c>
      <c r="AV147" s="46">
        <f t="shared" si="114"/>
        <v>75.047828130506858</v>
      </c>
      <c r="AW147" s="46">
        <f t="shared" si="114"/>
        <v>78.800219537032206</v>
      </c>
      <c r="AX147" s="46">
        <f t="shared" si="114"/>
        <v>82.740230513883816</v>
      </c>
      <c r="AY147" s="46">
        <f t="shared" si="114"/>
        <v>86.877242039578007</v>
      </c>
      <c r="AZ147" s="46">
        <f t="shared" si="114"/>
        <v>91.221104141556907</v>
      </c>
      <c r="BA147" s="46">
        <f t="shared" si="114"/>
        <v>95.78215934863475</v>
      </c>
      <c r="BB147" s="46">
        <f t="shared" si="114"/>
        <v>100.5712673160665</v>
      </c>
      <c r="BC147" s="46">
        <f t="shared" si="114"/>
        <v>105.59983068186983</v>
      </c>
      <c r="BD147" s="46">
        <f t="shared" si="114"/>
        <v>110.87982221596333</v>
      </c>
      <c r="BE147" s="46"/>
    </row>
    <row r="148" spans="1:57" ht="14.25" customHeight="1" x14ac:dyDescent="0.3">
      <c r="A148" s="46"/>
      <c r="B148" s="37"/>
      <c r="C148" s="46" t="str">
        <f>C$112</f>
        <v>DCT Number of Patients</v>
      </c>
      <c r="D148" s="46"/>
      <c r="E148" s="46"/>
      <c r="F148" s="46"/>
      <c r="G148" s="46"/>
      <c r="H148" s="46"/>
      <c r="I148" s="46">
        <f t="shared" ref="I148:BD148" si="115">I$112</f>
        <v>1</v>
      </c>
      <c r="J148" s="46">
        <f t="shared" si="115"/>
        <v>0</v>
      </c>
      <c r="K148" s="46">
        <f t="shared" si="115"/>
        <v>0</v>
      </c>
      <c r="L148" s="46">
        <f t="shared" si="115"/>
        <v>0</v>
      </c>
      <c r="M148" s="46">
        <f t="shared" si="115"/>
        <v>0</v>
      </c>
      <c r="N148" s="46">
        <f t="shared" si="115"/>
        <v>0</v>
      </c>
      <c r="O148" s="46">
        <f t="shared" si="115"/>
        <v>0</v>
      </c>
      <c r="P148" s="46">
        <f t="shared" si="115"/>
        <v>0</v>
      </c>
      <c r="Q148" s="46">
        <f t="shared" si="115"/>
        <v>0</v>
      </c>
      <c r="R148" s="46">
        <f t="shared" si="115"/>
        <v>0</v>
      </c>
      <c r="S148" s="46">
        <f t="shared" si="115"/>
        <v>0</v>
      </c>
      <c r="T148" s="46">
        <f t="shared" si="115"/>
        <v>0</v>
      </c>
      <c r="U148" s="46">
        <f t="shared" si="115"/>
        <v>0</v>
      </c>
      <c r="V148" s="46">
        <f t="shared" si="115"/>
        <v>0</v>
      </c>
      <c r="W148" s="46">
        <f t="shared" si="115"/>
        <v>0</v>
      </c>
      <c r="X148" s="46">
        <f t="shared" si="115"/>
        <v>0</v>
      </c>
      <c r="Y148" s="46">
        <f t="shared" si="115"/>
        <v>0</v>
      </c>
      <c r="Z148" s="46">
        <f t="shared" si="115"/>
        <v>0</v>
      </c>
      <c r="AA148" s="46">
        <f t="shared" si="115"/>
        <v>0</v>
      </c>
      <c r="AB148" s="46">
        <f t="shared" si="115"/>
        <v>0</v>
      </c>
      <c r="AC148" s="46">
        <f t="shared" si="115"/>
        <v>0</v>
      </c>
      <c r="AD148" s="46">
        <f t="shared" si="115"/>
        <v>0</v>
      </c>
      <c r="AE148" s="46">
        <f t="shared" si="115"/>
        <v>0</v>
      </c>
      <c r="AF148" s="46">
        <f t="shared" si="115"/>
        <v>0</v>
      </c>
      <c r="AG148" s="46">
        <f t="shared" si="115"/>
        <v>0</v>
      </c>
      <c r="AH148" s="46">
        <f t="shared" si="115"/>
        <v>0</v>
      </c>
      <c r="AI148" s="46">
        <f t="shared" si="115"/>
        <v>0</v>
      </c>
      <c r="AJ148" s="46">
        <f t="shared" si="115"/>
        <v>0</v>
      </c>
      <c r="AK148" s="46">
        <f t="shared" si="115"/>
        <v>0</v>
      </c>
      <c r="AL148" s="46">
        <f t="shared" si="115"/>
        <v>0</v>
      </c>
      <c r="AM148" s="46">
        <f t="shared" si="115"/>
        <v>0</v>
      </c>
      <c r="AN148" s="46">
        <f t="shared" si="115"/>
        <v>0</v>
      </c>
      <c r="AO148" s="46">
        <f t="shared" si="115"/>
        <v>0</v>
      </c>
      <c r="AP148" s="46">
        <f t="shared" si="115"/>
        <v>0</v>
      </c>
      <c r="AQ148" s="46">
        <f t="shared" si="115"/>
        <v>0</v>
      </c>
      <c r="AR148" s="46">
        <f t="shared" si="115"/>
        <v>0</v>
      </c>
      <c r="AS148" s="46">
        <f t="shared" si="115"/>
        <v>0</v>
      </c>
      <c r="AT148" s="46">
        <f t="shared" si="115"/>
        <v>0</v>
      </c>
      <c r="AU148" s="46">
        <f t="shared" si="115"/>
        <v>0</v>
      </c>
      <c r="AV148" s="46">
        <f t="shared" si="115"/>
        <v>0</v>
      </c>
      <c r="AW148" s="46">
        <f t="shared" si="115"/>
        <v>0</v>
      </c>
      <c r="AX148" s="46">
        <f t="shared" si="115"/>
        <v>0</v>
      </c>
      <c r="AY148" s="46">
        <f t="shared" si="115"/>
        <v>0</v>
      </c>
      <c r="AZ148" s="46">
        <f t="shared" si="115"/>
        <v>0</v>
      </c>
      <c r="BA148" s="46">
        <f t="shared" si="115"/>
        <v>0</v>
      </c>
      <c r="BB148" s="46">
        <f t="shared" si="115"/>
        <v>0</v>
      </c>
      <c r="BC148" s="46">
        <f t="shared" si="115"/>
        <v>0</v>
      </c>
      <c r="BD148" s="46">
        <f t="shared" si="115"/>
        <v>0</v>
      </c>
      <c r="BE148" s="46"/>
    </row>
    <row r="149" spans="1:57" ht="14.25" customHeight="1" x14ac:dyDescent="0.3">
      <c r="A149" s="46"/>
      <c r="B149" s="37"/>
      <c r="C149" s="46" t="str">
        <f>C$119</f>
        <v>Pathcare Rebate Number of Tests</v>
      </c>
      <c r="D149" s="46"/>
      <c r="E149" s="46"/>
      <c r="F149" s="46"/>
      <c r="G149" s="46"/>
      <c r="H149" s="46"/>
      <c r="I149" s="46">
        <f t="shared" ref="I149:BD149" si="116">I$119</f>
        <v>0</v>
      </c>
      <c r="J149" s="46">
        <f t="shared" si="116"/>
        <v>0</v>
      </c>
      <c r="K149" s="46">
        <f t="shared" si="116"/>
        <v>0</v>
      </c>
      <c r="L149" s="46">
        <f t="shared" si="116"/>
        <v>0</v>
      </c>
      <c r="M149" s="46">
        <f t="shared" si="116"/>
        <v>0</v>
      </c>
      <c r="N149" s="46">
        <f t="shared" si="116"/>
        <v>0</v>
      </c>
      <c r="O149" s="46">
        <f t="shared" si="116"/>
        <v>0</v>
      </c>
      <c r="P149" s="46">
        <f t="shared" si="116"/>
        <v>0</v>
      </c>
      <c r="Q149" s="46">
        <f t="shared" si="116"/>
        <v>0</v>
      </c>
      <c r="R149" s="46">
        <f t="shared" si="116"/>
        <v>0</v>
      </c>
      <c r="S149" s="46">
        <f t="shared" si="116"/>
        <v>0</v>
      </c>
      <c r="T149" s="46">
        <f t="shared" si="116"/>
        <v>0</v>
      </c>
      <c r="U149" s="46">
        <f t="shared" si="116"/>
        <v>0</v>
      </c>
      <c r="V149" s="46">
        <f t="shared" si="116"/>
        <v>0</v>
      </c>
      <c r="W149" s="46">
        <f t="shared" si="116"/>
        <v>0</v>
      </c>
      <c r="X149" s="46">
        <f t="shared" si="116"/>
        <v>0</v>
      </c>
      <c r="Y149" s="46">
        <f t="shared" si="116"/>
        <v>0</v>
      </c>
      <c r="Z149" s="46">
        <f t="shared" si="116"/>
        <v>0</v>
      </c>
      <c r="AA149" s="46">
        <f t="shared" si="116"/>
        <v>0</v>
      </c>
      <c r="AB149" s="46">
        <f t="shared" si="116"/>
        <v>0</v>
      </c>
      <c r="AC149" s="46">
        <f t="shared" si="116"/>
        <v>0</v>
      </c>
      <c r="AD149" s="46">
        <f t="shared" si="116"/>
        <v>0</v>
      </c>
      <c r="AE149" s="46">
        <f t="shared" si="116"/>
        <v>0</v>
      </c>
      <c r="AF149" s="46">
        <f t="shared" si="116"/>
        <v>0</v>
      </c>
      <c r="AG149" s="46">
        <f t="shared" si="116"/>
        <v>0</v>
      </c>
      <c r="AH149" s="46">
        <f t="shared" si="116"/>
        <v>0</v>
      </c>
      <c r="AI149" s="46">
        <f t="shared" si="116"/>
        <v>0</v>
      </c>
      <c r="AJ149" s="46">
        <f t="shared" si="116"/>
        <v>0</v>
      </c>
      <c r="AK149" s="46">
        <f t="shared" si="116"/>
        <v>0</v>
      </c>
      <c r="AL149" s="46">
        <f t="shared" si="116"/>
        <v>0</v>
      </c>
      <c r="AM149" s="46">
        <f t="shared" si="116"/>
        <v>0</v>
      </c>
      <c r="AN149" s="46">
        <f t="shared" si="116"/>
        <v>0</v>
      </c>
      <c r="AO149" s="46">
        <f t="shared" si="116"/>
        <v>0</v>
      </c>
      <c r="AP149" s="46">
        <f t="shared" si="116"/>
        <v>0</v>
      </c>
      <c r="AQ149" s="46">
        <f t="shared" si="116"/>
        <v>0</v>
      </c>
      <c r="AR149" s="46">
        <f t="shared" si="116"/>
        <v>0</v>
      </c>
      <c r="AS149" s="46">
        <f t="shared" si="116"/>
        <v>0</v>
      </c>
      <c r="AT149" s="46">
        <f t="shared" si="116"/>
        <v>0</v>
      </c>
      <c r="AU149" s="46">
        <f t="shared" si="116"/>
        <v>0</v>
      </c>
      <c r="AV149" s="46">
        <f t="shared" si="116"/>
        <v>0</v>
      </c>
      <c r="AW149" s="46">
        <f t="shared" si="116"/>
        <v>0</v>
      </c>
      <c r="AX149" s="46">
        <f t="shared" si="116"/>
        <v>0</v>
      </c>
      <c r="AY149" s="46">
        <f t="shared" si="116"/>
        <v>0</v>
      </c>
      <c r="AZ149" s="46">
        <f t="shared" si="116"/>
        <v>0</v>
      </c>
      <c r="BA149" s="46">
        <f t="shared" si="116"/>
        <v>0</v>
      </c>
      <c r="BB149" s="46">
        <f t="shared" si="116"/>
        <v>0</v>
      </c>
      <c r="BC149" s="46">
        <f t="shared" si="116"/>
        <v>0</v>
      </c>
      <c r="BD149" s="46">
        <f t="shared" si="116"/>
        <v>0</v>
      </c>
      <c r="BE149" s="46"/>
    </row>
    <row r="150" spans="1:57" ht="14.25" customHeight="1" x14ac:dyDescent="0.3">
      <c r="A150" s="46"/>
      <c r="B150" s="37"/>
      <c r="C150" s="46" t="str">
        <f>C$128</f>
        <v>WL Supplements Number of Patients</v>
      </c>
      <c r="D150" s="46"/>
      <c r="E150" s="46"/>
      <c r="F150" s="46"/>
      <c r="G150" s="46"/>
      <c r="H150" s="46"/>
      <c r="I150" s="46">
        <f t="shared" ref="I150:BD150" si="117">I$128</f>
        <v>0</v>
      </c>
      <c r="J150" s="46">
        <f t="shared" si="117"/>
        <v>0</v>
      </c>
      <c r="K150" s="46">
        <f t="shared" si="117"/>
        <v>0</v>
      </c>
      <c r="L150" s="46">
        <f t="shared" si="117"/>
        <v>0</v>
      </c>
      <c r="M150" s="46">
        <f t="shared" si="117"/>
        <v>0</v>
      </c>
      <c r="N150" s="46">
        <f t="shared" si="117"/>
        <v>0</v>
      </c>
      <c r="O150" s="46">
        <f t="shared" si="117"/>
        <v>0</v>
      </c>
      <c r="P150" s="46">
        <f t="shared" si="117"/>
        <v>0</v>
      </c>
      <c r="Q150" s="46">
        <f t="shared" si="117"/>
        <v>0</v>
      </c>
      <c r="R150" s="46">
        <f t="shared" si="117"/>
        <v>0</v>
      </c>
      <c r="S150" s="46">
        <f t="shared" si="117"/>
        <v>21</v>
      </c>
      <c r="T150" s="46">
        <f t="shared" si="117"/>
        <v>22.05</v>
      </c>
      <c r="U150" s="46">
        <f t="shared" si="117"/>
        <v>23.152500000000003</v>
      </c>
      <c r="V150" s="46">
        <f t="shared" si="117"/>
        <v>24.310125000000003</v>
      </c>
      <c r="W150" s="46">
        <f t="shared" si="117"/>
        <v>25.525631250000004</v>
      </c>
      <c r="X150" s="46">
        <f t="shared" si="117"/>
        <v>26.801912812500007</v>
      </c>
      <c r="Y150" s="46">
        <f t="shared" si="117"/>
        <v>28.142008453125008</v>
      </c>
      <c r="Z150" s="46">
        <f t="shared" si="117"/>
        <v>29.549108875781261</v>
      </c>
      <c r="AA150" s="46">
        <f t="shared" si="117"/>
        <v>31.026564319570326</v>
      </c>
      <c r="AB150" s="46">
        <f t="shared" si="117"/>
        <v>32.577892535548841</v>
      </c>
      <c r="AC150" s="46">
        <f t="shared" si="117"/>
        <v>34.206787162326286</v>
      </c>
      <c r="AD150" s="46">
        <f t="shared" si="117"/>
        <v>35.917126520442601</v>
      </c>
      <c r="AE150" s="46">
        <f t="shared" si="117"/>
        <v>37.712982846464733</v>
      </c>
      <c r="AF150" s="46">
        <f t="shared" si="117"/>
        <v>39.598631988787972</v>
      </c>
      <c r="AG150" s="46">
        <f t="shared" si="117"/>
        <v>41.578563588227375</v>
      </c>
      <c r="AH150" s="46">
        <f t="shared" si="117"/>
        <v>43.657491767638746</v>
      </c>
      <c r="AI150" s="46">
        <f t="shared" si="117"/>
        <v>45.840366356020688</v>
      </c>
      <c r="AJ150" s="46">
        <f t="shared" si="117"/>
        <v>48.132384673821726</v>
      </c>
      <c r="AK150" s="46">
        <f t="shared" si="117"/>
        <v>50.539003907512814</v>
      </c>
      <c r="AL150" s="46">
        <f t="shared" si="117"/>
        <v>53.065954102888455</v>
      </c>
      <c r="AM150" s="46">
        <f t="shared" si="117"/>
        <v>55.71925180803288</v>
      </c>
      <c r="AN150" s="46">
        <f t="shared" si="117"/>
        <v>58.505214398434525</v>
      </c>
      <c r="AO150" s="46">
        <f t="shared" si="117"/>
        <v>61.430475118356256</v>
      </c>
      <c r="AP150" s="46">
        <f t="shared" si="117"/>
        <v>64.501998874274065</v>
      </c>
      <c r="AQ150" s="46">
        <f t="shared" si="117"/>
        <v>67.727098817987766</v>
      </c>
      <c r="AR150" s="46">
        <f t="shared" si="117"/>
        <v>71.113453758887161</v>
      </c>
      <c r="AS150" s="46">
        <f t="shared" si="117"/>
        <v>74.669126446831527</v>
      </c>
      <c r="AT150" s="46">
        <f t="shared" si="117"/>
        <v>78.402582769173108</v>
      </c>
      <c r="AU150" s="46">
        <f t="shared" si="117"/>
        <v>82.322711907631771</v>
      </c>
      <c r="AV150" s="46">
        <f t="shared" si="117"/>
        <v>86.438847503013363</v>
      </c>
      <c r="AW150" s="46">
        <f t="shared" si="117"/>
        <v>90.760789878164033</v>
      </c>
      <c r="AX150" s="46">
        <f t="shared" si="117"/>
        <v>95.298829372072234</v>
      </c>
      <c r="AY150" s="46">
        <f t="shared" si="117"/>
        <v>100.06377084067584</v>
      </c>
      <c r="AZ150" s="46">
        <f t="shared" si="117"/>
        <v>105.06695938270964</v>
      </c>
      <c r="BA150" s="46">
        <f t="shared" si="117"/>
        <v>110.32030735184513</v>
      </c>
      <c r="BB150" s="46">
        <f t="shared" si="117"/>
        <v>115.83632271943739</v>
      </c>
      <c r="BC150" s="46">
        <f t="shared" si="117"/>
        <v>121.62813885540926</v>
      </c>
      <c r="BD150" s="46">
        <f t="shared" si="117"/>
        <v>127.70954579817973</v>
      </c>
      <c r="BE150" s="46"/>
    </row>
    <row r="151" spans="1:57" ht="14.25" customHeight="1" x14ac:dyDescent="0.3">
      <c r="A151" s="46"/>
      <c r="B151" s="37"/>
      <c r="C151" s="46" t="s">
        <v>120</v>
      </c>
      <c r="D151" s="46"/>
      <c r="E151" s="46"/>
      <c r="F151" s="46"/>
      <c r="G151" s="46"/>
      <c r="H151" s="46"/>
      <c r="I151" s="51">
        <f>SUM(I134:I150)</f>
        <v>324.3</v>
      </c>
      <c r="J151" s="51">
        <f t="shared" ref="J151:BD151" si="118">SUM(J134:J150)</f>
        <v>292.78999999999996</v>
      </c>
      <c r="K151" s="51">
        <f t="shared" si="118"/>
        <v>360.8</v>
      </c>
      <c r="L151" s="51">
        <f t="shared" si="118"/>
        <v>316.60000000000002</v>
      </c>
      <c r="M151" s="51">
        <f t="shared" si="118"/>
        <v>201.2</v>
      </c>
      <c r="N151" s="51">
        <f t="shared" si="118"/>
        <v>188</v>
      </c>
      <c r="O151" s="51">
        <f t="shared" si="118"/>
        <v>253.9</v>
      </c>
      <c r="P151" s="51">
        <f t="shared" si="118"/>
        <v>293.30300000000005</v>
      </c>
      <c r="Q151" s="51">
        <f t="shared" si="118"/>
        <v>302.05826000000008</v>
      </c>
      <c r="R151" s="51">
        <f t="shared" si="118"/>
        <v>342.68250095000002</v>
      </c>
      <c r="S151" s="51">
        <f t="shared" si="118"/>
        <v>374.76826657025003</v>
      </c>
      <c r="T151" s="51">
        <f t="shared" si="118"/>
        <v>404.18771426751124</v>
      </c>
      <c r="U151" s="51">
        <f t="shared" si="118"/>
        <v>418.20659559306</v>
      </c>
      <c r="V151" s="51">
        <f t="shared" si="118"/>
        <v>432.85393571944104</v>
      </c>
      <c r="W151" s="51">
        <f t="shared" si="118"/>
        <v>448.16019688682951</v>
      </c>
      <c r="X151" s="51">
        <f t="shared" si="118"/>
        <v>464.15735001739665</v>
      </c>
      <c r="Y151" s="51">
        <f t="shared" si="118"/>
        <v>480.87894990599824</v>
      </c>
      <c r="Z151" s="51">
        <f t="shared" si="118"/>
        <v>498.36021416591251</v>
      </c>
      <c r="AA151" s="51">
        <f t="shared" si="118"/>
        <v>516.63810611729809</v>
      </c>
      <c r="AB151" s="51">
        <f t="shared" si="118"/>
        <v>535.7514218154131</v>
      </c>
      <c r="AC151" s="51">
        <f t="shared" si="118"/>
        <v>555.74088142549488</v>
      </c>
      <c r="AD151" s="51">
        <f t="shared" si="118"/>
        <v>575.71694313069975</v>
      </c>
      <c r="AE151" s="51">
        <f t="shared" si="118"/>
        <v>587.14241788471224</v>
      </c>
      <c r="AF151" s="51">
        <f t="shared" si="118"/>
        <v>599.05639458852693</v>
      </c>
      <c r="AG151" s="51">
        <f t="shared" si="118"/>
        <v>611.48218182935921</v>
      </c>
      <c r="AH151" s="51">
        <f t="shared" si="118"/>
        <v>624.44423654705656</v>
      </c>
      <c r="AI151" s="51">
        <f t="shared" si="118"/>
        <v>637.96822115933651</v>
      </c>
      <c r="AJ151" s="51">
        <f t="shared" si="118"/>
        <v>652.08106353784353</v>
      </c>
      <c r="AK151" s="51">
        <f t="shared" si="118"/>
        <v>666.81101997746202</v>
      </c>
      <c r="AL151" s="51">
        <f t="shared" si="118"/>
        <v>682.18774130843769</v>
      </c>
      <c r="AM151" s="51">
        <f t="shared" si="118"/>
        <v>698.24234230833486</v>
      </c>
      <c r="AN151" s="51">
        <f t="shared" si="118"/>
        <v>715.00747457871205</v>
      </c>
      <c r="AO151" s="51">
        <f t="shared" si="118"/>
        <v>732.51740305963051</v>
      </c>
      <c r="AP151" s="51">
        <f t="shared" si="118"/>
        <v>750.80808636377458</v>
      </c>
      <c r="AQ151" s="51">
        <f t="shared" si="118"/>
        <v>769.9172611210405</v>
      </c>
      <c r="AR151" s="51">
        <f t="shared" si="118"/>
        <v>789.88453053399405</v>
      </c>
      <c r="AS151" s="51">
        <f t="shared" si="118"/>
        <v>810.75145735461615</v>
      </c>
      <c r="AT151" s="51">
        <f t="shared" si="118"/>
        <v>832.56166150327306</v>
      </c>
      <c r="AU151" s="51">
        <f t="shared" si="118"/>
        <v>855.36092256189022</v>
      </c>
      <c r="AV151" s="51">
        <f t="shared" si="118"/>
        <v>879.1972873849071</v>
      </c>
      <c r="AW151" s="51">
        <f t="shared" si="118"/>
        <v>904.12118308376546</v>
      </c>
      <c r="AX151" s="51">
        <f t="shared" si="118"/>
        <v>930.18553565347042</v>
      </c>
      <c r="AY151" s="51">
        <f t="shared" si="118"/>
        <v>957.44589452318519</v>
      </c>
      <c r="AZ151" s="51">
        <f t="shared" si="118"/>
        <v>985.96056332691478</v>
      </c>
      <c r="BA151" s="51">
        <f t="shared" si="118"/>
        <v>1015.6793723729863</v>
      </c>
      <c r="BB151" s="51">
        <f t="shared" si="118"/>
        <v>1046.7614980108322</v>
      </c>
      <c r="BC151" s="51">
        <f t="shared" si="118"/>
        <v>1079.2875827564999</v>
      </c>
      <c r="BD151" s="51">
        <f t="shared" si="118"/>
        <v>1113.3283105187547</v>
      </c>
      <c r="BE151" s="51"/>
    </row>
    <row r="152" spans="1:57" ht="14.25" customHeight="1" x14ac:dyDescent="0.3">
      <c r="A152" s="46"/>
      <c r="B152" s="37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  <c r="AD152" s="46"/>
      <c r="AE152" s="46"/>
      <c r="AF152" s="46"/>
      <c r="AG152" s="46"/>
      <c r="AH152" s="46"/>
      <c r="AI152" s="46"/>
      <c r="AJ152" s="46"/>
      <c r="AK152" s="46"/>
      <c r="AL152" s="46"/>
      <c r="AM152" s="46"/>
      <c r="AN152" s="46"/>
      <c r="AO152" s="46"/>
      <c r="AP152" s="46"/>
      <c r="AQ152" s="46"/>
      <c r="AR152" s="46"/>
      <c r="AS152" s="46"/>
      <c r="AT152" s="46"/>
      <c r="AU152" s="46"/>
      <c r="AV152" s="46"/>
      <c r="AW152" s="46"/>
      <c r="AX152" s="46"/>
      <c r="AY152" s="46"/>
      <c r="AZ152" s="46"/>
      <c r="BA152" s="46"/>
      <c r="BB152" s="46"/>
      <c r="BC152" s="46"/>
      <c r="BD152" s="46"/>
      <c r="BE152" s="46"/>
    </row>
    <row r="153" spans="1:57" ht="14.25" customHeight="1" x14ac:dyDescent="0.3">
      <c r="A153" s="46"/>
      <c r="B153" s="37"/>
      <c r="C153" s="46" t="s">
        <v>121</v>
      </c>
      <c r="D153" s="46"/>
      <c r="E153" s="46"/>
      <c r="F153" s="46"/>
      <c r="G153" s="46"/>
      <c r="H153" s="46"/>
      <c r="I153" s="46">
        <f>I145</f>
        <v>42.3</v>
      </c>
      <c r="J153" s="46">
        <f t="shared" ref="J153:BD153" si="119">J145</f>
        <v>48</v>
      </c>
      <c r="K153" s="46">
        <f t="shared" si="119"/>
        <v>26.8</v>
      </c>
      <c r="L153" s="46">
        <f t="shared" si="119"/>
        <v>20.6</v>
      </c>
      <c r="M153" s="46">
        <f t="shared" si="119"/>
        <v>26.7</v>
      </c>
      <c r="N153" s="46">
        <f t="shared" si="119"/>
        <v>20</v>
      </c>
      <c r="O153" s="46">
        <f t="shared" si="119"/>
        <v>15.4</v>
      </c>
      <c r="P153" s="46">
        <f t="shared" si="119"/>
        <v>15.708</v>
      </c>
      <c r="Q153" s="46">
        <f t="shared" si="119"/>
        <v>16.02216</v>
      </c>
      <c r="R153" s="46">
        <f t="shared" si="119"/>
        <v>16.342603199999999</v>
      </c>
      <c r="S153" s="46">
        <f t="shared" si="119"/>
        <v>16.669455264</v>
      </c>
      <c r="T153" s="46">
        <f t="shared" si="119"/>
        <v>17.002844369280002</v>
      </c>
      <c r="U153" s="46">
        <f t="shared" si="119"/>
        <v>17.342901256665602</v>
      </c>
      <c r="V153" s="46">
        <f t="shared" si="119"/>
        <v>17.689759281798914</v>
      </c>
      <c r="W153" s="46">
        <f t="shared" si="119"/>
        <v>18.043554467434891</v>
      </c>
      <c r="X153" s="46">
        <f t="shared" si="119"/>
        <v>18.40442555678359</v>
      </c>
      <c r="Y153" s="46">
        <f t="shared" si="119"/>
        <v>18.772514067919261</v>
      </c>
      <c r="Z153" s="46">
        <f t="shared" si="119"/>
        <v>19.147964349277647</v>
      </c>
      <c r="AA153" s="46">
        <f t="shared" si="119"/>
        <v>19.5309236362632</v>
      </c>
      <c r="AB153" s="46">
        <f t="shared" si="119"/>
        <v>19.921542108988465</v>
      </c>
      <c r="AC153" s="46">
        <f t="shared" si="119"/>
        <v>20.319972951168236</v>
      </c>
      <c r="AD153" s="46">
        <f t="shared" si="119"/>
        <v>20.726372410191601</v>
      </c>
      <c r="AE153" s="46">
        <f t="shared" si="119"/>
        <v>21.140899858395432</v>
      </c>
      <c r="AF153" s="46">
        <f t="shared" si="119"/>
        <v>21.56371785556334</v>
      </c>
      <c r="AG153" s="46">
        <f t="shared" si="119"/>
        <v>21.994992212674607</v>
      </c>
      <c r="AH153" s="46">
        <f t="shared" si="119"/>
        <v>22.434892056928099</v>
      </c>
      <c r="AI153" s="46">
        <f t="shared" si="119"/>
        <v>22.88358989806666</v>
      </c>
      <c r="AJ153" s="46">
        <f t="shared" si="119"/>
        <v>23.341261696027992</v>
      </c>
      <c r="AK153" s="46">
        <f t="shared" si="119"/>
        <v>23.808086929948551</v>
      </c>
      <c r="AL153" s="46">
        <f t="shared" si="119"/>
        <v>24.284248668547523</v>
      </c>
      <c r="AM153" s="46">
        <f t="shared" si="119"/>
        <v>24.769933641918474</v>
      </c>
      <c r="AN153" s="46">
        <f t="shared" si="119"/>
        <v>25.265332314756844</v>
      </c>
      <c r="AO153" s="46">
        <f t="shared" si="119"/>
        <v>25.770638961051979</v>
      </c>
      <c r="AP153" s="46">
        <f t="shared" si="119"/>
        <v>26.28605174027302</v>
      </c>
      <c r="AQ153" s="46">
        <f t="shared" si="119"/>
        <v>26.811772775078481</v>
      </c>
      <c r="AR153" s="46">
        <f t="shared" si="119"/>
        <v>27.348008230580049</v>
      </c>
      <c r="AS153" s="46">
        <f t="shared" si="119"/>
        <v>27.894968395191651</v>
      </c>
      <c r="AT153" s="46">
        <f t="shared" si="119"/>
        <v>28.452867763095483</v>
      </c>
      <c r="AU153" s="46">
        <f t="shared" si="119"/>
        <v>29.021925118357395</v>
      </c>
      <c r="AV153" s="46">
        <f t="shared" si="119"/>
        <v>29.602363620724542</v>
      </c>
      <c r="AW153" s="46">
        <f t="shared" si="119"/>
        <v>30.194410893139032</v>
      </c>
      <c r="AX153" s="46">
        <f t="shared" si="119"/>
        <v>30.798299111001814</v>
      </c>
      <c r="AY153" s="46">
        <f t="shared" si="119"/>
        <v>31.41426509322185</v>
      </c>
      <c r="AZ153" s="46">
        <f t="shared" si="119"/>
        <v>32.042550395086288</v>
      </c>
      <c r="BA153" s="46">
        <f t="shared" si="119"/>
        <v>32.683401402988011</v>
      </c>
      <c r="BB153" s="46">
        <f t="shared" si="119"/>
        <v>33.337069431047773</v>
      </c>
      <c r="BC153" s="46">
        <f t="shared" si="119"/>
        <v>34.003810819668729</v>
      </c>
      <c r="BD153" s="46">
        <f t="shared" si="119"/>
        <v>34.683887036062103</v>
      </c>
      <c r="BE153" s="46"/>
    </row>
    <row r="154" spans="1:57" ht="14.25" customHeight="1" x14ac:dyDescent="0.3">
      <c r="A154" s="46"/>
      <c r="B154" s="37"/>
      <c r="C154" s="46" t="s">
        <v>122</v>
      </c>
      <c r="D154" s="46"/>
      <c r="E154" s="46"/>
      <c r="F154" s="46"/>
      <c r="G154" s="46"/>
      <c r="H154" s="46"/>
      <c r="I154" s="46">
        <f>I151-I153</f>
        <v>282</v>
      </c>
      <c r="J154" s="46">
        <f t="shared" ref="J154:BD154" si="120">J151-J153</f>
        <v>244.78999999999996</v>
      </c>
      <c r="K154" s="46">
        <f t="shared" si="120"/>
        <v>334</v>
      </c>
      <c r="L154" s="46">
        <f t="shared" si="120"/>
        <v>296</v>
      </c>
      <c r="M154" s="46">
        <f t="shared" si="120"/>
        <v>174.5</v>
      </c>
      <c r="N154" s="46">
        <f t="shared" si="120"/>
        <v>168</v>
      </c>
      <c r="O154" s="46">
        <f t="shared" si="120"/>
        <v>238.5</v>
      </c>
      <c r="P154" s="46">
        <f t="shared" si="120"/>
        <v>277.59500000000003</v>
      </c>
      <c r="Q154" s="46">
        <f t="shared" si="120"/>
        <v>286.03610000000009</v>
      </c>
      <c r="R154" s="46">
        <f t="shared" si="120"/>
        <v>326.33989775000003</v>
      </c>
      <c r="S154" s="46">
        <f t="shared" si="120"/>
        <v>358.09881130625001</v>
      </c>
      <c r="T154" s="46">
        <f t="shared" si="120"/>
        <v>387.18486989823123</v>
      </c>
      <c r="U154" s="46">
        <f t="shared" si="120"/>
        <v>400.86369433639442</v>
      </c>
      <c r="V154" s="46">
        <f t="shared" si="120"/>
        <v>415.16417643764214</v>
      </c>
      <c r="W154" s="46">
        <f t="shared" si="120"/>
        <v>430.11664241939462</v>
      </c>
      <c r="X154" s="46">
        <f t="shared" si="120"/>
        <v>445.75292446061309</v>
      </c>
      <c r="Y154" s="46">
        <f t="shared" si="120"/>
        <v>462.10643583807899</v>
      </c>
      <c r="Z154" s="46">
        <f t="shared" si="120"/>
        <v>479.21224981663488</v>
      </c>
      <c r="AA154" s="46">
        <f t="shared" si="120"/>
        <v>497.1071824810349</v>
      </c>
      <c r="AB154" s="46">
        <f t="shared" si="120"/>
        <v>515.82987970642466</v>
      </c>
      <c r="AC154" s="46">
        <f t="shared" si="120"/>
        <v>535.42090847432667</v>
      </c>
      <c r="AD154" s="46">
        <f t="shared" si="120"/>
        <v>554.99057072050812</v>
      </c>
      <c r="AE154" s="46">
        <f t="shared" si="120"/>
        <v>566.00151802631683</v>
      </c>
      <c r="AF154" s="46">
        <f t="shared" si="120"/>
        <v>577.49267673296356</v>
      </c>
      <c r="AG154" s="46">
        <f t="shared" si="120"/>
        <v>589.48718961668465</v>
      </c>
      <c r="AH154" s="46">
        <f t="shared" si="120"/>
        <v>602.00934449012846</v>
      </c>
      <c r="AI154" s="46">
        <f t="shared" si="120"/>
        <v>615.08463126126981</v>
      </c>
      <c r="AJ154" s="46">
        <f t="shared" si="120"/>
        <v>628.73980184181551</v>
      </c>
      <c r="AK154" s="46">
        <f t="shared" si="120"/>
        <v>643.00293304751347</v>
      </c>
      <c r="AL154" s="46">
        <f t="shared" si="120"/>
        <v>657.90349263989015</v>
      </c>
      <c r="AM154" s="46">
        <f t="shared" si="120"/>
        <v>673.47240866641641</v>
      </c>
      <c r="AN154" s="46">
        <f t="shared" si="120"/>
        <v>689.7421422639552</v>
      </c>
      <c r="AO154" s="46">
        <f t="shared" si="120"/>
        <v>706.74676409857852</v>
      </c>
      <c r="AP154" s="46">
        <f t="shared" si="120"/>
        <v>724.52203462350155</v>
      </c>
      <c r="AQ154" s="46">
        <f t="shared" si="120"/>
        <v>743.10548834596204</v>
      </c>
      <c r="AR154" s="46">
        <f t="shared" si="120"/>
        <v>762.53652230341402</v>
      </c>
      <c r="AS154" s="46">
        <f t="shared" si="120"/>
        <v>782.8564889594245</v>
      </c>
      <c r="AT154" s="46">
        <f t="shared" si="120"/>
        <v>804.10879374017759</v>
      </c>
      <c r="AU154" s="46">
        <f t="shared" si="120"/>
        <v>826.33899744353278</v>
      </c>
      <c r="AV154" s="46">
        <f t="shared" si="120"/>
        <v>849.59492376418257</v>
      </c>
      <c r="AW154" s="46">
        <f t="shared" si="120"/>
        <v>873.92677219062648</v>
      </c>
      <c r="AX154" s="46">
        <f t="shared" si="120"/>
        <v>899.3872365424686</v>
      </c>
      <c r="AY154" s="46">
        <f t="shared" si="120"/>
        <v>926.03162942996335</v>
      </c>
      <c r="AZ154" s="46">
        <f t="shared" si="120"/>
        <v>953.91801293182846</v>
      </c>
      <c r="BA154" s="46">
        <f t="shared" si="120"/>
        <v>982.99597096999833</v>
      </c>
      <c r="BB154" s="46">
        <f t="shared" si="120"/>
        <v>1013.4244285797844</v>
      </c>
      <c r="BC154" s="46">
        <f t="shared" si="120"/>
        <v>1045.2837719368313</v>
      </c>
      <c r="BD154" s="46">
        <f t="shared" si="120"/>
        <v>1078.6444234826927</v>
      </c>
      <c r="BE154" s="46"/>
    </row>
    <row r="155" spans="1:57" ht="14.25" customHeight="1" x14ac:dyDescent="0.3">
      <c r="A155" s="46"/>
      <c r="B155" s="37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  <c r="AC155" s="46"/>
      <c r="AD155" s="46"/>
      <c r="AE155" s="46"/>
      <c r="AF155" s="46"/>
      <c r="AG155" s="46"/>
      <c r="AH155" s="46"/>
      <c r="AI155" s="46"/>
      <c r="AJ155" s="46"/>
      <c r="AK155" s="46"/>
      <c r="AL155" s="46"/>
      <c r="AM155" s="46"/>
      <c r="AN155" s="46"/>
      <c r="AO155" s="46"/>
      <c r="AP155" s="46"/>
      <c r="AQ155" s="46"/>
      <c r="AR155" s="46"/>
      <c r="AS155" s="46"/>
      <c r="AT155" s="46"/>
      <c r="AU155" s="46"/>
      <c r="AV155" s="46"/>
      <c r="AW155" s="46"/>
      <c r="AX155" s="46"/>
      <c r="AY155" s="46"/>
      <c r="AZ155" s="46"/>
      <c r="BA155" s="46"/>
      <c r="BB155" s="46"/>
      <c r="BC155" s="46"/>
      <c r="BD155" s="46"/>
      <c r="BE155" s="46"/>
    </row>
    <row r="156" spans="1:57" ht="14.25" customHeight="1" x14ac:dyDescent="0.3">
      <c r="A156" s="46"/>
      <c r="B156" s="37"/>
      <c r="C156" s="46" t="str">
        <f>C$15</f>
        <v>IV Treatment Revenue</v>
      </c>
      <c r="D156" s="46"/>
      <c r="E156" s="46"/>
      <c r="F156" s="46"/>
      <c r="G156" s="46"/>
      <c r="H156" s="46"/>
      <c r="I156" s="46">
        <f t="shared" ref="I156:BD156" si="121">I$15</f>
        <v>156040</v>
      </c>
      <c r="J156" s="46">
        <f t="shared" si="121"/>
        <v>176343</v>
      </c>
      <c r="K156" s="46">
        <f t="shared" si="121"/>
        <v>199395</v>
      </c>
      <c r="L156" s="46">
        <f t="shared" si="121"/>
        <v>243108</v>
      </c>
      <c r="M156" s="46">
        <f t="shared" si="121"/>
        <v>162474</v>
      </c>
      <c r="N156" s="46">
        <f t="shared" si="121"/>
        <v>132195</v>
      </c>
      <c r="O156" s="46">
        <f t="shared" si="121"/>
        <v>235725</v>
      </c>
      <c r="P156" s="46">
        <f t="shared" si="121"/>
        <v>265125</v>
      </c>
      <c r="Q156" s="46">
        <f t="shared" si="121"/>
        <v>267776.25</v>
      </c>
      <c r="R156" s="46">
        <f t="shared" si="121"/>
        <v>270454.01250000001</v>
      </c>
      <c r="S156" s="46">
        <f t="shared" si="121"/>
        <v>273158.55262500001</v>
      </c>
      <c r="T156" s="46">
        <f t="shared" si="121"/>
        <v>275890.13815125002</v>
      </c>
      <c r="U156" s="46">
        <f t="shared" si="121"/>
        <v>278649.03953276254</v>
      </c>
      <c r="V156" s="46">
        <f t="shared" si="121"/>
        <v>281435.52992809017</v>
      </c>
      <c r="W156" s="46">
        <f t="shared" si="121"/>
        <v>284249.88522737112</v>
      </c>
      <c r="X156" s="46">
        <f t="shared" si="121"/>
        <v>287092.38407964481</v>
      </c>
      <c r="Y156" s="46">
        <f t="shared" si="121"/>
        <v>289963.30792044126</v>
      </c>
      <c r="Z156" s="46">
        <f t="shared" si="121"/>
        <v>292862.94099964562</v>
      </c>
      <c r="AA156" s="46">
        <f t="shared" si="121"/>
        <v>295791.57040964213</v>
      </c>
      <c r="AB156" s="46">
        <f t="shared" si="121"/>
        <v>298749.48611373856</v>
      </c>
      <c r="AC156" s="46">
        <f t="shared" si="121"/>
        <v>301736.98097487591</v>
      </c>
      <c r="AD156" s="46">
        <f t="shared" si="121"/>
        <v>304754.35078462464</v>
      </c>
      <c r="AE156" s="46">
        <f t="shared" si="121"/>
        <v>307801.89429247094</v>
      </c>
      <c r="AF156" s="46">
        <f t="shared" si="121"/>
        <v>310879.91323539562</v>
      </c>
      <c r="AG156" s="46">
        <f t="shared" si="121"/>
        <v>313988.7123677496</v>
      </c>
      <c r="AH156" s="46">
        <f t="shared" si="121"/>
        <v>317128.59949142707</v>
      </c>
      <c r="AI156" s="46">
        <f t="shared" si="121"/>
        <v>320299.88548634131</v>
      </c>
      <c r="AJ156" s="46">
        <f t="shared" si="121"/>
        <v>323502.88434120477</v>
      </c>
      <c r="AK156" s="46">
        <f t="shared" si="121"/>
        <v>326737.91318461677</v>
      </c>
      <c r="AL156" s="46">
        <f t="shared" si="121"/>
        <v>330005.29231646296</v>
      </c>
      <c r="AM156" s="46">
        <f t="shared" si="121"/>
        <v>333305.34523962758</v>
      </c>
      <c r="AN156" s="46">
        <f t="shared" si="121"/>
        <v>336638.39869202388</v>
      </c>
      <c r="AO156" s="46">
        <f t="shared" si="121"/>
        <v>340004.78267894412</v>
      </c>
      <c r="AP156" s="46">
        <f t="shared" si="121"/>
        <v>343404.83050573355</v>
      </c>
      <c r="AQ156" s="46">
        <f t="shared" si="121"/>
        <v>346838.87881079089</v>
      </c>
      <c r="AR156" s="46">
        <f t="shared" si="121"/>
        <v>350307.26759889879</v>
      </c>
      <c r="AS156" s="46">
        <f t="shared" si="121"/>
        <v>353810.34027488774</v>
      </c>
      <c r="AT156" s="46">
        <f t="shared" si="121"/>
        <v>357348.44367763662</v>
      </c>
      <c r="AU156" s="46">
        <f t="shared" si="121"/>
        <v>360921.92811441293</v>
      </c>
      <c r="AV156" s="46">
        <f t="shared" si="121"/>
        <v>364531.14739555708</v>
      </c>
      <c r="AW156" s="46">
        <f t="shared" si="121"/>
        <v>368176.45886951266</v>
      </c>
      <c r="AX156" s="46">
        <f t="shared" si="121"/>
        <v>371858.22345820779</v>
      </c>
      <c r="AY156" s="46">
        <f t="shared" si="121"/>
        <v>375576.8056927899</v>
      </c>
      <c r="AZ156" s="46">
        <f t="shared" si="121"/>
        <v>379332.57374971785</v>
      </c>
      <c r="BA156" s="46">
        <f t="shared" si="121"/>
        <v>383125.89948721498</v>
      </c>
      <c r="BB156" s="46">
        <f t="shared" si="121"/>
        <v>386957.15848208714</v>
      </c>
      <c r="BC156" s="46">
        <f t="shared" si="121"/>
        <v>390826.730066908</v>
      </c>
      <c r="BD156" s="46">
        <f t="shared" si="121"/>
        <v>394734.9973675771</v>
      </c>
      <c r="BE156" s="46"/>
    </row>
    <row r="157" spans="1:57" ht="14.25" customHeight="1" x14ac:dyDescent="0.3">
      <c r="A157" s="46"/>
      <c r="B157" s="37"/>
      <c r="C157" s="46" t="str">
        <f>C$22</f>
        <v>IV CurcuminTreatment Revenue</v>
      </c>
      <c r="D157" s="46"/>
      <c r="E157" s="46"/>
      <c r="F157" s="46"/>
      <c r="G157" s="46"/>
      <c r="H157" s="46"/>
      <c r="I157" s="46">
        <f t="shared" ref="I157:BD157" si="122">I$22</f>
        <v>145464</v>
      </c>
      <c r="J157" s="46">
        <f t="shared" si="122"/>
        <v>157550.91</v>
      </c>
      <c r="K157" s="46">
        <f t="shared" si="122"/>
        <v>188736</v>
      </c>
      <c r="L157" s="46">
        <f t="shared" si="122"/>
        <v>235755</v>
      </c>
      <c r="M157" s="46">
        <f t="shared" si="122"/>
        <v>86430</v>
      </c>
      <c r="N157" s="46">
        <f t="shared" si="122"/>
        <v>49000</v>
      </c>
      <c r="O157" s="46">
        <f t="shared" si="122"/>
        <v>140728</v>
      </c>
      <c r="P157" s="46">
        <f t="shared" si="122"/>
        <v>187496.4</v>
      </c>
      <c r="Q157" s="46">
        <f t="shared" si="122"/>
        <v>193158.79128000003</v>
      </c>
      <c r="R157" s="46">
        <f t="shared" si="122"/>
        <v>198992.18677665605</v>
      </c>
      <c r="S157" s="46">
        <f t="shared" si="122"/>
        <v>205001.75081731105</v>
      </c>
      <c r="T157" s="46">
        <f t="shared" si="122"/>
        <v>211192.80369199385</v>
      </c>
      <c r="U157" s="46">
        <f t="shared" si="122"/>
        <v>217570.82636349206</v>
      </c>
      <c r="V157" s="46">
        <f t="shared" si="122"/>
        <v>224141.46531966954</v>
      </c>
      <c r="W157" s="46">
        <f t="shared" si="122"/>
        <v>227399.90818189684</v>
      </c>
      <c r="X157" s="46">
        <f t="shared" si="122"/>
        <v>229673.90726371581</v>
      </c>
      <c r="Y157" s="46">
        <f t="shared" si="122"/>
        <v>231970.64633635298</v>
      </c>
      <c r="Z157" s="46">
        <f t="shared" si="122"/>
        <v>234290.35279971649</v>
      </c>
      <c r="AA157" s="46">
        <f t="shared" si="122"/>
        <v>236633.25632771364</v>
      </c>
      <c r="AB157" s="46">
        <f t="shared" si="122"/>
        <v>238999.5888909908</v>
      </c>
      <c r="AC157" s="46">
        <f t="shared" si="122"/>
        <v>241389.58477990073</v>
      </c>
      <c r="AD157" s="46">
        <f t="shared" si="122"/>
        <v>243803.48062769973</v>
      </c>
      <c r="AE157" s="46">
        <f t="shared" si="122"/>
        <v>246241.51543397672</v>
      </c>
      <c r="AF157" s="46">
        <f t="shared" si="122"/>
        <v>248703.93058831649</v>
      </c>
      <c r="AG157" s="46">
        <f t="shared" si="122"/>
        <v>251190.96989419966</v>
      </c>
      <c r="AH157" s="46">
        <f t="shared" si="122"/>
        <v>253702.87959314164</v>
      </c>
      <c r="AI157" s="46">
        <f t="shared" si="122"/>
        <v>256239.90838907307</v>
      </c>
      <c r="AJ157" s="46">
        <f t="shared" si="122"/>
        <v>258802.30747296382</v>
      </c>
      <c r="AK157" s="46">
        <f t="shared" si="122"/>
        <v>261390.33054769345</v>
      </c>
      <c r="AL157" s="46">
        <f t="shared" si="122"/>
        <v>264004.23385317042</v>
      </c>
      <c r="AM157" s="46">
        <f t="shared" si="122"/>
        <v>266644.27619170211</v>
      </c>
      <c r="AN157" s="46">
        <f t="shared" si="122"/>
        <v>269310.71895361913</v>
      </c>
      <c r="AO157" s="46">
        <f t="shared" si="122"/>
        <v>272003.82614315534</v>
      </c>
      <c r="AP157" s="46">
        <f t="shared" si="122"/>
        <v>274723.8644045869</v>
      </c>
      <c r="AQ157" s="46">
        <f t="shared" si="122"/>
        <v>277471.10304863279</v>
      </c>
      <c r="AR157" s="46">
        <f t="shared" si="122"/>
        <v>280245.81407911913</v>
      </c>
      <c r="AS157" s="46">
        <f t="shared" si="122"/>
        <v>283048.27221991029</v>
      </c>
      <c r="AT157" s="46">
        <f t="shared" si="122"/>
        <v>285878.7549421094</v>
      </c>
      <c r="AU157" s="46">
        <f t="shared" si="122"/>
        <v>288737.54249153053</v>
      </c>
      <c r="AV157" s="46">
        <f t="shared" si="122"/>
        <v>291624.91791644582</v>
      </c>
      <c r="AW157" s="46">
        <f t="shared" si="122"/>
        <v>294541.16709561029</v>
      </c>
      <c r="AX157" s="46">
        <f t="shared" si="122"/>
        <v>297486.57876656641</v>
      </c>
      <c r="AY157" s="46">
        <f t="shared" si="122"/>
        <v>300461.44455423206</v>
      </c>
      <c r="AZ157" s="46">
        <f t="shared" si="122"/>
        <v>303466.05899977434</v>
      </c>
      <c r="BA157" s="46">
        <f t="shared" si="122"/>
        <v>306500.71958977211</v>
      </c>
      <c r="BB157" s="46">
        <f t="shared" si="122"/>
        <v>309565.7267856698</v>
      </c>
      <c r="BC157" s="46">
        <f t="shared" si="122"/>
        <v>312661.3840535265</v>
      </c>
      <c r="BD157" s="46">
        <f t="shared" si="122"/>
        <v>315787.99789406179</v>
      </c>
      <c r="BE157" s="46"/>
    </row>
    <row r="158" spans="1:57" ht="14.25" customHeight="1" x14ac:dyDescent="0.3">
      <c r="A158" s="46"/>
      <c r="B158" s="37"/>
      <c r="C158" s="46" t="str">
        <f>C$29</f>
        <v>Laser Treatment Revenue</v>
      </c>
      <c r="D158" s="46"/>
      <c r="E158" s="46"/>
      <c r="F158" s="46"/>
      <c r="G158" s="46"/>
      <c r="H158" s="46"/>
      <c r="I158" s="46">
        <f t="shared" ref="I158:BD158" si="123">I$29</f>
        <v>36000</v>
      </c>
      <c r="J158" s="46">
        <f t="shared" si="123"/>
        <v>17220</v>
      </c>
      <c r="K158" s="46">
        <f t="shared" si="123"/>
        <v>28250</v>
      </c>
      <c r="L158" s="46">
        <f t="shared" si="123"/>
        <v>27640</v>
      </c>
      <c r="M158" s="46">
        <f t="shared" si="123"/>
        <v>7170</v>
      </c>
      <c r="N158" s="46">
        <f t="shared" si="123"/>
        <v>0</v>
      </c>
      <c r="O158" s="46">
        <f t="shared" si="123"/>
        <v>9044</v>
      </c>
      <c r="P158" s="46">
        <f t="shared" si="123"/>
        <v>11342.837142857143</v>
      </c>
      <c r="Q158" s="46">
        <f t="shared" si="123"/>
        <v>11569.693885714287</v>
      </c>
      <c r="R158" s="46">
        <f t="shared" si="123"/>
        <v>11801.087763428573</v>
      </c>
      <c r="S158" s="46">
        <f t="shared" si="123"/>
        <v>12037.109518697143</v>
      </c>
      <c r="T158" s="46">
        <f t="shared" si="123"/>
        <v>12277.851709071087</v>
      </c>
      <c r="U158" s="46">
        <f t="shared" si="123"/>
        <v>12523.408743252508</v>
      </c>
      <c r="V158" s="46">
        <f t="shared" si="123"/>
        <v>12773.876918117559</v>
      </c>
      <c r="W158" s="46">
        <f t="shared" si="123"/>
        <v>13029.35445647991</v>
      </c>
      <c r="X158" s="46">
        <f t="shared" si="123"/>
        <v>13289.94154560951</v>
      </c>
      <c r="Y158" s="46">
        <f t="shared" si="123"/>
        <v>13555.7403765217</v>
      </c>
      <c r="Z158" s="46">
        <f t="shared" si="123"/>
        <v>13826.855184052136</v>
      </c>
      <c r="AA158" s="46">
        <f t="shared" si="123"/>
        <v>14103.392287733177</v>
      </c>
      <c r="AB158" s="46">
        <f t="shared" si="123"/>
        <v>14385.460133487841</v>
      </c>
      <c r="AC158" s="46">
        <f t="shared" si="123"/>
        <v>14673.169336157598</v>
      </c>
      <c r="AD158" s="46">
        <f t="shared" si="123"/>
        <v>14966.632722880749</v>
      </c>
      <c r="AE158" s="46">
        <f t="shared" si="123"/>
        <v>15265.965377338363</v>
      </c>
      <c r="AF158" s="46">
        <f t="shared" si="123"/>
        <v>15571.284684885133</v>
      </c>
      <c r="AG158" s="46">
        <f t="shared" si="123"/>
        <v>15882.710378582837</v>
      </c>
      <c r="AH158" s="46">
        <f t="shared" si="123"/>
        <v>16200.364586154494</v>
      </c>
      <c r="AI158" s="46">
        <f t="shared" si="123"/>
        <v>16524.371877877584</v>
      </c>
      <c r="AJ158" s="46">
        <f t="shared" si="123"/>
        <v>16854.859315435137</v>
      </c>
      <c r="AK158" s="46">
        <f t="shared" si="123"/>
        <v>17191.95650174384</v>
      </c>
      <c r="AL158" s="46">
        <f t="shared" si="123"/>
        <v>17535.795631778714</v>
      </c>
      <c r="AM158" s="46">
        <f t="shared" si="123"/>
        <v>17886.51154441429</v>
      </c>
      <c r="AN158" s="46">
        <f t="shared" si="123"/>
        <v>18244.241775302577</v>
      </c>
      <c r="AO158" s="46">
        <f t="shared" si="123"/>
        <v>18609.126610808627</v>
      </c>
      <c r="AP158" s="46">
        <f t="shared" si="123"/>
        <v>18981.309143024799</v>
      </c>
      <c r="AQ158" s="46">
        <f t="shared" si="123"/>
        <v>19360.935325885293</v>
      </c>
      <c r="AR158" s="46">
        <f t="shared" si="123"/>
        <v>19748.154032402999</v>
      </c>
      <c r="AS158" s="46">
        <f t="shared" si="123"/>
        <v>20143.117113051063</v>
      </c>
      <c r="AT158" s="46">
        <f t="shared" si="123"/>
        <v>20545.979455312085</v>
      </c>
      <c r="AU158" s="46">
        <f t="shared" si="123"/>
        <v>20956.899044418326</v>
      </c>
      <c r="AV158" s="46">
        <f t="shared" si="123"/>
        <v>21376.037025306694</v>
      </c>
      <c r="AW158" s="46">
        <f t="shared" si="123"/>
        <v>21803.557765812824</v>
      </c>
      <c r="AX158" s="46">
        <f t="shared" si="123"/>
        <v>22239.628921129086</v>
      </c>
      <c r="AY158" s="46">
        <f t="shared" si="123"/>
        <v>22684.421499551663</v>
      </c>
      <c r="AZ158" s="46">
        <f t="shared" si="123"/>
        <v>23138.109929542698</v>
      </c>
      <c r="BA158" s="46">
        <f t="shared" si="123"/>
        <v>23600.872128133553</v>
      </c>
      <c r="BB158" s="46">
        <f t="shared" si="123"/>
        <v>24072.889570696225</v>
      </c>
      <c r="BC158" s="46">
        <f t="shared" si="123"/>
        <v>24554.347362110151</v>
      </c>
      <c r="BD158" s="46">
        <f t="shared" si="123"/>
        <v>25045.434309352353</v>
      </c>
      <c r="BE158" s="46"/>
    </row>
    <row r="159" spans="1:57" ht="14.25" customHeight="1" x14ac:dyDescent="0.3">
      <c r="A159" s="46"/>
      <c r="B159" s="37"/>
      <c r="C159" s="46" t="str">
        <f>C$34</f>
        <v>Hyperthermia Session Revenue</v>
      </c>
      <c r="D159" s="46"/>
      <c r="E159" s="46"/>
      <c r="F159" s="46"/>
      <c r="G159" s="46"/>
      <c r="H159" s="46"/>
      <c r="I159" s="46">
        <f t="shared" ref="I159:BD159" si="124">I$34</f>
        <v>454421.73913043481</v>
      </c>
      <c r="J159" s="46">
        <f t="shared" si="124"/>
        <v>394102.5</v>
      </c>
      <c r="K159" s="46">
        <f t="shared" si="124"/>
        <v>513106</v>
      </c>
      <c r="L159" s="46">
        <f t="shared" si="124"/>
        <v>408012</v>
      </c>
      <c r="M159" s="46">
        <f t="shared" si="124"/>
        <v>245734.5</v>
      </c>
      <c r="N159" s="46">
        <f t="shared" si="124"/>
        <v>315282</v>
      </c>
      <c r="O159" s="46">
        <f t="shared" si="124"/>
        <v>310645.5</v>
      </c>
      <c r="P159" s="46">
        <f t="shared" si="124"/>
        <v>326177.77500000002</v>
      </c>
      <c r="Q159" s="46">
        <f t="shared" si="124"/>
        <v>342486.66375000001</v>
      </c>
      <c r="R159" s="46">
        <f t="shared" si="124"/>
        <v>359610.99693750002</v>
      </c>
      <c r="S159" s="46">
        <f t="shared" si="124"/>
        <v>377591.5467843751</v>
      </c>
      <c r="T159" s="46">
        <f t="shared" si="124"/>
        <v>396471.12412359391</v>
      </c>
      <c r="U159" s="46">
        <f t="shared" si="124"/>
        <v>416294.68032977363</v>
      </c>
      <c r="V159" s="46">
        <f t="shared" si="124"/>
        <v>437109.41434626235</v>
      </c>
      <c r="W159" s="46">
        <f t="shared" si="124"/>
        <v>458964.88506357546</v>
      </c>
      <c r="X159" s="46">
        <f t="shared" si="124"/>
        <v>481913.12931675429</v>
      </c>
      <c r="Y159" s="46">
        <f t="shared" si="124"/>
        <v>506008.78578259202</v>
      </c>
      <c r="Z159" s="46">
        <f t="shared" si="124"/>
        <v>531309.22507172171</v>
      </c>
      <c r="AA159" s="46">
        <f t="shared" si="124"/>
        <v>557874.68632530782</v>
      </c>
      <c r="AB159" s="46">
        <f t="shared" si="124"/>
        <v>585768.42064157326</v>
      </c>
      <c r="AC159" s="46">
        <f t="shared" si="124"/>
        <v>615056.84167365194</v>
      </c>
      <c r="AD159" s="46">
        <f t="shared" si="124"/>
        <v>642928</v>
      </c>
      <c r="AE159" s="46">
        <f t="shared" si="124"/>
        <v>642928</v>
      </c>
      <c r="AF159" s="46">
        <f t="shared" si="124"/>
        <v>642928</v>
      </c>
      <c r="AG159" s="46">
        <f t="shared" si="124"/>
        <v>642928</v>
      </c>
      <c r="AH159" s="46">
        <f t="shared" si="124"/>
        <v>642928</v>
      </c>
      <c r="AI159" s="46">
        <f t="shared" si="124"/>
        <v>642928</v>
      </c>
      <c r="AJ159" s="46">
        <f t="shared" si="124"/>
        <v>642928</v>
      </c>
      <c r="AK159" s="46">
        <f t="shared" si="124"/>
        <v>642928</v>
      </c>
      <c r="AL159" s="46">
        <f t="shared" si="124"/>
        <v>642928</v>
      </c>
      <c r="AM159" s="46">
        <f t="shared" si="124"/>
        <v>642928</v>
      </c>
      <c r="AN159" s="46">
        <f t="shared" si="124"/>
        <v>642928</v>
      </c>
      <c r="AO159" s="46">
        <f t="shared" si="124"/>
        <v>642928</v>
      </c>
      <c r="AP159" s="46">
        <f t="shared" si="124"/>
        <v>642928</v>
      </c>
      <c r="AQ159" s="46">
        <f t="shared" si="124"/>
        <v>642928</v>
      </c>
      <c r="AR159" s="46">
        <f t="shared" si="124"/>
        <v>642928</v>
      </c>
      <c r="AS159" s="46">
        <f t="shared" si="124"/>
        <v>642928</v>
      </c>
      <c r="AT159" s="46">
        <f t="shared" si="124"/>
        <v>642928</v>
      </c>
      <c r="AU159" s="46">
        <f t="shared" si="124"/>
        <v>642928</v>
      </c>
      <c r="AV159" s="46">
        <f t="shared" si="124"/>
        <v>642928</v>
      </c>
      <c r="AW159" s="46">
        <f t="shared" si="124"/>
        <v>642928</v>
      </c>
      <c r="AX159" s="46">
        <f t="shared" si="124"/>
        <v>642928</v>
      </c>
      <c r="AY159" s="46">
        <f t="shared" si="124"/>
        <v>642928</v>
      </c>
      <c r="AZ159" s="46">
        <f t="shared" si="124"/>
        <v>642928</v>
      </c>
      <c r="BA159" s="46">
        <f t="shared" si="124"/>
        <v>642928</v>
      </c>
      <c r="BB159" s="46">
        <f t="shared" si="124"/>
        <v>642928</v>
      </c>
      <c r="BC159" s="46">
        <f t="shared" si="124"/>
        <v>642928</v>
      </c>
      <c r="BD159" s="46">
        <f t="shared" si="124"/>
        <v>642928</v>
      </c>
      <c r="BE159" s="46"/>
    </row>
    <row r="160" spans="1:57" ht="14.25" customHeight="1" x14ac:dyDescent="0.3">
      <c r="A160" s="46"/>
      <c r="B160" s="37"/>
      <c r="C160" s="46" t="str">
        <f>C$41</f>
        <v>Hyperthermia 2 Session Revenue</v>
      </c>
      <c r="D160" s="46"/>
      <c r="E160" s="46"/>
      <c r="F160" s="46"/>
      <c r="G160" s="46"/>
      <c r="H160" s="46"/>
      <c r="I160" s="46">
        <f t="shared" ref="I160:BD160" si="125">I$41</f>
        <v>0</v>
      </c>
      <c r="J160" s="46">
        <f t="shared" si="125"/>
        <v>0</v>
      </c>
      <c r="K160" s="46">
        <f t="shared" si="125"/>
        <v>0</v>
      </c>
      <c r="L160" s="46">
        <f t="shared" si="125"/>
        <v>0</v>
      </c>
      <c r="M160" s="46">
        <f t="shared" si="125"/>
        <v>0</v>
      </c>
      <c r="N160" s="46">
        <f t="shared" si="125"/>
        <v>0</v>
      </c>
      <c r="O160" s="46">
        <f t="shared" si="125"/>
        <v>0</v>
      </c>
      <c r="P160" s="46">
        <f t="shared" si="125"/>
        <v>0</v>
      </c>
      <c r="Q160" s="46">
        <f t="shared" si="125"/>
        <v>0</v>
      </c>
      <c r="R160" s="46">
        <f t="shared" si="125"/>
        <v>111982.5</v>
      </c>
      <c r="S160" s="46">
        <f t="shared" si="125"/>
        <v>117581.62500000001</v>
      </c>
      <c r="T160" s="46">
        <f t="shared" si="125"/>
        <v>123460.70625000002</v>
      </c>
      <c r="U160" s="46">
        <f t="shared" si="125"/>
        <v>129633.74156250003</v>
      </c>
      <c r="V160" s="46">
        <f t="shared" si="125"/>
        <v>136115.42864062503</v>
      </c>
      <c r="W160" s="46">
        <f t="shared" si="125"/>
        <v>142921.2000726563</v>
      </c>
      <c r="X160" s="46">
        <f t="shared" si="125"/>
        <v>150067.26007628909</v>
      </c>
      <c r="Y160" s="46">
        <f t="shared" si="125"/>
        <v>157570.62308010357</v>
      </c>
      <c r="Z160" s="46">
        <f t="shared" si="125"/>
        <v>165449.15423410875</v>
      </c>
      <c r="AA160" s="46">
        <f t="shared" si="125"/>
        <v>173721.61194581419</v>
      </c>
      <c r="AB160" s="46">
        <f t="shared" si="125"/>
        <v>182407.6925431049</v>
      </c>
      <c r="AC160" s="46">
        <f t="shared" si="125"/>
        <v>191528.07717026016</v>
      </c>
      <c r="AD160" s="46">
        <f t="shared" si="125"/>
        <v>201104.48102877318</v>
      </c>
      <c r="AE160" s="46">
        <f t="shared" si="125"/>
        <v>211159.70508021183</v>
      </c>
      <c r="AF160" s="46">
        <f t="shared" si="125"/>
        <v>221717.69033422245</v>
      </c>
      <c r="AG160" s="46">
        <f t="shared" si="125"/>
        <v>232803.5748509336</v>
      </c>
      <c r="AH160" s="46">
        <f t="shared" si="125"/>
        <v>244443.75359348024</v>
      </c>
      <c r="AI160" s="46">
        <f t="shared" si="125"/>
        <v>256665.94127315425</v>
      </c>
      <c r="AJ160" s="46">
        <f t="shared" si="125"/>
        <v>269499.23833681201</v>
      </c>
      <c r="AK160" s="46">
        <f t="shared" si="125"/>
        <v>282974.20025365258</v>
      </c>
      <c r="AL160" s="46">
        <f t="shared" si="125"/>
        <v>297122.91026633524</v>
      </c>
      <c r="AM160" s="46">
        <f t="shared" si="125"/>
        <v>311979.05577965197</v>
      </c>
      <c r="AN160" s="46">
        <f t="shared" si="125"/>
        <v>327578.00856863463</v>
      </c>
      <c r="AO160" s="46">
        <f t="shared" si="125"/>
        <v>343956.90899706638</v>
      </c>
      <c r="AP160" s="46">
        <f t="shared" si="125"/>
        <v>361154.75444691972</v>
      </c>
      <c r="AQ160" s="46">
        <f t="shared" si="125"/>
        <v>379212.49216926569</v>
      </c>
      <c r="AR160" s="46">
        <f t="shared" si="125"/>
        <v>398173.11677772901</v>
      </c>
      <c r="AS160" s="46">
        <f t="shared" si="125"/>
        <v>418081.77261661546</v>
      </c>
      <c r="AT160" s="46">
        <f t="shared" si="125"/>
        <v>438985.86124744621</v>
      </c>
      <c r="AU160" s="46">
        <f t="shared" si="125"/>
        <v>460935.15430981852</v>
      </c>
      <c r="AV160" s="46">
        <f t="shared" si="125"/>
        <v>483981.9120253094</v>
      </c>
      <c r="AW160" s="46">
        <f t="shared" si="125"/>
        <v>508181.00762657495</v>
      </c>
      <c r="AX160" s="46">
        <f t="shared" si="125"/>
        <v>533590.05800790375</v>
      </c>
      <c r="AY160" s="46">
        <f t="shared" si="125"/>
        <v>560269.56090829894</v>
      </c>
      <c r="AZ160" s="46">
        <f t="shared" si="125"/>
        <v>588283.03895371396</v>
      </c>
      <c r="BA160" s="46">
        <f t="shared" si="125"/>
        <v>617697.19090139959</v>
      </c>
      <c r="BB160" s="46">
        <f t="shared" si="125"/>
        <v>648582.05044646957</v>
      </c>
      <c r="BC160" s="46">
        <f t="shared" si="125"/>
        <v>681011.15296879306</v>
      </c>
      <c r="BD160" s="46">
        <f t="shared" si="125"/>
        <v>715061.71061723283</v>
      </c>
      <c r="BE160" s="46"/>
    </row>
    <row r="161" spans="1:57" ht="14.25" customHeight="1" x14ac:dyDescent="0.3">
      <c r="A161" s="46"/>
      <c r="B161" s="37"/>
      <c r="C161" s="46" t="str">
        <f>C$48</f>
        <v>HBOT 1 Session Revenue</v>
      </c>
      <c r="D161" s="46"/>
      <c r="E161" s="46"/>
      <c r="F161" s="46"/>
      <c r="G161" s="46"/>
      <c r="H161" s="46"/>
      <c r="I161" s="46">
        <f t="shared" ref="I161:BD161" si="126">I$48</f>
        <v>0</v>
      </c>
      <c r="J161" s="46">
        <f t="shared" si="126"/>
        <v>0</v>
      </c>
      <c r="K161" s="46">
        <f t="shared" si="126"/>
        <v>0</v>
      </c>
      <c r="L161" s="46">
        <f t="shared" si="126"/>
        <v>0</v>
      </c>
      <c r="M161" s="46">
        <f t="shared" si="126"/>
        <v>0</v>
      </c>
      <c r="N161" s="46">
        <f t="shared" si="126"/>
        <v>0</v>
      </c>
      <c r="O161" s="46">
        <f t="shared" si="126"/>
        <v>0</v>
      </c>
      <c r="P161" s="46">
        <f t="shared" si="126"/>
        <v>0</v>
      </c>
      <c r="Q161" s="46">
        <f t="shared" si="126"/>
        <v>0</v>
      </c>
      <c r="R161" s="46">
        <f t="shared" si="126"/>
        <v>0</v>
      </c>
      <c r="S161" s="46">
        <f t="shared" si="126"/>
        <v>0</v>
      </c>
      <c r="T161" s="46">
        <f t="shared" si="126"/>
        <v>42000</v>
      </c>
      <c r="U161" s="46">
        <f t="shared" si="126"/>
        <v>44100</v>
      </c>
      <c r="V161" s="46">
        <f t="shared" si="126"/>
        <v>46305.000000000007</v>
      </c>
      <c r="W161" s="46">
        <f t="shared" si="126"/>
        <v>48620.250000000007</v>
      </c>
      <c r="X161" s="46">
        <f t="shared" si="126"/>
        <v>51051.262500000012</v>
      </c>
      <c r="Y161" s="46">
        <f t="shared" si="126"/>
        <v>53603.825625000019</v>
      </c>
      <c r="Z161" s="46">
        <f t="shared" si="126"/>
        <v>56284.016906250021</v>
      </c>
      <c r="AA161" s="46">
        <f t="shared" si="126"/>
        <v>59098.217751562523</v>
      </c>
      <c r="AB161" s="46">
        <f t="shared" si="126"/>
        <v>62053.128639140647</v>
      </c>
      <c r="AC161" s="46">
        <f t="shared" si="126"/>
        <v>65155.785071097678</v>
      </c>
      <c r="AD161" s="46">
        <f t="shared" si="126"/>
        <v>68413.574324652567</v>
      </c>
      <c r="AE161" s="46">
        <f t="shared" si="126"/>
        <v>71834.253040885204</v>
      </c>
      <c r="AF161" s="46">
        <f t="shared" si="126"/>
        <v>75425.965692929472</v>
      </c>
      <c r="AG161" s="46">
        <f t="shared" si="126"/>
        <v>79197.263977575945</v>
      </c>
      <c r="AH161" s="46">
        <f t="shared" si="126"/>
        <v>83157.127176454756</v>
      </c>
      <c r="AI161" s="46">
        <f t="shared" si="126"/>
        <v>87314.983535277497</v>
      </c>
      <c r="AJ161" s="46">
        <f t="shared" si="126"/>
        <v>91680.732712041383</v>
      </c>
      <c r="AK161" s="46">
        <f t="shared" si="126"/>
        <v>96264.769347643451</v>
      </c>
      <c r="AL161" s="46">
        <f t="shared" si="126"/>
        <v>101078.00781502562</v>
      </c>
      <c r="AM161" s="46">
        <f t="shared" si="126"/>
        <v>106131.90820577691</v>
      </c>
      <c r="AN161" s="46">
        <f t="shared" si="126"/>
        <v>111438.50361606576</v>
      </c>
      <c r="AO161" s="46">
        <f t="shared" si="126"/>
        <v>117010.42879686906</v>
      </c>
      <c r="AP161" s="46">
        <f t="shared" si="126"/>
        <v>122860.95023671251</v>
      </c>
      <c r="AQ161" s="46">
        <f t="shared" si="126"/>
        <v>129003.99774854815</v>
      </c>
      <c r="AR161" s="46">
        <f t="shared" si="126"/>
        <v>135454.19763597555</v>
      </c>
      <c r="AS161" s="46">
        <f t="shared" si="126"/>
        <v>142226.90751777432</v>
      </c>
      <c r="AT161" s="46">
        <f t="shared" si="126"/>
        <v>149338.25289366307</v>
      </c>
      <c r="AU161" s="46">
        <f t="shared" si="126"/>
        <v>156805.16553834622</v>
      </c>
      <c r="AV161" s="46">
        <f t="shared" si="126"/>
        <v>164645.42381526352</v>
      </c>
      <c r="AW161" s="46">
        <f t="shared" si="126"/>
        <v>172877.69500602671</v>
      </c>
      <c r="AX161" s="46">
        <f t="shared" si="126"/>
        <v>181521.57975632808</v>
      </c>
      <c r="AY161" s="46">
        <f t="shared" si="126"/>
        <v>190597.65874414449</v>
      </c>
      <c r="AZ161" s="46">
        <f t="shared" si="126"/>
        <v>200127.54168135172</v>
      </c>
      <c r="BA161" s="46">
        <f t="shared" si="126"/>
        <v>210133.91876541931</v>
      </c>
      <c r="BB161" s="46">
        <f t="shared" si="126"/>
        <v>220640.61470369028</v>
      </c>
      <c r="BC161" s="46">
        <f t="shared" si="126"/>
        <v>231672.64543887484</v>
      </c>
      <c r="BD161" s="46">
        <f t="shared" si="126"/>
        <v>243256.2777108186</v>
      </c>
      <c r="BE161" s="46"/>
    </row>
    <row r="162" spans="1:57" ht="14.25" customHeight="1" x14ac:dyDescent="0.3">
      <c r="A162" s="46"/>
      <c r="B162" s="37"/>
      <c r="C162" s="46" t="str">
        <f>C$55</f>
        <v>HBOT 2 Session Revenue</v>
      </c>
      <c r="D162" s="46"/>
      <c r="E162" s="46"/>
      <c r="F162" s="46"/>
      <c r="G162" s="46"/>
      <c r="H162" s="46"/>
      <c r="I162" s="46">
        <f t="shared" ref="I162:BD162" si="127">I$55</f>
        <v>0</v>
      </c>
      <c r="J162" s="46">
        <f t="shared" si="127"/>
        <v>0</v>
      </c>
      <c r="K162" s="46">
        <f t="shared" si="127"/>
        <v>0</v>
      </c>
      <c r="L162" s="46">
        <f t="shared" si="127"/>
        <v>0</v>
      </c>
      <c r="M162" s="46">
        <f t="shared" si="127"/>
        <v>0</v>
      </c>
      <c r="N162" s="46">
        <f t="shared" si="127"/>
        <v>0</v>
      </c>
      <c r="O162" s="46">
        <f t="shared" si="127"/>
        <v>0</v>
      </c>
      <c r="P162" s="46">
        <f t="shared" si="127"/>
        <v>0</v>
      </c>
      <c r="Q162" s="46">
        <f t="shared" si="127"/>
        <v>0</v>
      </c>
      <c r="R162" s="46">
        <f t="shared" si="127"/>
        <v>0</v>
      </c>
      <c r="S162" s="46">
        <f t="shared" si="127"/>
        <v>0</v>
      </c>
      <c r="T162" s="46">
        <f t="shared" si="127"/>
        <v>0</v>
      </c>
      <c r="U162" s="46">
        <f t="shared" si="127"/>
        <v>0</v>
      </c>
      <c r="V162" s="46">
        <f t="shared" si="127"/>
        <v>0</v>
      </c>
      <c r="W162" s="46">
        <f t="shared" si="127"/>
        <v>0</v>
      </c>
      <c r="X162" s="46">
        <f t="shared" si="127"/>
        <v>0</v>
      </c>
      <c r="Y162" s="46">
        <f t="shared" si="127"/>
        <v>0</v>
      </c>
      <c r="Z162" s="46">
        <f t="shared" si="127"/>
        <v>0</v>
      </c>
      <c r="AA162" s="46">
        <f t="shared" si="127"/>
        <v>0</v>
      </c>
      <c r="AB162" s="46">
        <f t="shared" si="127"/>
        <v>0</v>
      </c>
      <c r="AC162" s="46">
        <f t="shared" si="127"/>
        <v>0</v>
      </c>
      <c r="AD162" s="46">
        <f t="shared" si="127"/>
        <v>0</v>
      </c>
      <c r="AE162" s="46">
        <f t="shared" si="127"/>
        <v>0</v>
      </c>
      <c r="AF162" s="46">
        <f t="shared" si="127"/>
        <v>0</v>
      </c>
      <c r="AG162" s="46">
        <f t="shared" si="127"/>
        <v>0</v>
      </c>
      <c r="AH162" s="46">
        <f t="shared" si="127"/>
        <v>0</v>
      </c>
      <c r="AI162" s="46">
        <f t="shared" si="127"/>
        <v>0</v>
      </c>
      <c r="AJ162" s="46">
        <f t="shared" si="127"/>
        <v>0</v>
      </c>
      <c r="AK162" s="46">
        <f t="shared" si="127"/>
        <v>0</v>
      </c>
      <c r="AL162" s="46">
        <f t="shared" si="127"/>
        <v>0</v>
      </c>
      <c r="AM162" s="46">
        <f t="shared" si="127"/>
        <v>0</v>
      </c>
      <c r="AN162" s="46">
        <f t="shared" si="127"/>
        <v>0</v>
      </c>
      <c r="AO162" s="46">
        <f t="shared" si="127"/>
        <v>0</v>
      </c>
      <c r="AP162" s="46">
        <f t="shared" si="127"/>
        <v>0</v>
      </c>
      <c r="AQ162" s="46">
        <f t="shared" si="127"/>
        <v>0</v>
      </c>
      <c r="AR162" s="46">
        <f t="shared" si="127"/>
        <v>0</v>
      </c>
      <c r="AS162" s="46">
        <f t="shared" si="127"/>
        <v>0</v>
      </c>
      <c r="AT162" s="46">
        <f t="shared" si="127"/>
        <v>0</v>
      </c>
      <c r="AU162" s="46">
        <f t="shared" si="127"/>
        <v>0</v>
      </c>
      <c r="AV162" s="46">
        <f t="shared" si="127"/>
        <v>0</v>
      </c>
      <c r="AW162" s="46">
        <f t="shared" si="127"/>
        <v>0</v>
      </c>
      <c r="AX162" s="46">
        <f t="shared" si="127"/>
        <v>0</v>
      </c>
      <c r="AY162" s="46">
        <f t="shared" si="127"/>
        <v>0</v>
      </c>
      <c r="AZ162" s="46">
        <f t="shared" si="127"/>
        <v>0</v>
      </c>
      <c r="BA162" s="46">
        <f t="shared" si="127"/>
        <v>0</v>
      </c>
      <c r="BB162" s="46">
        <f t="shared" si="127"/>
        <v>0</v>
      </c>
      <c r="BC162" s="46">
        <f t="shared" si="127"/>
        <v>0</v>
      </c>
      <c r="BD162" s="46">
        <f t="shared" si="127"/>
        <v>0</v>
      </c>
      <c r="BE162" s="46"/>
    </row>
    <row r="163" spans="1:57" ht="14.25" customHeight="1" x14ac:dyDescent="0.3">
      <c r="A163" s="46"/>
      <c r="B163" s="37"/>
      <c r="C163" s="46" t="str">
        <f>C$62</f>
        <v>PDT Low Treatment Revenue</v>
      </c>
      <c r="D163" s="46"/>
      <c r="E163" s="46"/>
      <c r="F163" s="46"/>
      <c r="G163" s="46"/>
      <c r="H163" s="46"/>
      <c r="I163" s="46">
        <f t="shared" ref="I163:BD163" si="128">I$62</f>
        <v>622464.75999999593</v>
      </c>
      <c r="J163" s="46">
        <f t="shared" si="128"/>
        <v>416303</v>
      </c>
      <c r="K163" s="46">
        <f t="shared" si="128"/>
        <v>0</v>
      </c>
      <c r="L163" s="46">
        <f t="shared" si="128"/>
        <v>656453</v>
      </c>
      <c r="M163" s="46">
        <f t="shared" si="128"/>
        <v>350056</v>
      </c>
      <c r="N163" s="46">
        <f t="shared" si="128"/>
        <v>292977</v>
      </c>
      <c r="O163" s="46">
        <f t="shared" si="128"/>
        <v>0</v>
      </c>
      <c r="P163" s="46">
        <f t="shared" si="128"/>
        <v>204999.99999999997</v>
      </c>
      <c r="Q163" s="46">
        <f t="shared" si="128"/>
        <v>210124.99999999997</v>
      </c>
      <c r="R163" s="46">
        <f t="shared" si="128"/>
        <v>215378.12499999997</v>
      </c>
      <c r="S163" s="46">
        <f t="shared" si="128"/>
        <v>220762.57812499994</v>
      </c>
      <c r="T163" s="46">
        <f t="shared" si="128"/>
        <v>226281.64257812494</v>
      </c>
      <c r="U163" s="46">
        <f t="shared" si="128"/>
        <v>231938.68364257805</v>
      </c>
      <c r="V163" s="46">
        <f t="shared" si="128"/>
        <v>237737.15073364245</v>
      </c>
      <c r="W163" s="46">
        <f t="shared" si="128"/>
        <v>243680.57950198351</v>
      </c>
      <c r="X163" s="46">
        <f t="shared" si="128"/>
        <v>249772.59398953305</v>
      </c>
      <c r="Y163" s="46">
        <f t="shared" si="128"/>
        <v>256016.90883927132</v>
      </c>
      <c r="Z163" s="46">
        <f t="shared" si="128"/>
        <v>262417.33156025311</v>
      </c>
      <c r="AA163" s="46">
        <f t="shared" si="128"/>
        <v>268977.7648492594</v>
      </c>
      <c r="AB163" s="46">
        <f t="shared" si="128"/>
        <v>275702.2089704909</v>
      </c>
      <c r="AC163" s="46">
        <f t="shared" si="128"/>
        <v>282594.76419475314</v>
      </c>
      <c r="AD163" s="46">
        <f t="shared" si="128"/>
        <v>289659.63329962193</v>
      </c>
      <c r="AE163" s="46">
        <f t="shared" si="128"/>
        <v>296901.12413211243</v>
      </c>
      <c r="AF163" s="46">
        <f t="shared" si="128"/>
        <v>304323.65223541524</v>
      </c>
      <c r="AG163" s="46">
        <f t="shared" si="128"/>
        <v>311931.74354130059</v>
      </c>
      <c r="AH163" s="46">
        <f t="shared" si="128"/>
        <v>319730.03712983307</v>
      </c>
      <c r="AI163" s="46">
        <f t="shared" si="128"/>
        <v>327723.28805807885</v>
      </c>
      <c r="AJ163" s="46">
        <f t="shared" si="128"/>
        <v>335916.37025953078</v>
      </c>
      <c r="AK163" s="46">
        <f t="shared" si="128"/>
        <v>344314.27951601899</v>
      </c>
      <c r="AL163" s="46">
        <f t="shared" si="128"/>
        <v>352922.13650391944</v>
      </c>
      <c r="AM163" s="46">
        <f t="shared" si="128"/>
        <v>361745.18991651741</v>
      </c>
      <c r="AN163" s="46">
        <f t="shared" si="128"/>
        <v>370788.81966443034</v>
      </c>
      <c r="AO163" s="46">
        <f t="shared" si="128"/>
        <v>380058.54015604104</v>
      </c>
      <c r="AP163" s="46">
        <f t="shared" si="128"/>
        <v>389560.00365994201</v>
      </c>
      <c r="AQ163" s="46">
        <f t="shared" si="128"/>
        <v>399299.00375144056</v>
      </c>
      <c r="AR163" s="46">
        <f t="shared" si="128"/>
        <v>409281.47884522652</v>
      </c>
      <c r="AS163" s="46">
        <f t="shared" si="128"/>
        <v>419513.51581635716</v>
      </c>
      <c r="AT163" s="46">
        <f t="shared" si="128"/>
        <v>430001.35371176602</v>
      </c>
      <c r="AU163" s="46">
        <f t="shared" si="128"/>
        <v>440751.38755456009</v>
      </c>
      <c r="AV163" s="46">
        <f t="shared" si="128"/>
        <v>451770.17224342411</v>
      </c>
      <c r="AW163" s="46">
        <f t="shared" si="128"/>
        <v>463064.42654950963</v>
      </c>
      <c r="AX163" s="46">
        <f t="shared" si="128"/>
        <v>474641.03721324733</v>
      </c>
      <c r="AY163" s="46">
        <f t="shared" si="128"/>
        <v>486507.06314357847</v>
      </c>
      <c r="AZ163" s="46">
        <f t="shared" si="128"/>
        <v>498669.7397221679</v>
      </c>
      <c r="BA163" s="46">
        <f t="shared" si="128"/>
        <v>500000</v>
      </c>
      <c r="BB163" s="46">
        <f t="shared" si="128"/>
        <v>500000</v>
      </c>
      <c r="BC163" s="46">
        <f t="shared" si="128"/>
        <v>500000</v>
      </c>
      <c r="BD163" s="46">
        <f t="shared" si="128"/>
        <v>500000</v>
      </c>
      <c r="BE163" s="46"/>
    </row>
    <row r="164" spans="1:57" ht="14.25" customHeight="1" x14ac:dyDescent="0.3">
      <c r="A164" s="46"/>
      <c r="B164" s="37"/>
      <c r="C164" s="46" t="str">
        <f>C$70</f>
        <v>PDT High Treatment Revenue</v>
      </c>
      <c r="D164" s="46"/>
      <c r="E164" s="46"/>
      <c r="F164" s="46"/>
      <c r="G164" s="46"/>
      <c r="H164" s="46"/>
      <c r="I164" s="46">
        <f t="shared" ref="I164:BD164" si="129">I$70</f>
        <v>0</v>
      </c>
      <c r="J164" s="46">
        <f t="shared" si="129"/>
        <v>0</v>
      </c>
      <c r="K164" s="46">
        <f t="shared" si="129"/>
        <v>528769.9999999979</v>
      </c>
      <c r="L164" s="46">
        <f t="shared" si="129"/>
        <v>0</v>
      </c>
      <c r="M164" s="46">
        <f t="shared" si="129"/>
        <v>0</v>
      </c>
      <c r="N164" s="46">
        <f t="shared" si="129"/>
        <v>0</v>
      </c>
      <c r="O164" s="46">
        <f t="shared" si="129"/>
        <v>354675</v>
      </c>
      <c r="P164" s="46">
        <f t="shared" si="129"/>
        <v>240000</v>
      </c>
      <c r="Q164" s="46">
        <f t="shared" si="129"/>
        <v>240000</v>
      </c>
      <c r="R164" s="46">
        <f t="shared" si="129"/>
        <v>240000</v>
      </c>
      <c r="S164" s="46">
        <f t="shared" si="129"/>
        <v>240000</v>
      </c>
      <c r="T164" s="46">
        <f t="shared" si="129"/>
        <v>240000</v>
      </c>
      <c r="U164" s="46">
        <f t="shared" si="129"/>
        <v>240000</v>
      </c>
      <c r="V164" s="46">
        <f t="shared" si="129"/>
        <v>240000</v>
      </c>
      <c r="W164" s="46">
        <f t="shared" si="129"/>
        <v>240000</v>
      </c>
      <c r="X164" s="46">
        <f t="shared" si="129"/>
        <v>240000</v>
      </c>
      <c r="Y164" s="46">
        <f t="shared" si="129"/>
        <v>240000</v>
      </c>
      <c r="Z164" s="46">
        <f t="shared" si="129"/>
        <v>240000</v>
      </c>
      <c r="AA164" s="46">
        <f t="shared" si="129"/>
        <v>240000</v>
      </c>
      <c r="AB164" s="46">
        <f t="shared" si="129"/>
        <v>240000</v>
      </c>
      <c r="AC164" s="46">
        <f t="shared" si="129"/>
        <v>240000</v>
      </c>
      <c r="AD164" s="46">
        <f t="shared" si="129"/>
        <v>240000</v>
      </c>
      <c r="AE164" s="46">
        <f t="shared" si="129"/>
        <v>240000</v>
      </c>
      <c r="AF164" s="46">
        <f t="shared" si="129"/>
        <v>240000</v>
      </c>
      <c r="AG164" s="46">
        <f t="shared" si="129"/>
        <v>240000</v>
      </c>
      <c r="AH164" s="46">
        <f t="shared" si="129"/>
        <v>240000</v>
      </c>
      <c r="AI164" s="46">
        <f t="shared" si="129"/>
        <v>240000</v>
      </c>
      <c r="AJ164" s="46">
        <f t="shared" si="129"/>
        <v>240000</v>
      </c>
      <c r="AK164" s="46">
        <f t="shared" si="129"/>
        <v>240000</v>
      </c>
      <c r="AL164" s="46">
        <f t="shared" si="129"/>
        <v>240000</v>
      </c>
      <c r="AM164" s="46">
        <f t="shared" si="129"/>
        <v>240000</v>
      </c>
      <c r="AN164" s="46">
        <f t="shared" si="129"/>
        <v>240000</v>
      </c>
      <c r="AO164" s="46">
        <f t="shared" si="129"/>
        <v>240000</v>
      </c>
      <c r="AP164" s="46">
        <f t="shared" si="129"/>
        <v>240000</v>
      </c>
      <c r="AQ164" s="46">
        <f t="shared" si="129"/>
        <v>240000</v>
      </c>
      <c r="AR164" s="46">
        <f t="shared" si="129"/>
        <v>240000</v>
      </c>
      <c r="AS164" s="46">
        <f t="shared" si="129"/>
        <v>240000</v>
      </c>
      <c r="AT164" s="46">
        <f t="shared" si="129"/>
        <v>240000</v>
      </c>
      <c r="AU164" s="46">
        <f t="shared" si="129"/>
        <v>240000</v>
      </c>
      <c r="AV164" s="46">
        <f t="shared" si="129"/>
        <v>240000</v>
      </c>
      <c r="AW164" s="46">
        <f t="shared" si="129"/>
        <v>240000</v>
      </c>
      <c r="AX164" s="46">
        <f t="shared" si="129"/>
        <v>240000</v>
      </c>
      <c r="AY164" s="46">
        <f t="shared" si="129"/>
        <v>240000</v>
      </c>
      <c r="AZ164" s="46">
        <f t="shared" si="129"/>
        <v>240000</v>
      </c>
      <c r="BA164" s="46">
        <f t="shared" si="129"/>
        <v>240000</v>
      </c>
      <c r="BB164" s="46">
        <f t="shared" si="129"/>
        <v>240000</v>
      </c>
      <c r="BC164" s="46">
        <f t="shared" si="129"/>
        <v>240000</v>
      </c>
      <c r="BD164" s="46">
        <f t="shared" si="129"/>
        <v>240000</v>
      </c>
      <c r="BE164" s="46"/>
    </row>
    <row r="165" spans="1:57" ht="14.25" customHeight="1" x14ac:dyDescent="0.3">
      <c r="A165" s="46"/>
      <c r="B165" s="37"/>
      <c r="C165" s="46" t="str">
        <f>C$79</f>
        <v>Immunotherapy Treatments Revenue</v>
      </c>
      <c r="D165" s="46"/>
      <c r="E165" s="46"/>
      <c r="F165" s="46"/>
      <c r="G165" s="46"/>
      <c r="H165" s="46"/>
      <c r="I165" s="46">
        <f t="shared" ref="I165:BD165" si="130">I$79</f>
        <v>310408</v>
      </c>
      <c r="J165" s="46">
        <f t="shared" si="130"/>
        <v>348812</v>
      </c>
      <c r="K165" s="46">
        <f t="shared" si="130"/>
        <v>488000</v>
      </c>
      <c r="L165" s="46">
        <f t="shared" si="130"/>
        <v>366350</v>
      </c>
      <c r="M165" s="46">
        <f t="shared" si="130"/>
        <v>586512</v>
      </c>
      <c r="N165" s="46">
        <f t="shared" si="130"/>
        <v>484520</v>
      </c>
      <c r="O165" s="46">
        <f t="shared" si="130"/>
        <v>242832</v>
      </c>
      <c r="P165" s="46">
        <f t="shared" si="130"/>
        <v>530640.86422857142</v>
      </c>
      <c r="Q165" s="46">
        <f t="shared" si="130"/>
        <v>541306.74559956568</v>
      </c>
      <c r="R165" s="46">
        <f t="shared" si="130"/>
        <v>552187.01118611696</v>
      </c>
      <c r="S165" s="46">
        <f t="shared" si="130"/>
        <v>563285.97011095786</v>
      </c>
      <c r="T165" s="46">
        <f t="shared" si="130"/>
        <v>574608.01811018819</v>
      </c>
      <c r="U165" s="46">
        <f t="shared" si="130"/>
        <v>586157.63927420287</v>
      </c>
      <c r="V165" s="46">
        <f t="shared" si="130"/>
        <v>597939.40782361431</v>
      </c>
      <c r="W165" s="46">
        <f t="shared" si="130"/>
        <v>609957.989920869</v>
      </c>
      <c r="X165" s="46">
        <f t="shared" si="130"/>
        <v>622218.14551827847</v>
      </c>
      <c r="Y165" s="46">
        <f t="shared" si="130"/>
        <v>634724.7302431959</v>
      </c>
      <c r="Z165" s="46">
        <f t="shared" si="130"/>
        <v>647482.6973210841</v>
      </c>
      <c r="AA165" s="46">
        <f t="shared" si="130"/>
        <v>660497.0995372379</v>
      </c>
      <c r="AB165" s="46">
        <f t="shared" si="130"/>
        <v>673773.0912379364</v>
      </c>
      <c r="AC165" s="46">
        <f t="shared" si="130"/>
        <v>687315.93037181883</v>
      </c>
      <c r="AD165" s="46">
        <f t="shared" si="130"/>
        <v>701130.98057229258</v>
      </c>
      <c r="AE165" s="46">
        <f t="shared" si="130"/>
        <v>715223.71328179562</v>
      </c>
      <c r="AF165" s="46">
        <f t="shared" si="130"/>
        <v>729599.70991875976</v>
      </c>
      <c r="AG165" s="46">
        <f t="shared" si="130"/>
        <v>744264.66408812674</v>
      </c>
      <c r="AH165" s="46">
        <f t="shared" si="130"/>
        <v>759224.38383629813</v>
      </c>
      <c r="AI165" s="46">
        <f t="shared" si="130"/>
        <v>774484.79395140777</v>
      </c>
      <c r="AJ165" s="46">
        <f t="shared" si="130"/>
        <v>790051.9383098312</v>
      </c>
      <c r="AK165" s="46">
        <f t="shared" si="130"/>
        <v>805931.98226985883</v>
      </c>
      <c r="AL165" s="46">
        <f t="shared" si="130"/>
        <v>822131.21511348302</v>
      </c>
      <c r="AM165" s="46">
        <f t="shared" si="130"/>
        <v>838656.05253726419</v>
      </c>
      <c r="AN165" s="46">
        <f t="shared" si="130"/>
        <v>855513.03919326316</v>
      </c>
      <c r="AO165" s="46">
        <f t="shared" si="130"/>
        <v>872708.85128104768</v>
      </c>
      <c r="AP165" s="46">
        <f t="shared" si="130"/>
        <v>890250.2991917968</v>
      </c>
      <c r="AQ165" s="46">
        <f t="shared" si="130"/>
        <v>908144.33020555205</v>
      </c>
      <c r="AR165" s="46">
        <f t="shared" si="130"/>
        <v>926398.03124268376</v>
      </c>
      <c r="AS165" s="46">
        <f t="shared" si="130"/>
        <v>945018.63167066174</v>
      </c>
      <c r="AT165" s="46">
        <f t="shared" si="130"/>
        <v>964013.50616724195</v>
      </c>
      <c r="AU165" s="46">
        <f t="shared" si="130"/>
        <v>983390.17764120363</v>
      </c>
      <c r="AV165" s="46">
        <f t="shared" si="130"/>
        <v>1003156.3202117918</v>
      </c>
      <c r="AW165" s="46">
        <f t="shared" si="130"/>
        <v>1023319.7622480489</v>
      </c>
      <c r="AX165" s="46">
        <f t="shared" si="130"/>
        <v>1043888.4894692346</v>
      </c>
      <c r="AY165" s="46">
        <f t="shared" si="130"/>
        <v>1064870.6481075662</v>
      </c>
      <c r="AZ165" s="46">
        <f t="shared" si="130"/>
        <v>1086274.5481345283</v>
      </c>
      <c r="BA165" s="46">
        <f t="shared" si="130"/>
        <v>1108108.6665520326</v>
      </c>
      <c r="BB165" s="46">
        <f t="shared" si="130"/>
        <v>1130381.6507497283</v>
      </c>
      <c r="BC165" s="46">
        <f t="shared" si="130"/>
        <v>1153102.321929798</v>
      </c>
      <c r="BD165" s="46">
        <f t="shared" si="130"/>
        <v>1176279.678600587</v>
      </c>
      <c r="BE165" s="46"/>
    </row>
    <row r="166" spans="1:57" ht="14.25" customHeight="1" x14ac:dyDescent="0.3">
      <c r="A166" s="46"/>
      <c r="B166" s="37"/>
      <c r="C166" s="46" t="str">
        <f>C$88</f>
        <v>Chemotherapy Treatments Revenue</v>
      </c>
      <c r="D166" s="46"/>
      <c r="E166" s="46"/>
      <c r="F166" s="46"/>
      <c r="G166" s="46"/>
      <c r="H166" s="46"/>
      <c r="I166" s="46">
        <f t="shared" ref="I166:BD166" si="131">I$88</f>
        <v>121093</v>
      </c>
      <c r="J166" s="46">
        <f t="shared" si="131"/>
        <v>101899</v>
      </c>
      <c r="K166" s="46">
        <f t="shared" si="131"/>
        <v>185784</v>
      </c>
      <c r="L166" s="46">
        <f t="shared" si="131"/>
        <v>203262</v>
      </c>
      <c r="M166" s="46">
        <f t="shared" si="131"/>
        <v>915624</v>
      </c>
      <c r="N166" s="46">
        <f t="shared" si="131"/>
        <v>89024</v>
      </c>
      <c r="O166" s="46">
        <f t="shared" si="131"/>
        <v>161336</v>
      </c>
      <c r="P166" s="46">
        <f t="shared" si="131"/>
        <v>164578.8536</v>
      </c>
      <c r="Q166" s="46">
        <f t="shared" si="131"/>
        <v>167886.88855736001</v>
      </c>
      <c r="R166" s="46">
        <f t="shared" si="131"/>
        <v>171261.41501736295</v>
      </c>
      <c r="S166" s="46">
        <f t="shared" si="131"/>
        <v>174703.76945921191</v>
      </c>
      <c r="T166" s="46">
        <f t="shared" si="131"/>
        <v>178215.31522534206</v>
      </c>
      <c r="U166" s="46">
        <f t="shared" si="131"/>
        <v>181797.44306137145</v>
      </c>
      <c r="V166" s="46">
        <f t="shared" si="131"/>
        <v>185451.57166690505</v>
      </c>
      <c r="W166" s="46">
        <f t="shared" si="131"/>
        <v>189179.14825740983</v>
      </c>
      <c r="X166" s="46">
        <f t="shared" si="131"/>
        <v>192981.64913738376</v>
      </c>
      <c r="Y166" s="46">
        <f t="shared" si="131"/>
        <v>196860.58028504517</v>
      </c>
      <c r="Z166" s="46">
        <f t="shared" si="131"/>
        <v>200817.47794877461</v>
      </c>
      <c r="AA166" s="46">
        <f t="shared" si="131"/>
        <v>204853.90925554498</v>
      </c>
      <c r="AB166" s="46">
        <f t="shared" si="131"/>
        <v>208971.47283158143</v>
      </c>
      <c r="AC166" s="46">
        <f t="shared" si="131"/>
        <v>213171.79943549624</v>
      </c>
      <c r="AD166" s="46">
        <f t="shared" si="131"/>
        <v>217456.55260414971</v>
      </c>
      <c r="AE166" s="46">
        <f t="shared" si="131"/>
        <v>221827.42931149315</v>
      </c>
      <c r="AF166" s="46">
        <f t="shared" si="131"/>
        <v>226286.16064065415</v>
      </c>
      <c r="AG166" s="46">
        <f t="shared" si="131"/>
        <v>230834.5124695313</v>
      </c>
      <c r="AH166" s="46">
        <f t="shared" si="131"/>
        <v>235474.28617016887</v>
      </c>
      <c r="AI166" s="46">
        <f t="shared" si="131"/>
        <v>240207.31932218926</v>
      </c>
      <c r="AJ166" s="46">
        <f t="shared" si="131"/>
        <v>245035.48644056526</v>
      </c>
      <c r="AK166" s="46">
        <f t="shared" si="131"/>
        <v>249960.69971802065</v>
      </c>
      <c r="AL166" s="46">
        <f t="shared" si="131"/>
        <v>254984.90978235292</v>
      </c>
      <c r="AM166" s="46">
        <f t="shared" si="131"/>
        <v>260110.10646897819</v>
      </c>
      <c r="AN166" s="46">
        <f t="shared" si="131"/>
        <v>265338.31960900465</v>
      </c>
      <c r="AO166" s="46">
        <f t="shared" si="131"/>
        <v>270671.6198331457</v>
      </c>
      <c r="AP166" s="46">
        <f t="shared" si="131"/>
        <v>276112.11939179187</v>
      </c>
      <c r="AQ166" s="46">
        <f t="shared" si="131"/>
        <v>281661.97299156693</v>
      </c>
      <c r="AR166" s="46">
        <f t="shared" si="131"/>
        <v>287323.3786486974</v>
      </c>
      <c r="AS166" s="46">
        <f t="shared" si="131"/>
        <v>293098.57855953625</v>
      </c>
      <c r="AT166" s="46">
        <f t="shared" si="131"/>
        <v>298989.85998858296</v>
      </c>
      <c r="AU166" s="46">
        <f t="shared" si="131"/>
        <v>304999.55617435352</v>
      </c>
      <c r="AV166" s="46">
        <f t="shared" si="131"/>
        <v>311130.047253458</v>
      </c>
      <c r="AW166" s="46">
        <f t="shared" si="131"/>
        <v>317383.76120325254</v>
      </c>
      <c r="AX166" s="46">
        <f t="shared" si="131"/>
        <v>323763.17480343796</v>
      </c>
      <c r="AY166" s="46">
        <f t="shared" si="131"/>
        <v>330270.81461698707</v>
      </c>
      <c r="AZ166" s="46">
        <f t="shared" si="131"/>
        <v>336909.25799078849</v>
      </c>
      <c r="BA166" s="46">
        <f t="shared" si="131"/>
        <v>343681.13407640334</v>
      </c>
      <c r="BB166" s="46">
        <f t="shared" si="131"/>
        <v>350589.12487133907</v>
      </c>
      <c r="BC166" s="46">
        <f t="shared" si="131"/>
        <v>357635.96628125297</v>
      </c>
      <c r="BD166" s="46">
        <f t="shared" si="131"/>
        <v>364824.44920350617</v>
      </c>
      <c r="BE166" s="46"/>
    </row>
    <row r="167" spans="1:57" ht="14.25" customHeight="1" x14ac:dyDescent="0.3">
      <c r="A167" s="46"/>
      <c r="B167" s="37"/>
      <c r="C167" s="46" t="str">
        <f>C$95</f>
        <v>Consultation Session Revenue</v>
      </c>
      <c r="D167" s="46"/>
      <c r="E167" s="46"/>
      <c r="F167" s="46"/>
      <c r="G167" s="46"/>
      <c r="H167" s="46"/>
      <c r="I167" s="46">
        <f t="shared" ref="I167:BD167" si="132">I$95</f>
        <v>117340.2</v>
      </c>
      <c r="J167" s="46">
        <f t="shared" si="132"/>
        <v>133152</v>
      </c>
      <c r="K167" s="46">
        <f t="shared" si="132"/>
        <v>74343.199999999997</v>
      </c>
      <c r="L167" s="46">
        <f t="shared" si="132"/>
        <v>57144.4</v>
      </c>
      <c r="M167" s="46">
        <f t="shared" si="132"/>
        <v>74065.8</v>
      </c>
      <c r="N167" s="46">
        <f t="shared" si="132"/>
        <v>55480</v>
      </c>
      <c r="O167" s="46">
        <f t="shared" si="132"/>
        <v>42719.6</v>
      </c>
      <c r="P167" s="46">
        <f t="shared" si="132"/>
        <v>58480.883999999998</v>
      </c>
      <c r="Q167" s="46">
        <f t="shared" si="132"/>
        <v>60843.511713599997</v>
      </c>
      <c r="R167" s="46">
        <f t="shared" si="132"/>
        <v>63301.589586829439</v>
      </c>
      <c r="S167" s="46">
        <f t="shared" si="132"/>
        <v>65858.97380613735</v>
      </c>
      <c r="T167" s="46">
        <f t="shared" si="132"/>
        <v>68519.676347905304</v>
      </c>
      <c r="U167" s="46">
        <f t="shared" si="132"/>
        <v>71287.871272360688</v>
      </c>
      <c r="V167" s="46">
        <f t="shared" si="132"/>
        <v>74167.901271764058</v>
      </c>
      <c r="W167" s="46">
        <f t="shared" si="132"/>
        <v>76234.01762491242</v>
      </c>
      <c r="X167" s="46">
        <f t="shared" si="132"/>
        <v>77758.697977410673</v>
      </c>
      <c r="Y167" s="46">
        <f t="shared" si="132"/>
        <v>79313.87193695888</v>
      </c>
      <c r="Z167" s="46">
        <f t="shared" si="132"/>
        <v>80900.149375698064</v>
      </c>
      <c r="AA167" s="46">
        <f t="shared" si="132"/>
        <v>82518.152363212022</v>
      </c>
      <c r="AB167" s="46">
        <f t="shared" si="132"/>
        <v>84168.515410476262</v>
      </c>
      <c r="AC167" s="46">
        <f t="shared" si="132"/>
        <v>85851.885718685793</v>
      </c>
      <c r="AD167" s="46">
        <f t="shared" si="132"/>
        <v>87568.923433059521</v>
      </c>
      <c r="AE167" s="46">
        <f t="shared" si="132"/>
        <v>89320.301901720697</v>
      </c>
      <c r="AF167" s="46">
        <f t="shared" si="132"/>
        <v>91106.707939755113</v>
      </c>
      <c r="AG167" s="46">
        <f t="shared" si="132"/>
        <v>92928.842098550216</v>
      </c>
      <c r="AH167" s="46">
        <f t="shared" si="132"/>
        <v>94787.418940521224</v>
      </c>
      <c r="AI167" s="46">
        <f t="shared" si="132"/>
        <v>96683.167319331638</v>
      </c>
      <c r="AJ167" s="46">
        <f t="shared" si="132"/>
        <v>98616.830665718269</v>
      </c>
      <c r="AK167" s="46">
        <f t="shared" si="132"/>
        <v>100589.16727903263</v>
      </c>
      <c r="AL167" s="46">
        <f t="shared" si="132"/>
        <v>102600.95062461328</v>
      </c>
      <c r="AM167" s="46">
        <f t="shared" si="132"/>
        <v>104652.96963710555</v>
      </c>
      <c r="AN167" s="46">
        <f t="shared" si="132"/>
        <v>106746.02902984766</v>
      </c>
      <c r="AO167" s="46">
        <f t="shared" si="132"/>
        <v>108880.94961044462</v>
      </c>
      <c r="AP167" s="46">
        <f t="shared" si="132"/>
        <v>111058.56860265351</v>
      </c>
      <c r="AQ167" s="46">
        <f t="shared" si="132"/>
        <v>113279.73997470658</v>
      </c>
      <c r="AR167" s="46">
        <f t="shared" si="132"/>
        <v>115545.3347742007</v>
      </c>
      <c r="AS167" s="46">
        <f t="shared" si="132"/>
        <v>117856.24146968473</v>
      </c>
      <c r="AT167" s="46">
        <f t="shared" si="132"/>
        <v>120213.36629907842</v>
      </c>
      <c r="AU167" s="46">
        <f t="shared" si="132"/>
        <v>122617.63362505999</v>
      </c>
      <c r="AV167" s="46">
        <f t="shared" si="132"/>
        <v>125069.98629756119</v>
      </c>
      <c r="AW167" s="46">
        <f t="shared" si="132"/>
        <v>127571.38602351242</v>
      </c>
      <c r="AX167" s="46">
        <f t="shared" si="132"/>
        <v>130122.81374398267</v>
      </c>
      <c r="AY167" s="46">
        <f t="shared" si="132"/>
        <v>132725.27001886233</v>
      </c>
      <c r="AZ167" s="46">
        <f t="shared" si="132"/>
        <v>135379.77541923957</v>
      </c>
      <c r="BA167" s="46">
        <f t="shared" si="132"/>
        <v>138087.37092762435</v>
      </c>
      <c r="BB167" s="46">
        <f t="shared" si="132"/>
        <v>140849.11834617684</v>
      </c>
      <c r="BC167" s="46">
        <f t="shared" si="132"/>
        <v>143666.10071310037</v>
      </c>
      <c r="BD167" s="46">
        <f t="shared" si="132"/>
        <v>146539.4227273624</v>
      </c>
      <c r="BE167" s="46"/>
    </row>
    <row r="168" spans="1:57" ht="14.25" customHeight="1" x14ac:dyDescent="0.3">
      <c r="A168" s="46"/>
      <c r="B168" s="37"/>
      <c r="C168" s="46" t="str">
        <f>C$100</f>
        <v>Supplements Patient Revenue</v>
      </c>
      <c r="D168" s="46"/>
      <c r="E168" s="46"/>
      <c r="F168" s="46"/>
      <c r="G168" s="46"/>
      <c r="H168" s="46"/>
      <c r="I168" s="46">
        <f t="shared" ref="I168:BD168" si="133">I$100</f>
        <v>121685</v>
      </c>
      <c r="J168" s="46">
        <f t="shared" si="133"/>
        <v>99698</v>
      </c>
      <c r="K168" s="46">
        <f t="shared" si="133"/>
        <v>120493</v>
      </c>
      <c r="L168" s="46">
        <f t="shared" si="133"/>
        <v>93722</v>
      </c>
      <c r="M168" s="46">
        <f t="shared" si="133"/>
        <v>100729</v>
      </c>
      <c r="N168" s="46">
        <f t="shared" si="133"/>
        <v>73874</v>
      </c>
      <c r="O168" s="46">
        <f t="shared" si="133"/>
        <v>57077</v>
      </c>
      <c r="P168" s="46">
        <f t="shared" si="133"/>
        <v>48195</v>
      </c>
      <c r="Q168" s="46">
        <f t="shared" si="133"/>
        <v>51616.845000000008</v>
      </c>
      <c r="R168" s="46">
        <f t="shared" si="133"/>
        <v>55281.640995000016</v>
      </c>
      <c r="S168" s="46">
        <f t="shared" si="133"/>
        <v>59206.63750564502</v>
      </c>
      <c r="T168" s="46">
        <f t="shared" si="133"/>
        <v>63410.308768545809</v>
      </c>
      <c r="U168" s="46">
        <f t="shared" si="133"/>
        <v>67912.44069111257</v>
      </c>
      <c r="V168" s="46">
        <f t="shared" si="133"/>
        <v>72734.223980181559</v>
      </c>
      <c r="W168" s="46">
        <f t="shared" si="133"/>
        <v>77898.353882774463</v>
      </c>
      <c r="X168" s="46">
        <f t="shared" si="133"/>
        <v>83429.137008451449</v>
      </c>
      <c r="Y168" s="46">
        <f t="shared" si="133"/>
        <v>89352.605736051511</v>
      </c>
      <c r="Z168" s="46">
        <f t="shared" si="133"/>
        <v>95696.640743311174</v>
      </c>
      <c r="AA168" s="46">
        <f t="shared" si="133"/>
        <v>102491.10223608628</v>
      </c>
      <c r="AB168" s="46">
        <f t="shared" si="133"/>
        <v>109767.97049484841</v>
      </c>
      <c r="AC168" s="46">
        <f t="shared" si="133"/>
        <v>117561.49639998266</v>
      </c>
      <c r="AD168" s="46">
        <f t="shared" si="133"/>
        <v>124735.69076468211</v>
      </c>
      <c r="AE168" s="46">
        <f t="shared" si="133"/>
        <v>130972.47530291622</v>
      </c>
      <c r="AF168" s="46">
        <f t="shared" si="133"/>
        <v>137521.09906806203</v>
      </c>
      <c r="AG168" s="46">
        <f t="shared" si="133"/>
        <v>144397.15402146513</v>
      </c>
      <c r="AH168" s="46">
        <f t="shared" si="133"/>
        <v>151617.01172253839</v>
      </c>
      <c r="AI168" s="46">
        <f t="shared" si="133"/>
        <v>159197.86230866532</v>
      </c>
      <c r="AJ168" s="46">
        <f t="shared" si="133"/>
        <v>167157.75542409858</v>
      </c>
      <c r="AK168" s="46">
        <f t="shared" si="133"/>
        <v>175515.64319530351</v>
      </c>
      <c r="AL168" s="46">
        <f t="shared" si="133"/>
        <v>184291.4253550687</v>
      </c>
      <c r="AM168" s="46">
        <f t="shared" si="133"/>
        <v>193505.99662282216</v>
      </c>
      <c r="AN168" s="46">
        <f t="shared" si="133"/>
        <v>203181.29645396327</v>
      </c>
      <c r="AO168" s="46">
        <f t="shared" si="133"/>
        <v>213340.36127666145</v>
      </c>
      <c r="AP168" s="46">
        <f t="shared" si="133"/>
        <v>224007.37934049452</v>
      </c>
      <c r="AQ168" s="46">
        <f t="shared" si="133"/>
        <v>235207.74830751924</v>
      </c>
      <c r="AR168" s="46">
        <f t="shared" si="133"/>
        <v>246968.13572289521</v>
      </c>
      <c r="AS168" s="46">
        <f t="shared" si="133"/>
        <v>259316.54250903995</v>
      </c>
      <c r="AT168" s="46">
        <f t="shared" si="133"/>
        <v>272282.36963449192</v>
      </c>
      <c r="AU168" s="46">
        <f t="shared" si="133"/>
        <v>285896.48811621655</v>
      </c>
      <c r="AV168" s="46">
        <f t="shared" si="133"/>
        <v>300191.31252202741</v>
      </c>
      <c r="AW168" s="46">
        <f t="shared" si="133"/>
        <v>315200.8781481288</v>
      </c>
      <c r="AX168" s="46">
        <f t="shared" si="133"/>
        <v>330960.92205553525</v>
      </c>
      <c r="AY168" s="46">
        <f t="shared" si="133"/>
        <v>347508.96815831203</v>
      </c>
      <c r="AZ168" s="46">
        <f t="shared" si="133"/>
        <v>364884.41656622762</v>
      </c>
      <c r="BA168" s="46">
        <f t="shared" si="133"/>
        <v>383128.63739453902</v>
      </c>
      <c r="BB168" s="46">
        <f t="shared" si="133"/>
        <v>402285.069264266</v>
      </c>
      <c r="BC168" s="46">
        <f t="shared" si="133"/>
        <v>422399.32272747933</v>
      </c>
      <c r="BD168" s="46">
        <f t="shared" si="133"/>
        <v>443519.28886385332</v>
      </c>
      <c r="BE168" s="46"/>
    </row>
    <row r="169" spans="1:57" ht="14.25" customHeight="1" x14ac:dyDescent="0.3">
      <c r="A169" s="46"/>
      <c r="B169" s="37"/>
      <c r="C169" s="46" t="str">
        <f>C$107</f>
        <v>Scripted Medication Patient Revenue</v>
      </c>
      <c r="D169" s="46"/>
      <c r="E169" s="46"/>
      <c r="F169" s="46"/>
      <c r="G169" s="46"/>
      <c r="H169" s="46"/>
      <c r="I169" s="46">
        <f t="shared" ref="I169:BD169" si="134">I$107</f>
        <v>123834</v>
      </c>
      <c r="J169" s="46">
        <f t="shared" si="134"/>
        <v>102626</v>
      </c>
      <c r="K169" s="46">
        <f t="shared" si="134"/>
        <v>93934</v>
      </c>
      <c r="L169" s="46">
        <f t="shared" si="134"/>
        <v>137037</v>
      </c>
      <c r="M169" s="46">
        <f t="shared" si="134"/>
        <v>120455</v>
      </c>
      <c r="N169" s="46">
        <f t="shared" si="134"/>
        <v>144217</v>
      </c>
      <c r="O169" s="46">
        <f t="shared" si="134"/>
        <v>80536</v>
      </c>
      <c r="P169" s="46">
        <f t="shared" si="134"/>
        <v>42087.9375</v>
      </c>
      <c r="Q169" s="46">
        <f t="shared" si="134"/>
        <v>46401.951093750009</v>
      </c>
      <c r="R169" s="46">
        <f t="shared" si="134"/>
        <v>51158.151080859388</v>
      </c>
      <c r="S169" s="46">
        <f t="shared" si="134"/>
        <v>56401.86156664748</v>
      </c>
      <c r="T169" s="46">
        <f t="shared" si="134"/>
        <v>62183.052377228843</v>
      </c>
      <c r="U169" s="46">
        <f t="shared" si="134"/>
        <v>68556.815245894803</v>
      </c>
      <c r="V169" s="46">
        <f t="shared" si="134"/>
        <v>75583.888808599018</v>
      </c>
      <c r="W169" s="46">
        <f t="shared" si="134"/>
        <v>83331.237411480426</v>
      </c>
      <c r="X169" s="46">
        <f t="shared" si="134"/>
        <v>91872.689246157184</v>
      </c>
      <c r="Y169" s="46">
        <f t="shared" si="134"/>
        <v>101289.63989388831</v>
      </c>
      <c r="Z169" s="46">
        <f t="shared" si="134"/>
        <v>111671.82798301187</v>
      </c>
      <c r="AA169" s="46">
        <f t="shared" si="134"/>
        <v>123118.19035127059</v>
      </c>
      <c r="AB169" s="46">
        <f t="shared" si="134"/>
        <v>135737.80486227584</v>
      </c>
      <c r="AC169" s="46">
        <f t="shared" si="134"/>
        <v>149650.92986065912</v>
      </c>
      <c r="AD169" s="46">
        <f t="shared" si="134"/>
        <v>164058.61727824813</v>
      </c>
      <c r="AE169" s="46">
        <f t="shared" si="134"/>
        <v>172261.54814216055</v>
      </c>
      <c r="AF169" s="46">
        <f t="shared" si="134"/>
        <v>180874.62554926859</v>
      </c>
      <c r="AG169" s="46">
        <f t="shared" si="134"/>
        <v>189918.35682673202</v>
      </c>
      <c r="AH169" s="46">
        <f t="shared" si="134"/>
        <v>199414.27466806863</v>
      </c>
      <c r="AI169" s="46">
        <f t="shared" si="134"/>
        <v>209384.98840147207</v>
      </c>
      <c r="AJ169" s="46">
        <f t="shared" si="134"/>
        <v>219854.23782154566</v>
      </c>
      <c r="AK169" s="46">
        <f t="shared" si="134"/>
        <v>230846.94971262294</v>
      </c>
      <c r="AL169" s="46">
        <f t="shared" si="134"/>
        <v>242389.29719825409</v>
      </c>
      <c r="AM169" s="46">
        <f t="shared" si="134"/>
        <v>254508.76205816685</v>
      </c>
      <c r="AN169" s="46">
        <f t="shared" si="134"/>
        <v>267234.20016107516</v>
      </c>
      <c r="AO169" s="46">
        <f t="shared" si="134"/>
        <v>280595.91016912897</v>
      </c>
      <c r="AP169" s="46">
        <f t="shared" si="134"/>
        <v>294625.70567758539</v>
      </c>
      <c r="AQ169" s="46">
        <f t="shared" si="134"/>
        <v>309356.9909614647</v>
      </c>
      <c r="AR169" s="46">
        <f t="shared" si="134"/>
        <v>324824.8405095379</v>
      </c>
      <c r="AS169" s="46">
        <f t="shared" si="134"/>
        <v>341066.08253501478</v>
      </c>
      <c r="AT169" s="46">
        <f t="shared" si="134"/>
        <v>358119.38666176551</v>
      </c>
      <c r="AU169" s="46">
        <f t="shared" si="134"/>
        <v>376025.35599485383</v>
      </c>
      <c r="AV169" s="46">
        <f t="shared" si="134"/>
        <v>394826.62379459658</v>
      </c>
      <c r="AW169" s="46">
        <f t="shared" si="134"/>
        <v>414567.95498432644</v>
      </c>
      <c r="AX169" s="46">
        <f t="shared" si="134"/>
        <v>435296.35273354274</v>
      </c>
      <c r="AY169" s="46">
        <f t="shared" si="134"/>
        <v>457061.17037021992</v>
      </c>
      <c r="AZ169" s="46">
        <f t="shared" si="134"/>
        <v>479914.22888873087</v>
      </c>
      <c r="BA169" s="46">
        <f t="shared" si="134"/>
        <v>503909.94033316744</v>
      </c>
      <c r="BB169" s="46">
        <f t="shared" si="134"/>
        <v>529105.43734982586</v>
      </c>
      <c r="BC169" s="46">
        <f t="shared" si="134"/>
        <v>555560.70921731717</v>
      </c>
      <c r="BD169" s="46">
        <f t="shared" si="134"/>
        <v>583338.74467818311</v>
      </c>
      <c r="BE169" s="46"/>
    </row>
    <row r="170" spans="1:57" ht="14.25" customHeight="1" x14ac:dyDescent="0.3">
      <c r="A170" s="46"/>
      <c r="B170" s="37"/>
      <c r="C170" s="46" t="str">
        <f>C$114</f>
        <v>DCT Patient Revenue</v>
      </c>
      <c r="D170" s="46"/>
      <c r="E170" s="46"/>
      <c r="F170" s="46"/>
      <c r="G170" s="46"/>
      <c r="H170" s="46"/>
      <c r="I170" s="46">
        <f t="shared" ref="I170:BD170" si="135">I$114</f>
        <v>414600</v>
      </c>
      <c r="J170" s="46">
        <f t="shared" si="135"/>
        <v>0</v>
      </c>
      <c r="K170" s="46">
        <f t="shared" si="135"/>
        <v>0</v>
      </c>
      <c r="L170" s="46">
        <f t="shared" si="135"/>
        <v>0</v>
      </c>
      <c r="M170" s="46">
        <f t="shared" si="135"/>
        <v>0</v>
      </c>
      <c r="N170" s="46">
        <f t="shared" si="135"/>
        <v>0</v>
      </c>
      <c r="O170" s="46">
        <f t="shared" si="135"/>
        <v>0</v>
      </c>
      <c r="P170" s="46">
        <f t="shared" si="135"/>
        <v>0</v>
      </c>
      <c r="Q170" s="46">
        <f t="shared" si="135"/>
        <v>0</v>
      </c>
      <c r="R170" s="46">
        <f t="shared" si="135"/>
        <v>0</v>
      </c>
      <c r="S170" s="46">
        <f t="shared" si="135"/>
        <v>0</v>
      </c>
      <c r="T170" s="46">
        <f t="shared" si="135"/>
        <v>0</v>
      </c>
      <c r="U170" s="46">
        <f t="shared" si="135"/>
        <v>0</v>
      </c>
      <c r="V170" s="46">
        <f t="shared" si="135"/>
        <v>0</v>
      </c>
      <c r="W170" s="46">
        <f t="shared" si="135"/>
        <v>0</v>
      </c>
      <c r="X170" s="46">
        <f t="shared" si="135"/>
        <v>0</v>
      </c>
      <c r="Y170" s="46">
        <f t="shared" si="135"/>
        <v>0</v>
      </c>
      <c r="Z170" s="46">
        <f t="shared" si="135"/>
        <v>0</v>
      </c>
      <c r="AA170" s="46">
        <f t="shared" si="135"/>
        <v>0</v>
      </c>
      <c r="AB170" s="46">
        <f t="shared" si="135"/>
        <v>0</v>
      </c>
      <c r="AC170" s="46">
        <f t="shared" si="135"/>
        <v>0</v>
      </c>
      <c r="AD170" s="46">
        <f t="shared" si="135"/>
        <v>0</v>
      </c>
      <c r="AE170" s="46">
        <f t="shared" si="135"/>
        <v>0</v>
      </c>
      <c r="AF170" s="46">
        <f t="shared" si="135"/>
        <v>0</v>
      </c>
      <c r="AG170" s="46">
        <f t="shared" si="135"/>
        <v>0</v>
      </c>
      <c r="AH170" s="46">
        <f t="shared" si="135"/>
        <v>0</v>
      </c>
      <c r="AI170" s="46">
        <f t="shared" si="135"/>
        <v>0</v>
      </c>
      <c r="AJ170" s="46">
        <f t="shared" si="135"/>
        <v>0</v>
      </c>
      <c r="AK170" s="46">
        <f t="shared" si="135"/>
        <v>0</v>
      </c>
      <c r="AL170" s="46">
        <f t="shared" si="135"/>
        <v>0</v>
      </c>
      <c r="AM170" s="46">
        <f t="shared" si="135"/>
        <v>0</v>
      </c>
      <c r="AN170" s="46">
        <f t="shared" si="135"/>
        <v>0</v>
      </c>
      <c r="AO170" s="46">
        <f t="shared" si="135"/>
        <v>0</v>
      </c>
      <c r="AP170" s="46">
        <f t="shared" si="135"/>
        <v>0</v>
      </c>
      <c r="AQ170" s="46">
        <f t="shared" si="135"/>
        <v>0</v>
      </c>
      <c r="AR170" s="46">
        <f t="shared" si="135"/>
        <v>0</v>
      </c>
      <c r="AS170" s="46">
        <f t="shared" si="135"/>
        <v>0</v>
      </c>
      <c r="AT170" s="46">
        <f t="shared" si="135"/>
        <v>0</v>
      </c>
      <c r="AU170" s="46">
        <f t="shared" si="135"/>
        <v>0</v>
      </c>
      <c r="AV170" s="46">
        <f t="shared" si="135"/>
        <v>0</v>
      </c>
      <c r="AW170" s="46">
        <f t="shared" si="135"/>
        <v>0</v>
      </c>
      <c r="AX170" s="46">
        <f t="shared" si="135"/>
        <v>0</v>
      </c>
      <c r="AY170" s="46">
        <f t="shared" si="135"/>
        <v>0</v>
      </c>
      <c r="AZ170" s="46">
        <f t="shared" si="135"/>
        <v>0</v>
      </c>
      <c r="BA170" s="46">
        <f t="shared" si="135"/>
        <v>0</v>
      </c>
      <c r="BB170" s="46">
        <f t="shared" si="135"/>
        <v>0</v>
      </c>
      <c r="BC170" s="46">
        <f t="shared" si="135"/>
        <v>0</v>
      </c>
      <c r="BD170" s="46">
        <f t="shared" si="135"/>
        <v>0</v>
      </c>
      <c r="BE170" s="46"/>
    </row>
    <row r="171" spans="1:57" ht="14.25" customHeight="1" x14ac:dyDescent="0.3">
      <c r="A171" s="46"/>
      <c r="B171" s="37"/>
      <c r="C171" s="46" t="str">
        <f>C$121</f>
        <v>Pathcare Rebate Testing Revenue</v>
      </c>
      <c r="D171" s="46"/>
      <c r="E171" s="46"/>
      <c r="F171" s="46"/>
      <c r="G171" s="46"/>
      <c r="H171" s="46"/>
      <c r="I171" s="46">
        <f t="shared" ref="I171:BD171" si="136">I$121</f>
        <v>0</v>
      </c>
      <c r="J171" s="46">
        <f t="shared" si="136"/>
        <v>0</v>
      </c>
      <c r="K171" s="46">
        <f t="shared" si="136"/>
        <v>0</v>
      </c>
      <c r="L171" s="46">
        <f t="shared" si="136"/>
        <v>0</v>
      </c>
      <c r="M171" s="46">
        <f t="shared" si="136"/>
        <v>0</v>
      </c>
      <c r="N171" s="46">
        <f t="shared" si="136"/>
        <v>0</v>
      </c>
      <c r="O171" s="46">
        <f t="shared" si="136"/>
        <v>0</v>
      </c>
      <c r="P171" s="46">
        <f t="shared" si="136"/>
        <v>0</v>
      </c>
      <c r="Q171" s="46">
        <f t="shared" si="136"/>
        <v>0</v>
      </c>
      <c r="R171" s="46">
        <f t="shared" si="136"/>
        <v>0</v>
      </c>
      <c r="S171" s="46">
        <f t="shared" si="136"/>
        <v>0</v>
      </c>
      <c r="T171" s="46">
        <f t="shared" si="136"/>
        <v>0</v>
      </c>
      <c r="U171" s="46">
        <f t="shared" si="136"/>
        <v>0</v>
      </c>
      <c r="V171" s="46">
        <f t="shared" si="136"/>
        <v>0</v>
      </c>
      <c r="W171" s="46">
        <f t="shared" si="136"/>
        <v>0</v>
      </c>
      <c r="X171" s="46">
        <f t="shared" si="136"/>
        <v>0</v>
      </c>
      <c r="Y171" s="46">
        <f t="shared" si="136"/>
        <v>0</v>
      </c>
      <c r="Z171" s="46">
        <f t="shared" si="136"/>
        <v>0</v>
      </c>
      <c r="AA171" s="46">
        <f t="shared" si="136"/>
        <v>0</v>
      </c>
      <c r="AB171" s="46">
        <f t="shared" si="136"/>
        <v>0</v>
      </c>
      <c r="AC171" s="46">
        <f t="shared" si="136"/>
        <v>0</v>
      </c>
      <c r="AD171" s="46">
        <f t="shared" si="136"/>
        <v>0</v>
      </c>
      <c r="AE171" s="46">
        <f t="shared" si="136"/>
        <v>0</v>
      </c>
      <c r="AF171" s="46">
        <f t="shared" si="136"/>
        <v>0</v>
      </c>
      <c r="AG171" s="46">
        <f t="shared" si="136"/>
        <v>0</v>
      </c>
      <c r="AH171" s="46">
        <f t="shared" si="136"/>
        <v>0</v>
      </c>
      <c r="AI171" s="46">
        <f t="shared" si="136"/>
        <v>0</v>
      </c>
      <c r="AJ171" s="46">
        <f t="shared" si="136"/>
        <v>0</v>
      </c>
      <c r="AK171" s="46">
        <f t="shared" si="136"/>
        <v>0</v>
      </c>
      <c r="AL171" s="46">
        <f t="shared" si="136"/>
        <v>0</v>
      </c>
      <c r="AM171" s="46">
        <f t="shared" si="136"/>
        <v>0</v>
      </c>
      <c r="AN171" s="46">
        <f t="shared" si="136"/>
        <v>0</v>
      </c>
      <c r="AO171" s="46">
        <f t="shared" si="136"/>
        <v>0</v>
      </c>
      <c r="AP171" s="46">
        <f t="shared" si="136"/>
        <v>0</v>
      </c>
      <c r="AQ171" s="46">
        <f t="shared" si="136"/>
        <v>0</v>
      </c>
      <c r="AR171" s="46">
        <f t="shared" si="136"/>
        <v>0</v>
      </c>
      <c r="AS171" s="46">
        <f t="shared" si="136"/>
        <v>0</v>
      </c>
      <c r="AT171" s="46">
        <f t="shared" si="136"/>
        <v>0</v>
      </c>
      <c r="AU171" s="46">
        <f t="shared" si="136"/>
        <v>0</v>
      </c>
      <c r="AV171" s="46">
        <f t="shared" si="136"/>
        <v>0</v>
      </c>
      <c r="AW171" s="46">
        <f t="shared" si="136"/>
        <v>0</v>
      </c>
      <c r="AX171" s="46">
        <f t="shared" si="136"/>
        <v>0</v>
      </c>
      <c r="AY171" s="46">
        <f t="shared" si="136"/>
        <v>0</v>
      </c>
      <c r="AZ171" s="46">
        <f t="shared" si="136"/>
        <v>0</v>
      </c>
      <c r="BA171" s="46">
        <f t="shared" si="136"/>
        <v>0</v>
      </c>
      <c r="BB171" s="46">
        <f t="shared" si="136"/>
        <v>0</v>
      </c>
      <c r="BC171" s="46">
        <f t="shared" si="136"/>
        <v>0</v>
      </c>
      <c r="BD171" s="46">
        <f t="shared" si="136"/>
        <v>0</v>
      </c>
      <c r="BE171" s="46"/>
    </row>
    <row r="172" spans="1:57" ht="14.25" customHeight="1" x14ac:dyDescent="0.3">
      <c r="A172" s="46"/>
      <c r="B172" s="37"/>
      <c r="C172" s="46" t="str">
        <f>C$130</f>
        <v>White Label Supplement Revenue</v>
      </c>
      <c r="D172" s="46"/>
      <c r="E172" s="46"/>
      <c r="F172" s="46"/>
      <c r="G172" s="46"/>
      <c r="H172" s="46"/>
      <c r="I172" s="46">
        <f t="shared" ref="I172:BD172" si="137">I$130</f>
        <v>0</v>
      </c>
      <c r="J172" s="46">
        <f t="shared" si="137"/>
        <v>0</v>
      </c>
      <c r="K172" s="46">
        <f t="shared" si="137"/>
        <v>0</v>
      </c>
      <c r="L172" s="46">
        <f t="shared" si="137"/>
        <v>0</v>
      </c>
      <c r="M172" s="46">
        <f t="shared" si="137"/>
        <v>0</v>
      </c>
      <c r="N172" s="46">
        <f t="shared" si="137"/>
        <v>0</v>
      </c>
      <c r="O172" s="46">
        <f t="shared" si="137"/>
        <v>0</v>
      </c>
      <c r="P172" s="46">
        <f t="shared" si="137"/>
        <v>0</v>
      </c>
      <c r="Q172" s="46">
        <f t="shared" si="137"/>
        <v>0</v>
      </c>
      <c r="R172" s="46">
        <f t="shared" si="137"/>
        <v>0</v>
      </c>
      <c r="S172" s="46">
        <f t="shared" si="137"/>
        <v>31500</v>
      </c>
      <c r="T172" s="46">
        <f t="shared" si="137"/>
        <v>33075</v>
      </c>
      <c r="U172" s="46">
        <f t="shared" si="137"/>
        <v>34728.750000000007</v>
      </c>
      <c r="V172" s="46">
        <f t="shared" si="137"/>
        <v>36465.187500000007</v>
      </c>
      <c r="W172" s="46">
        <f t="shared" si="137"/>
        <v>38288.446875000009</v>
      </c>
      <c r="X172" s="46">
        <f t="shared" si="137"/>
        <v>40202.869218750013</v>
      </c>
      <c r="Y172" s="46">
        <f t="shared" si="137"/>
        <v>42213.012679687512</v>
      </c>
      <c r="Z172" s="46">
        <f t="shared" si="137"/>
        <v>44323.663313671888</v>
      </c>
      <c r="AA172" s="46">
        <f t="shared" si="137"/>
        <v>46539.846479355489</v>
      </c>
      <c r="AB172" s="46">
        <f t="shared" si="137"/>
        <v>48866.838803323262</v>
      </c>
      <c r="AC172" s="46">
        <f t="shared" si="137"/>
        <v>51310.180743489429</v>
      </c>
      <c r="AD172" s="46">
        <f t="shared" si="137"/>
        <v>53875.689780663903</v>
      </c>
      <c r="AE172" s="46">
        <f t="shared" si="137"/>
        <v>56569.474269697101</v>
      </c>
      <c r="AF172" s="46">
        <f t="shared" si="137"/>
        <v>59397.947983181955</v>
      </c>
      <c r="AG172" s="46">
        <f t="shared" si="137"/>
        <v>62367.84538234106</v>
      </c>
      <c r="AH172" s="46">
        <f t="shared" si="137"/>
        <v>65486.237651458119</v>
      </c>
      <c r="AI172" s="46">
        <f t="shared" si="137"/>
        <v>68760.54953403103</v>
      </c>
      <c r="AJ172" s="46">
        <f t="shared" si="137"/>
        <v>72198.577010732595</v>
      </c>
      <c r="AK172" s="46">
        <f t="shared" si="137"/>
        <v>75808.505861269223</v>
      </c>
      <c r="AL172" s="46">
        <f t="shared" si="137"/>
        <v>79598.931154332677</v>
      </c>
      <c r="AM172" s="46">
        <f t="shared" si="137"/>
        <v>83578.877712049318</v>
      </c>
      <c r="AN172" s="46">
        <f t="shared" si="137"/>
        <v>87757.821597651782</v>
      </c>
      <c r="AO172" s="46">
        <f t="shared" si="137"/>
        <v>92145.712677534379</v>
      </c>
      <c r="AP172" s="46">
        <f t="shared" si="137"/>
        <v>96752.998311411095</v>
      </c>
      <c r="AQ172" s="46">
        <f t="shared" si="137"/>
        <v>101590.64822698165</v>
      </c>
      <c r="AR172" s="46">
        <f t="shared" si="137"/>
        <v>106670.18063833074</v>
      </c>
      <c r="AS172" s="46">
        <f t="shared" si="137"/>
        <v>112003.68967024729</v>
      </c>
      <c r="AT172" s="46">
        <f t="shared" si="137"/>
        <v>117603.87415375967</v>
      </c>
      <c r="AU172" s="46">
        <f t="shared" si="137"/>
        <v>123484.06786144765</v>
      </c>
      <c r="AV172" s="46">
        <f t="shared" si="137"/>
        <v>129658.27125452005</v>
      </c>
      <c r="AW172" s="46">
        <f t="shared" si="137"/>
        <v>136141.18481724604</v>
      </c>
      <c r="AX172" s="46">
        <f t="shared" si="137"/>
        <v>142948.24405810836</v>
      </c>
      <c r="AY172" s="46">
        <f t="shared" si="137"/>
        <v>150095.65626101376</v>
      </c>
      <c r="AZ172" s="46">
        <f t="shared" si="137"/>
        <v>157600.43907406446</v>
      </c>
      <c r="BA172" s="46">
        <f t="shared" si="137"/>
        <v>165480.46102776768</v>
      </c>
      <c r="BB172" s="46">
        <f t="shared" si="137"/>
        <v>173754.4840791561</v>
      </c>
      <c r="BC172" s="46">
        <f t="shared" si="137"/>
        <v>182442.2082831139</v>
      </c>
      <c r="BD172" s="46">
        <f t="shared" si="137"/>
        <v>191564.3186972696</v>
      </c>
      <c r="BE172" s="46"/>
    </row>
    <row r="173" spans="1:57" ht="14.25" customHeight="1" x14ac:dyDescent="0.3">
      <c r="A173" s="46"/>
      <c r="B173" s="37"/>
      <c r="C173" s="46" t="s">
        <v>230</v>
      </c>
      <c r="D173" s="46"/>
      <c r="E173" s="46"/>
      <c r="F173" s="46"/>
      <c r="G173" s="46"/>
      <c r="H173" s="46"/>
      <c r="I173" s="46">
        <f>2516229-2623351</f>
        <v>-107122</v>
      </c>
      <c r="J173" s="46">
        <f>1839570-1950046</f>
        <v>-110476</v>
      </c>
      <c r="K173" s="46">
        <f>2348375-2420811</f>
        <v>-72436</v>
      </c>
      <c r="L173" s="46">
        <f>2259865-2428483</f>
        <v>-168618</v>
      </c>
      <c r="M173" s="46">
        <f>2366727-2649250</f>
        <v>-282523</v>
      </c>
      <c r="N173" s="46">
        <f>1603258-1636569</f>
        <v>-33311</v>
      </c>
      <c r="O173" s="46">
        <f>1756178-1635318</f>
        <v>120860</v>
      </c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  <c r="AF173" s="46"/>
      <c r="AG173" s="46"/>
      <c r="AH173" s="46"/>
      <c r="AI173" s="46"/>
      <c r="AJ173" s="46"/>
      <c r="AK173" s="46"/>
      <c r="AL173" s="46"/>
      <c r="AM173" s="46"/>
      <c r="AN173" s="46"/>
      <c r="AO173" s="46"/>
      <c r="AP173" s="46"/>
      <c r="AQ173" s="46"/>
      <c r="AR173" s="46"/>
      <c r="AS173" s="46"/>
      <c r="AT173" s="46"/>
      <c r="AU173" s="46"/>
      <c r="AV173" s="46"/>
      <c r="AW173" s="46"/>
      <c r="AX173" s="46"/>
      <c r="AY173" s="46"/>
      <c r="AZ173" s="46"/>
      <c r="BA173" s="46"/>
      <c r="BB173" s="46"/>
      <c r="BC173" s="46"/>
      <c r="BD173" s="46"/>
      <c r="BE173" s="46"/>
    </row>
    <row r="174" spans="1:57" ht="14.25" customHeight="1" x14ac:dyDescent="0.3">
      <c r="A174" s="46"/>
      <c r="B174" s="37"/>
      <c r="C174" s="46" t="s">
        <v>123</v>
      </c>
      <c r="D174" s="46"/>
      <c r="E174" s="46"/>
      <c r="F174" s="46"/>
      <c r="G174" s="46"/>
      <c r="H174" s="46"/>
      <c r="I174" s="51">
        <f>SUM(I156:I173)</f>
        <v>2516228.6991304308</v>
      </c>
      <c r="J174" s="51">
        <f t="shared" ref="J174:BD174" si="138">SUM(J156:J173)</f>
        <v>1837230.4100000001</v>
      </c>
      <c r="K174" s="51">
        <f t="shared" si="138"/>
        <v>2348375.1999999983</v>
      </c>
      <c r="L174" s="51">
        <f t="shared" si="138"/>
        <v>2259865.4</v>
      </c>
      <c r="M174" s="51">
        <f t="shared" si="138"/>
        <v>2366727.2999999998</v>
      </c>
      <c r="N174" s="51">
        <f t="shared" si="138"/>
        <v>1603258</v>
      </c>
      <c r="O174" s="51">
        <f t="shared" si="138"/>
        <v>1756178.1</v>
      </c>
      <c r="P174" s="51">
        <f t="shared" si="138"/>
        <v>2079125.5514714285</v>
      </c>
      <c r="Q174" s="51">
        <f t="shared" si="138"/>
        <v>2133172.3408799903</v>
      </c>
      <c r="R174" s="51">
        <f t="shared" si="138"/>
        <v>2301408.7168437536</v>
      </c>
      <c r="S174" s="51">
        <f t="shared" si="138"/>
        <v>2397090.3753189826</v>
      </c>
      <c r="T174" s="51">
        <f t="shared" si="138"/>
        <v>2507585.6373332441</v>
      </c>
      <c r="U174" s="51">
        <f t="shared" si="138"/>
        <v>2581151.3397193011</v>
      </c>
      <c r="V174" s="51">
        <f t="shared" si="138"/>
        <v>2657960.0469374717</v>
      </c>
      <c r="W174" s="51">
        <f t="shared" si="138"/>
        <v>2733755.2564764088</v>
      </c>
      <c r="X174" s="51">
        <f t="shared" si="138"/>
        <v>2811323.666877978</v>
      </c>
      <c r="Y174" s="51">
        <f t="shared" si="138"/>
        <v>2892444.278735111</v>
      </c>
      <c r="Z174" s="51">
        <f t="shared" si="138"/>
        <v>2977332.3334412999</v>
      </c>
      <c r="AA174" s="51">
        <f t="shared" si="138"/>
        <v>3066218.8001197404</v>
      </c>
      <c r="AB174" s="51">
        <f t="shared" si="138"/>
        <v>3159351.6795729683</v>
      </c>
      <c r="AC174" s="51">
        <f t="shared" si="138"/>
        <v>3256997.4257308291</v>
      </c>
      <c r="AD174" s="51">
        <f t="shared" si="138"/>
        <v>3354456.6072213477</v>
      </c>
      <c r="AE174" s="51">
        <f t="shared" si="138"/>
        <v>3418307.3995667789</v>
      </c>
      <c r="AF174" s="51">
        <f t="shared" si="138"/>
        <v>3484336.6878708461</v>
      </c>
      <c r="AG174" s="51">
        <f t="shared" si="138"/>
        <v>3552634.3498970894</v>
      </c>
      <c r="AH174" s="51">
        <f t="shared" si="138"/>
        <v>3623294.374559544</v>
      </c>
      <c r="AI174" s="51">
        <f t="shared" si="138"/>
        <v>3696415.0594568998</v>
      </c>
      <c r="AJ174" s="51">
        <f t="shared" si="138"/>
        <v>3772099.2181104794</v>
      </c>
      <c r="AK174" s="51">
        <f t="shared" si="138"/>
        <v>3850454.3973874776</v>
      </c>
      <c r="AL174" s="51">
        <f t="shared" si="138"/>
        <v>3931593.1056147963</v>
      </c>
      <c r="AM174" s="51">
        <f t="shared" si="138"/>
        <v>4015633.0519140773</v>
      </c>
      <c r="AN174" s="51">
        <f t="shared" si="138"/>
        <v>4102697.3973148819</v>
      </c>
      <c r="AO174" s="51">
        <f t="shared" si="138"/>
        <v>4192915.0182308471</v>
      </c>
      <c r="AP174" s="51">
        <f t="shared" si="138"/>
        <v>4286420.7829126529</v>
      </c>
      <c r="AQ174" s="51">
        <f t="shared" si="138"/>
        <v>4383355.8415223546</v>
      </c>
      <c r="AR174" s="51">
        <f t="shared" si="138"/>
        <v>4483867.9305056976</v>
      </c>
      <c r="AS174" s="51">
        <f t="shared" si="138"/>
        <v>4588111.69197278</v>
      </c>
      <c r="AT174" s="51">
        <f t="shared" si="138"/>
        <v>4696249.0088328533</v>
      </c>
      <c r="AU174" s="51">
        <f t="shared" si="138"/>
        <v>4808449.3564662226</v>
      </c>
      <c r="AV174" s="51">
        <f t="shared" si="138"/>
        <v>4924890.1717552617</v>
      </c>
      <c r="AW174" s="51">
        <f t="shared" si="138"/>
        <v>5045757.2403375637</v>
      </c>
      <c r="AX174" s="51">
        <f t="shared" si="138"/>
        <v>5171245.1029872242</v>
      </c>
      <c r="AY174" s="51">
        <f t="shared" si="138"/>
        <v>5301557.482075558</v>
      </c>
      <c r="AZ174" s="51">
        <f t="shared" si="138"/>
        <v>5436907.7291098479</v>
      </c>
      <c r="BA174" s="51">
        <f t="shared" si="138"/>
        <v>5566382.8111834731</v>
      </c>
      <c r="BB174" s="51">
        <f t="shared" si="138"/>
        <v>5699711.3246491048</v>
      </c>
      <c r="BC174" s="51">
        <f t="shared" si="138"/>
        <v>5838460.889042275</v>
      </c>
      <c r="BD174" s="51">
        <f t="shared" si="138"/>
        <v>5982880.3206698047</v>
      </c>
      <c r="BE174" s="51"/>
    </row>
    <row r="175" spans="1:57" ht="14.25" customHeight="1" x14ac:dyDescent="0.3">
      <c r="A175" s="46"/>
      <c r="B175" s="37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  <c r="AE175" s="46"/>
      <c r="AF175" s="46"/>
      <c r="AG175" s="46"/>
      <c r="AH175" s="46"/>
      <c r="AI175" s="46"/>
      <c r="AJ175" s="46"/>
      <c r="AK175" s="46"/>
      <c r="AL175" s="46"/>
      <c r="AM175" s="46"/>
      <c r="AN175" s="46"/>
      <c r="AO175" s="46"/>
      <c r="AP175" s="46"/>
      <c r="AQ175" s="46"/>
      <c r="AR175" s="46"/>
      <c r="AS175" s="46"/>
      <c r="AT175" s="46"/>
      <c r="AU175" s="46"/>
      <c r="AV175" s="46"/>
      <c r="AW175" s="46"/>
      <c r="AX175" s="46"/>
      <c r="AY175" s="46"/>
      <c r="AZ175" s="46"/>
      <c r="BA175" s="46"/>
      <c r="BB175" s="46"/>
      <c r="BC175" s="46"/>
      <c r="BD175" s="46"/>
      <c r="BE175" s="46"/>
    </row>
    <row r="176" spans="1:57" ht="14.25" customHeight="1" x14ac:dyDescent="0.3">
      <c r="A176" s="46"/>
      <c r="B176" s="37" t="s">
        <v>124</v>
      </c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  <c r="AF176" s="46"/>
      <c r="AG176" s="46"/>
      <c r="AH176" s="46"/>
      <c r="AI176" s="46"/>
      <c r="AJ176" s="46"/>
      <c r="AK176" s="46"/>
      <c r="AL176" s="46"/>
      <c r="AM176" s="46"/>
      <c r="AN176" s="46"/>
      <c r="AO176" s="46"/>
      <c r="AP176" s="46"/>
      <c r="AQ176" s="46"/>
      <c r="AR176" s="46"/>
      <c r="AS176" s="46"/>
      <c r="AT176" s="46"/>
      <c r="AU176" s="46"/>
      <c r="AV176" s="46"/>
      <c r="AW176" s="46"/>
      <c r="AX176" s="46"/>
      <c r="AY176" s="46"/>
      <c r="AZ176" s="46"/>
      <c r="BA176" s="46"/>
      <c r="BB176" s="46"/>
      <c r="BC176" s="46"/>
      <c r="BD176" s="46"/>
      <c r="BE176" s="46"/>
    </row>
    <row r="177" spans="1:57" ht="14.25" customHeight="1" x14ac:dyDescent="0.3">
      <c r="A177" s="46"/>
      <c r="B177" s="37"/>
      <c r="C177" s="37" t="s">
        <v>125</v>
      </c>
      <c r="D177" s="46"/>
      <c r="E177" s="46"/>
      <c r="F177" s="46" t="s">
        <v>126</v>
      </c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6"/>
      <c r="AM177" s="46"/>
      <c r="AN177" s="46"/>
      <c r="AO177" s="46"/>
      <c r="AP177" s="46"/>
      <c r="AQ177" s="46"/>
      <c r="AR177" s="46"/>
      <c r="AS177" s="46"/>
      <c r="AT177" s="46"/>
      <c r="AU177" s="46"/>
      <c r="AV177" s="46"/>
      <c r="AW177" s="46"/>
      <c r="AX177" s="46"/>
      <c r="AY177" s="46"/>
      <c r="AZ177" s="46"/>
      <c r="BA177" s="46"/>
      <c r="BB177" s="46"/>
      <c r="BC177" s="46"/>
      <c r="BD177" s="46"/>
      <c r="BE177" s="46"/>
    </row>
    <row r="178" spans="1:57" ht="14.25" customHeight="1" x14ac:dyDescent="0.3">
      <c r="A178" s="46"/>
      <c r="B178" s="37"/>
      <c r="C178" s="46" t="s">
        <v>127</v>
      </c>
      <c r="D178" s="46"/>
      <c r="E178" s="53">
        <v>120503</v>
      </c>
      <c r="F178" s="54">
        <v>0.08</v>
      </c>
      <c r="G178" s="60"/>
      <c r="H178" s="46"/>
      <c r="I178" s="55">
        <v>95111</v>
      </c>
      <c r="J178" s="55">
        <v>100111</v>
      </c>
      <c r="K178" s="55">
        <v>100111</v>
      </c>
      <c r="L178" s="55">
        <v>100111</v>
      </c>
      <c r="M178" s="55">
        <v>100111</v>
      </c>
      <c r="N178" s="87">
        <v>148748</v>
      </c>
      <c r="O178" s="87">
        <v>100796</v>
      </c>
      <c r="P178" s="55">
        <f t="shared" ref="P178:AE182" si="139">$E178+IF(P$2=2026,($E178*$F178),0)+IF((P$2=2027),(($E178*$F178)+($E178+$E178*$F178)*$F178),0)+IF((P$2=2028),(($E178*$F178)+($E178+$E178*$F178)*$F178)+($E178+($E178+$E178*$F178)*$F178)*$F178,0)</f>
        <v>120503</v>
      </c>
      <c r="Q178" s="55">
        <f t="shared" si="139"/>
        <v>120503</v>
      </c>
      <c r="R178" s="55">
        <f t="shared" si="139"/>
        <v>120503</v>
      </c>
      <c r="S178" s="55">
        <f t="shared" si="139"/>
        <v>120503</v>
      </c>
      <c r="T178" s="55">
        <f t="shared" si="139"/>
        <v>120503</v>
      </c>
      <c r="U178" s="55">
        <f t="shared" si="139"/>
        <v>130143.24</v>
      </c>
      <c r="V178" s="55">
        <f t="shared" si="139"/>
        <v>130143.24</v>
      </c>
      <c r="W178" s="55">
        <f t="shared" si="139"/>
        <v>130143.24</v>
      </c>
      <c r="X178" s="55">
        <f t="shared" si="139"/>
        <v>130143.24</v>
      </c>
      <c r="Y178" s="55">
        <f t="shared" si="139"/>
        <v>130143.24</v>
      </c>
      <c r="Z178" s="55">
        <f t="shared" si="139"/>
        <v>130143.24</v>
      </c>
      <c r="AA178" s="55">
        <f t="shared" si="139"/>
        <v>130143.24</v>
      </c>
      <c r="AB178" s="55">
        <f t="shared" si="139"/>
        <v>130143.24</v>
      </c>
      <c r="AC178" s="55">
        <f t="shared" si="139"/>
        <v>130143.24</v>
      </c>
      <c r="AD178" s="55">
        <f t="shared" si="139"/>
        <v>130143.24</v>
      </c>
      <c r="AE178" s="55">
        <f t="shared" si="139"/>
        <v>130143.24</v>
      </c>
      <c r="AF178" s="55">
        <f t="shared" ref="AF178:AU182" si="140">$E178+IF(AF$2=2026,($E178*$F178),0)+IF((AF$2=2027),(($E178*$F178)+($E178+$E178*$F178)*$F178),0)+IF((AF$2=2028),(($E178*$F178)+($E178+$E178*$F178)*$F178)+($E178+($E178+$E178*$F178)*$F178)*$F178,0)</f>
        <v>130143.24</v>
      </c>
      <c r="AG178" s="55">
        <f t="shared" si="140"/>
        <v>140554.6992</v>
      </c>
      <c r="AH178" s="55">
        <f t="shared" si="140"/>
        <v>140554.6992</v>
      </c>
      <c r="AI178" s="55">
        <f t="shared" si="140"/>
        <v>140554.6992</v>
      </c>
      <c r="AJ178" s="55">
        <f t="shared" si="140"/>
        <v>140554.6992</v>
      </c>
      <c r="AK178" s="55">
        <f t="shared" si="140"/>
        <v>140554.6992</v>
      </c>
      <c r="AL178" s="55">
        <f t="shared" si="140"/>
        <v>140554.6992</v>
      </c>
      <c r="AM178" s="55">
        <f t="shared" si="140"/>
        <v>140554.6992</v>
      </c>
      <c r="AN178" s="55">
        <f t="shared" si="140"/>
        <v>140554.6992</v>
      </c>
      <c r="AO178" s="55">
        <f t="shared" si="140"/>
        <v>140554.6992</v>
      </c>
      <c r="AP178" s="55">
        <f t="shared" si="140"/>
        <v>140554.6992</v>
      </c>
      <c r="AQ178" s="55">
        <f t="shared" si="140"/>
        <v>140554.6992</v>
      </c>
      <c r="AR178" s="55">
        <f t="shared" si="140"/>
        <v>140554.6992</v>
      </c>
      <c r="AS178" s="55">
        <f t="shared" si="140"/>
        <v>151027.85593600001</v>
      </c>
      <c r="AT178" s="55">
        <f t="shared" si="140"/>
        <v>151027.85593600001</v>
      </c>
      <c r="AU178" s="55">
        <f t="shared" si="140"/>
        <v>151027.85593600001</v>
      </c>
      <c r="AV178" s="55">
        <f t="shared" ref="AV178:BD182" si="141">$E178+IF(AV$2=2026,($E178*$F178),0)+IF((AV$2=2027),(($E178*$F178)+($E178+$E178*$F178)*$F178),0)+IF((AV$2=2028),(($E178*$F178)+($E178+$E178*$F178)*$F178)+($E178+($E178+$E178*$F178)*$F178)*$F178,0)</f>
        <v>151027.85593600001</v>
      </c>
      <c r="AW178" s="55">
        <f t="shared" si="141"/>
        <v>151027.85593600001</v>
      </c>
      <c r="AX178" s="55">
        <f t="shared" si="141"/>
        <v>151027.85593600001</v>
      </c>
      <c r="AY178" s="55">
        <f t="shared" si="141"/>
        <v>151027.85593600001</v>
      </c>
      <c r="AZ178" s="55">
        <f t="shared" si="141"/>
        <v>151027.85593600001</v>
      </c>
      <c r="BA178" s="55">
        <f t="shared" si="141"/>
        <v>151027.85593600001</v>
      </c>
      <c r="BB178" s="55">
        <f t="shared" si="141"/>
        <v>151027.85593600001</v>
      </c>
      <c r="BC178" s="55">
        <f t="shared" si="141"/>
        <v>151027.85593600001</v>
      </c>
      <c r="BD178" s="55">
        <f t="shared" si="141"/>
        <v>151027.85593600001</v>
      </c>
      <c r="BE178" s="46"/>
    </row>
    <row r="179" spans="1:57" s="58" customFormat="1" ht="14.25" customHeight="1" x14ac:dyDescent="0.3">
      <c r="A179" s="46"/>
      <c r="B179" s="37"/>
      <c r="C179" s="46" t="s">
        <v>128</v>
      </c>
      <c r="D179" s="46"/>
      <c r="E179" s="53">
        <v>92500</v>
      </c>
      <c r="F179" s="54">
        <v>0.08</v>
      </c>
      <c r="G179" s="56"/>
      <c r="H179" s="56"/>
      <c r="I179" s="55">
        <v>92500</v>
      </c>
      <c r="J179" s="55">
        <v>92500</v>
      </c>
      <c r="K179" s="55">
        <v>92500</v>
      </c>
      <c r="L179" s="55">
        <v>92500</v>
      </c>
      <c r="M179" s="55">
        <v>92500</v>
      </c>
      <c r="N179" s="55">
        <v>92500</v>
      </c>
      <c r="O179" s="55">
        <v>92500</v>
      </c>
      <c r="P179" s="55">
        <f t="shared" si="139"/>
        <v>92500</v>
      </c>
      <c r="Q179" s="55">
        <f t="shared" si="139"/>
        <v>92500</v>
      </c>
      <c r="R179" s="55">
        <f t="shared" si="139"/>
        <v>92500</v>
      </c>
      <c r="S179" s="55">
        <f t="shared" si="139"/>
        <v>92500</v>
      </c>
      <c r="T179" s="55">
        <f t="shared" si="139"/>
        <v>92500</v>
      </c>
      <c r="U179" s="55">
        <f t="shared" si="139"/>
        <v>99900</v>
      </c>
      <c r="V179" s="55">
        <f t="shared" si="139"/>
        <v>99900</v>
      </c>
      <c r="W179" s="55">
        <f t="shared" si="139"/>
        <v>99900</v>
      </c>
      <c r="X179" s="55">
        <f t="shared" si="139"/>
        <v>99900</v>
      </c>
      <c r="Y179" s="55">
        <f t="shared" si="139"/>
        <v>99900</v>
      </c>
      <c r="Z179" s="55">
        <f t="shared" si="139"/>
        <v>99900</v>
      </c>
      <c r="AA179" s="55">
        <f t="shared" si="139"/>
        <v>99900</v>
      </c>
      <c r="AB179" s="55">
        <f t="shared" si="139"/>
        <v>99900</v>
      </c>
      <c r="AC179" s="55">
        <f t="shared" si="139"/>
        <v>99900</v>
      </c>
      <c r="AD179" s="55">
        <f t="shared" si="139"/>
        <v>99900</v>
      </c>
      <c r="AE179" s="55">
        <f t="shared" si="139"/>
        <v>99900</v>
      </c>
      <c r="AF179" s="55">
        <f t="shared" si="140"/>
        <v>99900</v>
      </c>
      <c r="AG179" s="55">
        <f t="shared" si="140"/>
        <v>107892</v>
      </c>
      <c r="AH179" s="55">
        <f t="shared" si="140"/>
        <v>107892</v>
      </c>
      <c r="AI179" s="55">
        <f t="shared" si="140"/>
        <v>107892</v>
      </c>
      <c r="AJ179" s="55">
        <f t="shared" si="140"/>
        <v>107892</v>
      </c>
      <c r="AK179" s="55">
        <f t="shared" si="140"/>
        <v>107892</v>
      </c>
      <c r="AL179" s="55">
        <f t="shared" si="140"/>
        <v>107892</v>
      </c>
      <c r="AM179" s="55">
        <f t="shared" si="140"/>
        <v>107892</v>
      </c>
      <c r="AN179" s="55">
        <f t="shared" si="140"/>
        <v>107892</v>
      </c>
      <c r="AO179" s="55">
        <f t="shared" si="140"/>
        <v>107892</v>
      </c>
      <c r="AP179" s="55">
        <f t="shared" si="140"/>
        <v>107892</v>
      </c>
      <c r="AQ179" s="55">
        <f t="shared" si="140"/>
        <v>107892</v>
      </c>
      <c r="AR179" s="55">
        <f t="shared" si="140"/>
        <v>107892</v>
      </c>
      <c r="AS179" s="55">
        <f t="shared" si="140"/>
        <v>115931.36</v>
      </c>
      <c r="AT179" s="55">
        <f t="shared" si="140"/>
        <v>115931.36</v>
      </c>
      <c r="AU179" s="55">
        <f t="shared" si="140"/>
        <v>115931.36</v>
      </c>
      <c r="AV179" s="55">
        <f t="shared" si="141"/>
        <v>115931.36</v>
      </c>
      <c r="AW179" s="55">
        <f t="shared" si="141"/>
        <v>115931.36</v>
      </c>
      <c r="AX179" s="55">
        <f t="shared" si="141"/>
        <v>115931.36</v>
      </c>
      <c r="AY179" s="55">
        <f t="shared" si="141"/>
        <v>115931.36</v>
      </c>
      <c r="AZ179" s="55">
        <f t="shared" si="141"/>
        <v>115931.36</v>
      </c>
      <c r="BA179" s="55">
        <f t="shared" si="141"/>
        <v>115931.36</v>
      </c>
      <c r="BB179" s="55">
        <f t="shared" si="141"/>
        <v>115931.36</v>
      </c>
      <c r="BC179" s="55">
        <f t="shared" si="141"/>
        <v>115931.36</v>
      </c>
      <c r="BD179" s="55">
        <f t="shared" si="141"/>
        <v>115931.36</v>
      </c>
      <c r="BE179" s="57"/>
    </row>
    <row r="180" spans="1:57" ht="14.25" customHeight="1" x14ac:dyDescent="0.3">
      <c r="A180" s="46"/>
      <c r="B180" s="37"/>
      <c r="C180" s="46" t="s">
        <v>129</v>
      </c>
      <c r="D180" s="46"/>
      <c r="E180" s="59">
        <f>166667*2</f>
        <v>333334</v>
      </c>
      <c r="F180" s="54">
        <v>0.08</v>
      </c>
      <c r="G180" s="60" t="s">
        <v>130</v>
      </c>
      <c r="H180" s="46"/>
      <c r="I180" s="55">
        <v>333334</v>
      </c>
      <c r="J180" s="55">
        <v>333334</v>
      </c>
      <c r="K180" s="55">
        <v>333334</v>
      </c>
      <c r="L180" s="55">
        <v>333334</v>
      </c>
      <c r="M180" s="55">
        <v>333334</v>
      </c>
      <c r="N180" s="55">
        <v>333334</v>
      </c>
      <c r="O180" s="55">
        <v>333334</v>
      </c>
      <c r="P180" s="55">
        <f t="shared" si="139"/>
        <v>333334</v>
      </c>
      <c r="Q180" s="55">
        <f t="shared" si="139"/>
        <v>333334</v>
      </c>
      <c r="R180" s="55">
        <f t="shared" si="139"/>
        <v>333334</v>
      </c>
      <c r="S180" s="55">
        <f t="shared" si="139"/>
        <v>333334</v>
      </c>
      <c r="T180" s="55">
        <f t="shared" si="139"/>
        <v>333334</v>
      </c>
      <c r="U180" s="55">
        <f t="shared" si="139"/>
        <v>360000.72</v>
      </c>
      <c r="V180" s="55">
        <f t="shared" si="139"/>
        <v>360000.72</v>
      </c>
      <c r="W180" s="55">
        <f t="shared" si="139"/>
        <v>360000.72</v>
      </c>
      <c r="X180" s="55">
        <f t="shared" si="139"/>
        <v>360000.72</v>
      </c>
      <c r="Y180" s="55">
        <f t="shared" si="139"/>
        <v>360000.72</v>
      </c>
      <c r="Z180" s="55">
        <f t="shared" si="139"/>
        <v>360000.72</v>
      </c>
      <c r="AA180" s="55">
        <f t="shared" si="139"/>
        <v>360000.72</v>
      </c>
      <c r="AB180" s="55">
        <f t="shared" si="139"/>
        <v>360000.72</v>
      </c>
      <c r="AC180" s="55">
        <f t="shared" si="139"/>
        <v>360000.72</v>
      </c>
      <c r="AD180" s="55">
        <f t="shared" si="139"/>
        <v>360000.72</v>
      </c>
      <c r="AE180" s="55">
        <f t="shared" si="139"/>
        <v>360000.72</v>
      </c>
      <c r="AF180" s="55">
        <f t="shared" si="140"/>
        <v>360000.72</v>
      </c>
      <c r="AG180" s="55">
        <f t="shared" si="140"/>
        <v>388800.77760000003</v>
      </c>
      <c r="AH180" s="55">
        <f t="shared" si="140"/>
        <v>388800.77760000003</v>
      </c>
      <c r="AI180" s="55">
        <f t="shared" si="140"/>
        <v>388800.77760000003</v>
      </c>
      <c r="AJ180" s="55">
        <f t="shared" si="140"/>
        <v>388800.77760000003</v>
      </c>
      <c r="AK180" s="55">
        <f t="shared" si="140"/>
        <v>388800.77760000003</v>
      </c>
      <c r="AL180" s="55">
        <f t="shared" si="140"/>
        <v>388800.77760000003</v>
      </c>
      <c r="AM180" s="55">
        <f t="shared" si="140"/>
        <v>388800.77760000003</v>
      </c>
      <c r="AN180" s="55">
        <f t="shared" si="140"/>
        <v>388800.77760000003</v>
      </c>
      <c r="AO180" s="55">
        <f t="shared" si="140"/>
        <v>388800.77760000003</v>
      </c>
      <c r="AP180" s="55">
        <f t="shared" si="140"/>
        <v>388800.77760000003</v>
      </c>
      <c r="AQ180" s="55">
        <f t="shared" si="140"/>
        <v>388800.77760000003</v>
      </c>
      <c r="AR180" s="55">
        <f t="shared" si="140"/>
        <v>388800.77760000003</v>
      </c>
      <c r="AS180" s="55">
        <f t="shared" si="140"/>
        <v>417771.50220799999</v>
      </c>
      <c r="AT180" s="55">
        <f t="shared" si="140"/>
        <v>417771.50220799999</v>
      </c>
      <c r="AU180" s="55">
        <f t="shared" si="140"/>
        <v>417771.50220799999</v>
      </c>
      <c r="AV180" s="55">
        <f t="shared" si="141"/>
        <v>417771.50220799999</v>
      </c>
      <c r="AW180" s="55">
        <f t="shared" si="141"/>
        <v>417771.50220799999</v>
      </c>
      <c r="AX180" s="55">
        <f t="shared" si="141"/>
        <v>417771.50220799999</v>
      </c>
      <c r="AY180" s="55">
        <f t="shared" si="141"/>
        <v>417771.50220799999</v>
      </c>
      <c r="AZ180" s="55">
        <f t="shared" si="141"/>
        <v>417771.50220799999</v>
      </c>
      <c r="BA180" s="55">
        <f t="shared" si="141"/>
        <v>417771.50220799999</v>
      </c>
      <c r="BB180" s="55">
        <f t="shared" si="141"/>
        <v>417771.50220799999</v>
      </c>
      <c r="BC180" s="55">
        <f t="shared" si="141"/>
        <v>417771.50220799999</v>
      </c>
      <c r="BD180" s="55">
        <f t="shared" si="141"/>
        <v>417771.50220799999</v>
      </c>
      <c r="BE180" s="46"/>
    </row>
    <row r="181" spans="1:57" ht="14.25" customHeight="1" x14ac:dyDescent="0.3">
      <c r="A181" s="46"/>
      <c r="B181" s="37"/>
      <c r="C181" s="46" t="s">
        <v>131</v>
      </c>
      <c r="E181" s="53">
        <v>250000</v>
      </c>
      <c r="F181" s="54">
        <v>0</v>
      </c>
      <c r="G181" s="60" t="s">
        <v>132</v>
      </c>
      <c r="H181" s="46"/>
      <c r="I181" s="55">
        <v>250000</v>
      </c>
      <c r="J181" s="55">
        <v>250000</v>
      </c>
      <c r="K181" s="55">
        <v>250000</v>
      </c>
      <c r="L181" s="55">
        <v>250000</v>
      </c>
      <c r="M181" s="55">
        <v>250000</v>
      </c>
      <c r="N181" s="55">
        <v>250000</v>
      </c>
      <c r="O181" s="55">
        <v>250000</v>
      </c>
      <c r="P181" s="55">
        <f t="shared" si="139"/>
        <v>250000</v>
      </c>
      <c r="Q181" s="55">
        <f t="shared" si="139"/>
        <v>250000</v>
      </c>
      <c r="R181" s="55">
        <f t="shared" si="139"/>
        <v>250000</v>
      </c>
      <c r="S181" s="55">
        <f t="shared" si="139"/>
        <v>250000</v>
      </c>
      <c r="T181" s="55">
        <f t="shared" si="139"/>
        <v>250000</v>
      </c>
      <c r="U181" s="55">
        <f t="shared" si="139"/>
        <v>250000</v>
      </c>
      <c r="V181" s="55">
        <f t="shared" si="139"/>
        <v>250000</v>
      </c>
      <c r="W181" s="55">
        <f t="shared" si="139"/>
        <v>250000</v>
      </c>
      <c r="X181" s="55">
        <f t="shared" si="139"/>
        <v>250000</v>
      </c>
      <c r="Y181" s="55">
        <f t="shared" si="139"/>
        <v>250000</v>
      </c>
      <c r="Z181" s="55">
        <f t="shared" si="139"/>
        <v>250000</v>
      </c>
      <c r="AA181" s="55">
        <f t="shared" si="139"/>
        <v>250000</v>
      </c>
      <c r="AB181" s="55">
        <f t="shared" si="139"/>
        <v>250000</v>
      </c>
      <c r="AC181" s="55">
        <f t="shared" si="139"/>
        <v>250000</v>
      </c>
      <c r="AD181" s="55">
        <f t="shared" si="139"/>
        <v>250000</v>
      </c>
      <c r="AE181" s="55">
        <f t="shared" si="139"/>
        <v>250000</v>
      </c>
      <c r="AF181" s="55">
        <f t="shared" si="140"/>
        <v>250000</v>
      </c>
      <c r="AG181" s="55">
        <f t="shared" si="140"/>
        <v>250000</v>
      </c>
      <c r="AH181" s="55">
        <f t="shared" si="140"/>
        <v>250000</v>
      </c>
      <c r="AI181" s="55">
        <f t="shared" si="140"/>
        <v>250000</v>
      </c>
      <c r="AJ181" s="55">
        <f t="shared" si="140"/>
        <v>250000</v>
      </c>
      <c r="AK181" s="55">
        <f t="shared" si="140"/>
        <v>250000</v>
      </c>
      <c r="AL181" s="55">
        <f t="shared" si="140"/>
        <v>250000</v>
      </c>
      <c r="AM181" s="55">
        <f t="shared" si="140"/>
        <v>250000</v>
      </c>
      <c r="AN181" s="55">
        <f t="shared" si="140"/>
        <v>250000</v>
      </c>
      <c r="AO181" s="55">
        <f t="shared" si="140"/>
        <v>250000</v>
      </c>
      <c r="AP181" s="55">
        <f t="shared" si="140"/>
        <v>250000</v>
      </c>
      <c r="AQ181" s="55">
        <f t="shared" si="140"/>
        <v>250000</v>
      </c>
      <c r="AR181" s="55">
        <f t="shared" si="140"/>
        <v>250000</v>
      </c>
      <c r="AS181" s="55">
        <f t="shared" si="140"/>
        <v>250000</v>
      </c>
      <c r="AT181" s="55">
        <f t="shared" si="140"/>
        <v>250000</v>
      </c>
      <c r="AU181" s="55">
        <f t="shared" si="140"/>
        <v>250000</v>
      </c>
      <c r="AV181" s="55">
        <f t="shared" si="141"/>
        <v>250000</v>
      </c>
      <c r="AW181" s="55">
        <f t="shared" si="141"/>
        <v>250000</v>
      </c>
      <c r="AX181" s="55">
        <f t="shared" si="141"/>
        <v>250000</v>
      </c>
      <c r="AY181" s="55">
        <f t="shared" si="141"/>
        <v>250000</v>
      </c>
      <c r="AZ181" s="55">
        <f t="shared" si="141"/>
        <v>250000</v>
      </c>
      <c r="BA181" s="55">
        <f t="shared" si="141"/>
        <v>250000</v>
      </c>
      <c r="BB181" s="55">
        <f t="shared" si="141"/>
        <v>250000</v>
      </c>
      <c r="BC181" s="55">
        <f t="shared" si="141"/>
        <v>250000</v>
      </c>
      <c r="BD181" s="55">
        <f t="shared" si="141"/>
        <v>250000</v>
      </c>
      <c r="BE181" s="55"/>
    </row>
    <row r="182" spans="1:57" ht="14.25" customHeight="1" x14ac:dyDescent="0.3">
      <c r="A182" s="46"/>
      <c r="B182" s="37"/>
      <c r="C182" s="46" t="s">
        <v>133</v>
      </c>
      <c r="D182" s="46"/>
      <c r="E182" s="53">
        <v>55500</v>
      </c>
      <c r="F182" s="54">
        <v>0.08</v>
      </c>
      <c r="G182" s="46"/>
      <c r="H182" s="46"/>
      <c r="I182" s="55">
        <v>0</v>
      </c>
      <c r="J182" s="55">
        <v>0</v>
      </c>
      <c r="K182" s="55">
        <v>0</v>
      </c>
      <c r="L182" s="55">
        <v>0</v>
      </c>
      <c r="M182" s="55">
        <v>0</v>
      </c>
      <c r="N182" s="55">
        <v>0</v>
      </c>
      <c r="O182" s="55">
        <v>227500</v>
      </c>
      <c r="P182" s="55">
        <v>0</v>
      </c>
      <c r="Q182" s="55">
        <v>0</v>
      </c>
      <c r="R182" s="55">
        <v>0</v>
      </c>
      <c r="S182" s="55">
        <v>0</v>
      </c>
      <c r="T182" s="55">
        <v>0</v>
      </c>
      <c r="U182" s="55">
        <f t="shared" si="139"/>
        <v>59940</v>
      </c>
      <c r="V182" s="55">
        <f t="shared" si="139"/>
        <v>59940</v>
      </c>
      <c r="W182" s="55">
        <f t="shared" si="139"/>
        <v>59940</v>
      </c>
      <c r="X182" s="55">
        <f t="shared" si="139"/>
        <v>59940</v>
      </c>
      <c r="Y182" s="55">
        <f t="shared" si="139"/>
        <v>59940</v>
      </c>
      <c r="Z182" s="55">
        <f t="shared" si="139"/>
        <v>59940</v>
      </c>
      <c r="AA182" s="55">
        <f t="shared" si="139"/>
        <v>59940</v>
      </c>
      <c r="AB182" s="55">
        <f t="shared" si="139"/>
        <v>59940</v>
      </c>
      <c r="AC182" s="55">
        <f t="shared" si="139"/>
        <v>59940</v>
      </c>
      <c r="AD182" s="55">
        <f t="shared" si="139"/>
        <v>59940</v>
      </c>
      <c r="AE182" s="55">
        <f t="shared" si="139"/>
        <v>59940</v>
      </c>
      <c r="AF182" s="55">
        <f t="shared" si="140"/>
        <v>59940</v>
      </c>
      <c r="AG182" s="55">
        <f t="shared" si="140"/>
        <v>64735.199999999997</v>
      </c>
      <c r="AH182" s="55">
        <f t="shared" si="140"/>
        <v>64735.199999999997</v>
      </c>
      <c r="AI182" s="55">
        <f t="shared" si="140"/>
        <v>64735.199999999997</v>
      </c>
      <c r="AJ182" s="55">
        <f t="shared" si="140"/>
        <v>64735.199999999997</v>
      </c>
      <c r="AK182" s="55">
        <f t="shared" si="140"/>
        <v>64735.199999999997</v>
      </c>
      <c r="AL182" s="55">
        <f t="shared" si="140"/>
        <v>64735.199999999997</v>
      </c>
      <c r="AM182" s="55">
        <f t="shared" si="140"/>
        <v>64735.199999999997</v>
      </c>
      <c r="AN182" s="55">
        <f t="shared" si="140"/>
        <v>64735.199999999997</v>
      </c>
      <c r="AO182" s="55">
        <f t="shared" si="140"/>
        <v>64735.199999999997</v>
      </c>
      <c r="AP182" s="55">
        <f t="shared" si="140"/>
        <v>64735.199999999997</v>
      </c>
      <c r="AQ182" s="55">
        <f t="shared" si="140"/>
        <v>64735.199999999997</v>
      </c>
      <c r="AR182" s="55">
        <f t="shared" si="140"/>
        <v>64735.199999999997</v>
      </c>
      <c r="AS182" s="55">
        <f t="shared" si="140"/>
        <v>69558.816000000006</v>
      </c>
      <c r="AT182" s="55">
        <f t="shared" si="140"/>
        <v>69558.816000000006</v>
      </c>
      <c r="AU182" s="55">
        <f t="shared" si="140"/>
        <v>69558.816000000006</v>
      </c>
      <c r="AV182" s="55">
        <f t="shared" si="141"/>
        <v>69558.816000000006</v>
      </c>
      <c r="AW182" s="55">
        <f t="shared" si="141"/>
        <v>69558.816000000006</v>
      </c>
      <c r="AX182" s="55">
        <f t="shared" si="141"/>
        <v>69558.816000000006</v>
      </c>
      <c r="AY182" s="55">
        <f t="shared" si="141"/>
        <v>69558.816000000006</v>
      </c>
      <c r="AZ182" s="55">
        <f t="shared" si="141"/>
        <v>69558.816000000006</v>
      </c>
      <c r="BA182" s="55">
        <f t="shared" si="141"/>
        <v>69558.816000000006</v>
      </c>
      <c r="BB182" s="55">
        <f t="shared" si="141"/>
        <v>69558.816000000006</v>
      </c>
      <c r="BC182" s="55">
        <f t="shared" si="141"/>
        <v>69558.816000000006</v>
      </c>
      <c r="BD182" s="55">
        <f t="shared" si="141"/>
        <v>69558.816000000006</v>
      </c>
      <c r="BE182" s="55"/>
    </row>
    <row r="183" spans="1:57" ht="14.25" customHeight="1" x14ac:dyDescent="0.3">
      <c r="A183" s="46"/>
      <c r="B183" s="37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  <c r="AF183" s="46"/>
      <c r="AG183" s="46"/>
      <c r="AH183" s="46"/>
      <c r="AI183" s="46"/>
      <c r="AJ183" s="46"/>
      <c r="AK183" s="46"/>
      <c r="AL183" s="46"/>
      <c r="AM183" s="46"/>
      <c r="AN183" s="46"/>
      <c r="AO183" s="46"/>
      <c r="AP183" s="46"/>
      <c r="AQ183" s="46"/>
      <c r="AR183" s="46"/>
      <c r="AS183" s="46"/>
      <c r="AT183" s="46"/>
      <c r="AU183" s="46"/>
      <c r="AV183" s="46"/>
      <c r="AW183" s="46"/>
      <c r="AX183" s="46"/>
      <c r="AY183" s="46"/>
      <c r="AZ183" s="46"/>
      <c r="BA183" s="46"/>
      <c r="BB183" s="46"/>
      <c r="BC183" s="46"/>
      <c r="BD183" s="46"/>
      <c r="BE183" s="46"/>
    </row>
    <row r="184" spans="1:57" ht="14.25" customHeight="1" x14ac:dyDescent="0.3">
      <c r="A184" s="46"/>
      <c r="B184" s="37"/>
      <c r="C184" s="37" t="s">
        <v>134</v>
      </c>
      <c r="D184" s="53">
        <v>70</v>
      </c>
      <c r="E184" s="46"/>
      <c r="F184" s="46"/>
      <c r="G184" s="46"/>
      <c r="H184" s="46"/>
      <c r="I184" s="46">
        <v>0</v>
      </c>
      <c r="J184" s="46">
        <v>0</v>
      </c>
      <c r="K184" s="46">
        <v>0</v>
      </c>
      <c r="L184" s="46">
        <v>0</v>
      </c>
      <c r="M184" s="46">
        <v>0</v>
      </c>
      <c r="N184" s="46">
        <v>0</v>
      </c>
      <c r="O184" s="46">
        <v>0</v>
      </c>
      <c r="P184" s="46">
        <f t="shared" ref="P184:BD184" si="142">ROUNDUP(P$154/$D184,0)</f>
        <v>4</v>
      </c>
      <c r="Q184" s="46">
        <f t="shared" si="142"/>
        <v>5</v>
      </c>
      <c r="R184" s="46">
        <f t="shared" si="142"/>
        <v>5</v>
      </c>
      <c r="S184" s="46">
        <f t="shared" si="142"/>
        <v>6</v>
      </c>
      <c r="T184" s="46">
        <f t="shared" si="142"/>
        <v>6</v>
      </c>
      <c r="U184" s="46">
        <f t="shared" si="142"/>
        <v>6</v>
      </c>
      <c r="V184" s="46">
        <f t="shared" si="142"/>
        <v>6</v>
      </c>
      <c r="W184" s="46">
        <f t="shared" si="142"/>
        <v>7</v>
      </c>
      <c r="X184" s="46">
        <f t="shared" si="142"/>
        <v>7</v>
      </c>
      <c r="Y184" s="46">
        <f t="shared" si="142"/>
        <v>7</v>
      </c>
      <c r="Z184" s="46">
        <f t="shared" si="142"/>
        <v>7</v>
      </c>
      <c r="AA184" s="46">
        <f t="shared" si="142"/>
        <v>8</v>
      </c>
      <c r="AB184" s="46">
        <f t="shared" si="142"/>
        <v>8</v>
      </c>
      <c r="AC184" s="46">
        <f t="shared" si="142"/>
        <v>8</v>
      </c>
      <c r="AD184" s="46">
        <f t="shared" si="142"/>
        <v>8</v>
      </c>
      <c r="AE184" s="46">
        <f t="shared" si="142"/>
        <v>9</v>
      </c>
      <c r="AF184" s="46">
        <f t="shared" si="142"/>
        <v>9</v>
      </c>
      <c r="AG184" s="46">
        <f t="shared" si="142"/>
        <v>9</v>
      </c>
      <c r="AH184" s="46">
        <f t="shared" si="142"/>
        <v>9</v>
      </c>
      <c r="AI184" s="46">
        <f t="shared" si="142"/>
        <v>9</v>
      </c>
      <c r="AJ184" s="46">
        <f t="shared" si="142"/>
        <v>9</v>
      </c>
      <c r="AK184" s="46">
        <f t="shared" si="142"/>
        <v>10</v>
      </c>
      <c r="AL184" s="46">
        <f t="shared" si="142"/>
        <v>10</v>
      </c>
      <c r="AM184" s="46">
        <f t="shared" si="142"/>
        <v>10</v>
      </c>
      <c r="AN184" s="46">
        <f t="shared" si="142"/>
        <v>10</v>
      </c>
      <c r="AO184" s="46">
        <f t="shared" si="142"/>
        <v>11</v>
      </c>
      <c r="AP184" s="46">
        <f t="shared" si="142"/>
        <v>11</v>
      </c>
      <c r="AQ184" s="46">
        <f t="shared" si="142"/>
        <v>11</v>
      </c>
      <c r="AR184" s="46">
        <f t="shared" si="142"/>
        <v>11</v>
      </c>
      <c r="AS184" s="46">
        <f t="shared" si="142"/>
        <v>12</v>
      </c>
      <c r="AT184" s="46">
        <f t="shared" si="142"/>
        <v>12</v>
      </c>
      <c r="AU184" s="46">
        <f t="shared" si="142"/>
        <v>12</v>
      </c>
      <c r="AV184" s="46">
        <f t="shared" si="142"/>
        <v>13</v>
      </c>
      <c r="AW184" s="46">
        <f t="shared" si="142"/>
        <v>13</v>
      </c>
      <c r="AX184" s="46">
        <f t="shared" si="142"/>
        <v>13</v>
      </c>
      <c r="AY184" s="46">
        <f t="shared" si="142"/>
        <v>14</v>
      </c>
      <c r="AZ184" s="46">
        <f t="shared" si="142"/>
        <v>14</v>
      </c>
      <c r="BA184" s="46">
        <f t="shared" si="142"/>
        <v>15</v>
      </c>
      <c r="BB184" s="46">
        <f t="shared" si="142"/>
        <v>15</v>
      </c>
      <c r="BC184" s="46">
        <f t="shared" si="142"/>
        <v>15</v>
      </c>
      <c r="BD184" s="46">
        <f t="shared" si="142"/>
        <v>16</v>
      </c>
      <c r="BE184" s="46"/>
    </row>
    <row r="185" spans="1:57" ht="14.25" customHeight="1" x14ac:dyDescent="0.3">
      <c r="A185" s="46"/>
      <c r="B185" s="37"/>
      <c r="C185" s="46" t="s">
        <v>135</v>
      </c>
      <c r="D185" s="53">
        <v>1</v>
      </c>
      <c r="E185" s="53">
        <v>57000</v>
      </c>
      <c r="F185" s="61"/>
      <c r="G185" s="46"/>
      <c r="H185" s="46"/>
      <c r="I185" s="46">
        <f>IF(I$184&gt;=$D185,$E185,0)</f>
        <v>0</v>
      </c>
      <c r="J185" s="46">
        <f t="shared" ref="J185:Y189" si="143">IF(J$184&gt;=$D185,$E185,0)</f>
        <v>0</v>
      </c>
      <c r="K185" s="46">
        <f t="shared" si="143"/>
        <v>0</v>
      </c>
      <c r="L185" s="46">
        <f t="shared" si="143"/>
        <v>0</v>
      </c>
      <c r="M185" s="46">
        <f t="shared" si="143"/>
        <v>0</v>
      </c>
      <c r="N185" s="46">
        <f t="shared" si="143"/>
        <v>0</v>
      </c>
      <c r="O185" s="46">
        <f t="shared" si="143"/>
        <v>0</v>
      </c>
      <c r="P185" s="46">
        <f t="shared" si="143"/>
        <v>57000</v>
      </c>
      <c r="Q185" s="46">
        <f t="shared" si="143"/>
        <v>57000</v>
      </c>
      <c r="R185" s="46">
        <f t="shared" si="143"/>
        <v>57000</v>
      </c>
      <c r="S185" s="46">
        <f t="shared" si="143"/>
        <v>57000</v>
      </c>
      <c r="T185" s="46">
        <f t="shared" si="143"/>
        <v>57000</v>
      </c>
      <c r="U185" s="46">
        <f t="shared" si="143"/>
        <v>57000</v>
      </c>
      <c r="V185" s="46">
        <f t="shared" si="143"/>
        <v>57000</v>
      </c>
      <c r="W185" s="46">
        <f t="shared" si="143"/>
        <v>57000</v>
      </c>
      <c r="X185" s="46">
        <f t="shared" si="143"/>
        <v>57000</v>
      </c>
      <c r="Y185" s="46">
        <f t="shared" si="143"/>
        <v>57000</v>
      </c>
      <c r="Z185" s="46">
        <f t="shared" ref="Z185:AO189" si="144">IF(Z$184&gt;=$D185,$E185,0)</f>
        <v>57000</v>
      </c>
      <c r="AA185" s="46">
        <f t="shared" si="144"/>
        <v>57000</v>
      </c>
      <c r="AB185" s="46">
        <f t="shared" si="144"/>
        <v>57000</v>
      </c>
      <c r="AC185" s="46">
        <f t="shared" si="144"/>
        <v>57000</v>
      </c>
      <c r="AD185" s="46">
        <f t="shared" si="144"/>
        <v>57000</v>
      </c>
      <c r="AE185" s="46">
        <f t="shared" si="144"/>
        <v>57000</v>
      </c>
      <c r="AF185" s="46">
        <f t="shared" si="144"/>
        <v>57000</v>
      </c>
      <c r="AG185" s="46">
        <f t="shared" si="144"/>
        <v>57000</v>
      </c>
      <c r="AH185" s="46">
        <f t="shared" si="144"/>
        <v>57000</v>
      </c>
      <c r="AI185" s="46">
        <f t="shared" si="144"/>
        <v>57000</v>
      </c>
      <c r="AJ185" s="46">
        <f t="shared" si="144"/>
        <v>57000</v>
      </c>
      <c r="AK185" s="46">
        <f t="shared" si="144"/>
        <v>57000</v>
      </c>
      <c r="AL185" s="46">
        <f t="shared" si="144"/>
        <v>57000</v>
      </c>
      <c r="AM185" s="46">
        <f t="shared" si="144"/>
        <v>57000</v>
      </c>
      <c r="AN185" s="46">
        <f t="shared" si="144"/>
        <v>57000</v>
      </c>
      <c r="AO185" s="46">
        <f t="shared" si="144"/>
        <v>57000</v>
      </c>
      <c r="AP185" s="46">
        <f t="shared" ref="AP185:BD189" si="145">IF(AP$184&gt;=$D185,$E185,0)</f>
        <v>57000</v>
      </c>
      <c r="AQ185" s="46">
        <f t="shared" si="145"/>
        <v>57000</v>
      </c>
      <c r="AR185" s="46">
        <f t="shared" si="145"/>
        <v>57000</v>
      </c>
      <c r="AS185" s="46">
        <f t="shared" si="145"/>
        <v>57000</v>
      </c>
      <c r="AT185" s="46">
        <f t="shared" si="145"/>
        <v>57000</v>
      </c>
      <c r="AU185" s="46">
        <f t="shared" si="145"/>
        <v>57000</v>
      </c>
      <c r="AV185" s="46">
        <f t="shared" si="145"/>
        <v>57000</v>
      </c>
      <c r="AW185" s="46">
        <f t="shared" si="145"/>
        <v>57000</v>
      </c>
      <c r="AX185" s="46">
        <f t="shared" si="145"/>
        <v>57000</v>
      </c>
      <c r="AY185" s="46">
        <f t="shared" si="145"/>
        <v>57000</v>
      </c>
      <c r="AZ185" s="46">
        <f t="shared" si="145"/>
        <v>57000</v>
      </c>
      <c r="BA185" s="46">
        <f t="shared" si="145"/>
        <v>57000</v>
      </c>
      <c r="BB185" s="46">
        <f t="shared" si="145"/>
        <v>57000</v>
      </c>
      <c r="BC185" s="46">
        <f t="shared" si="145"/>
        <v>57000</v>
      </c>
      <c r="BD185" s="46">
        <f t="shared" si="145"/>
        <v>57000</v>
      </c>
      <c r="BE185" s="46"/>
    </row>
    <row r="186" spans="1:57" ht="14.25" customHeight="1" x14ac:dyDescent="0.3">
      <c r="A186" s="46"/>
      <c r="B186" s="37"/>
      <c r="C186" s="46" t="s">
        <v>136</v>
      </c>
      <c r="D186" s="56">
        <f>D185+1</f>
        <v>2</v>
      </c>
      <c r="E186" s="53">
        <v>39600</v>
      </c>
      <c r="F186" s="61"/>
      <c r="G186" s="46"/>
      <c r="H186" s="46"/>
      <c r="I186" s="46">
        <f t="shared" ref="I186:X189" si="146">IF(I$184&gt;=$D186,$E186,0)</f>
        <v>0</v>
      </c>
      <c r="J186" s="46">
        <f t="shared" si="146"/>
        <v>0</v>
      </c>
      <c r="K186" s="46">
        <f t="shared" si="146"/>
        <v>0</v>
      </c>
      <c r="L186" s="46">
        <f t="shared" si="146"/>
        <v>0</v>
      </c>
      <c r="M186" s="46">
        <f t="shared" si="146"/>
        <v>0</v>
      </c>
      <c r="N186" s="46">
        <f t="shared" si="146"/>
        <v>0</v>
      </c>
      <c r="O186" s="46">
        <f t="shared" si="146"/>
        <v>0</v>
      </c>
      <c r="P186" s="46">
        <f t="shared" si="146"/>
        <v>39600</v>
      </c>
      <c r="Q186" s="46">
        <f t="shared" si="146"/>
        <v>39600</v>
      </c>
      <c r="R186" s="46">
        <f t="shared" si="146"/>
        <v>39600</v>
      </c>
      <c r="S186" s="46">
        <f t="shared" si="146"/>
        <v>39600</v>
      </c>
      <c r="T186" s="46">
        <f t="shared" si="146"/>
        <v>39600</v>
      </c>
      <c r="U186" s="46">
        <f t="shared" si="146"/>
        <v>39600</v>
      </c>
      <c r="V186" s="46">
        <f t="shared" si="146"/>
        <v>39600</v>
      </c>
      <c r="W186" s="46">
        <f t="shared" si="146"/>
        <v>39600</v>
      </c>
      <c r="X186" s="46">
        <f t="shared" si="146"/>
        <v>39600</v>
      </c>
      <c r="Y186" s="46">
        <f t="shared" si="143"/>
        <v>39600</v>
      </c>
      <c r="Z186" s="46">
        <f t="shared" si="144"/>
        <v>39600</v>
      </c>
      <c r="AA186" s="46">
        <f t="shared" si="144"/>
        <v>39600</v>
      </c>
      <c r="AB186" s="46">
        <f t="shared" si="144"/>
        <v>39600</v>
      </c>
      <c r="AC186" s="46">
        <f t="shared" si="144"/>
        <v>39600</v>
      </c>
      <c r="AD186" s="46">
        <f t="shared" si="144"/>
        <v>39600</v>
      </c>
      <c r="AE186" s="46">
        <f t="shared" si="144"/>
        <v>39600</v>
      </c>
      <c r="AF186" s="46">
        <f t="shared" si="144"/>
        <v>39600</v>
      </c>
      <c r="AG186" s="46">
        <f t="shared" si="144"/>
        <v>39600</v>
      </c>
      <c r="AH186" s="46">
        <f t="shared" si="144"/>
        <v>39600</v>
      </c>
      <c r="AI186" s="46">
        <f t="shared" si="144"/>
        <v>39600</v>
      </c>
      <c r="AJ186" s="46">
        <f t="shared" si="144"/>
        <v>39600</v>
      </c>
      <c r="AK186" s="46">
        <f t="shared" si="144"/>
        <v>39600</v>
      </c>
      <c r="AL186" s="46">
        <f t="shared" si="144"/>
        <v>39600</v>
      </c>
      <c r="AM186" s="46">
        <f t="shared" si="144"/>
        <v>39600</v>
      </c>
      <c r="AN186" s="46">
        <f t="shared" si="144"/>
        <v>39600</v>
      </c>
      <c r="AO186" s="46">
        <f t="shared" si="144"/>
        <v>39600</v>
      </c>
      <c r="AP186" s="46">
        <f t="shared" si="145"/>
        <v>39600</v>
      </c>
      <c r="AQ186" s="46">
        <f t="shared" si="145"/>
        <v>39600</v>
      </c>
      <c r="AR186" s="46">
        <f t="shared" si="145"/>
        <v>39600</v>
      </c>
      <c r="AS186" s="46">
        <f t="shared" si="145"/>
        <v>39600</v>
      </c>
      <c r="AT186" s="46">
        <f t="shared" si="145"/>
        <v>39600</v>
      </c>
      <c r="AU186" s="46">
        <f t="shared" si="145"/>
        <v>39600</v>
      </c>
      <c r="AV186" s="46">
        <f t="shared" si="145"/>
        <v>39600</v>
      </c>
      <c r="AW186" s="46">
        <f t="shared" si="145"/>
        <v>39600</v>
      </c>
      <c r="AX186" s="46">
        <f t="shared" si="145"/>
        <v>39600</v>
      </c>
      <c r="AY186" s="46">
        <f t="shared" si="145"/>
        <v>39600</v>
      </c>
      <c r="AZ186" s="46">
        <f t="shared" si="145"/>
        <v>39600</v>
      </c>
      <c r="BA186" s="46">
        <f t="shared" si="145"/>
        <v>39600</v>
      </c>
      <c r="BB186" s="46">
        <f t="shared" si="145"/>
        <v>39600</v>
      </c>
      <c r="BC186" s="46">
        <f t="shared" si="145"/>
        <v>39600</v>
      </c>
      <c r="BD186" s="46">
        <f t="shared" si="145"/>
        <v>39600</v>
      </c>
      <c r="BE186" s="46"/>
    </row>
    <row r="187" spans="1:57" ht="14.25" customHeight="1" x14ac:dyDescent="0.3">
      <c r="A187" s="46"/>
      <c r="B187" s="37"/>
      <c r="C187" s="46" t="s">
        <v>137</v>
      </c>
      <c r="D187" s="46">
        <f>1+D186</f>
        <v>3</v>
      </c>
      <c r="E187" s="53">
        <v>37100</v>
      </c>
      <c r="F187" s="61"/>
      <c r="G187" s="46"/>
      <c r="H187" s="46"/>
      <c r="I187" s="46">
        <f t="shared" si="146"/>
        <v>0</v>
      </c>
      <c r="J187" s="46">
        <f t="shared" si="146"/>
        <v>0</v>
      </c>
      <c r="K187" s="46">
        <f t="shared" si="146"/>
        <v>0</v>
      </c>
      <c r="L187" s="46">
        <f t="shared" si="146"/>
        <v>0</v>
      </c>
      <c r="M187" s="46">
        <f t="shared" si="146"/>
        <v>0</v>
      </c>
      <c r="N187" s="46">
        <f t="shared" si="146"/>
        <v>0</v>
      </c>
      <c r="O187" s="46">
        <f t="shared" si="146"/>
        <v>0</v>
      </c>
      <c r="P187" s="46">
        <f t="shared" si="146"/>
        <v>37100</v>
      </c>
      <c r="Q187" s="46">
        <f t="shared" si="146"/>
        <v>37100</v>
      </c>
      <c r="R187" s="46">
        <f t="shared" si="146"/>
        <v>37100</v>
      </c>
      <c r="S187" s="46">
        <f t="shared" si="146"/>
        <v>37100</v>
      </c>
      <c r="T187" s="46">
        <f t="shared" si="146"/>
        <v>37100</v>
      </c>
      <c r="U187" s="46">
        <f t="shared" si="146"/>
        <v>37100</v>
      </c>
      <c r="V187" s="46">
        <f t="shared" si="146"/>
        <v>37100</v>
      </c>
      <c r="W187" s="46">
        <f t="shared" si="146"/>
        <v>37100</v>
      </c>
      <c r="X187" s="46">
        <f t="shared" si="146"/>
        <v>37100</v>
      </c>
      <c r="Y187" s="46">
        <f t="shared" si="143"/>
        <v>37100</v>
      </c>
      <c r="Z187" s="46">
        <f t="shared" si="144"/>
        <v>37100</v>
      </c>
      <c r="AA187" s="46">
        <f t="shared" si="144"/>
        <v>37100</v>
      </c>
      <c r="AB187" s="46">
        <f t="shared" si="144"/>
        <v>37100</v>
      </c>
      <c r="AC187" s="46">
        <f t="shared" si="144"/>
        <v>37100</v>
      </c>
      <c r="AD187" s="46">
        <f t="shared" si="144"/>
        <v>37100</v>
      </c>
      <c r="AE187" s="46">
        <f t="shared" si="144"/>
        <v>37100</v>
      </c>
      <c r="AF187" s="46">
        <f t="shared" si="144"/>
        <v>37100</v>
      </c>
      <c r="AG187" s="46">
        <f t="shared" si="144"/>
        <v>37100</v>
      </c>
      <c r="AH187" s="46">
        <f t="shared" si="144"/>
        <v>37100</v>
      </c>
      <c r="AI187" s="46">
        <f t="shared" si="144"/>
        <v>37100</v>
      </c>
      <c r="AJ187" s="46">
        <f t="shared" si="144"/>
        <v>37100</v>
      </c>
      <c r="AK187" s="46">
        <f t="shared" si="144"/>
        <v>37100</v>
      </c>
      <c r="AL187" s="46">
        <f t="shared" si="144"/>
        <v>37100</v>
      </c>
      <c r="AM187" s="46">
        <f t="shared" si="144"/>
        <v>37100</v>
      </c>
      <c r="AN187" s="46">
        <f t="shared" si="144"/>
        <v>37100</v>
      </c>
      <c r="AO187" s="46">
        <f t="shared" si="144"/>
        <v>37100</v>
      </c>
      <c r="AP187" s="46">
        <f t="shared" si="145"/>
        <v>37100</v>
      </c>
      <c r="AQ187" s="46">
        <f t="shared" si="145"/>
        <v>37100</v>
      </c>
      <c r="AR187" s="46">
        <f t="shared" si="145"/>
        <v>37100</v>
      </c>
      <c r="AS187" s="46">
        <f t="shared" si="145"/>
        <v>37100</v>
      </c>
      <c r="AT187" s="46">
        <f t="shared" si="145"/>
        <v>37100</v>
      </c>
      <c r="AU187" s="46">
        <f t="shared" si="145"/>
        <v>37100</v>
      </c>
      <c r="AV187" s="46">
        <f t="shared" si="145"/>
        <v>37100</v>
      </c>
      <c r="AW187" s="46">
        <f t="shared" si="145"/>
        <v>37100</v>
      </c>
      <c r="AX187" s="46">
        <f t="shared" si="145"/>
        <v>37100</v>
      </c>
      <c r="AY187" s="46">
        <f t="shared" si="145"/>
        <v>37100</v>
      </c>
      <c r="AZ187" s="46">
        <f t="shared" si="145"/>
        <v>37100</v>
      </c>
      <c r="BA187" s="46">
        <f t="shared" si="145"/>
        <v>37100</v>
      </c>
      <c r="BB187" s="46">
        <f t="shared" si="145"/>
        <v>37100</v>
      </c>
      <c r="BC187" s="46">
        <f t="shared" si="145"/>
        <v>37100</v>
      </c>
      <c r="BD187" s="46">
        <f t="shared" si="145"/>
        <v>37100</v>
      </c>
      <c r="BE187" s="46"/>
    </row>
    <row r="188" spans="1:57" ht="14.25" customHeight="1" x14ac:dyDescent="0.3">
      <c r="A188" s="46"/>
      <c r="B188" s="37"/>
      <c r="C188" s="46" t="s">
        <v>138</v>
      </c>
      <c r="D188" s="46">
        <f>1+D187</f>
        <v>4</v>
      </c>
      <c r="E188" s="46">
        <v>31500</v>
      </c>
      <c r="F188" s="61"/>
      <c r="G188" s="46"/>
      <c r="H188" s="46"/>
      <c r="I188" s="46">
        <f t="shared" si="146"/>
        <v>0</v>
      </c>
      <c r="J188" s="46">
        <f t="shared" si="146"/>
        <v>0</v>
      </c>
      <c r="K188" s="46">
        <f t="shared" si="146"/>
        <v>0</v>
      </c>
      <c r="L188" s="46">
        <f t="shared" si="146"/>
        <v>0</v>
      </c>
      <c r="M188" s="46">
        <f t="shared" si="146"/>
        <v>0</v>
      </c>
      <c r="N188" s="46">
        <f t="shared" si="146"/>
        <v>0</v>
      </c>
      <c r="O188" s="46">
        <f t="shared" si="146"/>
        <v>0</v>
      </c>
      <c r="P188" s="46">
        <f t="shared" si="146"/>
        <v>31500</v>
      </c>
      <c r="Q188" s="46">
        <f t="shared" si="146"/>
        <v>31500</v>
      </c>
      <c r="R188" s="46">
        <f t="shared" si="146"/>
        <v>31500</v>
      </c>
      <c r="S188" s="46">
        <f t="shared" si="146"/>
        <v>31500</v>
      </c>
      <c r="T188" s="46">
        <f t="shared" si="146"/>
        <v>31500</v>
      </c>
      <c r="U188" s="46">
        <f t="shared" si="146"/>
        <v>31500</v>
      </c>
      <c r="V188" s="46">
        <f t="shared" si="146"/>
        <v>31500</v>
      </c>
      <c r="W188" s="46">
        <f t="shared" si="146"/>
        <v>31500</v>
      </c>
      <c r="X188" s="46">
        <f t="shared" si="146"/>
        <v>31500</v>
      </c>
      <c r="Y188" s="46">
        <f t="shared" si="143"/>
        <v>31500</v>
      </c>
      <c r="Z188" s="46">
        <f t="shared" si="144"/>
        <v>31500</v>
      </c>
      <c r="AA188" s="46">
        <f t="shared" si="144"/>
        <v>31500</v>
      </c>
      <c r="AB188" s="46">
        <f t="shared" si="144"/>
        <v>31500</v>
      </c>
      <c r="AC188" s="46">
        <f t="shared" si="144"/>
        <v>31500</v>
      </c>
      <c r="AD188" s="46">
        <f t="shared" si="144"/>
        <v>31500</v>
      </c>
      <c r="AE188" s="46">
        <f t="shared" si="144"/>
        <v>31500</v>
      </c>
      <c r="AF188" s="46">
        <f t="shared" si="144"/>
        <v>31500</v>
      </c>
      <c r="AG188" s="46">
        <f t="shared" si="144"/>
        <v>31500</v>
      </c>
      <c r="AH188" s="46">
        <f t="shared" si="144"/>
        <v>31500</v>
      </c>
      <c r="AI188" s="46">
        <f t="shared" si="144"/>
        <v>31500</v>
      </c>
      <c r="AJ188" s="46">
        <f t="shared" si="144"/>
        <v>31500</v>
      </c>
      <c r="AK188" s="46">
        <f t="shared" si="144"/>
        <v>31500</v>
      </c>
      <c r="AL188" s="46">
        <f t="shared" si="144"/>
        <v>31500</v>
      </c>
      <c r="AM188" s="46">
        <f t="shared" si="144"/>
        <v>31500</v>
      </c>
      <c r="AN188" s="46">
        <f t="shared" si="144"/>
        <v>31500</v>
      </c>
      <c r="AO188" s="46">
        <f t="shared" si="144"/>
        <v>31500</v>
      </c>
      <c r="AP188" s="46">
        <f t="shared" si="145"/>
        <v>31500</v>
      </c>
      <c r="AQ188" s="46">
        <f t="shared" si="145"/>
        <v>31500</v>
      </c>
      <c r="AR188" s="46">
        <f t="shared" si="145"/>
        <v>31500</v>
      </c>
      <c r="AS188" s="46">
        <f t="shared" si="145"/>
        <v>31500</v>
      </c>
      <c r="AT188" s="46">
        <f t="shared" si="145"/>
        <v>31500</v>
      </c>
      <c r="AU188" s="46">
        <f t="shared" si="145"/>
        <v>31500</v>
      </c>
      <c r="AV188" s="46">
        <f t="shared" si="145"/>
        <v>31500</v>
      </c>
      <c r="AW188" s="46">
        <f t="shared" si="145"/>
        <v>31500</v>
      </c>
      <c r="AX188" s="46">
        <f t="shared" si="145"/>
        <v>31500</v>
      </c>
      <c r="AY188" s="46">
        <f t="shared" si="145"/>
        <v>31500</v>
      </c>
      <c r="AZ188" s="46">
        <f t="shared" si="145"/>
        <v>31500</v>
      </c>
      <c r="BA188" s="46">
        <f t="shared" si="145"/>
        <v>31500</v>
      </c>
      <c r="BB188" s="46">
        <f t="shared" si="145"/>
        <v>31500</v>
      </c>
      <c r="BC188" s="46">
        <f t="shared" si="145"/>
        <v>31500</v>
      </c>
      <c r="BD188" s="46">
        <f t="shared" si="145"/>
        <v>31500</v>
      </c>
      <c r="BE188" s="46"/>
    </row>
    <row r="189" spans="1:57" ht="14.25" customHeight="1" x14ac:dyDescent="0.3">
      <c r="A189" s="46"/>
      <c r="B189" s="37"/>
      <c r="C189" s="46" t="s">
        <v>215</v>
      </c>
      <c r="D189" s="46">
        <v>5</v>
      </c>
      <c r="E189" s="46">
        <v>38500</v>
      </c>
      <c r="F189" s="61"/>
      <c r="G189" s="46"/>
      <c r="H189" s="46"/>
      <c r="I189" s="46"/>
      <c r="J189" s="46">
        <f t="shared" si="146"/>
        <v>0</v>
      </c>
      <c r="K189" s="46">
        <f t="shared" si="146"/>
        <v>0</v>
      </c>
      <c r="L189" s="46">
        <f t="shared" si="146"/>
        <v>0</v>
      </c>
      <c r="M189" s="46">
        <f t="shared" si="146"/>
        <v>0</v>
      </c>
      <c r="N189" s="46">
        <f t="shared" si="146"/>
        <v>0</v>
      </c>
      <c r="O189" s="46">
        <f t="shared" si="146"/>
        <v>0</v>
      </c>
      <c r="P189" s="46">
        <f t="shared" si="146"/>
        <v>0</v>
      </c>
      <c r="Q189" s="46">
        <f t="shared" si="146"/>
        <v>38500</v>
      </c>
      <c r="R189" s="46">
        <f t="shared" si="146"/>
        <v>38500</v>
      </c>
      <c r="S189" s="46">
        <f t="shared" si="146"/>
        <v>38500</v>
      </c>
      <c r="T189" s="46">
        <f t="shared" si="146"/>
        <v>38500</v>
      </c>
      <c r="U189" s="46">
        <f t="shared" si="146"/>
        <v>38500</v>
      </c>
      <c r="V189" s="46">
        <f t="shared" si="146"/>
        <v>38500</v>
      </c>
      <c r="W189" s="46">
        <f t="shared" si="146"/>
        <v>38500</v>
      </c>
      <c r="X189" s="46">
        <f t="shared" si="146"/>
        <v>38500</v>
      </c>
      <c r="Y189" s="46">
        <f t="shared" si="143"/>
        <v>38500</v>
      </c>
      <c r="Z189" s="46">
        <f t="shared" si="144"/>
        <v>38500</v>
      </c>
      <c r="AA189" s="46">
        <f t="shared" si="144"/>
        <v>38500</v>
      </c>
      <c r="AB189" s="46">
        <f t="shared" si="144"/>
        <v>38500</v>
      </c>
      <c r="AC189" s="46">
        <f t="shared" si="144"/>
        <v>38500</v>
      </c>
      <c r="AD189" s="46">
        <f t="shared" si="144"/>
        <v>38500</v>
      </c>
      <c r="AE189" s="46">
        <f t="shared" si="144"/>
        <v>38500</v>
      </c>
      <c r="AF189" s="46">
        <f t="shared" si="144"/>
        <v>38500</v>
      </c>
      <c r="AG189" s="46">
        <f t="shared" si="144"/>
        <v>38500</v>
      </c>
      <c r="AH189" s="46">
        <f t="shared" si="144"/>
        <v>38500</v>
      </c>
      <c r="AI189" s="46">
        <f t="shared" si="144"/>
        <v>38500</v>
      </c>
      <c r="AJ189" s="46">
        <f t="shared" si="144"/>
        <v>38500</v>
      </c>
      <c r="AK189" s="46">
        <f t="shared" si="144"/>
        <v>38500</v>
      </c>
      <c r="AL189" s="46">
        <f t="shared" si="144"/>
        <v>38500</v>
      </c>
      <c r="AM189" s="46">
        <f t="shared" si="144"/>
        <v>38500</v>
      </c>
      <c r="AN189" s="46">
        <f t="shared" si="144"/>
        <v>38500</v>
      </c>
      <c r="AO189" s="46">
        <f t="shared" si="144"/>
        <v>38500</v>
      </c>
      <c r="AP189" s="46">
        <f t="shared" si="145"/>
        <v>38500</v>
      </c>
      <c r="AQ189" s="46">
        <f t="shared" si="145"/>
        <v>38500</v>
      </c>
      <c r="AR189" s="46">
        <f t="shared" si="145"/>
        <v>38500</v>
      </c>
      <c r="AS189" s="46">
        <f t="shared" si="145"/>
        <v>38500</v>
      </c>
      <c r="AT189" s="46">
        <f t="shared" si="145"/>
        <v>38500</v>
      </c>
      <c r="AU189" s="46">
        <f t="shared" si="145"/>
        <v>38500</v>
      </c>
      <c r="AV189" s="46">
        <f t="shared" si="145"/>
        <v>38500</v>
      </c>
      <c r="AW189" s="46">
        <f t="shared" si="145"/>
        <v>38500</v>
      </c>
      <c r="AX189" s="46">
        <f t="shared" si="145"/>
        <v>38500</v>
      </c>
      <c r="AY189" s="46">
        <f t="shared" si="145"/>
        <v>38500</v>
      </c>
      <c r="AZ189" s="46">
        <f t="shared" si="145"/>
        <v>38500</v>
      </c>
      <c r="BA189" s="46">
        <f t="shared" si="145"/>
        <v>38500</v>
      </c>
      <c r="BB189" s="46">
        <f t="shared" si="145"/>
        <v>38500</v>
      </c>
      <c r="BC189" s="46">
        <f t="shared" si="145"/>
        <v>38500</v>
      </c>
      <c r="BD189" s="46">
        <f t="shared" si="145"/>
        <v>38500</v>
      </c>
      <c r="BE189" s="46"/>
    </row>
    <row r="190" spans="1:57" ht="14.25" customHeight="1" x14ac:dyDescent="0.3">
      <c r="A190" s="46"/>
      <c r="B190" s="37"/>
      <c r="C190" s="46" t="s">
        <v>139</v>
      </c>
      <c r="D190" s="46"/>
      <c r="E190" s="46"/>
      <c r="F190" s="46"/>
      <c r="G190" s="46"/>
      <c r="H190" s="46"/>
      <c r="I190" s="51">
        <v>126470</v>
      </c>
      <c r="J190" s="51">
        <v>129823</v>
      </c>
      <c r="K190" s="51">
        <v>134023</v>
      </c>
      <c r="L190" s="51">
        <v>149559</v>
      </c>
      <c r="M190" s="51">
        <v>148259</v>
      </c>
      <c r="N190" s="51">
        <v>147317</v>
      </c>
      <c r="O190" s="51">
        <v>186515</v>
      </c>
      <c r="P190" s="51">
        <f t="shared" ref="P190:BD190" si="147">SUM(P185:P189)</f>
        <v>165200</v>
      </c>
      <c r="Q190" s="51">
        <f t="shared" si="147"/>
        <v>203700</v>
      </c>
      <c r="R190" s="51">
        <f t="shared" si="147"/>
        <v>203700</v>
      </c>
      <c r="S190" s="51">
        <f t="shared" si="147"/>
        <v>203700</v>
      </c>
      <c r="T190" s="51">
        <f t="shared" si="147"/>
        <v>203700</v>
      </c>
      <c r="U190" s="51">
        <f t="shared" si="147"/>
        <v>203700</v>
      </c>
      <c r="V190" s="51">
        <f t="shared" si="147"/>
        <v>203700</v>
      </c>
      <c r="W190" s="51">
        <f t="shared" si="147"/>
        <v>203700</v>
      </c>
      <c r="X190" s="51">
        <f t="shared" si="147"/>
        <v>203700</v>
      </c>
      <c r="Y190" s="51">
        <f t="shared" si="147"/>
        <v>203700</v>
      </c>
      <c r="Z190" s="51">
        <f t="shared" si="147"/>
        <v>203700</v>
      </c>
      <c r="AA190" s="51">
        <f t="shared" si="147"/>
        <v>203700</v>
      </c>
      <c r="AB190" s="51">
        <f t="shared" si="147"/>
        <v>203700</v>
      </c>
      <c r="AC190" s="51">
        <f t="shared" si="147"/>
        <v>203700</v>
      </c>
      <c r="AD190" s="51">
        <f t="shared" si="147"/>
        <v>203700</v>
      </c>
      <c r="AE190" s="51">
        <f t="shared" si="147"/>
        <v>203700</v>
      </c>
      <c r="AF190" s="51">
        <f t="shared" si="147"/>
        <v>203700</v>
      </c>
      <c r="AG190" s="51">
        <f t="shared" si="147"/>
        <v>203700</v>
      </c>
      <c r="AH190" s="51">
        <f t="shared" si="147"/>
        <v>203700</v>
      </c>
      <c r="AI190" s="51">
        <f t="shared" si="147"/>
        <v>203700</v>
      </c>
      <c r="AJ190" s="51">
        <f t="shared" si="147"/>
        <v>203700</v>
      </c>
      <c r="AK190" s="51">
        <f t="shared" si="147"/>
        <v>203700</v>
      </c>
      <c r="AL190" s="51">
        <f t="shared" si="147"/>
        <v>203700</v>
      </c>
      <c r="AM190" s="51">
        <f t="shared" si="147"/>
        <v>203700</v>
      </c>
      <c r="AN190" s="51">
        <f t="shared" si="147"/>
        <v>203700</v>
      </c>
      <c r="AO190" s="51">
        <f t="shared" si="147"/>
        <v>203700</v>
      </c>
      <c r="AP190" s="51">
        <f t="shared" si="147"/>
        <v>203700</v>
      </c>
      <c r="AQ190" s="51">
        <f t="shared" si="147"/>
        <v>203700</v>
      </c>
      <c r="AR190" s="51">
        <f t="shared" si="147"/>
        <v>203700</v>
      </c>
      <c r="AS190" s="51">
        <f t="shared" si="147"/>
        <v>203700</v>
      </c>
      <c r="AT190" s="51">
        <f t="shared" si="147"/>
        <v>203700</v>
      </c>
      <c r="AU190" s="51">
        <f t="shared" si="147"/>
        <v>203700</v>
      </c>
      <c r="AV190" s="51">
        <f t="shared" si="147"/>
        <v>203700</v>
      </c>
      <c r="AW190" s="51">
        <f t="shared" si="147"/>
        <v>203700</v>
      </c>
      <c r="AX190" s="51">
        <f t="shared" si="147"/>
        <v>203700</v>
      </c>
      <c r="AY190" s="51">
        <f t="shared" si="147"/>
        <v>203700</v>
      </c>
      <c r="AZ190" s="51">
        <f t="shared" si="147"/>
        <v>203700</v>
      </c>
      <c r="BA190" s="51">
        <f t="shared" si="147"/>
        <v>203700</v>
      </c>
      <c r="BB190" s="51">
        <f t="shared" si="147"/>
        <v>203700</v>
      </c>
      <c r="BC190" s="51">
        <f t="shared" si="147"/>
        <v>203700</v>
      </c>
      <c r="BD190" s="51">
        <f t="shared" si="147"/>
        <v>203700</v>
      </c>
      <c r="BE190" s="51"/>
    </row>
    <row r="191" spans="1:57" ht="14.25" customHeight="1" x14ac:dyDescent="0.3">
      <c r="A191" s="46"/>
      <c r="B191" s="37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  <c r="AG191" s="46"/>
      <c r="AH191" s="46"/>
      <c r="AI191" s="46"/>
      <c r="AJ191" s="46"/>
      <c r="AK191" s="46"/>
      <c r="AL191" s="46"/>
      <c r="AM191" s="46"/>
      <c r="AN191" s="46"/>
      <c r="AO191" s="46"/>
      <c r="AP191" s="46"/>
      <c r="AQ191" s="46"/>
      <c r="AR191" s="46"/>
      <c r="AS191" s="46"/>
      <c r="AT191" s="46"/>
      <c r="AU191" s="46"/>
      <c r="AV191" s="46"/>
      <c r="AW191" s="46"/>
      <c r="AX191" s="46"/>
      <c r="AY191" s="46"/>
      <c r="AZ191" s="46"/>
      <c r="BA191" s="46"/>
      <c r="BB191" s="46"/>
      <c r="BC191" s="46"/>
      <c r="BD191" s="46"/>
      <c r="BE191" s="46"/>
    </row>
    <row r="192" spans="1:57" ht="14.25" customHeight="1" x14ac:dyDescent="0.3">
      <c r="A192" s="46"/>
      <c r="B192" s="37"/>
      <c r="C192" s="37" t="s">
        <v>140</v>
      </c>
      <c r="D192" s="53">
        <v>100</v>
      </c>
      <c r="E192" s="56" t="s">
        <v>141</v>
      </c>
      <c r="F192" s="46"/>
      <c r="G192" s="46"/>
      <c r="H192" s="46"/>
      <c r="I192" s="46">
        <f>ROUNDUP(I$153/$D192,0)</f>
        <v>1</v>
      </c>
      <c r="J192" s="46">
        <f t="shared" ref="J192:BD192" si="148">ROUNDUP(J$153/$D192,0)</f>
        <v>1</v>
      </c>
      <c r="K192" s="46">
        <f t="shared" si="148"/>
        <v>1</v>
      </c>
      <c r="L192" s="46">
        <f t="shared" si="148"/>
        <v>1</v>
      </c>
      <c r="M192" s="46">
        <f t="shared" si="148"/>
        <v>1</v>
      </c>
      <c r="N192" s="46">
        <f t="shared" si="148"/>
        <v>1</v>
      </c>
      <c r="O192" s="46">
        <f t="shared" si="148"/>
        <v>1</v>
      </c>
      <c r="P192" s="46">
        <f t="shared" si="148"/>
        <v>1</v>
      </c>
      <c r="Q192" s="46">
        <f t="shared" si="148"/>
        <v>1</v>
      </c>
      <c r="R192" s="46">
        <f t="shared" si="148"/>
        <v>1</v>
      </c>
      <c r="S192" s="46">
        <f t="shared" si="148"/>
        <v>1</v>
      </c>
      <c r="T192" s="46">
        <f t="shared" si="148"/>
        <v>1</v>
      </c>
      <c r="U192" s="46">
        <f t="shared" si="148"/>
        <v>1</v>
      </c>
      <c r="V192" s="46">
        <f t="shared" si="148"/>
        <v>1</v>
      </c>
      <c r="W192" s="46">
        <f t="shared" si="148"/>
        <v>1</v>
      </c>
      <c r="X192" s="46">
        <f t="shared" si="148"/>
        <v>1</v>
      </c>
      <c r="Y192" s="46">
        <f t="shared" si="148"/>
        <v>1</v>
      </c>
      <c r="Z192" s="46">
        <f t="shared" si="148"/>
        <v>1</v>
      </c>
      <c r="AA192" s="46">
        <f t="shared" si="148"/>
        <v>1</v>
      </c>
      <c r="AB192" s="46">
        <f t="shared" si="148"/>
        <v>1</v>
      </c>
      <c r="AC192" s="46">
        <f t="shared" si="148"/>
        <v>1</v>
      </c>
      <c r="AD192" s="46">
        <f t="shared" si="148"/>
        <v>1</v>
      </c>
      <c r="AE192" s="46">
        <f t="shared" si="148"/>
        <v>1</v>
      </c>
      <c r="AF192" s="46">
        <f t="shared" si="148"/>
        <v>1</v>
      </c>
      <c r="AG192" s="46">
        <f t="shared" si="148"/>
        <v>1</v>
      </c>
      <c r="AH192" s="46">
        <f t="shared" si="148"/>
        <v>1</v>
      </c>
      <c r="AI192" s="46">
        <f t="shared" si="148"/>
        <v>1</v>
      </c>
      <c r="AJ192" s="46">
        <f t="shared" si="148"/>
        <v>1</v>
      </c>
      <c r="AK192" s="46">
        <f t="shared" si="148"/>
        <v>1</v>
      </c>
      <c r="AL192" s="46">
        <f t="shared" si="148"/>
        <v>1</v>
      </c>
      <c r="AM192" s="46">
        <f t="shared" si="148"/>
        <v>1</v>
      </c>
      <c r="AN192" s="46">
        <f t="shared" si="148"/>
        <v>1</v>
      </c>
      <c r="AO192" s="46">
        <f t="shared" si="148"/>
        <v>1</v>
      </c>
      <c r="AP192" s="46">
        <f t="shared" si="148"/>
        <v>1</v>
      </c>
      <c r="AQ192" s="46">
        <f t="shared" si="148"/>
        <v>1</v>
      </c>
      <c r="AR192" s="46">
        <f t="shared" si="148"/>
        <v>1</v>
      </c>
      <c r="AS192" s="46">
        <f t="shared" si="148"/>
        <v>1</v>
      </c>
      <c r="AT192" s="46">
        <f t="shared" si="148"/>
        <v>1</v>
      </c>
      <c r="AU192" s="46">
        <f t="shared" si="148"/>
        <v>1</v>
      </c>
      <c r="AV192" s="46">
        <f t="shared" si="148"/>
        <v>1</v>
      </c>
      <c r="AW192" s="46">
        <f t="shared" si="148"/>
        <v>1</v>
      </c>
      <c r="AX192" s="46">
        <f t="shared" si="148"/>
        <v>1</v>
      </c>
      <c r="AY192" s="46">
        <f t="shared" si="148"/>
        <v>1</v>
      </c>
      <c r="AZ192" s="46">
        <f t="shared" si="148"/>
        <v>1</v>
      </c>
      <c r="BA192" s="46">
        <f t="shared" si="148"/>
        <v>1</v>
      </c>
      <c r="BB192" s="46">
        <f t="shared" si="148"/>
        <v>1</v>
      </c>
      <c r="BC192" s="46">
        <f t="shared" si="148"/>
        <v>1</v>
      </c>
      <c r="BD192" s="46">
        <f t="shared" si="148"/>
        <v>1</v>
      </c>
      <c r="BE192" s="46"/>
    </row>
    <row r="193" spans="1:76" ht="14.25" customHeight="1" x14ac:dyDescent="0.3">
      <c r="A193" s="46"/>
      <c r="B193" s="37"/>
      <c r="C193" s="46" t="s">
        <v>142</v>
      </c>
      <c r="D193" s="53">
        <v>1</v>
      </c>
      <c r="E193" s="53">
        <v>125000</v>
      </c>
      <c r="F193" s="61"/>
      <c r="G193" s="46"/>
      <c r="H193" s="46"/>
      <c r="I193" s="46">
        <v>76267</v>
      </c>
      <c r="J193" s="46">
        <v>76267</v>
      </c>
      <c r="K193" s="46">
        <v>76267</v>
      </c>
      <c r="L193" s="46">
        <v>76267</v>
      </c>
      <c r="M193" s="46">
        <v>76267</v>
      </c>
      <c r="N193" s="46">
        <v>76267</v>
      </c>
      <c r="O193" s="46">
        <v>121051</v>
      </c>
      <c r="P193" s="46">
        <f t="shared" ref="P193:AE194" si="149">IF(P$192&gt;=$D193,$E193,0)</f>
        <v>125000</v>
      </c>
      <c r="Q193" s="46">
        <f t="shared" si="149"/>
        <v>125000</v>
      </c>
      <c r="R193" s="46">
        <f t="shared" si="149"/>
        <v>125000</v>
      </c>
      <c r="S193" s="46">
        <f t="shared" si="149"/>
        <v>125000</v>
      </c>
      <c r="T193" s="46">
        <f t="shared" si="149"/>
        <v>125000</v>
      </c>
      <c r="U193" s="46">
        <f t="shared" si="149"/>
        <v>125000</v>
      </c>
      <c r="V193" s="46">
        <f t="shared" si="149"/>
        <v>125000</v>
      </c>
      <c r="W193" s="46">
        <f t="shared" si="149"/>
        <v>125000</v>
      </c>
      <c r="X193" s="46">
        <f t="shared" si="149"/>
        <v>125000</v>
      </c>
      <c r="Y193" s="46">
        <f t="shared" si="149"/>
        <v>125000</v>
      </c>
      <c r="Z193" s="46">
        <f t="shared" si="149"/>
        <v>125000</v>
      </c>
      <c r="AA193" s="46">
        <f t="shared" si="149"/>
        <v>125000</v>
      </c>
      <c r="AB193" s="46">
        <f t="shared" si="149"/>
        <v>125000</v>
      </c>
      <c r="AC193" s="46">
        <f t="shared" si="149"/>
        <v>125000</v>
      </c>
      <c r="AD193" s="46">
        <f t="shared" si="149"/>
        <v>125000</v>
      </c>
      <c r="AE193" s="46">
        <f t="shared" si="149"/>
        <v>125000</v>
      </c>
      <c r="AF193" s="46">
        <f t="shared" ref="AF193:AU194" si="150">IF(AF$192&gt;=$D193,$E193,0)</f>
        <v>125000</v>
      </c>
      <c r="AG193" s="46">
        <f t="shared" si="150"/>
        <v>125000</v>
      </c>
      <c r="AH193" s="46">
        <f t="shared" si="150"/>
        <v>125000</v>
      </c>
      <c r="AI193" s="46">
        <f t="shared" si="150"/>
        <v>125000</v>
      </c>
      <c r="AJ193" s="46">
        <f t="shared" si="150"/>
        <v>125000</v>
      </c>
      <c r="AK193" s="46">
        <f t="shared" si="150"/>
        <v>125000</v>
      </c>
      <c r="AL193" s="46">
        <f t="shared" si="150"/>
        <v>125000</v>
      </c>
      <c r="AM193" s="46">
        <f t="shared" si="150"/>
        <v>125000</v>
      </c>
      <c r="AN193" s="46">
        <f t="shared" si="150"/>
        <v>125000</v>
      </c>
      <c r="AO193" s="46">
        <f t="shared" si="150"/>
        <v>125000</v>
      </c>
      <c r="AP193" s="46">
        <f t="shared" si="150"/>
        <v>125000</v>
      </c>
      <c r="AQ193" s="46">
        <f t="shared" si="150"/>
        <v>125000</v>
      </c>
      <c r="AR193" s="46">
        <f t="shared" si="150"/>
        <v>125000</v>
      </c>
      <c r="AS193" s="46">
        <f t="shared" si="150"/>
        <v>125000</v>
      </c>
      <c r="AT193" s="46">
        <f t="shared" si="150"/>
        <v>125000</v>
      </c>
      <c r="AU193" s="46">
        <f t="shared" si="150"/>
        <v>125000</v>
      </c>
      <c r="AV193" s="46">
        <f t="shared" ref="AV193:BD194" si="151">IF(AV$192&gt;=$D193,$E193,0)</f>
        <v>125000</v>
      </c>
      <c r="AW193" s="46">
        <f t="shared" si="151"/>
        <v>125000</v>
      </c>
      <c r="AX193" s="46">
        <f t="shared" si="151"/>
        <v>125000</v>
      </c>
      <c r="AY193" s="46">
        <f t="shared" si="151"/>
        <v>125000</v>
      </c>
      <c r="AZ193" s="46">
        <f t="shared" si="151"/>
        <v>125000</v>
      </c>
      <c r="BA193" s="46">
        <f t="shared" si="151"/>
        <v>125000</v>
      </c>
      <c r="BB193" s="46">
        <f t="shared" si="151"/>
        <v>125000</v>
      </c>
      <c r="BC193" s="46">
        <f t="shared" si="151"/>
        <v>125000</v>
      </c>
      <c r="BD193" s="46">
        <f t="shared" si="151"/>
        <v>125000</v>
      </c>
      <c r="BE193" s="46"/>
    </row>
    <row r="194" spans="1:76" ht="14.25" customHeight="1" x14ac:dyDescent="0.3">
      <c r="A194" s="46"/>
      <c r="B194" s="37"/>
      <c r="C194" s="46" t="s">
        <v>143</v>
      </c>
      <c r="D194" s="56">
        <f>1+D193</f>
        <v>2</v>
      </c>
      <c r="E194" s="53">
        <v>78000</v>
      </c>
      <c r="F194" s="61"/>
      <c r="G194" s="46"/>
      <c r="H194" s="46"/>
      <c r="I194" s="46">
        <f t="shared" ref="I194:X194" si="152">IF(I$192&gt;=$D194,$E194,0)</f>
        <v>0</v>
      </c>
      <c r="J194" s="46">
        <f t="shared" si="152"/>
        <v>0</v>
      </c>
      <c r="K194" s="46">
        <f t="shared" si="152"/>
        <v>0</v>
      </c>
      <c r="L194" s="46">
        <f t="shared" si="152"/>
        <v>0</v>
      </c>
      <c r="M194" s="46">
        <f t="shared" si="152"/>
        <v>0</v>
      </c>
      <c r="N194" s="46">
        <f t="shared" si="152"/>
        <v>0</v>
      </c>
      <c r="O194" s="46">
        <f t="shared" si="152"/>
        <v>0</v>
      </c>
      <c r="P194" s="46">
        <f t="shared" si="152"/>
        <v>0</v>
      </c>
      <c r="Q194" s="46">
        <f t="shared" si="152"/>
        <v>0</v>
      </c>
      <c r="R194" s="46">
        <f t="shared" si="152"/>
        <v>0</v>
      </c>
      <c r="S194" s="46">
        <f t="shared" si="152"/>
        <v>0</v>
      </c>
      <c r="T194" s="46">
        <f t="shared" si="152"/>
        <v>0</v>
      </c>
      <c r="U194" s="46">
        <f t="shared" si="152"/>
        <v>0</v>
      </c>
      <c r="V194" s="46">
        <f t="shared" si="152"/>
        <v>0</v>
      </c>
      <c r="W194" s="46">
        <f t="shared" si="152"/>
        <v>0</v>
      </c>
      <c r="X194" s="46">
        <f t="shared" si="152"/>
        <v>0</v>
      </c>
      <c r="Y194" s="46">
        <f t="shared" si="149"/>
        <v>0</v>
      </c>
      <c r="Z194" s="46">
        <f t="shared" si="149"/>
        <v>0</v>
      </c>
      <c r="AA194" s="46">
        <f t="shared" si="149"/>
        <v>0</v>
      </c>
      <c r="AB194" s="46">
        <f t="shared" si="149"/>
        <v>0</v>
      </c>
      <c r="AC194" s="46">
        <f t="shared" si="149"/>
        <v>0</v>
      </c>
      <c r="AD194" s="46">
        <f t="shared" si="149"/>
        <v>0</v>
      </c>
      <c r="AE194" s="46">
        <f t="shared" si="149"/>
        <v>0</v>
      </c>
      <c r="AF194" s="46">
        <f t="shared" si="150"/>
        <v>0</v>
      </c>
      <c r="AG194" s="46">
        <f t="shared" si="150"/>
        <v>0</v>
      </c>
      <c r="AH194" s="46">
        <f t="shared" si="150"/>
        <v>0</v>
      </c>
      <c r="AI194" s="46">
        <f t="shared" si="150"/>
        <v>0</v>
      </c>
      <c r="AJ194" s="46">
        <f t="shared" si="150"/>
        <v>0</v>
      </c>
      <c r="AK194" s="46">
        <f t="shared" si="150"/>
        <v>0</v>
      </c>
      <c r="AL194" s="46">
        <f t="shared" si="150"/>
        <v>0</v>
      </c>
      <c r="AM194" s="46">
        <f t="shared" si="150"/>
        <v>0</v>
      </c>
      <c r="AN194" s="46">
        <f t="shared" si="150"/>
        <v>0</v>
      </c>
      <c r="AO194" s="46">
        <f t="shared" si="150"/>
        <v>0</v>
      </c>
      <c r="AP194" s="46">
        <f t="shared" si="150"/>
        <v>0</v>
      </c>
      <c r="AQ194" s="46">
        <f t="shared" si="150"/>
        <v>0</v>
      </c>
      <c r="AR194" s="46">
        <f t="shared" si="150"/>
        <v>0</v>
      </c>
      <c r="AS194" s="46">
        <f t="shared" si="150"/>
        <v>0</v>
      </c>
      <c r="AT194" s="46">
        <f t="shared" si="150"/>
        <v>0</v>
      </c>
      <c r="AU194" s="46">
        <f t="shared" si="150"/>
        <v>0</v>
      </c>
      <c r="AV194" s="46">
        <f t="shared" si="151"/>
        <v>0</v>
      </c>
      <c r="AW194" s="46">
        <f t="shared" si="151"/>
        <v>0</v>
      </c>
      <c r="AX194" s="46">
        <f t="shared" si="151"/>
        <v>0</v>
      </c>
      <c r="AY194" s="46">
        <f t="shared" si="151"/>
        <v>0</v>
      </c>
      <c r="AZ194" s="46">
        <f t="shared" si="151"/>
        <v>0</v>
      </c>
      <c r="BA194" s="46">
        <f t="shared" si="151"/>
        <v>0</v>
      </c>
      <c r="BB194" s="46">
        <f t="shared" si="151"/>
        <v>0</v>
      </c>
      <c r="BC194" s="46">
        <f t="shared" si="151"/>
        <v>0</v>
      </c>
      <c r="BD194" s="46">
        <f t="shared" si="151"/>
        <v>0</v>
      </c>
      <c r="BE194" s="46"/>
    </row>
    <row r="195" spans="1:76" ht="14.25" customHeight="1" x14ac:dyDescent="0.3">
      <c r="A195" s="46"/>
      <c r="B195" s="37"/>
      <c r="C195" s="46" t="s">
        <v>144</v>
      </c>
      <c r="D195" s="46"/>
      <c r="E195" s="46"/>
      <c r="F195" s="46"/>
      <c r="G195" s="46"/>
      <c r="H195" s="46"/>
      <c r="I195" s="51">
        <f t="shared" ref="I195:AY195" si="153">SUM(I193:I194)</f>
        <v>76267</v>
      </c>
      <c r="J195" s="51">
        <f t="shared" si="153"/>
        <v>76267</v>
      </c>
      <c r="K195" s="51">
        <f t="shared" si="153"/>
        <v>76267</v>
      </c>
      <c r="L195" s="51">
        <f t="shared" si="153"/>
        <v>76267</v>
      </c>
      <c r="M195" s="51">
        <f t="shared" si="153"/>
        <v>76267</v>
      </c>
      <c r="N195" s="51">
        <f t="shared" si="153"/>
        <v>76267</v>
      </c>
      <c r="O195" s="51">
        <f t="shared" si="153"/>
        <v>121051</v>
      </c>
      <c r="P195" s="51">
        <f t="shared" si="153"/>
        <v>125000</v>
      </c>
      <c r="Q195" s="51">
        <f t="shared" si="153"/>
        <v>125000</v>
      </c>
      <c r="R195" s="51">
        <f t="shared" si="153"/>
        <v>125000</v>
      </c>
      <c r="S195" s="51">
        <f t="shared" si="153"/>
        <v>125000</v>
      </c>
      <c r="T195" s="51">
        <f t="shared" si="153"/>
        <v>125000</v>
      </c>
      <c r="U195" s="51">
        <f t="shared" si="153"/>
        <v>125000</v>
      </c>
      <c r="V195" s="51">
        <f t="shared" si="153"/>
        <v>125000</v>
      </c>
      <c r="W195" s="51">
        <f t="shared" si="153"/>
        <v>125000</v>
      </c>
      <c r="X195" s="51">
        <f t="shared" si="153"/>
        <v>125000</v>
      </c>
      <c r="Y195" s="51">
        <f t="shared" si="153"/>
        <v>125000</v>
      </c>
      <c r="Z195" s="51">
        <f t="shared" si="153"/>
        <v>125000</v>
      </c>
      <c r="AA195" s="51">
        <f t="shared" si="153"/>
        <v>125000</v>
      </c>
      <c r="AB195" s="51">
        <f t="shared" si="153"/>
        <v>125000</v>
      </c>
      <c r="AC195" s="51">
        <f t="shared" si="153"/>
        <v>125000</v>
      </c>
      <c r="AD195" s="51">
        <f t="shared" si="153"/>
        <v>125000</v>
      </c>
      <c r="AE195" s="51">
        <f t="shared" si="153"/>
        <v>125000</v>
      </c>
      <c r="AF195" s="51">
        <f t="shared" si="153"/>
        <v>125000</v>
      </c>
      <c r="AG195" s="51">
        <f t="shared" si="153"/>
        <v>125000</v>
      </c>
      <c r="AH195" s="51">
        <f t="shared" si="153"/>
        <v>125000</v>
      </c>
      <c r="AI195" s="51">
        <f t="shared" si="153"/>
        <v>125000</v>
      </c>
      <c r="AJ195" s="51">
        <f t="shared" si="153"/>
        <v>125000</v>
      </c>
      <c r="AK195" s="51">
        <f t="shared" si="153"/>
        <v>125000</v>
      </c>
      <c r="AL195" s="51">
        <f t="shared" si="153"/>
        <v>125000</v>
      </c>
      <c r="AM195" s="51">
        <f t="shared" si="153"/>
        <v>125000</v>
      </c>
      <c r="AN195" s="51">
        <f t="shared" si="153"/>
        <v>125000</v>
      </c>
      <c r="AO195" s="51">
        <f t="shared" si="153"/>
        <v>125000</v>
      </c>
      <c r="AP195" s="51">
        <f t="shared" si="153"/>
        <v>125000</v>
      </c>
      <c r="AQ195" s="51">
        <f t="shared" si="153"/>
        <v>125000</v>
      </c>
      <c r="AR195" s="51">
        <f t="shared" si="153"/>
        <v>125000</v>
      </c>
      <c r="AS195" s="51">
        <f t="shared" si="153"/>
        <v>125000</v>
      </c>
      <c r="AT195" s="51">
        <f t="shared" si="153"/>
        <v>125000</v>
      </c>
      <c r="AU195" s="51">
        <f t="shared" si="153"/>
        <v>125000</v>
      </c>
      <c r="AV195" s="51">
        <f t="shared" si="153"/>
        <v>125000</v>
      </c>
      <c r="AW195" s="51">
        <f t="shared" si="153"/>
        <v>125000</v>
      </c>
      <c r="AX195" s="51">
        <f t="shared" si="153"/>
        <v>125000</v>
      </c>
      <c r="AY195" s="51">
        <f t="shared" si="153"/>
        <v>125000</v>
      </c>
      <c r="AZ195" s="51">
        <f t="shared" ref="AZ195:BD195" si="154">SUM(AZ193:AZ194)</f>
        <v>125000</v>
      </c>
      <c r="BA195" s="51">
        <f t="shared" si="154"/>
        <v>125000</v>
      </c>
      <c r="BB195" s="51">
        <f t="shared" si="154"/>
        <v>125000</v>
      </c>
      <c r="BC195" s="51">
        <f t="shared" si="154"/>
        <v>125000</v>
      </c>
      <c r="BD195" s="51">
        <f t="shared" si="154"/>
        <v>125000</v>
      </c>
      <c r="BE195" s="51"/>
    </row>
    <row r="196" spans="1:76" ht="14.25" customHeight="1" x14ac:dyDescent="0.3">
      <c r="A196" s="46"/>
      <c r="B196" s="37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  <c r="AI196" s="46"/>
      <c r="AJ196" s="46"/>
      <c r="AK196" s="46"/>
      <c r="AL196" s="46"/>
      <c r="AM196" s="46"/>
      <c r="AN196" s="46"/>
      <c r="AO196" s="46"/>
      <c r="AP196" s="46"/>
      <c r="AQ196" s="46"/>
      <c r="AR196" s="46"/>
      <c r="AS196" s="46"/>
      <c r="AT196" s="46"/>
      <c r="AU196" s="46"/>
      <c r="AV196" s="46"/>
      <c r="AW196" s="46"/>
      <c r="AX196" s="46"/>
      <c r="AY196" s="46"/>
      <c r="AZ196" s="46"/>
      <c r="BA196" s="46"/>
      <c r="BB196" s="46"/>
      <c r="BC196" s="46"/>
      <c r="BD196" s="46"/>
      <c r="BE196" s="46"/>
    </row>
    <row r="197" spans="1:76" ht="14.25" customHeight="1" x14ac:dyDescent="0.3">
      <c r="A197" s="46"/>
      <c r="B197" s="37"/>
      <c r="C197" s="37" t="s">
        <v>145</v>
      </c>
      <c r="D197" s="46" t="s">
        <v>146</v>
      </c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  <c r="AI197" s="46"/>
      <c r="AJ197" s="46"/>
      <c r="AK197" s="46"/>
      <c r="AL197" s="46"/>
      <c r="AM197" s="46"/>
      <c r="AN197" s="46"/>
      <c r="AO197" s="46"/>
      <c r="AP197" s="46"/>
      <c r="AQ197" s="46"/>
      <c r="AR197" s="46"/>
      <c r="AS197" s="46"/>
      <c r="AT197" s="46"/>
      <c r="AU197" s="46"/>
      <c r="AV197" s="46"/>
      <c r="AW197" s="46"/>
      <c r="AX197" s="46"/>
      <c r="AY197" s="46"/>
      <c r="AZ197" s="46"/>
      <c r="BA197" s="46"/>
      <c r="BB197" s="46"/>
      <c r="BC197" s="46"/>
      <c r="BD197" s="46"/>
      <c r="BE197" s="46"/>
    </row>
    <row r="198" spans="1:76" ht="14.25" customHeight="1" x14ac:dyDescent="0.3">
      <c r="A198" s="46"/>
      <c r="B198" s="37"/>
      <c r="C198" s="46" t="s">
        <v>147</v>
      </c>
      <c r="D198" s="62">
        <v>8.9999999999999993E-3</v>
      </c>
      <c r="E198" s="46"/>
      <c r="F198" s="46"/>
      <c r="G198" s="46"/>
      <c r="H198" s="46"/>
      <c r="I198" s="46">
        <f t="shared" ref="I198:BD198" si="155">(I$178+I$179+I$190+I$195)*$D$198</f>
        <v>3513.1319999999996</v>
      </c>
      <c r="J198" s="46">
        <f t="shared" si="155"/>
        <v>3588.3089999999997</v>
      </c>
      <c r="K198" s="46">
        <f t="shared" si="155"/>
        <v>3626.1089999999999</v>
      </c>
      <c r="L198" s="46">
        <f t="shared" si="155"/>
        <v>3765.9329999999995</v>
      </c>
      <c r="M198" s="46">
        <f t="shared" si="155"/>
        <v>3754.2329999999997</v>
      </c>
      <c r="N198" s="46">
        <f t="shared" si="155"/>
        <v>4183.4879999999994</v>
      </c>
      <c r="O198" s="46">
        <f t="shared" si="155"/>
        <v>4507.7579999999998</v>
      </c>
      <c r="P198" s="46">
        <f t="shared" si="155"/>
        <v>4528.8269999999993</v>
      </c>
      <c r="Q198" s="46">
        <f t="shared" si="155"/>
        <v>4875.3269999999993</v>
      </c>
      <c r="R198" s="46">
        <f t="shared" si="155"/>
        <v>4875.3269999999993</v>
      </c>
      <c r="S198" s="46">
        <f t="shared" si="155"/>
        <v>4875.3269999999993</v>
      </c>
      <c r="T198" s="46">
        <f t="shared" si="155"/>
        <v>4875.3269999999993</v>
      </c>
      <c r="U198" s="46">
        <f t="shared" si="155"/>
        <v>5028.6891599999999</v>
      </c>
      <c r="V198" s="46">
        <f t="shared" si="155"/>
        <v>5028.6891599999999</v>
      </c>
      <c r="W198" s="46">
        <f t="shared" si="155"/>
        <v>5028.6891599999999</v>
      </c>
      <c r="X198" s="46">
        <f t="shared" si="155"/>
        <v>5028.6891599999999</v>
      </c>
      <c r="Y198" s="46">
        <f t="shared" si="155"/>
        <v>5028.6891599999999</v>
      </c>
      <c r="Z198" s="46">
        <f t="shared" si="155"/>
        <v>5028.6891599999999</v>
      </c>
      <c r="AA198" s="46">
        <f t="shared" si="155"/>
        <v>5028.6891599999999</v>
      </c>
      <c r="AB198" s="46">
        <f t="shared" si="155"/>
        <v>5028.6891599999999</v>
      </c>
      <c r="AC198" s="46">
        <f t="shared" si="155"/>
        <v>5028.6891599999999</v>
      </c>
      <c r="AD198" s="46">
        <f t="shared" si="155"/>
        <v>5028.6891599999999</v>
      </c>
      <c r="AE198" s="46">
        <f t="shared" si="155"/>
        <v>5028.6891599999999</v>
      </c>
      <c r="AF198" s="46">
        <f t="shared" si="155"/>
        <v>5028.6891599999999</v>
      </c>
      <c r="AG198" s="46">
        <f t="shared" si="155"/>
        <v>5194.3202928000001</v>
      </c>
      <c r="AH198" s="46">
        <f t="shared" si="155"/>
        <v>5194.3202928000001</v>
      </c>
      <c r="AI198" s="46">
        <f t="shared" si="155"/>
        <v>5194.3202928000001</v>
      </c>
      <c r="AJ198" s="46">
        <f t="shared" si="155"/>
        <v>5194.3202928000001</v>
      </c>
      <c r="AK198" s="46">
        <f t="shared" si="155"/>
        <v>5194.3202928000001</v>
      </c>
      <c r="AL198" s="46">
        <f t="shared" si="155"/>
        <v>5194.3202928000001</v>
      </c>
      <c r="AM198" s="46">
        <f t="shared" si="155"/>
        <v>5194.3202928000001</v>
      </c>
      <c r="AN198" s="46">
        <f t="shared" si="155"/>
        <v>5194.3202928000001</v>
      </c>
      <c r="AO198" s="46">
        <f t="shared" si="155"/>
        <v>5194.3202928000001</v>
      </c>
      <c r="AP198" s="46">
        <f t="shared" si="155"/>
        <v>5194.3202928000001</v>
      </c>
      <c r="AQ198" s="46">
        <f t="shared" si="155"/>
        <v>5194.3202928000001</v>
      </c>
      <c r="AR198" s="46">
        <f t="shared" si="155"/>
        <v>5194.3202928000001</v>
      </c>
      <c r="AS198" s="46">
        <f t="shared" si="155"/>
        <v>5360.9329434239999</v>
      </c>
      <c r="AT198" s="46">
        <f t="shared" si="155"/>
        <v>5360.9329434239999</v>
      </c>
      <c r="AU198" s="46">
        <f t="shared" si="155"/>
        <v>5360.9329434239999</v>
      </c>
      <c r="AV198" s="46">
        <f t="shared" si="155"/>
        <v>5360.9329434239999</v>
      </c>
      <c r="AW198" s="46">
        <f t="shared" si="155"/>
        <v>5360.9329434239999</v>
      </c>
      <c r="AX198" s="46">
        <f t="shared" si="155"/>
        <v>5360.9329434239999</v>
      </c>
      <c r="AY198" s="46">
        <f t="shared" si="155"/>
        <v>5360.9329434239999</v>
      </c>
      <c r="AZ198" s="46">
        <f t="shared" si="155"/>
        <v>5360.9329434239999</v>
      </c>
      <c r="BA198" s="46">
        <f t="shared" si="155"/>
        <v>5360.9329434239999</v>
      </c>
      <c r="BB198" s="46">
        <f t="shared" si="155"/>
        <v>5360.9329434239999</v>
      </c>
      <c r="BC198" s="46">
        <f t="shared" si="155"/>
        <v>5360.9329434239999</v>
      </c>
      <c r="BD198" s="46">
        <f t="shared" si="155"/>
        <v>5360.9329434239999</v>
      </c>
      <c r="BE198" s="46"/>
    </row>
    <row r="199" spans="1:76" ht="14.25" customHeight="1" x14ac:dyDescent="0.3">
      <c r="A199" s="46"/>
      <c r="B199" s="37"/>
      <c r="C199" s="46" t="s">
        <v>148</v>
      </c>
      <c r="D199" s="62">
        <v>0.01</v>
      </c>
      <c r="E199" s="46"/>
      <c r="F199" s="46"/>
      <c r="G199" s="46"/>
      <c r="H199" s="46"/>
      <c r="I199" s="46">
        <f t="shared" ref="I199:BD199" si="156">(I$178+I$179+I$190+I$195)*$D$199</f>
        <v>3903.48</v>
      </c>
      <c r="J199" s="46">
        <f t="shared" si="156"/>
        <v>3987.01</v>
      </c>
      <c r="K199" s="46">
        <f t="shared" si="156"/>
        <v>4029.01</v>
      </c>
      <c r="L199" s="46">
        <f t="shared" si="156"/>
        <v>4184.37</v>
      </c>
      <c r="M199" s="46">
        <f t="shared" si="156"/>
        <v>4171.37</v>
      </c>
      <c r="N199" s="46">
        <f t="shared" si="156"/>
        <v>4648.32</v>
      </c>
      <c r="O199" s="46">
        <f t="shared" si="156"/>
        <v>5008.62</v>
      </c>
      <c r="P199" s="46">
        <f t="shared" si="156"/>
        <v>5032.03</v>
      </c>
      <c r="Q199" s="46">
        <f t="shared" si="156"/>
        <v>5417.03</v>
      </c>
      <c r="R199" s="46">
        <f t="shared" si="156"/>
        <v>5417.03</v>
      </c>
      <c r="S199" s="46">
        <f t="shared" si="156"/>
        <v>5417.03</v>
      </c>
      <c r="T199" s="46">
        <f t="shared" si="156"/>
        <v>5417.03</v>
      </c>
      <c r="U199" s="46">
        <f t="shared" si="156"/>
        <v>5587.4323999999997</v>
      </c>
      <c r="V199" s="46">
        <f t="shared" si="156"/>
        <v>5587.4323999999997</v>
      </c>
      <c r="W199" s="46">
        <f t="shared" si="156"/>
        <v>5587.4323999999997</v>
      </c>
      <c r="X199" s="46">
        <f t="shared" si="156"/>
        <v>5587.4323999999997</v>
      </c>
      <c r="Y199" s="46">
        <f t="shared" si="156"/>
        <v>5587.4323999999997</v>
      </c>
      <c r="Z199" s="46">
        <f t="shared" si="156"/>
        <v>5587.4323999999997</v>
      </c>
      <c r="AA199" s="46">
        <f t="shared" si="156"/>
        <v>5587.4323999999997</v>
      </c>
      <c r="AB199" s="46">
        <f t="shared" si="156"/>
        <v>5587.4323999999997</v>
      </c>
      <c r="AC199" s="46">
        <f t="shared" si="156"/>
        <v>5587.4323999999997</v>
      </c>
      <c r="AD199" s="46">
        <f t="shared" si="156"/>
        <v>5587.4323999999997</v>
      </c>
      <c r="AE199" s="46">
        <f t="shared" si="156"/>
        <v>5587.4323999999997</v>
      </c>
      <c r="AF199" s="46">
        <f t="shared" si="156"/>
        <v>5587.4323999999997</v>
      </c>
      <c r="AG199" s="46">
        <f t="shared" si="156"/>
        <v>5771.4669920000006</v>
      </c>
      <c r="AH199" s="46">
        <f t="shared" si="156"/>
        <v>5771.4669920000006</v>
      </c>
      <c r="AI199" s="46">
        <f t="shared" si="156"/>
        <v>5771.4669920000006</v>
      </c>
      <c r="AJ199" s="46">
        <f t="shared" si="156"/>
        <v>5771.4669920000006</v>
      </c>
      <c r="AK199" s="46">
        <f t="shared" si="156"/>
        <v>5771.4669920000006</v>
      </c>
      <c r="AL199" s="46">
        <f t="shared" si="156"/>
        <v>5771.4669920000006</v>
      </c>
      <c r="AM199" s="46">
        <f t="shared" si="156"/>
        <v>5771.4669920000006</v>
      </c>
      <c r="AN199" s="46">
        <f t="shared" si="156"/>
        <v>5771.4669920000006</v>
      </c>
      <c r="AO199" s="46">
        <f t="shared" si="156"/>
        <v>5771.4669920000006</v>
      </c>
      <c r="AP199" s="46">
        <f t="shared" si="156"/>
        <v>5771.4669920000006</v>
      </c>
      <c r="AQ199" s="46">
        <f t="shared" si="156"/>
        <v>5771.4669920000006</v>
      </c>
      <c r="AR199" s="46">
        <f t="shared" si="156"/>
        <v>5771.4669920000006</v>
      </c>
      <c r="AS199" s="46">
        <f t="shared" si="156"/>
        <v>5956.5921593599996</v>
      </c>
      <c r="AT199" s="46">
        <f t="shared" si="156"/>
        <v>5956.5921593599996</v>
      </c>
      <c r="AU199" s="46">
        <f t="shared" si="156"/>
        <v>5956.5921593599996</v>
      </c>
      <c r="AV199" s="46">
        <f t="shared" si="156"/>
        <v>5956.5921593599996</v>
      </c>
      <c r="AW199" s="46">
        <f t="shared" si="156"/>
        <v>5956.5921593599996</v>
      </c>
      <c r="AX199" s="46">
        <f t="shared" si="156"/>
        <v>5956.5921593599996</v>
      </c>
      <c r="AY199" s="46">
        <f t="shared" si="156"/>
        <v>5956.5921593599996</v>
      </c>
      <c r="AZ199" s="46">
        <f t="shared" si="156"/>
        <v>5956.5921593599996</v>
      </c>
      <c r="BA199" s="46">
        <f t="shared" si="156"/>
        <v>5956.5921593599996</v>
      </c>
      <c r="BB199" s="46">
        <f t="shared" si="156"/>
        <v>5956.5921593599996</v>
      </c>
      <c r="BC199" s="46">
        <f t="shared" si="156"/>
        <v>5956.5921593599996</v>
      </c>
      <c r="BD199" s="46">
        <f t="shared" si="156"/>
        <v>5956.5921593599996</v>
      </c>
      <c r="BE199" s="46"/>
    </row>
    <row r="200" spans="1:76" ht="14.25" customHeight="1" x14ac:dyDescent="0.3">
      <c r="A200" s="46"/>
      <c r="B200" s="37"/>
      <c r="C200" s="46" t="s">
        <v>149</v>
      </c>
      <c r="D200" s="62">
        <v>0.01</v>
      </c>
      <c r="E200" s="46"/>
      <c r="F200" s="46"/>
      <c r="G200" s="46"/>
      <c r="H200" s="46"/>
      <c r="I200" s="46">
        <f t="shared" ref="I200:BD200" si="157">(I$178+I$179+I$190+I$195)*$D$200</f>
        <v>3903.48</v>
      </c>
      <c r="J200" s="46">
        <f t="shared" si="157"/>
        <v>3987.01</v>
      </c>
      <c r="K200" s="46">
        <f t="shared" si="157"/>
        <v>4029.01</v>
      </c>
      <c r="L200" s="46">
        <f t="shared" si="157"/>
        <v>4184.37</v>
      </c>
      <c r="M200" s="46">
        <f t="shared" si="157"/>
        <v>4171.37</v>
      </c>
      <c r="N200" s="46">
        <f t="shared" si="157"/>
        <v>4648.32</v>
      </c>
      <c r="O200" s="46">
        <f t="shared" si="157"/>
        <v>5008.62</v>
      </c>
      <c r="P200" s="46">
        <f t="shared" si="157"/>
        <v>5032.03</v>
      </c>
      <c r="Q200" s="46">
        <f t="shared" si="157"/>
        <v>5417.03</v>
      </c>
      <c r="R200" s="46">
        <f t="shared" si="157"/>
        <v>5417.03</v>
      </c>
      <c r="S200" s="46">
        <f t="shared" si="157"/>
        <v>5417.03</v>
      </c>
      <c r="T200" s="46">
        <f t="shared" si="157"/>
        <v>5417.03</v>
      </c>
      <c r="U200" s="46">
        <f t="shared" si="157"/>
        <v>5587.4323999999997</v>
      </c>
      <c r="V200" s="46">
        <f t="shared" si="157"/>
        <v>5587.4323999999997</v>
      </c>
      <c r="W200" s="46">
        <f t="shared" si="157"/>
        <v>5587.4323999999997</v>
      </c>
      <c r="X200" s="46">
        <f t="shared" si="157"/>
        <v>5587.4323999999997</v>
      </c>
      <c r="Y200" s="46">
        <f t="shared" si="157"/>
        <v>5587.4323999999997</v>
      </c>
      <c r="Z200" s="46">
        <f t="shared" si="157"/>
        <v>5587.4323999999997</v>
      </c>
      <c r="AA200" s="46">
        <f t="shared" si="157"/>
        <v>5587.4323999999997</v>
      </c>
      <c r="AB200" s="46">
        <f t="shared" si="157"/>
        <v>5587.4323999999997</v>
      </c>
      <c r="AC200" s="46">
        <f t="shared" si="157"/>
        <v>5587.4323999999997</v>
      </c>
      <c r="AD200" s="46">
        <f t="shared" si="157"/>
        <v>5587.4323999999997</v>
      </c>
      <c r="AE200" s="46">
        <f t="shared" si="157"/>
        <v>5587.4323999999997</v>
      </c>
      <c r="AF200" s="46">
        <f t="shared" si="157"/>
        <v>5587.4323999999997</v>
      </c>
      <c r="AG200" s="46">
        <f t="shared" si="157"/>
        <v>5771.4669920000006</v>
      </c>
      <c r="AH200" s="46">
        <f t="shared" si="157"/>
        <v>5771.4669920000006</v>
      </c>
      <c r="AI200" s="46">
        <f t="shared" si="157"/>
        <v>5771.4669920000006</v>
      </c>
      <c r="AJ200" s="46">
        <f t="shared" si="157"/>
        <v>5771.4669920000006</v>
      </c>
      <c r="AK200" s="46">
        <f t="shared" si="157"/>
        <v>5771.4669920000006</v>
      </c>
      <c r="AL200" s="46">
        <f t="shared" si="157"/>
        <v>5771.4669920000006</v>
      </c>
      <c r="AM200" s="46">
        <f t="shared" si="157"/>
        <v>5771.4669920000006</v>
      </c>
      <c r="AN200" s="46">
        <f t="shared" si="157"/>
        <v>5771.4669920000006</v>
      </c>
      <c r="AO200" s="46">
        <f t="shared" si="157"/>
        <v>5771.4669920000006</v>
      </c>
      <c r="AP200" s="46">
        <f t="shared" si="157"/>
        <v>5771.4669920000006</v>
      </c>
      <c r="AQ200" s="46">
        <f t="shared" si="157"/>
        <v>5771.4669920000006</v>
      </c>
      <c r="AR200" s="46">
        <f t="shared" si="157"/>
        <v>5771.4669920000006</v>
      </c>
      <c r="AS200" s="46">
        <f t="shared" si="157"/>
        <v>5956.5921593599996</v>
      </c>
      <c r="AT200" s="46">
        <f t="shared" si="157"/>
        <v>5956.5921593599996</v>
      </c>
      <c r="AU200" s="46">
        <f t="shared" si="157"/>
        <v>5956.5921593599996</v>
      </c>
      <c r="AV200" s="46">
        <f t="shared" si="157"/>
        <v>5956.5921593599996</v>
      </c>
      <c r="AW200" s="46">
        <f t="shared" si="157"/>
        <v>5956.5921593599996</v>
      </c>
      <c r="AX200" s="46">
        <f t="shared" si="157"/>
        <v>5956.5921593599996</v>
      </c>
      <c r="AY200" s="46">
        <f t="shared" si="157"/>
        <v>5956.5921593599996</v>
      </c>
      <c r="AZ200" s="46">
        <f t="shared" si="157"/>
        <v>5956.5921593599996</v>
      </c>
      <c r="BA200" s="46">
        <f t="shared" si="157"/>
        <v>5956.5921593599996</v>
      </c>
      <c r="BB200" s="46">
        <f t="shared" si="157"/>
        <v>5956.5921593599996</v>
      </c>
      <c r="BC200" s="46">
        <f t="shared" si="157"/>
        <v>5956.5921593599996</v>
      </c>
      <c r="BD200" s="46">
        <f t="shared" si="157"/>
        <v>5956.5921593599996</v>
      </c>
      <c r="BE200" s="46"/>
    </row>
    <row r="201" spans="1:76" ht="14.25" customHeight="1" x14ac:dyDescent="0.3">
      <c r="A201" s="46"/>
      <c r="B201" s="37"/>
      <c r="C201" s="46" t="s">
        <v>150</v>
      </c>
      <c r="D201" s="46"/>
      <c r="E201" s="46"/>
      <c r="F201" s="46"/>
      <c r="G201" s="46"/>
      <c r="H201" s="46"/>
      <c r="I201" s="63">
        <f>SUM(I198:I200)</f>
        <v>11320.091999999999</v>
      </c>
      <c r="J201" s="63">
        <f t="shared" ref="J201:BD201" si="158">SUM(J198:J200)</f>
        <v>11562.329</v>
      </c>
      <c r="K201" s="63">
        <f t="shared" si="158"/>
        <v>11684.129000000001</v>
      </c>
      <c r="L201" s="63">
        <f t="shared" si="158"/>
        <v>12134.672999999999</v>
      </c>
      <c r="M201" s="63">
        <f t="shared" si="158"/>
        <v>12096.972999999998</v>
      </c>
      <c r="N201" s="63">
        <f t="shared" si="158"/>
        <v>13480.127999999999</v>
      </c>
      <c r="O201" s="63">
        <f t="shared" si="158"/>
        <v>14524.998</v>
      </c>
      <c r="P201" s="63">
        <f t="shared" si="158"/>
        <v>14592.886999999999</v>
      </c>
      <c r="Q201" s="63">
        <f t="shared" si="158"/>
        <v>15709.386999999999</v>
      </c>
      <c r="R201" s="63">
        <f t="shared" si="158"/>
        <v>15709.386999999999</v>
      </c>
      <c r="S201" s="63">
        <f t="shared" si="158"/>
        <v>15709.386999999999</v>
      </c>
      <c r="T201" s="63">
        <f t="shared" si="158"/>
        <v>15709.386999999999</v>
      </c>
      <c r="U201" s="63">
        <f t="shared" si="158"/>
        <v>16203.553959999999</v>
      </c>
      <c r="V201" s="63">
        <f t="shared" si="158"/>
        <v>16203.553959999999</v>
      </c>
      <c r="W201" s="63">
        <f t="shared" si="158"/>
        <v>16203.553959999999</v>
      </c>
      <c r="X201" s="63">
        <f t="shared" si="158"/>
        <v>16203.553959999999</v>
      </c>
      <c r="Y201" s="63">
        <f t="shared" si="158"/>
        <v>16203.553959999999</v>
      </c>
      <c r="Z201" s="63">
        <f t="shared" si="158"/>
        <v>16203.553959999999</v>
      </c>
      <c r="AA201" s="63">
        <f t="shared" si="158"/>
        <v>16203.553959999999</v>
      </c>
      <c r="AB201" s="63">
        <f t="shared" si="158"/>
        <v>16203.553959999999</v>
      </c>
      <c r="AC201" s="63">
        <f t="shared" si="158"/>
        <v>16203.553959999999</v>
      </c>
      <c r="AD201" s="63">
        <f t="shared" si="158"/>
        <v>16203.553959999999</v>
      </c>
      <c r="AE201" s="63">
        <f t="shared" si="158"/>
        <v>16203.553959999999</v>
      </c>
      <c r="AF201" s="63">
        <f t="shared" si="158"/>
        <v>16203.553959999999</v>
      </c>
      <c r="AG201" s="63">
        <f t="shared" si="158"/>
        <v>16737.254276800002</v>
      </c>
      <c r="AH201" s="63">
        <f t="shared" si="158"/>
        <v>16737.254276800002</v>
      </c>
      <c r="AI201" s="63">
        <f t="shared" si="158"/>
        <v>16737.254276800002</v>
      </c>
      <c r="AJ201" s="63">
        <f t="shared" si="158"/>
        <v>16737.254276800002</v>
      </c>
      <c r="AK201" s="63">
        <f t="shared" si="158"/>
        <v>16737.254276800002</v>
      </c>
      <c r="AL201" s="63">
        <f t="shared" si="158"/>
        <v>16737.254276800002</v>
      </c>
      <c r="AM201" s="63">
        <f t="shared" si="158"/>
        <v>16737.254276800002</v>
      </c>
      <c r="AN201" s="63">
        <f t="shared" si="158"/>
        <v>16737.254276800002</v>
      </c>
      <c r="AO201" s="63">
        <f t="shared" si="158"/>
        <v>16737.254276800002</v>
      </c>
      <c r="AP201" s="63">
        <f t="shared" si="158"/>
        <v>16737.254276800002</v>
      </c>
      <c r="AQ201" s="63">
        <f t="shared" si="158"/>
        <v>16737.254276800002</v>
      </c>
      <c r="AR201" s="63">
        <f t="shared" si="158"/>
        <v>16737.254276800002</v>
      </c>
      <c r="AS201" s="63">
        <f t="shared" si="158"/>
        <v>17274.117262143998</v>
      </c>
      <c r="AT201" s="63">
        <f t="shared" si="158"/>
        <v>17274.117262143998</v>
      </c>
      <c r="AU201" s="63">
        <f t="shared" si="158"/>
        <v>17274.117262143998</v>
      </c>
      <c r="AV201" s="63">
        <f t="shared" si="158"/>
        <v>17274.117262143998</v>
      </c>
      <c r="AW201" s="63">
        <f t="shared" si="158"/>
        <v>17274.117262143998</v>
      </c>
      <c r="AX201" s="63">
        <f t="shared" si="158"/>
        <v>17274.117262143998</v>
      </c>
      <c r="AY201" s="63">
        <f t="shared" si="158"/>
        <v>17274.117262143998</v>
      </c>
      <c r="AZ201" s="63">
        <f t="shared" si="158"/>
        <v>17274.117262143998</v>
      </c>
      <c r="BA201" s="63">
        <f t="shared" si="158"/>
        <v>17274.117262143998</v>
      </c>
      <c r="BB201" s="63">
        <f t="shared" si="158"/>
        <v>17274.117262143998</v>
      </c>
      <c r="BC201" s="63">
        <f t="shared" si="158"/>
        <v>17274.117262143998</v>
      </c>
      <c r="BD201" s="63">
        <f t="shared" si="158"/>
        <v>17274.117262143998</v>
      </c>
      <c r="BE201" s="63"/>
    </row>
    <row r="202" spans="1:76" ht="14.25" customHeight="1" x14ac:dyDescent="0.3">
      <c r="A202" s="46"/>
      <c r="B202" s="37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  <c r="AG202" s="46"/>
      <c r="AH202" s="46"/>
      <c r="AI202" s="46"/>
      <c r="AJ202" s="46"/>
      <c r="AK202" s="46"/>
      <c r="AL202" s="46"/>
      <c r="AM202" s="46"/>
      <c r="AN202" s="46"/>
      <c r="AO202" s="46"/>
      <c r="AP202" s="46"/>
      <c r="AQ202" s="46"/>
      <c r="AR202" s="46"/>
      <c r="AS202" s="46"/>
      <c r="AT202" s="46"/>
      <c r="AU202" s="46"/>
      <c r="AV202" s="46"/>
      <c r="AW202" s="46"/>
      <c r="AX202" s="46"/>
      <c r="AY202" s="46"/>
      <c r="AZ202" s="46"/>
      <c r="BA202" s="46"/>
      <c r="BB202" s="46"/>
      <c r="BC202" s="46"/>
      <c r="BD202" s="46"/>
      <c r="BE202" s="46"/>
    </row>
    <row r="203" spans="1:76" ht="14.25" customHeight="1" x14ac:dyDescent="0.3">
      <c r="A203" s="46"/>
      <c r="B203" s="37" t="s">
        <v>151</v>
      </c>
      <c r="C203" s="46"/>
      <c r="D203" s="46"/>
      <c r="E203" s="46"/>
      <c r="F203" s="46" t="s">
        <v>126</v>
      </c>
      <c r="G203" s="46" t="s">
        <v>152</v>
      </c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  <c r="AI203" s="46"/>
      <c r="AJ203" s="46"/>
      <c r="AK203" s="46"/>
      <c r="AL203" s="46"/>
      <c r="AM203" s="46"/>
      <c r="AN203" s="46"/>
      <c r="AO203" s="46"/>
      <c r="AP203" s="46"/>
      <c r="AQ203" s="46"/>
      <c r="AR203" s="46"/>
      <c r="AS203" s="46"/>
      <c r="AT203" s="46"/>
      <c r="AU203" s="46"/>
      <c r="AV203" s="46"/>
      <c r="AW203" s="46"/>
      <c r="AX203" s="46"/>
      <c r="AY203" s="46"/>
      <c r="AZ203" s="46"/>
      <c r="BA203" s="46"/>
      <c r="BB203" s="46"/>
      <c r="BC203" s="46"/>
      <c r="BD203" s="46"/>
      <c r="BE203" s="46"/>
    </row>
    <row r="204" spans="1:76" ht="14.25" customHeight="1" x14ac:dyDescent="0.3">
      <c r="A204" s="46"/>
      <c r="B204" s="37"/>
      <c r="C204" s="32" t="s">
        <v>231</v>
      </c>
      <c r="D204" s="88"/>
      <c r="E204" s="53">
        <f>1500000/12</f>
        <v>125000</v>
      </c>
      <c r="F204" s="54">
        <v>0.1</v>
      </c>
      <c r="G204" s="60" t="s">
        <v>153</v>
      </c>
      <c r="H204" s="46"/>
      <c r="I204" s="87">
        <v>139779</v>
      </c>
      <c r="J204" s="55">
        <v>15950</v>
      </c>
      <c r="K204" s="55">
        <v>96761</v>
      </c>
      <c r="L204" s="55">
        <v>61843</v>
      </c>
      <c r="M204" s="55">
        <v>124981</v>
      </c>
      <c r="N204" s="55">
        <v>76914</v>
      </c>
      <c r="O204" s="55">
        <v>79744</v>
      </c>
      <c r="P204" s="55">
        <f t="shared" ref="P204:AE219" si="159">$E204+IF(P$2=2026,($E204*$F204),0)+IF((P$2=2027),(($E204*$F204)+($E204+$E204*$F204)*$F204),0)+IF((P$2=2028),(($E204*$F204)+($E204+$E204*$F204)*$F204)+($E204+($E204+$E204*$F204)*$F204)*$F204,0)</f>
        <v>125000</v>
      </c>
      <c r="Q204" s="55">
        <f t="shared" si="159"/>
        <v>125000</v>
      </c>
      <c r="R204" s="55">
        <f t="shared" si="159"/>
        <v>125000</v>
      </c>
      <c r="S204" s="55">
        <f t="shared" si="159"/>
        <v>125000</v>
      </c>
      <c r="T204" s="55">
        <f t="shared" si="159"/>
        <v>125000</v>
      </c>
      <c r="U204" s="55">
        <f t="shared" si="159"/>
        <v>137500</v>
      </c>
      <c r="V204" s="55">
        <f t="shared" si="159"/>
        <v>137500</v>
      </c>
      <c r="W204" s="55">
        <f t="shared" si="159"/>
        <v>137500</v>
      </c>
      <c r="X204" s="55">
        <f t="shared" si="159"/>
        <v>137500</v>
      </c>
      <c r="Y204" s="55">
        <f t="shared" si="159"/>
        <v>137500</v>
      </c>
      <c r="Z204" s="55">
        <f t="shared" si="159"/>
        <v>137500</v>
      </c>
      <c r="AA204" s="55">
        <f t="shared" si="159"/>
        <v>137500</v>
      </c>
      <c r="AB204" s="55">
        <f t="shared" si="159"/>
        <v>137500</v>
      </c>
      <c r="AC204" s="55">
        <f t="shared" si="159"/>
        <v>137500</v>
      </c>
      <c r="AD204" s="55">
        <f t="shared" si="159"/>
        <v>137500</v>
      </c>
      <c r="AE204" s="55">
        <f t="shared" si="159"/>
        <v>137500</v>
      </c>
      <c r="AF204" s="55">
        <f t="shared" ref="AF204:AU219" si="160">$E204+IF(AF$2=2026,($E204*$F204),0)+IF((AF$2=2027),(($E204*$F204)+($E204+$E204*$F204)*$F204),0)+IF((AF$2=2028),(($E204*$F204)+($E204+$E204*$F204)*$F204)+($E204+($E204+$E204*$F204)*$F204)*$F204,0)</f>
        <v>137500</v>
      </c>
      <c r="AG204" s="55">
        <f t="shared" si="160"/>
        <v>151250</v>
      </c>
      <c r="AH204" s="55">
        <f t="shared" si="160"/>
        <v>151250</v>
      </c>
      <c r="AI204" s="55">
        <f t="shared" si="160"/>
        <v>151250</v>
      </c>
      <c r="AJ204" s="55">
        <f t="shared" si="160"/>
        <v>151250</v>
      </c>
      <c r="AK204" s="55">
        <f t="shared" si="160"/>
        <v>151250</v>
      </c>
      <c r="AL204" s="55">
        <f t="shared" si="160"/>
        <v>151250</v>
      </c>
      <c r="AM204" s="55">
        <f t="shared" si="160"/>
        <v>151250</v>
      </c>
      <c r="AN204" s="55">
        <f t="shared" si="160"/>
        <v>151250</v>
      </c>
      <c r="AO204" s="55">
        <f t="shared" si="160"/>
        <v>151250</v>
      </c>
      <c r="AP204" s="55">
        <f t="shared" si="160"/>
        <v>151250</v>
      </c>
      <c r="AQ204" s="55">
        <f t="shared" si="160"/>
        <v>151250</v>
      </c>
      <c r="AR204" s="55">
        <f t="shared" si="160"/>
        <v>151250</v>
      </c>
      <c r="AS204" s="55">
        <f t="shared" si="160"/>
        <v>165125</v>
      </c>
      <c r="AT204" s="55">
        <f t="shared" si="160"/>
        <v>165125</v>
      </c>
      <c r="AU204" s="55">
        <f t="shared" si="160"/>
        <v>165125</v>
      </c>
      <c r="AV204" s="55">
        <f t="shared" ref="AV204:BD219" si="161">$E204+IF(AV$2=2026,($E204*$F204),0)+IF((AV$2=2027),(($E204*$F204)+($E204+$E204*$F204)*$F204),0)+IF((AV$2=2028),(($E204*$F204)+($E204+$E204*$F204)*$F204)+($E204+($E204+$E204*$F204)*$F204)*$F204,0)</f>
        <v>165125</v>
      </c>
      <c r="AW204" s="55">
        <f t="shared" si="161"/>
        <v>165125</v>
      </c>
      <c r="AX204" s="55">
        <f t="shared" si="161"/>
        <v>165125</v>
      </c>
      <c r="AY204" s="55">
        <f t="shared" si="161"/>
        <v>165125</v>
      </c>
      <c r="AZ204" s="55">
        <f t="shared" si="161"/>
        <v>165125</v>
      </c>
      <c r="BA204" s="55">
        <f t="shared" si="161"/>
        <v>165125</v>
      </c>
      <c r="BB204" s="55">
        <f t="shared" si="161"/>
        <v>165125</v>
      </c>
      <c r="BC204" s="55">
        <f t="shared" si="161"/>
        <v>165125</v>
      </c>
      <c r="BD204" s="55">
        <f t="shared" si="161"/>
        <v>165125</v>
      </c>
      <c r="BE204" s="55"/>
      <c r="BX204" s="32">
        <f>110000*0.1</f>
        <v>11000</v>
      </c>
    </row>
    <row r="205" spans="1:76" ht="14.25" customHeight="1" x14ac:dyDescent="0.3">
      <c r="A205" s="46"/>
      <c r="B205" s="37"/>
      <c r="C205" s="32" t="s">
        <v>18</v>
      </c>
      <c r="E205" s="53">
        <f t="shared" ref="E205:E210" si="162">SUM(I205:O205)/7</f>
        <v>28980.142857142859</v>
      </c>
      <c r="F205" s="54">
        <v>0.08</v>
      </c>
      <c r="G205" s="60"/>
      <c r="H205" s="46"/>
      <c r="I205" s="55">
        <v>11891</v>
      </c>
      <c r="J205" s="55">
        <v>35912</v>
      </c>
      <c r="K205" s="55">
        <v>41282</v>
      </c>
      <c r="L205" s="55">
        <v>27491</v>
      </c>
      <c r="M205" s="55">
        <v>30897</v>
      </c>
      <c r="N205" s="55">
        <v>31378</v>
      </c>
      <c r="O205" s="55">
        <v>24010</v>
      </c>
      <c r="P205" s="55">
        <f t="shared" si="159"/>
        <v>28980.142857142859</v>
      </c>
      <c r="Q205" s="55">
        <f t="shared" si="159"/>
        <v>28980.142857142859</v>
      </c>
      <c r="R205" s="55">
        <f t="shared" si="159"/>
        <v>28980.142857142859</v>
      </c>
      <c r="S205" s="55">
        <f t="shared" si="159"/>
        <v>28980.142857142859</v>
      </c>
      <c r="T205" s="55">
        <f t="shared" si="159"/>
        <v>28980.142857142859</v>
      </c>
      <c r="U205" s="55">
        <f t="shared" si="159"/>
        <v>31298.554285714286</v>
      </c>
      <c r="V205" s="55">
        <f t="shared" si="159"/>
        <v>31298.554285714286</v>
      </c>
      <c r="W205" s="55">
        <f t="shared" si="159"/>
        <v>31298.554285714286</v>
      </c>
      <c r="X205" s="55">
        <f t="shared" si="159"/>
        <v>31298.554285714286</v>
      </c>
      <c r="Y205" s="55">
        <f t="shared" si="159"/>
        <v>31298.554285714286</v>
      </c>
      <c r="Z205" s="55">
        <f t="shared" si="159"/>
        <v>31298.554285714286</v>
      </c>
      <c r="AA205" s="55">
        <f t="shared" si="159"/>
        <v>31298.554285714286</v>
      </c>
      <c r="AB205" s="55">
        <f t="shared" si="159"/>
        <v>31298.554285714286</v>
      </c>
      <c r="AC205" s="55">
        <f t="shared" si="159"/>
        <v>31298.554285714286</v>
      </c>
      <c r="AD205" s="55">
        <f t="shared" si="159"/>
        <v>31298.554285714286</v>
      </c>
      <c r="AE205" s="55">
        <f t="shared" si="159"/>
        <v>31298.554285714286</v>
      </c>
      <c r="AF205" s="55">
        <f t="shared" si="160"/>
        <v>31298.554285714286</v>
      </c>
      <c r="AG205" s="55">
        <f t="shared" si="160"/>
        <v>33802.438628571428</v>
      </c>
      <c r="AH205" s="55">
        <f t="shared" si="160"/>
        <v>33802.438628571428</v>
      </c>
      <c r="AI205" s="55">
        <f t="shared" si="160"/>
        <v>33802.438628571428</v>
      </c>
      <c r="AJ205" s="55">
        <f t="shared" si="160"/>
        <v>33802.438628571428</v>
      </c>
      <c r="AK205" s="55">
        <f t="shared" si="160"/>
        <v>33802.438628571428</v>
      </c>
      <c r="AL205" s="55">
        <f t="shared" si="160"/>
        <v>33802.438628571428</v>
      </c>
      <c r="AM205" s="55">
        <f t="shared" si="160"/>
        <v>33802.438628571428</v>
      </c>
      <c r="AN205" s="55">
        <f t="shared" si="160"/>
        <v>33802.438628571428</v>
      </c>
      <c r="AO205" s="55">
        <f t="shared" si="160"/>
        <v>33802.438628571428</v>
      </c>
      <c r="AP205" s="55">
        <f t="shared" si="160"/>
        <v>33802.438628571428</v>
      </c>
      <c r="AQ205" s="55">
        <f t="shared" si="160"/>
        <v>33802.438628571428</v>
      </c>
      <c r="AR205" s="55">
        <f t="shared" si="160"/>
        <v>33802.438628571428</v>
      </c>
      <c r="AS205" s="55">
        <f t="shared" si="160"/>
        <v>36321.160804571431</v>
      </c>
      <c r="AT205" s="55">
        <f t="shared" si="160"/>
        <v>36321.160804571431</v>
      </c>
      <c r="AU205" s="55">
        <f t="shared" si="160"/>
        <v>36321.160804571431</v>
      </c>
      <c r="AV205" s="55">
        <f t="shared" si="161"/>
        <v>36321.160804571431</v>
      </c>
      <c r="AW205" s="55">
        <f t="shared" si="161"/>
        <v>36321.160804571431</v>
      </c>
      <c r="AX205" s="55">
        <f t="shared" si="161"/>
        <v>36321.160804571431</v>
      </c>
      <c r="AY205" s="55">
        <f t="shared" si="161"/>
        <v>36321.160804571431</v>
      </c>
      <c r="AZ205" s="55">
        <f t="shared" si="161"/>
        <v>36321.160804571431</v>
      </c>
      <c r="BA205" s="55">
        <f t="shared" si="161"/>
        <v>36321.160804571431</v>
      </c>
      <c r="BB205" s="55">
        <f t="shared" si="161"/>
        <v>36321.160804571431</v>
      </c>
      <c r="BC205" s="55">
        <f t="shared" si="161"/>
        <v>36321.160804571431</v>
      </c>
      <c r="BD205" s="55">
        <f t="shared" si="161"/>
        <v>36321.160804571431</v>
      </c>
      <c r="BE205" s="55"/>
    </row>
    <row r="206" spans="1:76" ht="14.25" customHeight="1" x14ac:dyDescent="0.3">
      <c r="A206" s="46"/>
      <c r="B206" s="37"/>
      <c r="C206" s="32" t="s">
        <v>19</v>
      </c>
      <c r="E206" s="53">
        <f t="shared" si="162"/>
        <v>5600</v>
      </c>
      <c r="F206" s="54">
        <v>0</v>
      </c>
      <c r="G206" s="46"/>
      <c r="H206" s="46"/>
      <c r="I206" s="55">
        <f>12000+7200</f>
        <v>19200</v>
      </c>
      <c r="J206" s="55">
        <v>18000</v>
      </c>
      <c r="K206" s="55">
        <v>0</v>
      </c>
      <c r="L206" s="55">
        <v>0</v>
      </c>
      <c r="M206" s="55">
        <v>0</v>
      </c>
      <c r="N206" s="55">
        <v>0</v>
      </c>
      <c r="O206" s="55">
        <v>2000</v>
      </c>
      <c r="P206" s="55">
        <f t="shared" si="159"/>
        <v>5600</v>
      </c>
      <c r="Q206" s="55">
        <f t="shared" si="159"/>
        <v>5600</v>
      </c>
      <c r="R206" s="55">
        <f t="shared" si="159"/>
        <v>5600</v>
      </c>
      <c r="S206" s="55">
        <f t="shared" si="159"/>
        <v>5600</v>
      </c>
      <c r="T206" s="55">
        <f t="shared" si="159"/>
        <v>5600</v>
      </c>
      <c r="U206" s="55">
        <f t="shared" si="159"/>
        <v>5600</v>
      </c>
      <c r="V206" s="55">
        <f t="shared" si="159"/>
        <v>5600</v>
      </c>
      <c r="W206" s="55">
        <f t="shared" si="159"/>
        <v>5600</v>
      </c>
      <c r="X206" s="55">
        <f t="shared" si="159"/>
        <v>5600</v>
      </c>
      <c r="Y206" s="55">
        <f t="shared" si="159"/>
        <v>5600</v>
      </c>
      <c r="Z206" s="55">
        <f t="shared" si="159"/>
        <v>5600</v>
      </c>
      <c r="AA206" s="55">
        <f t="shared" si="159"/>
        <v>5600</v>
      </c>
      <c r="AB206" s="55">
        <f t="shared" si="159"/>
        <v>5600</v>
      </c>
      <c r="AC206" s="55">
        <f t="shared" si="159"/>
        <v>5600</v>
      </c>
      <c r="AD206" s="55">
        <f t="shared" si="159"/>
        <v>5600</v>
      </c>
      <c r="AE206" s="55">
        <f t="shared" si="159"/>
        <v>5600</v>
      </c>
      <c r="AF206" s="55">
        <f t="shared" si="160"/>
        <v>5600</v>
      </c>
      <c r="AG206" s="55">
        <f t="shared" si="160"/>
        <v>5600</v>
      </c>
      <c r="AH206" s="55">
        <f t="shared" si="160"/>
        <v>5600</v>
      </c>
      <c r="AI206" s="55">
        <f t="shared" si="160"/>
        <v>5600</v>
      </c>
      <c r="AJ206" s="55">
        <f t="shared" si="160"/>
        <v>5600</v>
      </c>
      <c r="AK206" s="55">
        <f t="shared" si="160"/>
        <v>5600</v>
      </c>
      <c r="AL206" s="55">
        <f t="shared" si="160"/>
        <v>5600</v>
      </c>
      <c r="AM206" s="55">
        <f t="shared" si="160"/>
        <v>5600</v>
      </c>
      <c r="AN206" s="55">
        <f t="shared" si="160"/>
        <v>5600</v>
      </c>
      <c r="AO206" s="55">
        <f t="shared" si="160"/>
        <v>5600</v>
      </c>
      <c r="AP206" s="55">
        <f t="shared" si="160"/>
        <v>5600</v>
      </c>
      <c r="AQ206" s="55">
        <f t="shared" si="160"/>
        <v>5600</v>
      </c>
      <c r="AR206" s="55">
        <f t="shared" si="160"/>
        <v>5600</v>
      </c>
      <c r="AS206" s="55">
        <f t="shared" si="160"/>
        <v>5600</v>
      </c>
      <c r="AT206" s="55">
        <f t="shared" si="160"/>
        <v>5600</v>
      </c>
      <c r="AU206" s="55">
        <f t="shared" si="160"/>
        <v>5600</v>
      </c>
      <c r="AV206" s="55">
        <f t="shared" si="161"/>
        <v>5600</v>
      </c>
      <c r="AW206" s="55">
        <f t="shared" si="161"/>
        <v>5600</v>
      </c>
      <c r="AX206" s="55">
        <f t="shared" si="161"/>
        <v>5600</v>
      </c>
      <c r="AY206" s="55">
        <f t="shared" si="161"/>
        <v>5600</v>
      </c>
      <c r="AZ206" s="55">
        <f t="shared" si="161"/>
        <v>5600</v>
      </c>
      <c r="BA206" s="55">
        <f t="shared" si="161"/>
        <v>5600</v>
      </c>
      <c r="BB206" s="55">
        <f t="shared" si="161"/>
        <v>5600</v>
      </c>
      <c r="BC206" s="55">
        <f t="shared" si="161"/>
        <v>5600</v>
      </c>
      <c r="BD206" s="55">
        <f t="shared" si="161"/>
        <v>5600</v>
      </c>
      <c r="BE206" s="55"/>
    </row>
    <row r="207" spans="1:76" s="58" customFormat="1" ht="14.25" customHeight="1" x14ac:dyDescent="0.3">
      <c r="A207" s="56"/>
      <c r="B207" s="64"/>
      <c r="C207" s="32" t="s">
        <v>232</v>
      </c>
      <c r="E207" s="53">
        <f t="shared" si="162"/>
        <v>24076.857142857141</v>
      </c>
      <c r="F207" s="54">
        <v>0.1</v>
      </c>
      <c r="G207" s="46"/>
      <c r="H207" s="46"/>
      <c r="I207" s="55">
        <f>9507+2170+7761+23203</f>
        <v>42641</v>
      </c>
      <c r="J207" s="55">
        <v>21907</v>
      </c>
      <c r="K207" s="55">
        <v>13203</v>
      </c>
      <c r="L207" s="55">
        <v>22204</v>
      </c>
      <c r="M207" s="55">
        <v>14942</v>
      </c>
      <c r="N207" s="55">
        <v>21971</v>
      </c>
      <c r="O207" s="55">
        <v>31670</v>
      </c>
      <c r="P207" s="55">
        <f t="shared" si="159"/>
        <v>24076.857142857141</v>
      </c>
      <c r="Q207" s="55">
        <f t="shared" si="159"/>
        <v>24076.857142857141</v>
      </c>
      <c r="R207" s="55">
        <f t="shared" si="159"/>
        <v>24076.857142857141</v>
      </c>
      <c r="S207" s="55">
        <f t="shared" si="159"/>
        <v>24076.857142857141</v>
      </c>
      <c r="T207" s="55">
        <f t="shared" si="159"/>
        <v>24076.857142857141</v>
      </c>
      <c r="U207" s="55">
        <f t="shared" si="159"/>
        <v>26484.542857142857</v>
      </c>
      <c r="V207" s="55">
        <f t="shared" si="159"/>
        <v>26484.542857142857</v>
      </c>
      <c r="W207" s="55">
        <f t="shared" si="159"/>
        <v>26484.542857142857</v>
      </c>
      <c r="X207" s="55">
        <f t="shared" si="159"/>
        <v>26484.542857142857</v>
      </c>
      <c r="Y207" s="55">
        <f t="shared" si="159"/>
        <v>26484.542857142857</v>
      </c>
      <c r="Z207" s="55">
        <f t="shared" si="159"/>
        <v>26484.542857142857</v>
      </c>
      <c r="AA207" s="55">
        <f t="shared" si="159"/>
        <v>26484.542857142857</v>
      </c>
      <c r="AB207" s="55">
        <f t="shared" si="159"/>
        <v>26484.542857142857</v>
      </c>
      <c r="AC207" s="55">
        <f t="shared" si="159"/>
        <v>26484.542857142857</v>
      </c>
      <c r="AD207" s="55">
        <f t="shared" si="159"/>
        <v>26484.542857142857</v>
      </c>
      <c r="AE207" s="55">
        <f t="shared" si="159"/>
        <v>26484.542857142857</v>
      </c>
      <c r="AF207" s="55">
        <f t="shared" si="160"/>
        <v>26484.542857142857</v>
      </c>
      <c r="AG207" s="55">
        <f t="shared" si="160"/>
        <v>29132.997142857141</v>
      </c>
      <c r="AH207" s="55">
        <f t="shared" si="160"/>
        <v>29132.997142857141</v>
      </c>
      <c r="AI207" s="55">
        <f t="shared" si="160"/>
        <v>29132.997142857141</v>
      </c>
      <c r="AJ207" s="55">
        <f t="shared" si="160"/>
        <v>29132.997142857141</v>
      </c>
      <c r="AK207" s="55">
        <f t="shared" si="160"/>
        <v>29132.997142857141</v>
      </c>
      <c r="AL207" s="55">
        <f t="shared" si="160"/>
        <v>29132.997142857141</v>
      </c>
      <c r="AM207" s="55">
        <f t="shared" si="160"/>
        <v>29132.997142857141</v>
      </c>
      <c r="AN207" s="55">
        <f t="shared" si="160"/>
        <v>29132.997142857141</v>
      </c>
      <c r="AO207" s="55">
        <f t="shared" si="160"/>
        <v>29132.997142857141</v>
      </c>
      <c r="AP207" s="55">
        <f t="shared" si="160"/>
        <v>29132.997142857141</v>
      </c>
      <c r="AQ207" s="55">
        <f t="shared" si="160"/>
        <v>29132.997142857141</v>
      </c>
      <c r="AR207" s="55">
        <f t="shared" si="160"/>
        <v>29132.997142857141</v>
      </c>
      <c r="AS207" s="55">
        <f t="shared" si="160"/>
        <v>31805.528285714285</v>
      </c>
      <c r="AT207" s="55">
        <f t="shared" si="160"/>
        <v>31805.528285714285</v>
      </c>
      <c r="AU207" s="55">
        <f t="shared" si="160"/>
        <v>31805.528285714285</v>
      </c>
      <c r="AV207" s="55">
        <f t="shared" si="161"/>
        <v>31805.528285714285</v>
      </c>
      <c r="AW207" s="55">
        <f t="shared" si="161"/>
        <v>31805.528285714285</v>
      </c>
      <c r="AX207" s="55">
        <f t="shared" si="161"/>
        <v>31805.528285714285</v>
      </c>
      <c r="AY207" s="55">
        <f t="shared" si="161"/>
        <v>31805.528285714285</v>
      </c>
      <c r="AZ207" s="55">
        <f t="shared" si="161"/>
        <v>31805.528285714285</v>
      </c>
      <c r="BA207" s="55">
        <f t="shared" si="161"/>
        <v>31805.528285714285</v>
      </c>
      <c r="BB207" s="55">
        <f t="shared" si="161"/>
        <v>31805.528285714285</v>
      </c>
      <c r="BC207" s="55">
        <f t="shared" si="161"/>
        <v>31805.528285714285</v>
      </c>
      <c r="BD207" s="55">
        <f t="shared" si="161"/>
        <v>31805.528285714285</v>
      </c>
      <c r="BE207" s="55"/>
    </row>
    <row r="208" spans="1:76" s="58" customFormat="1" ht="14.25" customHeight="1" x14ac:dyDescent="0.3">
      <c r="A208" s="56"/>
      <c r="B208" s="64"/>
      <c r="C208" s="32" t="s">
        <v>154</v>
      </c>
      <c r="E208" s="53">
        <f t="shared" si="162"/>
        <v>305633</v>
      </c>
      <c r="F208" s="54">
        <v>0</v>
      </c>
      <c r="G208" s="46"/>
      <c r="H208" s="46"/>
      <c r="I208" s="55">
        <v>305633</v>
      </c>
      <c r="J208" s="55">
        <v>305633</v>
      </c>
      <c r="K208" s="55">
        <v>305633</v>
      </c>
      <c r="L208" s="55">
        <v>305633</v>
      </c>
      <c r="M208" s="55">
        <v>305633</v>
      </c>
      <c r="N208" s="55">
        <v>305633</v>
      </c>
      <c r="O208" s="55">
        <v>305633</v>
      </c>
      <c r="P208" s="55">
        <f t="shared" si="159"/>
        <v>305633</v>
      </c>
      <c r="Q208" s="55">
        <f t="shared" si="159"/>
        <v>305633</v>
      </c>
      <c r="R208" s="55">
        <f t="shared" si="159"/>
        <v>305633</v>
      </c>
      <c r="S208" s="55">
        <f t="shared" si="159"/>
        <v>305633</v>
      </c>
      <c r="T208" s="55">
        <f t="shared" si="159"/>
        <v>305633</v>
      </c>
      <c r="U208" s="55">
        <f t="shared" si="159"/>
        <v>305633</v>
      </c>
      <c r="V208" s="55">
        <f t="shared" si="159"/>
        <v>305633</v>
      </c>
      <c r="W208" s="55">
        <f t="shared" si="159"/>
        <v>305633</v>
      </c>
      <c r="X208" s="55">
        <f t="shared" si="159"/>
        <v>305633</v>
      </c>
      <c r="Y208" s="55">
        <f t="shared" si="159"/>
        <v>305633</v>
      </c>
      <c r="Z208" s="55">
        <f t="shared" si="159"/>
        <v>305633</v>
      </c>
      <c r="AA208" s="55">
        <f t="shared" si="159"/>
        <v>305633</v>
      </c>
      <c r="AB208" s="55">
        <f t="shared" si="159"/>
        <v>305633</v>
      </c>
      <c r="AC208" s="55">
        <f t="shared" si="159"/>
        <v>305633</v>
      </c>
      <c r="AD208" s="55">
        <f t="shared" si="159"/>
        <v>305633</v>
      </c>
      <c r="AE208" s="55">
        <f t="shared" si="159"/>
        <v>305633</v>
      </c>
      <c r="AF208" s="55">
        <f t="shared" si="160"/>
        <v>305633</v>
      </c>
      <c r="AG208" s="55">
        <f t="shared" si="160"/>
        <v>305633</v>
      </c>
      <c r="AH208" s="55">
        <f t="shared" si="160"/>
        <v>305633</v>
      </c>
      <c r="AI208" s="55">
        <f t="shared" si="160"/>
        <v>305633</v>
      </c>
      <c r="AJ208" s="55">
        <f t="shared" si="160"/>
        <v>305633</v>
      </c>
      <c r="AK208" s="55">
        <f t="shared" si="160"/>
        <v>305633</v>
      </c>
      <c r="AL208" s="55">
        <f t="shared" si="160"/>
        <v>305633</v>
      </c>
      <c r="AM208" s="55">
        <f t="shared" si="160"/>
        <v>305633</v>
      </c>
      <c r="AN208" s="55">
        <f t="shared" si="160"/>
        <v>305633</v>
      </c>
      <c r="AO208" s="55">
        <f t="shared" si="160"/>
        <v>305633</v>
      </c>
      <c r="AP208" s="55">
        <f t="shared" si="160"/>
        <v>305633</v>
      </c>
      <c r="AQ208" s="55">
        <f t="shared" si="160"/>
        <v>305633</v>
      </c>
      <c r="AR208" s="55">
        <f t="shared" si="160"/>
        <v>305633</v>
      </c>
      <c r="AS208" s="55">
        <f t="shared" si="160"/>
        <v>305633</v>
      </c>
      <c r="AT208" s="55">
        <f t="shared" si="160"/>
        <v>305633</v>
      </c>
      <c r="AU208" s="55">
        <f t="shared" si="160"/>
        <v>305633</v>
      </c>
      <c r="AV208" s="55">
        <f t="shared" si="161"/>
        <v>305633</v>
      </c>
      <c r="AW208" s="55">
        <f t="shared" si="161"/>
        <v>305633</v>
      </c>
      <c r="AX208" s="55">
        <f t="shared" si="161"/>
        <v>305633</v>
      </c>
      <c r="AY208" s="55">
        <f t="shared" si="161"/>
        <v>305633</v>
      </c>
      <c r="AZ208" s="55">
        <f t="shared" si="161"/>
        <v>305633</v>
      </c>
      <c r="BA208" s="55">
        <f t="shared" si="161"/>
        <v>305633</v>
      </c>
      <c r="BB208" s="55">
        <f t="shared" si="161"/>
        <v>305633</v>
      </c>
      <c r="BC208" s="55">
        <f t="shared" si="161"/>
        <v>305633</v>
      </c>
      <c r="BD208" s="55">
        <f t="shared" si="161"/>
        <v>305633</v>
      </c>
      <c r="BE208" s="55"/>
    </row>
    <row r="209" spans="1:57" ht="14.25" customHeight="1" x14ac:dyDescent="0.3">
      <c r="A209" s="46"/>
      <c r="B209" s="37"/>
      <c r="C209" s="32" t="s">
        <v>233</v>
      </c>
      <c r="E209" s="53">
        <f t="shared" si="162"/>
        <v>13439.857142857143</v>
      </c>
      <c r="F209" s="54">
        <v>0.1</v>
      </c>
      <c r="G209" s="46"/>
      <c r="H209" s="46"/>
      <c r="I209" s="55">
        <v>9140</v>
      </c>
      <c r="J209" s="55">
        <v>28517</v>
      </c>
      <c r="K209" s="55">
        <v>13493</v>
      </c>
      <c r="L209" s="55">
        <v>17271</v>
      </c>
      <c r="M209" s="55">
        <v>9989</v>
      </c>
      <c r="N209" s="55">
        <v>7772</v>
      </c>
      <c r="O209" s="55">
        <v>7897</v>
      </c>
      <c r="P209" s="55">
        <f t="shared" si="159"/>
        <v>13439.857142857143</v>
      </c>
      <c r="Q209" s="55">
        <f t="shared" si="159"/>
        <v>13439.857142857143</v>
      </c>
      <c r="R209" s="55">
        <f t="shared" si="159"/>
        <v>13439.857142857143</v>
      </c>
      <c r="S209" s="55">
        <f t="shared" si="159"/>
        <v>13439.857142857143</v>
      </c>
      <c r="T209" s="55">
        <f t="shared" si="159"/>
        <v>13439.857142857143</v>
      </c>
      <c r="U209" s="55">
        <f t="shared" si="159"/>
        <v>14783.842857142858</v>
      </c>
      <c r="V209" s="55">
        <f t="shared" si="159"/>
        <v>14783.842857142858</v>
      </c>
      <c r="W209" s="55">
        <f t="shared" si="159"/>
        <v>14783.842857142858</v>
      </c>
      <c r="X209" s="55">
        <f t="shared" si="159"/>
        <v>14783.842857142858</v>
      </c>
      <c r="Y209" s="55">
        <f t="shared" si="159"/>
        <v>14783.842857142858</v>
      </c>
      <c r="Z209" s="55">
        <f t="shared" si="159"/>
        <v>14783.842857142858</v>
      </c>
      <c r="AA209" s="55">
        <f t="shared" si="159"/>
        <v>14783.842857142858</v>
      </c>
      <c r="AB209" s="55">
        <f t="shared" si="159"/>
        <v>14783.842857142858</v>
      </c>
      <c r="AC209" s="55">
        <f t="shared" si="159"/>
        <v>14783.842857142858</v>
      </c>
      <c r="AD209" s="55">
        <f t="shared" si="159"/>
        <v>14783.842857142858</v>
      </c>
      <c r="AE209" s="55">
        <f t="shared" si="159"/>
        <v>14783.842857142858</v>
      </c>
      <c r="AF209" s="55">
        <f t="shared" si="160"/>
        <v>14783.842857142858</v>
      </c>
      <c r="AG209" s="55">
        <f t="shared" si="160"/>
        <v>16262.227142857144</v>
      </c>
      <c r="AH209" s="55">
        <f t="shared" si="160"/>
        <v>16262.227142857144</v>
      </c>
      <c r="AI209" s="55">
        <f t="shared" si="160"/>
        <v>16262.227142857144</v>
      </c>
      <c r="AJ209" s="55">
        <f t="shared" si="160"/>
        <v>16262.227142857144</v>
      </c>
      <c r="AK209" s="55">
        <f t="shared" si="160"/>
        <v>16262.227142857144</v>
      </c>
      <c r="AL209" s="55">
        <f t="shared" si="160"/>
        <v>16262.227142857144</v>
      </c>
      <c r="AM209" s="55">
        <f t="shared" si="160"/>
        <v>16262.227142857144</v>
      </c>
      <c r="AN209" s="55">
        <f t="shared" si="160"/>
        <v>16262.227142857144</v>
      </c>
      <c r="AO209" s="55">
        <f t="shared" si="160"/>
        <v>16262.227142857144</v>
      </c>
      <c r="AP209" s="55">
        <f t="shared" si="160"/>
        <v>16262.227142857144</v>
      </c>
      <c r="AQ209" s="55">
        <f t="shared" si="160"/>
        <v>16262.227142857144</v>
      </c>
      <c r="AR209" s="55">
        <f t="shared" si="160"/>
        <v>16262.227142857144</v>
      </c>
      <c r="AS209" s="55">
        <f t="shared" si="160"/>
        <v>17754.051285714286</v>
      </c>
      <c r="AT209" s="55">
        <f t="shared" si="160"/>
        <v>17754.051285714286</v>
      </c>
      <c r="AU209" s="55">
        <f t="shared" si="160"/>
        <v>17754.051285714286</v>
      </c>
      <c r="AV209" s="55">
        <f t="shared" si="161"/>
        <v>17754.051285714286</v>
      </c>
      <c r="AW209" s="55">
        <f t="shared" si="161"/>
        <v>17754.051285714286</v>
      </c>
      <c r="AX209" s="55">
        <f t="shared" si="161"/>
        <v>17754.051285714286</v>
      </c>
      <c r="AY209" s="55">
        <f t="shared" si="161"/>
        <v>17754.051285714286</v>
      </c>
      <c r="AZ209" s="55">
        <f t="shared" si="161"/>
        <v>17754.051285714286</v>
      </c>
      <c r="BA209" s="55">
        <f t="shared" si="161"/>
        <v>17754.051285714286</v>
      </c>
      <c r="BB209" s="55">
        <f t="shared" si="161"/>
        <v>17754.051285714286</v>
      </c>
      <c r="BC209" s="55">
        <f t="shared" si="161"/>
        <v>17754.051285714286</v>
      </c>
      <c r="BD209" s="55">
        <f t="shared" si="161"/>
        <v>17754.051285714286</v>
      </c>
      <c r="BE209" s="55"/>
    </row>
    <row r="210" spans="1:57" ht="14.25" customHeight="1" x14ac:dyDescent="0.3">
      <c r="A210" s="46"/>
      <c r="B210" s="37"/>
      <c r="C210" s="32" t="s">
        <v>234</v>
      </c>
      <c r="E210" s="53">
        <f t="shared" si="162"/>
        <v>9210.4285714285706</v>
      </c>
      <c r="F210" s="54">
        <v>0.1</v>
      </c>
      <c r="G210" s="46"/>
      <c r="H210" s="46"/>
      <c r="I210" s="55">
        <v>4338</v>
      </c>
      <c r="J210" s="55">
        <v>3081</v>
      </c>
      <c r="K210" s="55">
        <v>4241</v>
      </c>
      <c r="L210" s="55">
        <v>26913</v>
      </c>
      <c r="M210" s="55">
        <v>6547</v>
      </c>
      <c r="N210" s="55">
        <v>13366</v>
      </c>
      <c r="O210" s="55">
        <f>1147+4840</f>
        <v>5987</v>
      </c>
      <c r="P210" s="55">
        <f t="shared" si="159"/>
        <v>9210.4285714285706</v>
      </c>
      <c r="Q210" s="55">
        <f t="shared" si="159"/>
        <v>9210.4285714285706</v>
      </c>
      <c r="R210" s="55">
        <f t="shared" si="159"/>
        <v>9210.4285714285706</v>
      </c>
      <c r="S210" s="55">
        <f t="shared" si="159"/>
        <v>9210.4285714285706</v>
      </c>
      <c r="T210" s="55">
        <f t="shared" si="159"/>
        <v>9210.4285714285706</v>
      </c>
      <c r="U210" s="55">
        <f t="shared" si="159"/>
        <v>10131.471428571427</v>
      </c>
      <c r="V210" s="55">
        <f t="shared" si="159"/>
        <v>10131.471428571427</v>
      </c>
      <c r="W210" s="55">
        <f t="shared" si="159"/>
        <v>10131.471428571427</v>
      </c>
      <c r="X210" s="55">
        <f t="shared" si="159"/>
        <v>10131.471428571427</v>
      </c>
      <c r="Y210" s="55">
        <f t="shared" si="159"/>
        <v>10131.471428571427</v>
      </c>
      <c r="Z210" s="55">
        <f t="shared" si="159"/>
        <v>10131.471428571427</v>
      </c>
      <c r="AA210" s="55">
        <f t="shared" si="159"/>
        <v>10131.471428571427</v>
      </c>
      <c r="AB210" s="55">
        <f t="shared" si="159"/>
        <v>10131.471428571427</v>
      </c>
      <c r="AC210" s="55">
        <f t="shared" si="159"/>
        <v>10131.471428571427</v>
      </c>
      <c r="AD210" s="55">
        <f t="shared" si="159"/>
        <v>10131.471428571427</v>
      </c>
      <c r="AE210" s="55">
        <f t="shared" si="159"/>
        <v>10131.471428571427</v>
      </c>
      <c r="AF210" s="55">
        <f t="shared" si="160"/>
        <v>10131.471428571427</v>
      </c>
      <c r="AG210" s="55">
        <f t="shared" si="160"/>
        <v>11144.618571428571</v>
      </c>
      <c r="AH210" s="55">
        <f t="shared" si="160"/>
        <v>11144.618571428571</v>
      </c>
      <c r="AI210" s="55">
        <f t="shared" si="160"/>
        <v>11144.618571428571</v>
      </c>
      <c r="AJ210" s="55">
        <f t="shared" si="160"/>
        <v>11144.618571428571</v>
      </c>
      <c r="AK210" s="55">
        <f t="shared" si="160"/>
        <v>11144.618571428571</v>
      </c>
      <c r="AL210" s="55">
        <f t="shared" si="160"/>
        <v>11144.618571428571</v>
      </c>
      <c r="AM210" s="55">
        <f t="shared" si="160"/>
        <v>11144.618571428571</v>
      </c>
      <c r="AN210" s="55">
        <f t="shared" si="160"/>
        <v>11144.618571428571</v>
      </c>
      <c r="AO210" s="55">
        <f t="shared" si="160"/>
        <v>11144.618571428571</v>
      </c>
      <c r="AP210" s="55">
        <f t="shared" si="160"/>
        <v>11144.618571428571</v>
      </c>
      <c r="AQ210" s="55">
        <f t="shared" si="160"/>
        <v>11144.618571428571</v>
      </c>
      <c r="AR210" s="55">
        <f t="shared" si="160"/>
        <v>11144.618571428571</v>
      </c>
      <c r="AS210" s="55">
        <f t="shared" si="160"/>
        <v>12166.976142857142</v>
      </c>
      <c r="AT210" s="55">
        <f t="shared" si="160"/>
        <v>12166.976142857142</v>
      </c>
      <c r="AU210" s="55">
        <f t="shared" si="160"/>
        <v>12166.976142857142</v>
      </c>
      <c r="AV210" s="55">
        <f t="shared" si="161"/>
        <v>12166.976142857142</v>
      </c>
      <c r="AW210" s="55">
        <f t="shared" si="161"/>
        <v>12166.976142857142</v>
      </c>
      <c r="AX210" s="55">
        <f t="shared" si="161"/>
        <v>12166.976142857142</v>
      </c>
      <c r="AY210" s="55">
        <f t="shared" si="161"/>
        <v>12166.976142857142</v>
      </c>
      <c r="AZ210" s="55">
        <f t="shared" si="161"/>
        <v>12166.976142857142</v>
      </c>
      <c r="BA210" s="55">
        <f t="shared" si="161"/>
        <v>12166.976142857142</v>
      </c>
      <c r="BB210" s="55">
        <f t="shared" si="161"/>
        <v>12166.976142857142</v>
      </c>
      <c r="BC210" s="55">
        <f t="shared" si="161"/>
        <v>12166.976142857142</v>
      </c>
      <c r="BD210" s="55">
        <f t="shared" si="161"/>
        <v>12166.976142857142</v>
      </c>
      <c r="BE210" s="55"/>
    </row>
    <row r="211" spans="1:57" ht="14.25" customHeight="1" x14ac:dyDescent="0.3">
      <c r="A211" s="46"/>
      <c r="B211" s="37"/>
      <c r="C211" s="32" t="s">
        <v>23</v>
      </c>
      <c r="E211" s="53">
        <f>45480+15000</f>
        <v>60480</v>
      </c>
      <c r="F211" s="54">
        <v>0.1</v>
      </c>
      <c r="G211" s="60" t="s">
        <v>235</v>
      </c>
      <c r="H211" s="46"/>
      <c r="I211" s="55">
        <v>21500</v>
      </c>
      <c r="J211" s="55">
        <v>18701</v>
      </c>
      <c r="K211" s="55">
        <v>18683</v>
      </c>
      <c r="L211" s="55">
        <v>18683</v>
      </c>
      <c r="M211" s="55">
        <v>18683</v>
      </c>
      <c r="N211" s="55">
        <v>18683</v>
      </c>
      <c r="O211" s="55">
        <v>45480</v>
      </c>
      <c r="P211" s="55">
        <f t="shared" si="159"/>
        <v>60480</v>
      </c>
      <c r="Q211" s="55">
        <f t="shared" si="159"/>
        <v>60480</v>
      </c>
      <c r="R211" s="55">
        <f t="shared" si="159"/>
        <v>60480</v>
      </c>
      <c r="S211" s="55">
        <f t="shared" si="159"/>
        <v>60480</v>
      </c>
      <c r="T211" s="55">
        <f t="shared" si="159"/>
        <v>60480</v>
      </c>
      <c r="U211" s="55">
        <f t="shared" si="159"/>
        <v>66528</v>
      </c>
      <c r="V211" s="55">
        <f t="shared" si="159"/>
        <v>66528</v>
      </c>
      <c r="W211" s="55">
        <f t="shared" si="159"/>
        <v>66528</v>
      </c>
      <c r="X211" s="55">
        <f t="shared" si="159"/>
        <v>66528</v>
      </c>
      <c r="Y211" s="55">
        <f t="shared" si="159"/>
        <v>66528</v>
      </c>
      <c r="Z211" s="55">
        <f t="shared" si="159"/>
        <v>66528</v>
      </c>
      <c r="AA211" s="55">
        <f t="shared" si="159"/>
        <v>66528</v>
      </c>
      <c r="AB211" s="55">
        <f t="shared" si="159"/>
        <v>66528</v>
      </c>
      <c r="AC211" s="55">
        <f t="shared" si="159"/>
        <v>66528</v>
      </c>
      <c r="AD211" s="55">
        <f t="shared" si="159"/>
        <v>66528</v>
      </c>
      <c r="AE211" s="55">
        <f t="shared" si="159"/>
        <v>66528</v>
      </c>
      <c r="AF211" s="55">
        <f t="shared" si="160"/>
        <v>66528</v>
      </c>
      <c r="AG211" s="55">
        <f t="shared" si="160"/>
        <v>73180.800000000003</v>
      </c>
      <c r="AH211" s="55">
        <f t="shared" si="160"/>
        <v>73180.800000000003</v>
      </c>
      <c r="AI211" s="55">
        <f t="shared" si="160"/>
        <v>73180.800000000003</v>
      </c>
      <c r="AJ211" s="55">
        <f t="shared" si="160"/>
        <v>73180.800000000003</v>
      </c>
      <c r="AK211" s="55">
        <f t="shared" si="160"/>
        <v>73180.800000000003</v>
      </c>
      <c r="AL211" s="55">
        <f t="shared" si="160"/>
        <v>73180.800000000003</v>
      </c>
      <c r="AM211" s="55">
        <f t="shared" si="160"/>
        <v>73180.800000000003</v>
      </c>
      <c r="AN211" s="55">
        <f t="shared" si="160"/>
        <v>73180.800000000003</v>
      </c>
      <c r="AO211" s="55">
        <f t="shared" si="160"/>
        <v>73180.800000000003</v>
      </c>
      <c r="AP211" s="55">
        <f t="shared" si="160"/>
        <v>73180.800000000003</v>
      </c>
      <c r="AQ211" s="55">
        <f t="shared" si="160"/>
        <v>73180.800000000003</v>
      </c>
      <c r="AR211" s="55">
        <f t="shared" si="160"/>
        <v>73180.800000000003</v>
      </c>
      <c r="AS211" s="55">
        <f t="shared" si="160"/>
        <v>79894.080000000002</v>
      </c>
      <c r="AT211" s="55">
        <f t="shared" si="160"/>
        <v>79894.080000000002</v>
      </c>
      <c r="AU211" s="55">
        <f t="shared" si="160"/>
        <v>79894.080000000002</v>
      </c>
      <c r="AV211" s="55">
        <f t="shared" si="161"/>
        <v>79894.080000000002</v>
      </c>
      <c r="AW211" s="55">
        <f t="shared" si="161"/>
        <v>79894.080000000002</v>
      </c>
      <c r="AX211" s="55">
        <f t="shared" si="161"/>
        <v>79894.080000000002</v>
      </c>
      <c r="AY211" s="55">
        <f t="shared" si="161"/>
        <v>79894.080000000002</v>
      </c>
      <c r="AZ211" s="55">
        <f t="shared" si="161"/>
        <v>79894.080000000002</v>
      </c>
      <c r="BA211" s="55">
        <f t="shared" si="161"/>
        <v>79894.080000000002</v>
      </c>
      <c r="BB211" s="55">
        <f t="shared" si="161"/>
        <v>79894.080000000002</v>
      </c>
      <c r="BC211" s="55">
        <f t="shared" si="161"/>
        <v>79894.080000000002</v>
      </c>
      <c r="BD211" s="55">
        <f t="shared" si="161"/>
        <v>79894.080000000002</v>
      </c>
      <c r="BE211" s="55"/>
    </row>
    <row r="212" spans="1:57" ht="14.25" customHeight="1" x14ac:dyDescent="0.3">
      <c r="A212" s="46"/>
      <c r="B212" s="37"/>
      <c r="C212" s="32" t="s">
        <v>156</v>
      </c>
      <c r="E212" s="53">
        <f t="shared" ref="E212:E222" si="163">SUM(I212:O212)/7</f>
        <v>6975</v>
      </c>
      <c r="F212" s="54">
        <v>0.1</v>
      </c>
      <c r="G212" s="46"/>
      <c r="H212" s="46"/>
      <c r="I212" s="55">
        <f>5303+523</f>
        <v>5826</v>
      </c>
      <c r="J212" s="55">
        <f>2412+609+10004</f>
        <v>13025</v>
      </c>
      <c r="K212" s="55">
        <f>1908+9487</f>
        <v>11395</v>
      </c>
      <c r="L212" s="55">
        <f>6567+9760</f>
        <v>16327</v>
      </c>
      <c r="M212" s="55">
        <v>807</v>
      </c>
      <c r="N212" s="55">
        <v>633</v>
      </c>
      <c r="O212" s="55">
        <v>812</v>
      </c>
      <c r="P212" s="55">
        <f t="shared" si="159"/>
        <v>6975</v>
      </c>
      <c r="Q212" s="55">
        <f t="shared" si="159"/>
        <v>6975</v>
      </c>
      <c r="R212" s="55">
        <f t="shared" si="159"/>
        <v>6975</v>
      </c>
      <c r="S212" s="55">
        <f t="shared" si="159"/>
        <v>6975</v>
      </c>
      <c r="T212" s="55">
        <f t="shared" si="159"/>
        <v>6975</v>
      </c>
      <c r="U212" s="55">
        <f t="shared" si="159"/>
        <v>7672.5</v>
      </c>
      <c r="V212" s="55">
        <f t="shared" si="159"/>
        <v>7672.5</v>
      </c>
      <c r="W212" s="55">
        <f t="shared" si="159"/>
        <v>7672.5</v>
      </c>
      <c r="X212" s="55">
        <f t="shared" si="159"/>
        <v>7672.5</v>
      </c>
      <c r="Y212" s="55">
        <f t="shared" si="159"/>
        <v>7672.5</v>
      </c>
      <c r="Z212" s="55">
        <f t="shared" si="159"/>
        <v>7672.5</v>
      </c>
      <c r="AA212" s="55">
        <f t="shared" si="159"/>
        <v>7672.5</v>
      </c>
      <c r="AB212" s="55">
        <f t="shared" si="159"/>
        <v>7672.5</v>
      </c>
      <c r="AC212" s="55">
        <f t="shared" si="159"/>
        <v>7672.5</v>
      </c>
      <c r="AD212" s="55">
        <f t="shared" si="159"/>
        <v>7672.5</v>
      </c>
      <c r="AE212" s="55">
        <f t="shared" si="159"/>
        <v>7672.5</v>
      </c>
      <c r="AF212" s="55">
        <f t="shared" si="160"/>
        <v>7672.5</v>
      </c>
      <c r="AG212" s="55">
        <f t="shared" si="160"/>
        <v>8439.75</v>
      </c>
      <c r="AH212" s="55">
        <f t="shared" si="160"/>
        <v>8439.75</v>
      </c>
      <c r="AI212" s="55">
        <f t="shared" si="160"/>
        <v>8439.75</v>
      </c>
      <c r="AJ212" s="55">
        <f t="shared" si="160"/>
        <v>8439.75</v>
      </c>
      <c r="AK212" s="55">
        <f t="shared" si="160"/>
        <v>8439.75</v>
      </c>
      <c r="AL212" s="55">
        <f t="shared" si="160"/>
        <v>8439.75</v>
      </c>
      <c r="AM212" s="55">
        <f t="shared" si="160"/>
        <v>8439.75</v>
      </c>
      <c r="AN212" s="55">
        <f t="shared" si="160"/>
        <v>8439.75</v>
      </c>
      <c r="AO212" s="55">
        <f t="shared" si="160"/>
        <v>8439.75</v>
      </c>
      <c r="AP212" s="55">
        <f t="shared" si="160"/>
        <v>8439.75</v>
      </c>
      <c r="AQ212" s="55">
        <f t="shared" si="160"/>
        <v>8439.75</v>
      </c>
      <c r="AR212" s="55">
        <f t="shared" si="160"/>
        <v>8439.75</v>
      </c>
      <c r="AS212" s="55">
        <f t="shared" si="160"/>
        <v>9213.9750000000004</v>
      </c>
      <c r="AT212" s="55">
        <f t="shared" si="160"/>
        <v>9213.9750000000004</v>
      </c>
      <c r="AU212" s="55">
        <f t="shared" si="160"/>
        <v>9213.9750000000004</v>
      </c>
      <c r="AV212" s="55">
        <f t="shared" si="161"/>
        <v>9213.9750000000004</v>
      </c>
      <c r="AW212" s="55">
        <f t="shared" si="161"/>
        <v>9213.9750000000004</v>
      </c>
      <c r="AX212" s="55">
        <f t="shared" si="161"/>
        <v>9213.9750000000004</v>
      </c>
      <c r="AY212" s="55">
        <f t="shared" si="161"/>
        <v>9213.9750000000004</v>
      </c>
      <c r="AZ212" s="55">
        <f t="shared" si="161"/>
        <v>9213.9750000000004</v>
      </c>
      <c r="BA212" s="55">
        <f t="shared" si="161"/>
        <v>9213.9750000000004</v>
      </c>
      <c r="BB212" s="55">
        <f t="shared" si="161"/>
        <v>9213.9750000000004</v>
      </c>
      <c r="BC212" s="55">
        <f t="shared" si="161"/>
        <v>9213.9750000000004</v>
      </c>
      <c r="BD212" s="55">
        <f t="shared" si="161"/>
        <v>9213.9750000000004</v>
      </c>
      <c r="BE212" s="55"/>
    </row>
    <row r="213" spans="1:57" x14ac:dyDescent="0.3">
      <c r="A213" s="46"/>
      <c r="B213" s="37"/>
      <c r="C213" s="32" t="s">
        <v>157</v>
      </c>
      <c r="E213" s="53">
        <f t="shared" si="163"/>
        <v>25845.571428571428</v>
      </c>
      <c r="F213" s="54">
        <v>0.1</v>
      </c>
      <c r="G213" s="46"/>
      <c r="H213" s="46"/>
      <c r="I213" s="55">
        <v>64231</v>
      </c>
      <c r="J213" s="55">
        <f>18657+11306</f>
        <v>29963</v>
      </c>
      <c r="K213" s="55">
        <f>11318+128</f>
        <v>11446</v>
      </c>
      <c r="L213" s="55">
        <f>6272+19630</f>
        <v>25902</v>
      </c>
      <c r="M213" s="55">
        <v>6823</v>
      </c>
      <c r="N213" s="55">
        <f>4707+16192</f>
        <v>20899</v>
      </c>
      <c r="O213" s="55">
        <f>9913+11742</f>
        <v>21655</v>
      </c>
      <c r="P213" s="55">
        <f t="shared" si="159"/>
        <v>25845.571428571428</v>
      </c>
      <c r="Q213" s="55">
        <f t="shared" si="159"/>
        <v>25845.571428571428</v>
      </c>
      <c r="R213" s="55">
        <f t="shared" si="159"/>
        <v>25845.571428571428</v>
      </c>
      <c r="S213" s="55">
        <f t="shared" si="159"/>
        <v>25845.571428571428</v>
      </c>
      <c r="T213" s="55">
        <f t="shared" si="159"/>
        <v>25845.571428571428</v>
      </c>
      <c r="U213" s="55">
        <f t="shared" si="159"/>
        <v>28430.12857142857</v>
      </c>
      <c r="V213" s="55">
        <f t="shared" si="159"/>
        <v>28430.12857142857</v>
      </c>
      <c r="W213" s="55">
        <f t="shared" si="159"/>
        <v>28430.12857142857</v>
      </c>
      <c r="X213" s="55">
        <f t="shared" si="159"/>
        <v>28430.12857142857</v>
      </c>
      <c r="Y213" s="55">
        <f t="shared" si="159"/>
        <v>28430.12857142857</v>
      </c>
      <c r="Z213" s="55">
        <f t="shared" si="159"/>
        <v>28430.12857142857</v>
      </c>
      <c r="AA213" s="55">
        <f t="shared" si="159"/>
        <v>28430.12857142857</v>
      </c>
      <c r="AB213" s="55">
        <f t="shared" si="159"/>
        <v>28430.12857142857</v>
      </c>
      <c r="AC213" s="55">
        <f t="shared" si="159"/>
        <v>28430.12857142857</v>
      </c>
      <c r="AD213" s="55">
        <f t="shared" si="159"/>
        <v>28430.12857142857</v>
      </c>
      <c r="AE213" s="55">
        <f t="shared" si="159"/>
        <v>28430.12857142857</v>
      </c>
      <c r="AF213" s="55">
        <f t="shared" si="160"/>
        <v>28430.12857142857</v>
      </c>
      <c r="AG213" s="55">
        <f t="shared" si="160"/>
        <v>31273.141428571427</v>
      </c>
      <c r="AH213" s="55">
        <f t="shared" si="160"/>
        <v>31273.141428571427</v>
      </c>
      <c r="AI213" s="55">
        <f t="shared" si="160"/>
        <v>31273.141428571427</v>
      </c>
      <c r="AJ213" s="55">
        <f t="shared" si="160"/>
        <v>31273.141428571427</v>
      </c>
      <c r="AK213" s="55">
        <f t="shared" si="160"/>
        <v>31273.141428571427</v>
      </c>
      <c r="AL213" s="55">
        <f t="shared" si="160"/>
        <v>31273.141428571427</v>
      </c>
      <c r="AM213" s="55">
        <f t="shared" si="160"/>
        <v>31273.141428571427</v>
      </c>
      <c r="AN213" s="55">
        <f t="shared" si="160"/>
        <v>31273.141428571427</v>
      </c>
      <c r="AO213" s="55">
        <f t="shared" si="160"/>
        <v>31273.141428571427</v>
      </c>
      <c r="AP213" s="55">
        <f t="shared" si="160"/>
        <v>31273.141428571427</v>
      </c>
      <c r="AQ213" s="55">
        <f t="shared" si="160"/>
        <v>31273.141428571427</v>
      </c>
      <c r="AR213" s="55">
        <f t="shared" si="160"/>
        <v>31273.141428571427</v>
      </c>
      <c r="AS213" s="55">
        <f t="shared" si="160"/>
        <v>34141.999857142859</v>
      </c>
      <c r="AT213" s="55">
        <f t="shared" si="160"/>
        <v>34141.999857142859</v>
      </c>
      <c r="AU213" s="55">
        <f t="shared" si="160"/>
        <v>34141.999857142859</v>
      </c>
      <c r="AV213" s="55">
        <f t="shared" si="161"/>
        <v>34141.999857142859</v>
      </c>
      <c r="AW213" s="55">
        <f t="shared" si="161"/>
        <v>34141.999857142859</v>
      </c>
      <c r="AX213" s="55">
        <f t="shared" si="161"/>
        <v>34141.999857142859</v>
      </c>
      <c r="AY213" s="55">
        <f t="shared" si="161"/>
        <v>34141.999857142859</v>
      </c>
      <c r="AZ213" s="55">
        <f t="shared" si="161"/>
        <v>34141.999857142859</v>
      </c>
      <c r="BA213" s="55">
        <f t="shared" si="161"/>
        <v>34141.999857142859</v>
      </c>
      <c r="BB213" s="55">
        <f t="shared" si="161"/>
        <v>34141.999857142859</v>
      </c>
      <c r="BC213" s="55">
        <f t="shared" si="161"/>
        <v>34141.999857142859</v>
      </c>
      <c r="BD213" s="55">
        <f t="shared" si="161"/>
        <v>34141.999857142859</v>
      </c>
      <c r="BE213" s="55"/>
    </row>
    <row r="214" spans="1:57" ht="14.25" customHeight="1" x14ac:dyDescent="0.3">
      <c r="A214" s="46"/>
      <c r="B214" s="37"/>
      <c r="C214" s="32" t="s">
        <v>236</v>
      </c>
      <c r="E214" s="53">
        <f t="shared" si="163"/>
        <v>28257.285714285714</v>
      </c>
      <c r="F214" s="54">
        <v>0.1</v>
      </c>
      <c r="G214" s="46"/>
      <c r="H214" s="46"/>
      <c r="I214" s="55">
        <f>527+20948+486+7494</f>
        <v>29455</v>
      </c>
      <c r="J214" s="55">
        <f>6012+14200+486</f>
        <v>20698</v>
      </c>
      <c r="K214" s="55">
        <f>7153+31500+451</f>
        <v>39104</v>
      </c>
      <c r="L214" s="55">
        <f>21968+451+20457</f>
        <v>42876</v>
      </c>
      <c r="M214" s="55">
        <f>9123+451+15430</f>
        <v>25004</v>
      </c>
      <c r="N214" s="55">
        <f>7346+451+9646</f>
        <v>17443</v>
      </c>
      <c r="O214" s="55">
        <f>5306+17464+451</f>
        <v>23221</v>
      </c>
      <c r="P214" s="55">
        <f t="shared" si="159"/>
        <v>28257.285714285714</v>
      </c>
      <c r="Q214" s="55">
        <f t="shared" si="159"/>
        <v>28257.285714285714</v>
      </c>
      <c r="R214" s="55">
        <f t="shared" si="159"/>
        <v>28257.285714285714</v>
      </c>
      <c r="S214" s="55">
        <f t="shared" si="159"/>
        <v>28257.285714285714</v>
      </c>
      <c r="T214" s="55">
        <f t="shared" si="159"/>
        <v>28257.285714285714</v>
      </c>
      <c r="U214" s="55">
        <f t="shared" si="159"/>
        <v>31083.014285714286</v>
      </c>
      <c r="V214" s="55">
        <f t="shared" si="159"/>
        <v>31083.014285714286</v>
      </c>
      <c r="W214" s="55">
        <f t="shared" si="159"/>
        <v>31083.014285714286</v>
      </c>
      <c r="X214" s="55">
        <f t="shared" si="159"/>
        <v>31083.014285714286</v>
      </c>
      <c r="Y214" s="55">
        <f t="shared" si="159"/>
        <v>31083.014285714286</v>
      </c>
      <c r="Z214" s="55">
        <f t="shared" si="159"/>
        <v>31083.014285714286</v>
      </c>
      <c r="AA214" s="55">
        <f t="shared" si="159"/>
        <v>31083.014285714286</v>
      </c>
      <c r="AB214" s="55">
        <f t="shared" si="159"/>
        <v>31083.014285714286</v>
      </c>
      <c r="AC214" s="55">
        <f t="shared" si="159"/>
        <v>31083.014285714286</v>
      </c>
      <c r="AD214" s="55">
        <f t="shared" si="159"/>
        <v>31083.014285714286</v>
      </c>
      <c r="AE214" s="55">
        <f t="shared" si="159"/>
        <v>31083.014285714286</v>
      </c>
      <c r="AF214" s="55">
        <f t="shared" si="160"/>
        <v>31083.014285714286</v>
      </c>
      <c r="AG214" s="55">
        <f t="shared" si="160"/>
        <v>34191.315714285716</v>
      </c>
      <c r="AH214" s="55">
        <f t="shared" si="160"/>
        <v>34191.315714285716</v>
      </c>
      <c r="AI214" s="55">
        <f t="shared" si="160"/>
        <v>34191.315714285716</v>
      </c>
      <c r="AJ214" s="55">
        <f t="shared" si="160"/>
        <v>34191.315714285716</v>
      </c>
      <c r="AK214" s="55">
        <f t="shared" si="160"/>
        <v>34191.315714285716</v>
      </c>
      <c r="AL214" s="55">
        <f t="shared" si="160"/>
        <v>34191.315714285716</v>
      </c>
      <c r="AM214" s="55">
        <f t="shared" si="160"/>
        <v>34191.315714285716</v>
      </c>
      <c r="AN214" s="55">
        <f t="shared" si="160"/>
        <v>34191.315714285716</v>
      </c>
      <c r="AO214" s="55">
        <f t="shared" si="160"/>
        <v>34191.315714285716</v>
      </c>
      <c r="AP214" s="55">
        <f t="shared" si="160"/>
        <v>34191.315714285716</v>
      </c>
      <c r="AQ214" s="55">
        <f t="shared" si="160"/>
        <v>34191.315714285716</v>
      </c>
      <c r="AR214" s="55">
        <f t="shared" si="160"/>
        <v>34191.315714285716</v>
      </c>
      <c r="AS214" s="55">
        <f t="shared" si="160"/>
        <v>37327.874428571427</v>
      </c>
      <c r="AT214" s="55">
        <f t="shared" si="160"/>
        <v>37327.874428571427</v>
      </c>
      <c r="AU214" s="55">
        <f t="shared" si="160"/>
        <v>37327.874428571427</v>
      </c>
      <c r="AV214" s="55">
        <f t="shared" si="161"/>
        <v>37327.874428571427</v>
      </c>
      <c r="AW214" s="55">
        <f t="shared" si="161"/>
        <v>37327.874428571427</v>
      </c>
      <c r="AX214" s="55">
        <f t="shared" si="161"/>
        <v>37327.874428571427</v>
      </c>
      <c r="AY214" s="55">
        <f t="shared" si="161"/>
        <v>37327.874428571427</v>
      </c>
      <c r="AZ214" s="55">
        <f t="shared" si="161"/>
        <v>37327.874428571427</v>
      </c>
      <c r="BA214" s="55">
        <f t="shared" si="161"/>
        <v>37327.874428571427</v>
      </c>
      <c r="BB214" s="55">
        <f t="shared" si="161"/>
        <v>37327.874428571427</v>
      </c>
      <c r="BC214" s="55">
        <f t="shared" si="161"/>
        <v>37327.874428571427</v>
      </c>
      <c r="BD214" s="55">
        <f t="shared" si="161"/>
        <v>37327.874428571427</v>
      </c>
      <c r="BE214" s="55"/>
    </row>
    <row r="215" spans="1:57" ht="14.25" customHeight="1" x14ac:dyDescent="0.3">
      <c r="A215" s="46"/>
      <c r="B215" s="37"/>
      <c r="C215" s="32" t="s">
        <v>30</v>
      </c>
      <c r="E215" s="53">
        <f t="shared" si="163"/>
        <v>98609.142857142855</v>
      </c>
      <c r="F215" s="54">
        <v>0.1</v>
      </c>
      <c r="G215" s="46"/>
      <c r="H215" s="46"/>
      <c r="I215" s="87">
        <v>101532</v>
      </c>
      <c r="J215" s="55">
        <v>97434</v>
      </c>
      <c r="K215" s="55">
        <v>97345</v>
      </c>
      <c r="L215" s="55">
        <v>97899</v>
      </c>
      <c r="M215" s="55">
        <v>98779</v>
      </c>
      <c r="N215" s="55">
        <f>96665+2100</f>
        <v>98765</v>
      </c>
      <c r="O215" s="55">
        <f>89293+4000+5217</f>
        <v>98510</v>
      </c>
      <c r="P215" s="55">
        <f t="shared" si="159"/>
        <v>98609.142857142855</v>
      </c>
      <c r="Q215" s="55">
        <f t="shared" si="159"/>
        <v>98609.142857142855</v>
      </c>
      <c r="R215" s="55">
        <f t="shared" si="159"/>
        <v>98609.142857142855</v>
      </c>
      <c r="S215" s="55">
        <f t="shared" si="159"/>
        <v>98609.142857142855</v>
      </c>
      <c r="T215" s="55">
        <f t="shared" si="159"/>
        <v>98609.142857142855</v>
      </c>
      <c r="U215" s="55">
        <f t="shared" si="159"/>
        <v>108470.05714285714</v>
      </c>
      <c r="V215" s="55">
        <f t="shared" si="159"/>
        <v>108470.05714285714</v>
      </c>
      <c r="W215" s="55">
        <f t="shared" si="159"/>
        <v>108470.05714285714</v>
      </c>
      <c r="X215" s="55">
        <f t="shared" si="159"/>
        <v>108470.05714285714</v>
      </c>
      <c r="Y215" s="55">
        <f t="shared" si="159"/>
        <v>108470.05714285714</v>
      </c>
      <c r="Z215" s="55">
        <f t="shared" si="159"/>
        <v>108470.05714285714</v>
      </c>
      <c r="AA215" s="55">
        <f t="shared" si="159"/>
        <v>108470.05714285714</v>
      </c>
      <c r="AB215" s="55">
        <f t="shared" si="159"/>
        <v>108470.05714285714</v>
      </c>
      <c r="AC215" s="55">
        <f t="shared" si="159"/>
        <v>108470.05714285714</v>
      </c>
      <c r="AD215" s="55">
        <f t="shared" si="159"/>
        <v>108470.05714285714</v>
      </c>
      <c r="AE215" s="55">
        <f t="shared" si="159"/>
        <v>108470.05714285714</v>
      </c>
      <c r="AF215" s="55">
        <f t="shared" si="160"/>
        <v>108470.05714285714</v>
      </c>
      <c r="AG215" s="55">
        <f t="shared" si="160"/>
        <v>119317.06285714285</v>
      </c>
      <c r="AH215" s="55">
        <f t="shared" si="160"/>
        <v>119317.06285714285</v>
      </c>
      <c r="AI215" s="55">
        <f t="shared" si="160"/>
        <v>119317.06285714285</v>
      </c>
      <c r="AJ215" s="55">
        <f t="shared" si="160"/>
        <v>119317.06285714285</v>
      </c>
      <c r="AK215" s="55">
        <f t="shared" si="160"/>
        <v>119317.06285714285</v>
      </c>
      <c r="AL215" s="55">
        <f t="shared" si="160"/>
        <v>119317.06285714285</v>
      </c>
      <c r="AM215" s="55">
        <f t="shared" si="160"/>
        <v>119317.06285714285</v>
      </c>
      <c r="AN215" s="55">
        <f t="shared" si="160"/>
        <v>119317.06285714285</v>
      </c>
      <c r="AO215" s="55">
        <f t="shared" si="160"/>
        <v>119317.06285714285</v>
      </c>
      <c r="AP215" s="55">
        <f t="shared" si="160"/>
        <v>119317.06285714285</v>
      </c>
      <c r="AQ215" s="55">
        <f t="shared" si="160"/>
        <v>119317.06285714285</v>
      </c>
      <c r="AR215" s="55">
        <f t="shared" si="160"/>
        <v>119317.06285714285</v>
      </c>
      <c r="AS215" s="55">
        <f t="shared" si="160"/>
        <v>130262.67771428572</v>
      </c>
      <c r="AT215" s="55">
        <f t="shared" si="160"/>
        <v>130262.67771428572</v>
      </c>
      <c r="AU215" s="55">
        <f t="shared" si="160"/>
        <v>130262.67771428572</v>
      </c>
      <c r="AV215" s="55">
        <f t="shared" si="161"/>
        <v>130262.67771428572</v>
      </c>
      <c r="AW215" s="55">
        <f t="shared" si="161"/>
        <v>130262.67771428572</v>
      </c>
      <c r="AX215" s="55">
        <f t="shared" si="161"/>
        <v>130262.67771428572</v>
      </c>
      <c r="AY215" s="55">
        <f t="shared" si="161"/>
        <v>130262.67771428572</v>
      </c>
      <c r="AZ215" s="55">
        <f t="shared" si="161"/>
        <v>130262.67771428572</v>
      </c>
      <c r="BA215" s="55">
        <f t="shared" si="161"/>
        <v>130262.67771428572</v>
      </c>
      <c r="BB215" s="55">
        <f t="shared" si="161"/>
        <v>130262.67771428572</v>
      </c>
      <c r="BC215" s="55">
        <f t="shared" si="161"/>
        <v>130262.67771428572</v>
      </c>
      <c r="BD215" s="55">
        <f t="shared" si="161"/>
        <v>130262.67771428572</v>
      </c>
      <c r="BE215" s="55"/>
    </row>
    <row r="216" spans="1:57" ht="14.25" customHeight="1" x14ac:dyDescent="0.3">
      <c r="A216" s="46"/>
      <c r="B216" s="37"/>
      <c r="C216" s="32" t="s">
        <v>29</v>
      </c>
      <c r="E216" s="53">
        <f t="shared" si="163"/>
        <v>5674.7142857142853</v>
      </c>
      <c r="F216" s="54">
        <v>0.1</v>
      </c>
      <c r="G216" s="46"/>
      <c r="H216" s="46"/>
      <c r="I216" s="55">
        <v>18403</v>
      </c>
      <c r="J216" s="55">
        <v>216</v>
      </c>
      <c r="K216" s="55">
        <v>1089</v>
      </c>
      <c r="L216" s="55">
        <v>185</v>
      </c>
      <c r="M216" s="55">
        <f>5364+1850</f>
        <v>7214</v>
      </c>
      <c r="N216" s="55">
        <f>6669+108</f>
        <v>6777</v>
      </c>
      <c r="O216" s="55">
        <v>5839</v>
      </c>
      <c r="P216" s="55">
        <f t="shared" si="159"/>
        <v>5674.7142857142853</v>
      </c>
      <c r="Q216" s="55">
        <f t="shared" si="159"/>
        <v>5674.7142857142853</v>
      </c>
      <c r="R216" s="55">
        <f t="shared" si="159"/>
        <v>5674.7142857142853</v>
      </c>
      <c r="S216" s="55">
        <f t="shared" si="159"/>
        <v>5674.7142857142853</v>
      </c>
      <c r="T216" s="55">
        <f t="shared" si="159"/>
        <v>5674.7142857142853</v>
      </c>
      <c r="U216" s="55">
        <f t="shared" si="159"/>
        <v>6242.1857142857134</v>
      </c>
      <c r="V216" s="55">
        <f t="shared" si="159"/>
        <v>6242.1857142857134</v>
      </c>
      <c r="W216" s="55">
        <f t="shared" si="159"/>
        <v>6242.1857142857134</v>
      </c>
      <c r="X216" s="55">
        <f t="shared" si="159"/>
        <v>6242.1857142857134</v>
      </c>
      <c r="Y216" s="55">
        <f t="shared" si="159"/>
        <v>6242.1857142857134</v>
      </c>
      <c r="Z216" s="55">
        <f t="shared" si="159"/>
        <v>6242.1857142857134</v>
      </c>
      <c r="AA216" s="55">
        <f t="shared" si="159"/>
        <v>6242.1857142857134</v>
      </c>
      <c r="AB216" s="55">
        <f t="shared" si="159"/>
        <v>6242.1857142857134</v>
      </c>
      <c r="AC216" s="55">
        <f t="shared" si="159"/>
        <v>6242.1857142857134</v>
      </c>
      <c r="AD216" s="55">
        <f t="shared" si="159"/>
        <v>6242.1857142857134</v>
      </c>
      <c r="AE216" s="55">
        <f t="shared" si="159"/>
        <v>6242.1857142857134</v>
      </c>
      <c r="AF216" s="55">
        <f t="shared" si="160"/>
        <v>6242.1857142857134</v>
      </c>
      <c r="AG216" s="55">
        <f t="shared" si="160"/>
        <v>6866.4042857142849</v>
      </c>
      <c r="AH216" s="55">
        <f t="shared" si="160"/>
        <v>6866.4042857142849</v>
      </c>
      <c r="AI216" s="55">
        <f t="shared" si="160"/>
        <v>6866.4042857142849</v>
      </c>
      <c r="AJ216" s="55">
        <f t="shared" si="160"/>
        <v>6866.4042857142849</v>
      </c>
      <c r="AK216" s="55">
        <f t="shared" si="160"/>
        <v>6866.4042857142849</v>
      </c>
      <c r="AL216" s="55">
        <f t="shared" si="160"/>
        <v>6866.4042857142849</v>
      </c>
      <c r="AM216" s="55">
        <f t="shared" si="160"/>
        <v>6866.4042857142849</v>
      </c>
      <c r="AN216" s="55">
        <f t="shared" si="160"/>
        <v>6866.4042857142849</v>
      </c>
      <c r="AO216" s="55">
        <f t="shared" si="160"/>
        <v>6866.4042857142849</v>
      </c>
      <c r="AP216" s="55">
        <f t="shared" si="160"/>
        <v>6866.4042857142849</v>
      </c>
      <c r="AQ216" s="55">
        <f t="shared" si="160"/>
        <v>6866.4042857142849</v>
      </c>
      <c r="AR216" s="55">
        <f t="shared" si="160"/>
        <v>6866.4042857142849</v>
      </c>
      <c r="AS216" s="55">
        <f t="shared" si="160"/>
        <v>7496.2975714285712</v>
      </c>
      <c r="AT216" s="55">
        <f t="shared" si="160"/>
        <v>7496.2975714285712</v>
      </c>
      <c r="AU216" s="55">
        <f t="shared" si="160"/>
        <v>7496.2975714285712</v>
      </c>
      <c r="AV216" s="55">
        <f t="shared" si="161"/>
        <v>7496.2975714285712</v>
      </c>
      <c r="AW216" s="55">
        <f t="shared" si="161"/>
        <v>7496.2975714285712</v>
      </c>
      <c r="AX216" s="55">
        <f t="shared" si="161"/>
        <v>7496.2975714285712</v>
      </c>
      <c r="AY216" s="55">
        <f t="shared" si="161"/>
        <v>7496.2975714285712</v>
      </c>
      <c r="AZ216" s="55">
        <f t="shared" si="161"/>
        <v>7496.2975714285712</v>
      </c>
      <c r="BA216" s="55">
        <f t="shared" si="161"/>
        <v>7496.2975714285712</v>
      </c>
      <c r="BB216" s="55">
        <f t="shared" si="161"/>
        <v>7496.2975714285712</v>
      </c>
      <c r="BC216" s="55">
        <f t="shared" si="161"/>
        <v>7496.2975714285712</v>
      </c>
      <c r="BD216" s="55">
        <f t="shared" si="161"/>
        <v>7496.2975714285712</v>
      </c>
      <c r="BE216" s="55"/>
    </row>
    <row r="217" spans="1:57" ht="14.25" customHeight="1" x14ac:dyDescent="0.3">
      <c r="A217" s="46"/>
      <c r="B217" s="37"/>
      <c r="C217" s="32" t="s">
        <v>32</v>
      </c>
      <c r="E217" s="53">
        <f t="shared" si="163"/>
        <v>2120.2857142857142</v>
      </c>
      <c r="F217" s="54">
        <v>0.1</v>
      </c>
      <c r="G217" s="46"/>
      <c r="H217" s="46"/>
      <c r="I217" s="55">
        <f>216</f>
        <v>216</v>
      </c>
      <c r="J217" s="55">
        <v>278</v>
      </c>
      <c r="K217" s="55">
        <v>7374</v>
      </c>
      <c r="L217" s="55">
        <v>0</v>
      </c>
      <c r="M217" s="55">
        <v>0</v>
      </c>
      <c r="N217" s="55">
        <v>4135</v>
      </c>
      <c r="O217" s="55">
        <v>2839</v>
      </c>
      <c r="P217" s="55">
        <f t="shared" si="159"/>
        <v>2120.2857142857142</v>
      </c>
      <c r="Q217" s="55">
        <f t="shared" si="159"/>
        <v>2120.2857142857142</v>
      </c>
      <c r="R217" s="55">
        <f t="shared" si="159"/>
        <v>2120.2857142857142</v>
      </c>
      <c r="S217" s="55">
        <f t="shared" si="159"/>
        <v>2120.2857142857142</v>
      </c>
      <c r="T217" s="55">
        <f t="shared" si="159"/>
        <v>2120.2857142857142</v>
      </c>
      <c r="U217" s="55">
        <f t="shared" si="159"/>
        <v>2332.3142857142857</v>
      </c>
      <c r="V217" s="55">
        <f t="shared" si="159"/>
        <v>2332.3142857142857</v>
      </c>
      <c r="W217" s="55">
        <f t="shared" si="159"/>
        <v>2332.3142857142857</v>
      </c>
      <c r="X217" s="55">
        <f t="shared" si="159"/>
        <v>2332.3142857142857</v>
      </c>
      <c r="Y217" s="55">
        <f t="shared" si="159"/>
        <v>2332.3142857142857</v>
      </c>
      <c r="Z217" s="55">
        <f t="shared" si="159"/>
        <v>2332.3142857142857</v>
      </c>
      <c r="AA217" s="55">
        <f t="shared" si="159"/>
        <v>2332.3142857142857</v>
      </c>
      <c r="AB217" s="55">
        <f t="shared" si="159"/>
        <v>2332.3142857142857</v>
      </c>
      <c r="AC217" s="55">
        <f t="shared" si="159"/>
        <v>2332.3142857142857</v>
      </c>
      <c r="AD217" s="55">
        <f t="shared" si="159"/>
        <v>2332.3142857142857</v>
      </c>
      <c r="AE217" s="55">
        <f t="shared" si="159"/>
        <v>2332.3142857142857</v>
      </c>
      <c r="AF217" s="55">
        <f t="shared" si="160"/>
        <v>2332.3142857142857</v>
      </c>
      <c r="AG217" s="55">
        <f t="shared" si="160"/>
        <v>2565.545714285714</v>
      </c>
      <c r="AH217" s="55">
        <f t="shared" si="160"/>
        <v>2565.545714285714</v>
      </c>
      <c r="AI217" s="55">
        <f t="shared" si="160"/>
        <v>2565.545714285714</v>
      </c>
      <c r="AJ217" s="55">
        <f t="shared" si="160"/>
        <v>2565.545714285714</v>
      </c>
      <c r="AK217" s="55">
        <f t="shared" si="160"/>
        <v>2565.545714285714</v>
      </c>
      <c r="AL217" s="55">
        <f t="shared" si="160"/>
        <v>2565.545714285714</v>
      </c>
      <c r="AM217" s="55">
        <f t="shared" si="160"/>
        <v>2565.545714285714</v>
      </c>
      <c r="AN217" s="55">
        <f t="shared" si="160"/>
        <v>2565.545714285714</v>
      </c>
      <c r="AO217" s="55">
        <f t="shared" si="160"/>
        <v>2565.545714285714</v>
      </c>
      <c r="AP217" s="55">
        <f t="shared" si="160"/>
        <v>2565.545714285714</v>
      </c>
      <c r="AQ217" s="55">
        <f t="shared" si="160"/>
        <v>2565.545714285714</v>
      </c>
      <c r="AR217" s="55">
        <f t="shared" si="160"/>
        <v>2565.545714285714</v>
      </c>
      <c r="AS217" s="55">
        <f t="shared" si="160"/>
        <v>2800.8974285714285</v>
      </c>
      <c r="AT217" s="55">
        <f t="shared" si="160"/>
        <v>2800.8974285714285</v>
      </c>
      <c r="AU217" s="55">
        <f t="shared" si="160"/>
        <v>2800.8974285714285</v>
      </c>
      <c r="AV217" s="55">
        <f t="shared" si="161"/>
        <v>2800.8974285714285</v>
      </c>
      <c r="AW217" s="55">
        <f t="shared" si="161"/>
        <v>2800.8974285714285</v>
      </c>
      <c r="AX217" s="55">
        <f t="shared" si="161"/>
        <v>2800.8974285714285</v>
      </c>
      <c r="AY217" s="55">
        <f t="shared" si="161"/>
        <v>2800.8974285714285</v>
      </c>
      <c r="AZ217" s="55">
        <f t="shared" si="161"/>
        <v>2800.8974285714285</v>
      </c>
      <c r="BA217" s="55">
        <f t="shared" si="161"/>
        <v>2800.8974285714285</v>
      </c>
      <c r="BB217" s="55">
        <f t="shared" si="161"/>
        <v>2800.8974285714285</v>
      </c>
      <c r="BC217" s="55">
        <f t="shared" si="161"/>
        <v>2800.8974285714285</v>
      </c>
      <c r="BD217" s="55">
        <f t="shared" si="161"/>
        <v>2800.8974285714285</v>
      </c>
      <c r="BE217" s="55"/>
    </row>
    <row r="218" spans="1:57" ht="14.25" customHeight="1" x14ac:dyDescent="0.3">
      <c r="A218" s="46"/>
      <c r="B218" s="37"/>
      <c r="C218" s="32" t="s">
        <v>34</v>
      </c>
      <c r="E218" s="53">
        <f t="shared" si="163"/>
        <v>22047.714285714286</v>
      </c>
      <c r="F218" s="54">
        <v>0.1</v>
      </c>
      <c r="G218" s="60" t="s">
        <v>237</v>
      </c>
      <c r="H218" s="46"/>
      <c r="I218" s="55">
        <f>16725+891</f>
        <v>17616</v>
      </c>
      <c r="J218" s="55">
        <f>1800+11316</f>
        <v>13116</v>
      </c>
      <c r="K218" s="55">
        <f>10952+19941</f>
        <v>30893</v>
      </c>
      <c r="L218" s="55">
        <f>3841+1996+19233</f>
        <v>25070</v>
      </c>
      <c r="M218" s="55">
        <f>19132+4788</f>
        <v>23920</v>
      </c>
      <c r="N218" s="55">
        <f>7172+16195</f>
        <v>23367</v>
      </c>
      <c r="O218" s="55">
        <f>4791+15561</f>
        <v>20352</v>
      </c>
      <c r="P218" s="55">
        <f t="shared" si="159"/>
        <v>22047.714285714286</v>
      </c>
      <c r="Q218" s="55">
        <f t="shared" si="159"/>
        <v>22047.714285714286</v>
      </c>
      <c r="R218" s="55">
        <f t="shared" si="159"/>
        <v>22047.714285714286</v>
      </c>
      <c r="S218" s="55">
        <f t="shared" si="159"/>
        <v>22047.714285714286</v>
      </c>
      <c r="T218" s="55">
        <f t="shared" si="159"/>
        <v>22047.714285714286</v>
      </c>
      <c r="U218" s="55">
        <f t="shared" si="159"/>
        <v>24252.485714285714</v>
      </c>
      <c r="V218" s="55">
        <f t="shared" si="159"/>
        <v>24252.485714285714</v>
      </c>
      <c r="W218" s="55">
        <f t="shared" si="159"/>
        <v>24252.485714285714</v>
      </c>
      <c r="X218" s="55">
        <f t="shared" si="159"/>
        <v>24252.485714285714</v>
      </c>
      <c r="Y218" s="55">
        <f t="shared" si="159"/>
        <v>24252.485714285714</v>
      </c>
      <c r="Z218" s="55">
        <f t="shared" si="159"/>
        <v>24252.485714285714</v>
      </c>
      <c r="AA218" s="55">
        <f t="shared" si="159"/>
        <v>24252.485714285714</v>
      </c>
      <c r="AB218" s="55">
        <f t="shared" si="159"/>
        <v>24252.485714285714</v>
      </c>
      <c r="AC218" s="55">
        <f t="shared" si="159"/>
        <v>24252.485714285714</v>
      </c>
      <c r="AD218" s="55">
        <f t="shared" si="159"/>
        <v>24252.485714285714</v>
      </c>
      <c r="AE218" s="55">
        <f t="shared" si="159"/>
        <v>24252.485714285714</v>
      </c>
      <c r="AF218" s="55">
        <f t="shared" si="160"/>
        <v>24252.485714285714</v>
      </c>
      <c r="AG218" s="55">
        <f t="shared" si="160"/>
        <v>26677.734285714287</v>
      </c>
      <c r="AH218" s="55">
        <f t="shared" si="160"/>
        <v>26677.734285714287</v>
      </c>
      <c r="AI218" s="55">
        <f t="shared" si="160"/>
        <v>26677.734285714287</v>
      </c>
      <c r="AJ218" s="55">
        <f t="shared" si="160"/>
        <v>26677.734285714287</v>
      </c>
      <c r="AK218" s="55">
        <f t="shared" si="160"/>
        <v>26677.734285714287</v>
      </c>
      <c r="AL218" s="55">
        <f t="shared" si="160"/>
        <v>26677.734285714287</v>
      </c>
      <c r="AM218" s="55">
        <f t="shared" si="160"/>
        <v>26677.734285714287</v>
      </c>
      <c r="AN218" s="55">
        <f t="shared" si="160"/>
        <v>26677.734285714287</v>
      </c>
      <c r="AO218" s="55">
        <f t="shared" si="160"/>
        <v>26677.734285714287</v>
      </c>
      <c r="AP218" s="55">
        <f t="shared" si="160"/>
        <v>26677.734285714287</v>
      </c>
      <c r="AQ218" s="55">
        <f t="shared" si="160"/>
        <v>26677.734285714287</v>
      </c>
      <c r="AR218" s="55">
        <f t="shared" si="160"/>
        <v>26677.734285714287</v>
      </c>
      <c r="AS218" s="55">
        <f t="shared" si="160"/>
        <v>29125.030571428571</v>
      </c>
      <c r="AT218" s="55">
        <f t="shared" si="160"/>
        <v>29125.030571428571</v>
      </c>
      <c r="AU218" s="55">
        <f t="shared" si="160"/>
        <v>29125.030571428571</v>
      </c>
      <c r="AV218" s="55">
        <f t="shared" si="161"/>
        <v>29125.030571428571</v>
      </c>
      <c r="AW218" s="55">
        <f t="shared" si="161"/>
        <v>29125.030571428571</v>
      </c>
      <c r="AX218" s="55">
        <f t="shared" si="161"/>
        <v>29125.030571428571</v>
      </c>
      <c r="AY218" s="55">
        <f t="shared" si="161"/>
        <v>29125.030571428571</v>
      </c>
      <c r="AZ218" s="55">
        <f t="shared" si="161"/>
        <v>29125.030571428571</v>
      </c>
      <c r="BA218" s="55">
        <f t="shared" si="161"/>
        <v>29125.030571428571</v>
      </c>
      <c r="BB218" s="55">
        <f t="shared" si="161"/>
        <v>29125.030571428571</v>
      </c>
      <c r="BC218" s="55">
        <f t="shared" si="161"/>
        <v>29125.030571428571</v>
      </c>
      <c r="BD218" s="55">
        <f t="shared" si="161"/>
        <v>29125.030571428571</v>
      </c>
      <c r="BE218" s="55"/>
    </row>
    <row r="219" spans="1:57" ht="14.25" customHeight="1" x14ac:dyDescent="0.3">
      <c r="A219" s="46"/>
      <c r="B219" s="37"/>
      <c r="C219" s="32" t="s">
        <v>35</v>
      </c>
      <c r="E219" s="53">
        <f t="shared" si="163"/>
        <v>5219.8571428571431</v>
      </c>
      <c r="F219" s="54">
        <v>0.1</v>
      </c>
      <c r="G219" s="46"/>
      <c r="H219" s="46"/>
      <c r="I219" s="55">
        <f>5449</f>
        <v>5449</v>
      </c>
      <c r="J219" s="55">
        <v>5235</v>
      </c>
      <c r="K219" s="55">
        <v>4358</v>
      </c>
      <c r="L219" s="55">
        <v>4209</v>
      </c>
      <c r="M219" s="55">
        <v>4414</v>
      </c>
      <c r="N219" s="55">
        <v>7295</v>
      </c>
      <c r="O219" s="55">
        <v>5579</v>
      </c>
      <c r="P219" s="55">
        <f t="shared" si="159"/>
        <v>5219.8571428571431</v>
      </c>
      <c r="Q219" s="55">
        <f t="shared" si="159"/>
        <v>5219.8571428571431</v>
      </c>
      <c r="R219" s="55">
        <f t="shared" si="159"/>
        <v>5219.8571428571431</v>
      </c>
      <c r="S219" s="55">
        <f t="shared" si="159"/>
        <v>5219.8571428571431</v>
      </c>
      <c r="T219" s="55">
        <f t="shared" si="159"/>
        <v>5219.8571428571431</v>
      </c>
      <c r="U219" s="55">
        <f t="shared" si="159"/>
        <v>5741.8428571428576</v>
      </c>
      <c r="V219" s="55">
        <f t="shared" si="159"/>
        <v>5741.8428571428576</v>
      </c>
      <c r="W219" s="55">
        <f t="shared" si="159"/>
        <v>5741.8428571428576</v>
      </c>
      <c r="X219" s="55">
        <f t="shared" si="159"/>
        <v>5741.8428571428576</v>
      </c>
      <c r="Y219" s="55">
        <f t="shared" si="159"/>
        <v>5741.8428571428576</v>
      </c>
      <c r="Z219" s="55">
        <f t="shared" si="159"/>
        <v>5741.8428571428576</v>
      </c>
      <c r="AA219" s="55">
        <f t="shared" si="159"/>
        <v>5741.8428571428576</v>
      </c>
      <c r="AB219" s="55">
        <f t="shared" si="159"/>
        <v>5741.8428571428576</v>
      </c>
      <c r="AC219" s="55">
        <f t="shared" si="159"/>
        <v>5741.8428571428576</v>
      </c>
      <c r="AD219" s="55">
        <f t="shared" si="159"/>
        <v>5741.8428571428576</v>
      </c>
      <c r="AE219" s="55">
        <f t="shared" ref="AE219:AT226" si="164">$E219+IF(AE$2=2026,($E219*$F219),0)+IF((AE$2=2027),(($E219*$F219)+($E219+$E219*$F219)*$F219),0)+IF((AE$2=2028),(($E219*$F219)+($E219+$E219*$F219)*$F219)+($E219+($E219+$E219*$F219)*$F219)*$F219,0)</f>
        <v>5741.8428571428576</v>
      </c>
      <c r="AF219" s="55">
        <f t="shared" si="164"/>
        <v>5741.8428571428576</v>
      </c>
      <c r="AG219" s="55">
        <f t="shared" si="164"/>
        <v>6316.0271428571432</v>
      </c>
      <c r="AH219" s="55">
        <f t="shared" si="164"/>
        <v>6316.0271428571432</v>
      </c>
      <c r="AI219" s="55">
        <f t="shared" si="164"/>
        <v>6316.0271428571432</v>
      </c>
      <c r="AJ219" s="55">
        <f t="shared" si="164"/>
        <v>6316.0271428571432</v>
      </c>
      <c r="AK219" s="55">
        <f t="shared" si="164"/>
        <v>6316.0271428571432</v>
      </c>
      <c r="AL219" s="55">
        <f t="shared" si="164"/>
        <v>6316.0271428571432</v>
      </c>
      <c r="AM219" s="55">
        <f t="shared" si="164"/>
        <v>6316.0271428571432</v>
      </c>
      <c r="AN219" s="55">
        <f t="shared" si="164"/>
        <v>6316.0271428571432</v>
      </c>
      <c r="AO219" s="55">
        <f t="shared" si="160"/>
        <v>6316.0271428571432</v>
      </c>
      <c r="AP219" s="55">
        <f t="shared" si="160"/>
        <v>6316.0271428571432</v>
      </c>
      <c r="AQ219" s="55">
        <f t="shared" si="160"/>
        <v>6316.0271428571432</v>
      </c>
      <c r="AR219" s="55">
        <f t="shared" si="160"/>
        <v>6316.0271428571432</v>
      </c>
      <c r="AS219" s="55">
        <f t="shared" si="160"/>
        <v>6895.4312857142859</v>
      </c>
      <c r="AT219" s="55">
        <f t="shared" si="160"/>
        <v>6895.4312857142859</v>
      </c>
      <c r="AU219" s="55">
        <f t="shared" si="160"/>
        <v>6895.4312857142859</v>
      </c>
      <c r="AV219" s="55">
        <f t="shared" si="161"/>
        <v>6895.4312857142859</v>
      </c>
      <c r="AW219" s="55">
        <f t="shared" si="161"/>
        <v>6895.4312857142859</v>
      </c>
      <c r="AX219" s="55">
        <f t="shared" si="161"/>
        <v>6895.4312857142859</v>
      </c>
      <c r="AY219" s="55">
        <f t="shared" si="161"/>
        <v>6895.4312857142859</v>
      </c>
      <c r="AZ219" s="55">
        <f t="shared" si="161"/>
        <v>6895.4312857142859</v>
      </c>
      <c r="BA219" s="55">
        <f t="shared" si="161"/>
        <v>6895.4312857142859</v>
      </c>
      <c r="BB219" s="55">
        <f t="shared" si="161"/>
        <v>6895.4312857142859</v>
      </c>
      <c r="BC219" s="55">
        <f t="shared" si="161"/>
        <v>6895.4312857142859</v>
      </c>
      <c r="BD219" s="55">
        <f t="shared" si="161"/>
        <v>6895.4312857142859</v>
      </c>
      <c r="BE219" s="55"/>
    </row>
    <row r="220" spans="1:57" ht="14.25" customHeight="1" x14ac:dyDescent="0.3">
      <c r="A220" s="46"/>
      <c r="B220" s="37"/>
      <c r="C220" s="32" t="s">
        <v>159</v>
      </c>
      <c r="E220" s="53">
        <f t="shared" si="163"/>
        <v>10624.285714285714</v>
      </c>
      <c r="F220" s="54">
        <v>0.08</v>
      </c>
      <c r="G220" s="46"/>
      <c r="H220" s="46"/>
      <c r="I220" s="55">
        <v>0</v>
      </c>
      <c r="J220" s="55">
        <v>11348</v>
      </c>
      <c r="K220" s="55">
        <f>2819+11163</f>
        <v>13982</v>
      </c>
      <c r="L220" s="55">
        <f>11953</f>
        <v>11953</v>
      </c>
      <c r="M220" s="55">
        <v>15366</v>
      </c>
      <c r="N220" s="55">
        <v>10839</v>
      </c>
      <c r="O220" s="55">
        <v>10882</v>
      </c>
      <c r="P220" s="55">
        <f t="shared" ref="P220:AE226" si="165">$E220+IF(P$2=2026,($E220*$F220),0)+IF((P$2=2027),(($E220*$F220)+($E220+$E220*$F220)*$F220),0)+IF((P$2=2028),(($E220*$F220)+($E220+$E220*$F220)*$F220)+($E220+($E220+$E220*$F220)*$F220)*$F220,0)</f>
        <v>10624.285714285714</v>
      </c>
      <c r="Q220" s="55">
        <f t="shared" si="165"/>
        <v>10624.285714285714</v>
      </c>
      <c r="R220" s="55">
        <f t="shared" si="165"/>
        <v>10624.285714285714</v>
      </c>
      <c r="S220" s="55">
        <f t="shared" si="165"/>
        <v>10624.285714285714</v>
      </c>
      <c r="T220" s="55">
        <f t="shared" si="165"/>
        <v>10624.285714285714</v>
      </c>
      <c r="U220" s="55">
        <f t="shared" si="165"/>
        <v>11474.228571428572</v>
      </c>
      <c r="V220" s="55">
        <f t="shared" si="165"/>
        <v>11474.228571428572</v>
      </c>
      <c r="W220" s="55">
        <f t="shared" si="165"/>
        <v>11474.228571428572</v>
      </c>
      <c r="X220" s="55">
        <f t="shared" si="165"/>
        <v>11474.228571428572</v>
      </c>
      <c r="Y220" s="55">
        <f t="shared" si="165"/>
        <v>11474.228571428572</v>
      </c>
      <c r="Z220" s="55">
        <f t="shared" si="165"/>
        <v>11474.228571428572</v>
      </c>
      <c r="AA220" s="55">
        <f t="shared" si="165"/>
        <v>11474.228571428572</v>
      </c>
      <c r="AB220" s="55">
        <f t="shared" si="165"/>
        <v>11474.228571428572</v>
      </c>
      <c r="AC220" s="55">
        <f t="shared" si="165"/>
        <v>11474.228571428572</v>
      </c>
      <c r="AD220" s="55">
        <f t="shared" si="165"/>
        <v>11474.228571428572</v>
      </c>
      <c r="AE220" s="55">
        <f t="shared" si="165"/>
        <v>11474.228571428572</v>
      </c>
      <c r="AF220" s="55">
        <f t="shared" si="164"/>
        <v>11474.228571428572</v>
      </c>
      <c r="AG220" s="55">
        <f t="shared" si="164"/>
        <v>12392.166857142856</v>
      </c>
      <c r="AH220" s="55">
        <f t="shared" si="164"/>
        <v>12392.166857142856</v>
      </c>
      <c r="AI220" s="55">
        <f t="shared" si="164"/>
        <v>12392.166857142856</v>
      </c>
      <c r="AJ220" s="55">
        <f t="shared" si="164"/>
        <v>12392.166857142856</v>
      </c>
      <c r="AK220" s="55">
        <f t="shared" si="164"/>
        <v>12392.166857142856</v>
      </c>
      <c r="AL220" s="55">
        <f t="shared" si="164"/>
        <v>12392.166857142856</v>
      </c>
      <c r="AM220" s="55">
        <f t="shared" si="164"/>
        <v>12392.166857142856</v>
      </c>
      <c r="AN220" s="55">
        <f t="shared" si="164"/>
        <v>12392.166857142856</v>
      </c>
      <c r="AO220" s="55">
        <f t="shared" si="164"/>
        <v>12392.166857142856</v>
      </c>
      <c r="AP220" s="55">
        <f t="shared" si="164"/>
        <v>12392.166857142856</v>
      </c>
      <c r="AQ220" s="55">
        <f t="shared" si="164"/>
        <v>12392.166857142856</v>
      </c>
      <c r="AR220" s="55">
        <f t="shared" si="164"/>
        <v>12392.166857142856</v>
      </c>
      <c r="AS220" s="55">
        <f t="shared" si="164"/>
        <v>13315.544777142857</v>
      </c>
      <c r="AT220" s="55">
        <f t="shared" si="164"/>
        <v>13315.544777142857</v>
      </c>
      <c r="AU220" s="55">
        <f t="shared" ref="AU220:BD226" si="166">$E220+IF(AU$2=2026,($E220*$F220),0)+IF((AU$2=2027),(($E220*$F220)+($E220+$E220*$F220)*$F220),0)+IF((AU$2=2028),(($E220*$F220)+($E220+$E220*$F220)*$F220)+($E220+($E220+$E220*$F220)*$F220)*$F220,0)</f>
        <v>13315.544777142857</v>
      </c>
      <c r="AV220" s="55">
        <f t="shared" si="166"/>
        <v>13315.544777142857</v>
      </c>
      <c r="AW220" s="55">
        <f t="shared" si="166"/>
        <v>13315.544777142857</v>
      </c>
      <c r="AX220" s="55">
        <f t="shared" si="166"/>
        <v>13315.544777142857</v>
      </c>
      <c r="AY220" s="55">
        <f t="shared" si="166"/>
        <v>13315.544777142857</v>
      </c>
      <c r="AZ220" s="55">
        <f t="shared" si="166"/>
        <v>13315.544777142857</v>
      </c>
      <c r="BA220" s="55">
        <f t="shared" si="166"/>
        <v>13315.544777142857</v>
      </c>
      <c r="BB220" s="55">
        <f t="shared" si="166"/>
        <v>13315.544777142857</v>
      </c>
      <c r="BC220" s="55">
        <f t="shared" si="166"/>
        <v>13315.544777142857</v>
      </c>
      <c r="BD220" s="55">
        <f t="shared" si="166"/>
        <v>13315.544777142857</v>
      </c>
      <c r="BE220" s="55"/>
    </row>
    <row r="221" spans="1:57" ht="14.25" customHeight="1" x14ac:dyDescent="0.3">
      <c r="A221" s="46"/>
      <c r="B221" s="37"/>
      <c r="C221" s="32" t="s">
        <v>36</v>
      </c>
      <c r="E221" s="53">
        <f t="shared" si="163"/>
        <v>161387</v>
      </c>
      <c r="F221" s="54">
        <v>0.1</v>
      </c>
      <c r="G221" s="60"/>
      <c r="H221" s="46"/>
      <c r="I221" s="87">
        <v>58393</v>
      </c>
      <c r="J221" s="55">
        <v>25127</v>
      </c>
      <c r="K221" s="55">
        <f>63082</f>
        <v>63082</v>
      </c>
      <c r="L221" s="55">
        <f>150068+42562</f>
        <v>192630</v>
      </c>
      <c r="M221" s="55">
        <f>66425+166948</f>
        <v>233373</v>
      </c>
      <c r="N221" s="55">
        <f>178401+135959</f>
        <v>314360</v>
      </c>
      <c r="O221" s="55">
        <f>121106+121638</f>
        <v>242744</v>
      </c>
      <c r="P221" s="55">
        <f t="shared" si="165"/>
        <v>161387</v>
      </c>
      <c r="Q221" s="55">
        <f t="shared" si="165"/>
        <v>161387</v>
      </c>
      <c r="R221" s="55">
        <f t="shared" si="165"/>
        <v>161387</v>
      </c>
      <c r="S221" s="55">
        <f t="shared" si="165"/>
        <v>161387</v>
      </c>
      <c r="T221" s="55">
        <f t="shared" si="165"/>
        <v>161387</v>
      </c>
      <c r="U221" s="55">
        <f t="shared" si="165"/>
        <v>177525.7</v>
      </c>
      <c r="V221" s="55">
        <f t="shared" si="165"/>
        <v>177525.7</v>
      </c>
      <c r="W221" s="55">
        <f t="shared" si="165"/>
        <v>177525.7</v>
      </c>
      <c r="X221" s="55">
        <f t="shared" si="165"/>
        <v>177525.7</v>
      </c>
      <c r="Y221" s="55">
        <f t="shared" si="165"/>
        <v>177525.7</v>
      </c>
      <c r="Z221" s="55">
        <f t="shared" si="165"/>
        <v>177525.7</v>
      </c>
      <c r="AA221" s="55">
        <f t="shared" si="165"/>
        <v>177525.7</v>
      </c>
      <c r="AB221" s="55">
        <f t="shared" si="165"/>
        <v>177525.7</v>
      </c>
      <c r="AC221" s="55">
        <f t="shared" si="165"/>
        <v>177525.7</v>
      </c>
      <c r="AD221" s="55">
        <f t="shared" si="165"/>
        <v>177525.7</v>
      </c>
      <c r="AE221" s="55">
        <f t="shared" si="165"/>
        <v>177525.7</v>
      </c>
      <c r="AF221" s="55">
        <f t="shared" si="164"/>
        <v>177525.7</v>
      </c>
      <c r="AG221" s="55">
        <f t="shared" si="164"/>
        <v>195278.27000000002</v>
      </c>
      <c r="AH221" s="55">
        <f t="shared" si="164"/>
        <v>195278.27000000002</v>
      </c>
      <c r="AI221" s="55">
        <f t="shared" si="164"/>
        <v>195278.27000000002</v>
      </c>
      <c r="AJ221" s="55">
        <f t="shared" si="164"/>
        <v>195278.27000000002</v>
      </c>
      <c r="AK221" s="55">
        <f t="shared" si="164"/>
        <v>195278.27000000002</v>
      </c>
      <c r="AL221" s="55">
        <f t="shared" si="164"/>
        <v>195278.27000000002</v>
      </c>
      <c r="AM221" s="55">
        <f t="shared" si="164"/>
        <v>195278.27000000002</v>
      </c>
      <c r="AN221" s="55">
        <f t="shared" si="164"/>
        <v>195278.27000000002</v>
      </c>
      <c r="AO221" s="55">
        <f t="shared" si="164"/>
        <v>195278.27000000002</v>
      </c>
      <c r="AP221" s="55">
        <f t="shared" si="164"/>
        <v>195278.27000000002</v>
      </c>
      <c r="AQ221" s="55">
        <f t="shared" si="164"/>
        <v>195278.27000000002</v>
      </c>
      <c r="AR221" s="55">
        <f t="shared" si="164"/>
        <v>195278.27000000002</v>
      </c>
      <c r="AS221" s="55">
        <f t="shared" si="164"/>
        <v>213192.22700000001</v>
      </c>
      <c r="AT221" s="55">
        <f t="shared" si="164"/>
        <v>213192.22700000001</v>
      </c>
      <c r="AU221" s="55">
        <f t="shared" si="166"/>
        <v>213192.22700000001</v>
      </c>
      <c r="AV221" s="55">
        <f t="shared" si="166"/>
        <v>213192.22700000001</v>
      </c>
      <c r="AW221" s="55">
        <f t="shared" si="166"/>
        <v>213192.22700000001</v>
      </c>
      <c r="AX221" s="55">
        <f t="shared" si="166"/>
        <v>213192.22700000001</v>
      </c>
      <c r="AY221" s="55">
        <f t="shared" si="166"/>
        <v>213192.22700000001</v>
      </c>
      <c r="AZ221" s="55">
        <f t="shared" si="166"/>
        <v>213192.22700000001</v>
      </c>
      <c r="BA221" s="55">
        <f t="shared" si="166"/>
        <v>213192.22700000001</v>
      </c>
      <c r="BB221" s="55">
        <f t="shared" si="166"/>
        <v>213192.22700000001</v>
      </c>
      <c r="BC221" s="55">
        <f t="shared" si="166"/>
        <v>213192.22700000001</v>
      </c>
      <c r="BD221" s="55">
        <f t="shared" si="166"/>
        <v>213192.22700000001</v>
      </c>
      <c r="BE221" s="55"/>
    </row>
    <row r="222" spans="1:57" ht="14.25" customHeight="1" x14ac:dyDescent="0.3">
      <c r="A222" s="46"/>
      <c r="B222" s="37"/>
      <c r="C222" s="32" t="s">
        <v>37</v>
      </c>
      <c r="E222" s="53">
        <f t="shared" si="163"/>
        <v>5347.1428571428569</v>
      </c>
      <c r="F222" s="54">
        <v>0.1</v>
      </c>
      <c r="G222" s="46"/>
      <c r="H222" s="46"/>
      <c r="I222" s="55">
        <f>7302</f>
        <v>7302</v>
      </c>
      <c r="J222" s="55">
        <v>2138</v>
      </c>
      <c r="K222" s="55">
        <v>1545</v>
      </c>
      <c r="L222" s="55">
        <v>6636</v>
      </c>
      <c r="M222" s="55">
        <v>7506</v>
      </c>
      <c r="N222" s="55">
        <f>5126+237</f>
        <v>5363</v>
      </c>
      <c r="O222" s="55">
        <v>6940</v>
      </c>
      <c r="P222" s="55">
        <f t="shared" si="165"/>
        <v>5347.1428571428569</v>
      </c>
      <c r="Q222" s="55">
        <f t="shared" si="165"/>
        <v>5347.1428571428569</v>
      </c>
      <c r="R222" s="55">
        <f t="shared" si="165"/>
        <v>5347.1428571428569</v>
      </c>
      <c r="S222" s="55">
        <f t="shared" si="165"/>
        <v>5347.1428571428569</v>
      </c>
      <c r="T222" s="55">
        <f t="shared" si="165"/>
        <v>5347.1428571428569</v>
      </c>
      <c r="U222" s="55">
        <f t="shared" si="165"/>
        <v>5881.8571428571422</v>
      </c>
      <c r="V222" s="55">
        <f t="shared" si="165"/>
        <v>5881.8571428571422</v>
      </c>
      <c r="W222" s="55">
        <f t="shared" si="165"/>
        <v>5881.8571428571422</v>
      </c>
      <c r="X222" s="55">
        <f t="shared" si="165"/>
        <v>5881.8571428571422</v>
      </c>
      <c r="Y222" s="55">
        <f t="shared" si="165"/>
        <v>5881.8571428571422</v>
      </c>
      <c r="Z222" s="55">
        <f t="shared" si="165"/>
        <v>5881.8571428571422</v>
      </c>
      <c r="AA222" s="55">
        <f t="shared" si="165"/>
        <v>5881.8571428571422</v>
      </c>
      <c r="AB222" s="55">
        <f t="shared" si="165"/>
        <v>5881.8571428571422</v>
      </c>
      <c r="AC222" s="55">
        <f t="shared" si="165"/>
        <v>5881.8571428571422</v>
      </c>
      <c r="AD222" s="55">
        <f t="shared" si="165"/>
        <v>5881.8571428571422</v>
      </c>
      <c r="AE222" s="55">
        <f t="shared" si="165"/>
        <v>5881.8571428571422</v>
      </c>
      <c r="AF222" s="55">
        <f t="shared" si="164"/>
        <v>5881.8571428571422</v>
      </c>
      <c r="AG222" s="55">
        <f t="shared" si="164"/>
        <v>6470.0428571428565</v>
      </c>
      <c r="AH222" s="55">
        <f t="shared" si="164"/>
        <v>6470.0428571428565</v>
      </c>
      <c r="AI222" s="55">
        <f t="shared" si="164"/>
        <v>6470.0428571428565</v>
      </c>
      <c r="AJ222" s="55">
        <f t="shared" si="164"/>
        <v>6470.0428571428565</v>
      </c>
      <c r="AK222" s="55">
        <f t="shared" si="164"/>
        <v>6470.0428571428565</v>
      </c>
      <c r="AL222" s="55">
        <f t="shared" si="164"/>
        <v>6470.0428571428565</v>
      </c>
      <c r="AM222" s="55">
        <f t="shared" si="164"/>
        <v>6470.0428571428565</v>
      </c>
      <c r="AN222" s="55">
        <f t="shared" si="164"/>
        <v>6470.0428571428565</v>
      </c>
      <c r="AO222" s="55">
        <f t="shared" si="164"/>
        <v>6470.0428571428565</v>
      </c>
      <c r="AP222" s="55">
        <f t="shared" si="164"/>
        <v>6470.0428571428565</v>
      </c>
      <c r="AQ222" s="55">
        <f t="shared" si="164"/>
        <v>6470.0428571428565</v>
      </c>
      <c r="AR222" s="55">
        <f t="shared" si="164"/>
        <v>6470.0428571428565</v>
      </c>
      <c r="AS222" s="55">
        <f t="shared" si="164"/>
        <v>7063.5757142857137</v>
      </c>
      <c r="AT222" s="55">
        <f t="shared" si="164"/>
        <v>7063.5757142857137</v>
      </c>
      <c r="AU222" s="55">
        <f t="shared" si="166"/>
        <v>7063.5757142857137</v>
      </c>
      <c r="AV222" s="55">
        <f t="shared" si="166"/>
        <v>7063.5757142857137</v>
      </c>
      <c r="AW222" s="55">
        <f t="shared" si="166"/>
        <v>7063.5757142857137</v>
      </c>
      <c r="AX222" s="55">
        <f t="shared" si="166"/>
        <v>7063.5757142857137</v>
      </c>
      <c r="AY222" s="55">
        <f t="shared" si="166"/>
        <v>7063.5757142857137</v>
      </c>
      <c r="AZ222" s="55">
        <f t="shared" si="166"/>
        <v>7063.5757142857137</v>
      </c>
      <c r="BA222" s="55">
        <f t="shared" si="166"/>
        <v>7063.5757142857137</v>
      </c>
      <c r="BB222" s="55">
        <f t="shared" si="166"/>
        <v>7063.5757142857137</v>
      </c>
      <c r="BC222" s="55">
        <f t="shared" si="166"/>
        <v>7063.5757142857137</v>
      </c>
      <c r="BD222" s="55">
        <f t="shared" si="166"/>
        <v>7063.5757142857137</v>
      </c>
      <c r="BE222" s="55"/>
    </row>
    <row r="223" spans="1:57" ht="14.25" customHeight="1" x14ac:dyDescent="0.3">
      <c r="A223" s="46"/>
      <c r="B223" s="37"/>
      <c r="C223" s="32" t="s">
        <v>160</v>
      </c>
      <c r="E223" s="53">
        <v>35000</v>
      </c>
      <c r="F223" s="54">
        <v>0.1</v>
      </c>
      <c r="G223" s="60"/>
      <c r="H223" s="46"/>
      <c r="I223" s="55">
        <f t="shared" ref="I223:X226" si="167">$E223+IF(I$2=2026,($E223*$F223),0)+IF((I$2=2027),(($E223*$F223)+($E223+$E223*$F223)*$F223),0)+IF((I$2=2028),(($E223*$F223)+($E223+$E223*$F223)*$F223)+($E223+($E223+$E223*$F223)*$F223)*$F223,0)</f>
        <v>35000</v>
      </c>
      <c r="J223" s="55">
        <f t="shared" si="167"/>
        <v>35000</v>
      </c>
      <c r="K223" s="55">
        <f t="shared" si="167"/>
        <v>35000</v>
      </c>
      <c r="L223" s="55">
        <f t="shared" si="167"/>
        <v>35000</v>
      </c>
      <c r="M223" s="55">
        <f t="shared" si="167"/>
        <v>35000</v>
      </c>
      <c r="N223" s="55">
        <f t="shared" si="167"/>
        <v>35000</v>
      </c>
      <c r="O223" s="55">
        <f t="shared" si="167"/>
        <v>35000</v>
      </c>
      <c r="P223" s="55">
        <f t="shared" si="167"/>
        <v>35000</v>
      </c>
      <c r="Q223" s="55">
        <f t="shared" si="167"/>
        <v>35000</v>
      </c>
      <c r="R223" s="55">
        <f t="shared" si="167"/>
        <v>35000</v>
      </c>
      <c r="S223" s="55">
        <f t="shared" si="167"/>
        <v>35000</v>
      </c>
      <c r="T223" s="55">
        <f t="shared" si="167"/>
        <v>35000</v>
      </c>
      <c r="U223" s="55">
        <f t="shared" si="167"/>
        <v>38500</v>
      </c>
      <c r="V223" s="55">
        <f t="shared" si="167"/>
        <v>38500</v>
      </c>
      <c r="W223" s="55">
        <f t="shared" si="167"/>
        <v>38500</v>
      </c>
      <c r="X223" s="55">
        <f t="shared" si="165"/>
        <v>38500</v>
      </c>
      <c r="Y223" s="55">
        <f t="shared" si="165"/>
        <v>38500</v>
      </c>
      <c r="Z223" s="55">
        <f t="shared" si="165"/>
        <v>38500</v>
      </c>
      <c r="AA223" s="55">
        <f t="shared" si="165"/>
        <v>38500</v>
      </c>
      <c r="AB223" s="55">
        <f t="shared" si="165"/>
        <v>38500</v>
      </c>
      <c r="AC223" s="55">
        <f t="shared" si="165"/>
        <v>38500</v>
      </c>
      <c r="AD223" s="55">
        <f t="shared" si="165"/>
        <v>38500</v>
      </c>
      <c r="AE223" s="55">
        <f t="shared" si="165"/>
        <v>38500</v>
      </c>
      <c r="AF223" s="55">
        <f t="shared" si="164"/>
        <v>38500</v>
      </c>
      <c r="AG223" s="55">
        <f t="shared" si="164"/>
        <v>42350</v>
      </c>
      <c r="AH223" s="55">
        <f t="shared" si="164"/>
        <v>42350</v>
      </c>
      <c r="AI223" s="55">
        <f t="shared" si="164"/>
        <v>42350</v>
      </c>
      <c r="AJ223" s="55">
        <f t="shared" si="164"/>
        <v>42350</v>
      </c>
      <c r="AK223" s="55">
        <f t="shared" si="164"/>
        <v>42350</v>
      </c>
      <c r="AL223" s="55">
        <f t="shared" si="164"/>
        <v>42350</v>
      </c>
      <c r="AM223" s="55">
        <f t="shared" si="164"/>
        <v>42350</v>
      </c>
      <c r="AN223" s="55">
        <f t="shared" si="164"/>
        <v>42350</v>
      </c>
      <c r="AO223" s="55">
        <f t="shared" si="164"/>
        <v>42350</v>
      </c>
      <c r="AP223" s="55">
        <f t="shared" si="164"/>
        <v>42350</v>
      </c>
      <c r="AQ223" s="55">
        <f t="shared" si="164"/>
        <v>42350</v>
      </c>
      <c r="AR223" s="55">
        <f t="shared" si="164"/>
        <v>42350</v>
      </c>
      <c r="AS223" s="55">
        <f t="shared" si="164"/>
        <v>46235</v>
      </c>
      <c r="AT223" s="55">
        <f t="shared" si="164"/>
        <v>46235</v>
      </c>
      <c r="AU223" s="55">
        <f t="shared" si="166"/>
        <v>46235</v>
      </c>
      <c r="AV223" s="55">
        <f t="shared" si="166"/>
        <v>46235</v>
      </c>
      <c r="AW223" s="55">
        <f t="shared" si="166"/>
        <v>46235</v>
      </c>
      <c r="AX223" s="55">
        <f t="shared" si="166"/>
        <v>46235</v>
      </c>
      <c r="AY223" s="55">
        <f t="shared" si="166"/>
        <v>46235</v>
      </c>
      <c r="AZ223" s="55">
        <f t="shared" si="166"/>
        <v>46235</v>
      </c>
      <c r="BA223" s="55">
        <f t="shared" si="166"/>
        <v>46235</v>
      </c>
      <c r="BB223" s="55">
        <f t="shared" si="166"/>
        <v>46235</v>
      </c>
      <c r="BC223" s="55">
        <f t="shared" si="166"/>
        <v>46235</v>
      </c>
      <c r="BD223" s="55">
        <f t="shared" si="166"/>
        <v>46235</v>
      </c>
      <c r="BE223" s="55"/>
    </row>
    <row r="224" spans="1:57" ht="14.25" customHeight="1" x14ac:dyDescent="0.3">
      <c r="A224" s="46"/>
      <c r="B224" s="37"/>
      <c r="C224" s="32" t="s">
        <v>238</v>
      </c>
      <c r="D224" s="46"/>
      <c r="E224" s="89">
        <f>-10000*D2</f>
        <v>-225096.00000000003</v>
      </c>
      <c r="F224" s="54">
        <v>0</v>
      </c>
      <c r="G224" s="46"/>
      <c r="H224" s="46"/>
      <c r="I224" s="55">
        <v>0</v>
      </c>
      <c r="J224" s="55">
        <v>0</v>
      </c>
      <c r="K224" s="55">
        <v>0</v>
      </c>
      <c r="L224" s="55">
        <v>0</v>
      </c>
      <c r="M224" s="55">
        <v>-673483</v>
      </c>
      <c r="N224" s="55">
        <v>0</v>
      </c>
      <c r="O224" s="55">
        <v>0</v>
      </c>
      <c r="P224" s="55">
        <v>-703666</v>
      </c>
      <c r="Q224" s="55">
        <f t="shared" si="167"/>
        <v>-225096.00000000003</v>
      </c>
      <c r="R224" s="55">
        <f t="shared" si="167"/>
        <v>-225096.00000000003</v>
      </c>
      <c r="S224" s="55">
        <f t="shared" si="167"/>
        <v>-225096.00000000003</v>
      </c>
      <c r="T224" s="55">
        <f t="shared" si="167"/>
        <v>-225096.00000000003</v>
      </c>
      <c r="U224" s="55">
        <f t="shared" si="167"/>
        <v>-225096.00000000003</v>
      </c>
      <c r="V224" s="55">
        <f t="shared" si="167"/>
        <v>-225096.00000000003</v>
      </c>
      <c r="W224" s="55">
        <f t="shared" si="167"/>
        <v>-225096.00000000003</v>
      </c>
      <c r="X224" s="55">
        <f t="shared" si="167"/>
        <v>-225096.00000000003</v>
      </c>
      <c r="Y224" s="55">
        <f t="shared" si="165"/>
        <v>-225096.00000000003</v>
      </c>
      <c r="Z224" s="55">
        <f t="shared" si="165"/>
        <v>-225096.00000000003</v>
      </c>
      <c r="AA224" s="55">
        <f t="shared" si="165"/>
        <v>-225096.00000000003</v>
      </c>
      <c r="AB224" s="55">
        <f t="shared" si="165"/>
        <v>-225096.00000000003</v>
      </c>
      <c r="AC224" s="55">
        <f t="shared" si="165"/>
        <v>-225096.00000000003</v>
      </c>
      <c r="AD224" s="55">
        <f t="shared" si="165"/>
        <v>-225096.00000000003</v>
      </c>
      <c r="AE224" s="55">
        <f t="shared" si="165"/>
        <v>-225096.00000000003</v>
      </c>
      <c r="AF224" s="55">
        <f t="shared" si="164"/>
        <v>-225096.00000000003</v>
      </c>
      <c r="AG224" s="55">
        <f t="shared" si="164"/>
        <v>-225096.00000000003</v>
      </c>
      <c r="AH224" s="55">
        <f t="shared" si="164"/>
        <v>-225096.00000000003</v>
      </c>
      <c r="AI224" s="55">
        <f t="shared" si="164"/>
        <v>-225096.00000000003</v>
      </c>
      <c r="AJ224" s="55">
        <f t="shared" si="164"/>
        <v>-225096.00000000003</v>
      </c>
      <c r="AK224" s="55">
        <f t="shared" si="164"/>
        <v>-225096.00000000003</v>
      </c>
      <c r="AL224" s="55">
        <f t="shared" si="164"/>
        <v>-225096.00000000003</v>
      </c>
      <c r="AM224" s="55">
        <f t="shared" si="164"/>
        <v>-225096.00000000003</v>
      </c>
      <c r="AN224" s="55">
        <f t="shared" si="164"/>
        <v>-225096.00000000003</v>
      </c>
      <c r="AO224" s="55">
        <f t="shared" si="164"/>
        <v>-225096.00000000003</v>
      </c>
      <c r="AP224" s="55">
        <f t="shared" si="164"/>
        <v>-225096.00000000003</v>
      </c>
      <c r="AQ224" s="55">
        <f t="shared" si="164"/>
        <v>-225096.00000000003</v>
      </c>
      <c r="AR224" s="55">
        <f t="shared" si="164"/>
        <v>-225096.00000000003</v>
      </c>
      <c r="AS224" s="55">
        <f t="shared" si="164"/>
        <v>-225096.00000000003</v>
      </c>
      <c r="AT224" s="55">
        <f t="shared" si="164"/>
        <v>-225096.00000000003</v>
      </c>
      <c r="AU224" s="55">
        <f t="shared" si="166"/>
        <v>-225096.00000000003</v>
      </c>
      <c r="AV224" s="55">
        <f t="shared" si="166"/>
        <v>-225096.00000000003</v>
      </c>
      <c r="AW224" s="55">
        <f t="shared" si="166"/>
        <v>-225096.00000000003</v>
      </c>
      <c r="AX224" s="55">
        <f t="shared" si="166"/>
        <v>-225096.00000000003</v>
      </c>
      <c r="AY224" s="55">
        <f t="shared" si="166"/>
        <v>-225096.00000000003</v>
      </c>
      <c r="AZ224" s="55">
        <f t="shared" si="166"/>
        <v>-225096.00000000003</v>
      </c>
      <c r="BA224" s="55">
        <f t="shared" si="166"/>
        <v>-225096.00000000003</v>
      </c>
      <c r="BB224" s="55">
        <f t="shared" si="166"/>
        <v>-225096.00000000003</v>
      </c>
      <c r="BC224" s="55">
        <f t="shared" si="166"/>
        <v>-225096.00000000003</v>
      </c>
      <c r="BD224" s="55">
        <f t="shared" si="166"/>
        <v>-225096.00000000003</v>
      </c>
      <c r="BE224" s="55"/>
    </row>
    <row r="225" spans="1:57" ht="14.25" customHeight="1" x14ac:dyDescent="0.3">
      <c r="A225" s="46"/>
      <c r="B225" s="37"/>
      <c r="C225" s="46"/>
      <c r="D225" s="46"/>
      <c r="E225" s="46"/>
      <c r="F225" s="46"/>
      <c r="G225" s="46"/>
      <c r="H225" s="46"/>
      <c r="I225" s="55">
        <f t="shared" si="167"/>
        <v>0</v>
      </c>
      <c r="J225" s="55">
        <f t="shared" si="167"/>
        <v>0</v>
      </c>
      <c r="K225" s="55">
        <f t="shared" si="167"/>
        <v>0</v>
      </c>
      <c r="L225" s="55">
        <f t="shared" si="167"/>
        <v>0</v>
      </c>
      <c r="M225" s="55">
        <f t="shared" si="167"/>
        <v>0</v>
      </c>
      <c r="N225" s="55">
        <f t="shared" si="167"/>
        <v>0</v>
      </c>
      <c r="O225" s="55">
        <f t="shared" si="167"/>
        <v>0</v>
      </c>
      <c r="P225" s="55">
        <f t="shared" si="167"/>
        <v>0</v>
      </c>
      <c r="Q225" s="55">
        <f t="shared" si="167"/>
        <v>0</v>
      </c>
      <c r="R225" s="55">
        <f t="shared" si="167"/>
        <v>0</v>
      </c>
      <c r="S225" s="55">
        <f t="shared" si="167"/>
        <v>0</v>
      </c>
      <c r="T225" s="55">
        <f t="shared" si="167"/>
        <v>0</v>
      </c>
      <c r="U225" s="55">
        <f t="shared" si="167"/>
        <v>0</v>
      </c>
      <c r="V225" s="55">
        <f t="shared" si="167"/>
        <v>0</v>
      </c>
      <c r="W225" s="55">
        <f t="shared" si="167"/>
        <v>0</v>
      </c>
      <c r="X225" s="55">
        <f t="shared" si="165"/>
        <v>0</v>
      </c>
      <c r="Y225" s="55">
        <f t="shared" si="165"/>
        <v>0</v>
      </c>
      <c r="Z225" s="55">
        <f t="shared" si="165"/>
        <v>0</v>
      </c>
      <c r="AA225" s="55">
        <f t="shared" si="165"/>
        <v>0</v>
      </c>
      <c r="AB225" s="55">
        <f t="shared" si="165"/>
        <v>0</v>
      </c>
      <c r="AC225" s="55">
        <f t="shared" si="165"/>
        <v>0</v>
      </c>
      <c r="AD225" s="55">
        <f t="shared" si="165"/>
        <v>0</v>
      </c>
      <c r="AE225" s="55">
        <f t="shared" si="165"/>
        <v>0</v>
      </c>
      <c r="AF225" s="55">
        <f t="shared" si="164"/>
        <v>0</v>
      </c>
      <c r="AG225" s="55">
        <f t="shared" si="164"/>
        <v>0</v>
      </c>
      <c r="AH225" s="55">
        <f t="shared" si="164"/>
        <v>0</v>
      </c>
      <c r="AI225" s="55">
        <f t="shared" si="164"/>
        <v>0</v>
      </c>
      <c r="AJ225" s="55">
        <f t="shared" si="164"/>
        <v>0</v>
      </c>
      <c r="AK225" s="55">
        <f t="shared" si="164"/>
        <v>0</v>
      </c>
      <c r="AL225" s="55">
        <f t="shared" si="164"/>
        <v>0</v>
      </c>
      <c r="AM225" s="55">
        <f t="shared" si="164"/>
        <v>0</v>
      </c>
      <c r="AN225" s="55">
        <f t="shared" si="164"/>
        <v>0</v>
      </c>
      <c r="AO225" s="55">
        <f t="shared" si="164"/>
        <v>0</v>
      </c>
      <c r="AP225" s="55">
        <f t="shared" si="164"/>
        <v>0</v>
      </c>
      <c r="AQ225" s="55">
        <f t="shared" si="164"/>
        <v>0</v>
      </c>
      <c r="AR225" s="55">
        <f t="shared" si="164"/>
        <v>0</v>
      </c>
      <c r="AS225" s="55">
        <f t="shared" si="164"/>
        <v>0</v>
      </c>
      <c r="AT225" s="55">
        <f t="shared" si="164"/>
        <v>0</v>
      </c>
      <c r="AU225" s="55">
        <f t="shared" si="166"/>
        <v>0</v>
      </c>
      <c r="AV225" s="55">
        <f t="shared" si="166"/>
        <v>0</v>
      </c>
      <c r="AW225" s="55">
        <f t="shared" si="166"/>
        <v>0</v>
      </c>
      <c r="AX225" s="55">
        <f t="shared" si="166"/>
        <v>0</v>
      </c>
      <c r="AY225" s="55">
        <f t="shared" si="166"/>
        <v>0</v>
      </c>
      <c r="AZ225" s="55">
        <f t="shared" si="166"/>
        <v>0</v>
      </c>
      <c r="BA225" s="55">
        <f t="shared" si="166"/>
        <v>0</v>
      </c>
      <c r="BB225" s="55">
        <f t="shared" si="166"/>
        <v>0</v>
      </c>
      <c r="BC225" s="55">
        <f t="shared" si="166"/>
        <v>0</v>
      </c>
      <c r="BD225" s="55">
        <f t="shared" si="166"/>
        <v>0</v>
      </c>
      <c r="BE225" s="55"/>
    </row>
    <row r="226" spans="1:57" ht="14.25" customHeight="1" x14ac:dyDescent="0.3">
      <c r="A226" s="46"/>
      <c r="B226" s="37"/>
      <c r="C226" s="46"/>
      <c r="D226" s="46"/>
      <c r="E226" s="46"/>
      <c r="F226" s="46"/>
      <c r="G226" s="46"/>
      <c r="H226" s="46"/>
      <c r="I226" s="55">
        <f t="shared" si="167"/>
        <v>0</v>
      </c>
      <c r="J226" s="55">
        <f t="shared" si="167"/>
        <v>0</v>
      </c>
      <c r="K226" s="55">
        <f t="shared" si="167"/>
        <v>0</v>
      </c>
      <c r="L226" s="55">
        <f t="shared" si="167"/>
        <v>0</v>
      </c>
      <c r="M226" s="55">
        <f t="shared" si="167"/>
        <v>0</v>
      </c>
      <c r="N226" s="55">
        <f t="shared" si="167"/>
        <v>0</v>
      </c>
      <c r="O226" s="55">
        <f t="shared" si="167"/>
        <v>0</v>
      </c>
      <c r="P226" s="55">
        <f t="shared" si="167"/>
        <v>0</v>
      </c>
      <c r="Q226" s="55">
        <f t="shared" si="167"/>
        <v>0</v>
      </c>
      <c r="R226" s="55">
        <f t="shared" si="167"/>
        <v>0</v>
      </c>
      <c r="S226" s="55">
        <f t="shared" si="167"/>
        <v>0</v>
      </c>
      <c r="T226" s="55">
        <f t="shared" si="167"/>
        <v>0</v>
      </c>
      <c r="U226" s="55">
        <f t="shared" si="167"/>
        <v>0</v>
      </c>
      <c r="V226" s="55">
        <f t="shared" si="167"/>
        <v>0</v>
      </c>
      <c r="W226" s="55">
        <f t="shared" si="167"/>
        <v>0</v>
      </c>
      <c r="X226" s="55">
        <f t="shared" si="165"/>
        <v>0</v>
      </c>
      <c r="Y226" s="55">
        <f t="shared" si="165"/>
        <v>0</v>
      </c>
      <c r="Z226" s="55">
        <f t="shared" si="165"/>
        <v>0</v>
      </c>
      <c r="AA226" s="55">
        <f t="shared" si="165"/>
        <v>0</v>
      </c>
      <c r="AB226" s="55">
        <f t="shared" si="165"/>
        <v>0</v>
      </c>
      <c r="AC226" s="55">
        <f t="shared" si="165"/>
        <v>0</v>
      </c>
      <c r="AD226" s="55">
        <f t="shared" si="165"/>
        <v>0</v>
      </c>
      <c r="AE226" s="55">
        <f t="shared" si="165"/>
        <v>0</v>
      </c>
      <c r="AF226" s="55">
        <f t="shared" si="164"/>
        <v>0</v>
      </c>
      <c r="AG226" s="55">
        <f t="shared" si="164"/>
        <v>0</v>
      </c>
      <c r="AH226" s="55">
        <f t="shared" si="164"/>
        <v>0</v>
      </c>
      <c r="AI226" s="55">
        <f t="shared" si="164"/>
        <v>0</v>
      </c>
      <c r="AJ226" s="55">
        <f t="shared" si="164"/>
        <v>0</v>
      </c>
      <c r="AK226" s="55">
        <f t="shared" si="164"/>
        <v>0</v>
      </c>
      <c r="AL226" s="55">
        <f t="shared" si="164"/>
        <v>0</v>
      </c>
      <c r="AM226" s="55">
        <f t="shared" si="164"/>
        <v>0</v>
      </c>
      <c r="AN226" s="55">
        <f t="shared" si="164"/>
        <v>0</v>
      </c>
      <c r="AO226" s="55">
        <f t="shared" si="164"/>
        <v>0</v>
      </c>
      <c r="AP226" s="55">
        <f t="shared" si="164"/>
        <v>0</v>
      </c>
      <c r="AQ226" s="55">
        <f t="shared" si="164"/>
        <v>0</v>
      </c>
      <c r="AR226" s="55">
        <f t="shared" si="164"/>
        <v>0</v>
      </c>
      <c r="AS226" s="55">
        <f t="shared" si="164"/>
        <v>0</v>
      </c>
      <c r="AT226" s="55">
        <f t="shared" si="164"/>
        <v>0</v>
      </c>
      <c r="AU226" s="55">
        <f t="shared" si="166"/>
        <v>0</v>
      </c>
      <c r="AV226" s="55">
        <f t="shared" si="166"/>
        <v>0</v>
      </c>
      <c r="AW226" s="55">
        <f t="shared" si="166"/>
        <v>0</v>
      </c>
      <c r="AX226" s="55">
        <f t="shared" si="166"/>
        <v>0</v>
      </c>
      <c r="AY226" s="55">
        <f t="shared" si="166"/>
        <v>0</v>
      </c>
      <c r="AZ226" s="55">
        <f t="shared" si="166"/>
        <v>0</v>
      </c>
      <c r="BA226" s="55">
        <f t="shared" si="166"/>
        <v>0</v>
      </c>
      <c r="BB226" s="55">
        <f t="shared" si="166"/>
        <v>0</v>
      </c>
      <c r="BC226" s="55">
        <f t="shared" si="166"/>
        <v>0</v>
      </c>
      <c r="BD226" s="55">
        <f t="shared" si="166"/>
        <v>0</v>
      </c>
      <c r="BE226" s="55"/>
    </row>
    <row r="227" spans="1:57" ht="14.25" customHeight="1" x14ac:dyDescent="0.3">
      <c r="A227" s="46"/>
      <c r="B227" s="37" t="s">
        <v>161</v>
      </c>
      <c r="C227" s="46"/>
      <c r="D227" s="46"/>
      <c r="E227" s="46"/>
      <c r="F227" s="65" t="s">
        <v>162</v>
      </c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  <c r="AC227" s="46"/>
      <c r="AD227" s="46"/>
      <c r="AE227" s="46"/>
      <c r="AF227" s="46"/>
      <c r="AG227" s="46"/>
      <c r="AH227" s="46"/>
      <c r="AI227" s="46"/>
      <c r="AJ227" s="46"/>
      <c r="AK227" s="46"/>
      <c r="AL227" s="46"/>
      <c r="AM227" s="46"/>
      <c r="AN227" s="46"/>
      <c r="AO227" s="46"/>
      <c r="AP227" s="46"/>
      <c r="AQ227" s="46"/>
      <c r="AR227" s="46"/>
      <c r="AS227" s="46"/>
      <c r="AT227" s="46"/>
      <c r="AU227" s="46"/>
      <c r="AV227" s="46"/>
      <c r="AW227" s="46"/>
      <c r="AX227" s="46"/>
      <c r="AY227" s="46"/>
      <c r="AZ227" s="46"/>
      <c r="BA227" s="46"/>
      <c r="BB227" s="46"/>
      <c r="BC227" s="46"/>
      <c r="BD227" s="46"/>
      <c r="BE227" s="46"/>
    </row>
    <row r="228" spans="1:57" ht="14.25" customHeight="1" x14ac:dyDescent="0.3">
      <c r="A228" s="46"/>
      <c r="B228" s="37"/>
      <c r="C228" s="46" t="s">
        <v>163</v>
      </c>
      <c r="D228" s="46"/>
      <c r="E228" s="59">
        <v>855000</v>
      </c>
      <c r="F228" s="66">
        <f>Q4</f>
        <v>45930</v>
      </c>
      <c r="G228" s="46"/>
      <c r="H228" s="46"/>
      <c r="I228" s="46">
        <f t="shared" ref="I228:X238" si="168">IF($F228=I$4,$E228,0)</f>
        <v>0</v>
      </c>
      <c r="J228" s="46">
        <f t="shared" si="168"/>
        <v>0</v>
      </c>
      <c r="K228" s="46">
        <f t="shared" si="168"/>
        <v>0</v>
      </c>
      <c r="L228" s="46">
        <f t="shared" si="168"/>
        <v>0</v>
      </c>
      <c r="M228" s="46">
        <f t="shared" si="168"/>
        <v>0</v>
      </c>
      <c r="N228" s="46">
        <f t="shared" si="168"/>
        <v>0</v>
      </c>
      <c r="O228" s="46">
        <f t="shared" si="168"/>
        <v>0</v>
      </c>
      <c r="P228" s="46">
        <f t="shared" si="168"/>
        <v>0</v>
      </c>
      <c r="Q228" s="46">
        <f t="shared" si="168"/>
        <v>855000</v>
      </c>
      <c r="R228" s="46">
        <f t="shared" si="168"/>
        <v>0</v>
      </c>
      <c r="S228" s="46">
        <f t="shared" si="168"/>
        <v>0</v>
      </c>
      <c r="T228" s="46">
        <f t="shared" si="168"/>
        <v>0</v>
      </c>
      <c r="U228" s="46">
        <f t="shared" si="168"/>
        <v>0</v>
      </c>
      <c r="V228" s="46">
        <f t="shared" si="168"/>
        <v>0</v>
      </c>
      <c r="W228" s="46">
        <f t="shared" si="168"/>
        <v>0</v>
      </c>
      <c r="X228" s="46">
        <f t="shared" si="168"/>
        <v>0</v>
      </c>
      <c r="Y228" s="46">
        <f t="shared" ref="Y228:AN238" si="169">IF($F228=Y$4,$E228,0)</f>
        <v>0</v>
      </c>
      <c r="Z228" s="46">
        <f t="shared" si="169"/>
        <v>0</v>
      </c>
      <c r="AA228" s="46">
        <f t="shared" si="169"/>
        <v>0</v>
      </c>
      <c r="AB228" s="46">
        <f t="shared" si="169"/>
        <v>0</v>
      </c>
      <c r="AC228" s="46">
        <f t="shared" si="169"/>
        <v>0</v>
      </c>
      <c r="AD228" s="46">
        <f t="shared" si="169"/>
        <v>0</v>
      </c>
      <c r="AE228" s="46">
        <f t="shared" si="169"/>
        <v>0</v>
      </c>
      <c r="AF228" s="46">
        <f t="shared" si="169"/>
        <v>0</v>
      </c>
      <c r="AG228" s="46">
        <f t="shared" si="169"/>
        <v>0</v>
      </c>
      <c r="AH228" s="46">
        <f t="shared" si="169"/>
        <v>0</v>
      </c>
      <c r="AI228" s="46">
        <f t="shared" si="169"/>
        <v>0</v>
      </c>
      <c r="AJ228" s="46">
        <f t="shared" si="169"/>
        <v>0</v>
      </c>
      <c r="AK228" s="46">
        <f t="shared" si="169"/>
        <v>0</v>
      </c>
      <c r="AL228" s="46">
        <f t="shared" si="169"/>
        <v>0</v>
      </c>
      <c r="AM228" s="46">
        <f t="shared" si="169"/>
        <v>0</v>
      </c>
      <c r="AN228" s="46">
        <f t="shared" si="169"/>
        <v>0</v>
      </c>
      <c r="AO228" s="46">
        <f t="shared" ref="AO228:BD238" si="170">IF($F228=AO$4,$E228,0)</f>
        <v>0</v>
      </c>
      <c r="AP228" s="46">
        <f t="shared" si="170"/>
        <v>0</v>
      </c>
      <c r="AQ228" s="46">
        <f t="shared" si="170"/>
        <v>0</v>
      </c>
      <c r="AR228" s="46">
        <f t="shared" si="170"/>
        <v>0</v>
      </c>
      <c r="AS228" s="46">
        <f t="shared" si="170"/>
        <v>0</v>
      </c>
      <c r="AT228" s="46">
        <f t="shared" si="170"/>
        <v>0</v>
      </c>
      <c r="AU228" s="46">
        <f t="shared" si="170"/>
        <v>0</v>
      </c>
      <c r="AV228" s="46">
        <f t="shared" si="170"/>
        <v>0</v>
      </c>
      <c r="AW228" s="46">
        <f t="shared" si="170"/>
        <v>0</v>
      </c>
      <c r="AX228" s="46">
        <f t="shared" si="170"/>
        <v>0</v>
      </c>
      <c r="AY228" s="46">
        <f t="shared" si="170"/>
        <v>0</v>
      </c>
      <c r="AZ228" s="46">
        <f t="shared" si="170"/>
        <v>0</v>
      </c>
      <c r="BA228" s="46">
        <f t="shared" si="170"/>
        <v>0</v>
      </c>
      <c r="BB228" s="46">
        <f t="shared" si="170"/>
        <v>0</v>
      </c>
      <c r="BC228" s="46">
        <f t="shared" si="170"/>
        <v>0</v>
      </c>
      <c r="BD228" s="46">
        <f t="shared" si="170"/>
        <v>0</v>
      </c>
      <c r="BE228" s="46"/>
    </row>
    <row r="229" spans="1:57" ht="14.25" customHeight="1" x14ac:dyDescent="0.3">
      <c r="A229" s="46"/>
      <c r="B229" s="37"/>
      <c r="C229" s="46" t="s">
        <v>164</v>
      </c>
      <c r="D229" s="46"/>
      <c r="E229" s="59">
        <v>1150000</v>
      </c>
      <c r="F229" s="66">
        <f>AG4</f>
        <v>46418</v>
      </c>
      <c r="G229" s="46"/>
      <c r="H229" s="46"/>
      <c r="I229" s="46">
        <f t="shared" si="168"/>
        <v>0</v>
      </c>
      <c r="J229" s="46">
        <f t="shared" si="168"/>
        <v>0</v>
      </c>
      <c r="K229" s="46">
        <f t="shared" si="168"/>
        <v>0</v>
      </c>
      <c r="L229" s="46">
        <f t="shared" si="168"/>
        <v>0</v>
      </c>
      <c r="M229" s="46">
        <f t="shared" si="168"/>
        <v>0</v>
      </c>
      <c r="N229" s="46">
        <f t="shared" si="168"/>
        <v>0</v>
      </c>
      <c r="O229" s="46">
        <f t="shared" si="168"/>
        <v>0</v>
      </c>
      <c r="P229" s="46">
        <f t="shared" si="168"/>
        <v>0</v>
      </c>
      <c r="Q229" s="46">
        <f t="shared" si="168"/>
        <v>0</v>
      </c>
      <c r="R229" s="46">
        <f t="shared" si="168"/>
        <v>0</v>
      </c>
      <c r="S229" s="46">
        <f t="shared" si="168"/>
        <v>0</v>
      </c>
      <c r="T229" s="46">
        <f t="shared" si="168"/>
        <v>0</v>
      </c>
      <c r="U229" s="46">
        <f t="shared" si="168"/>
        <v>0</v>
      </c>
      <c r="V229" s="46">
        <f t="shared" si="168"/>
        <v>0</v>
      </c>
      <c r="W229" s="46">
        <f t="shared" si="168"/>
        <v>0</v>
      </c>
      <c r="X229" s="46">
        <f t="shared" si="168"/>
        <v>0</v>
      </c>
      <c r="Y229" s="46">
        <f t="shared" si="169"/>
        <v>0</v>
      </c>
      <c r="Z229" s="46">
        <f t="shared" si="169"/>
        <v>0</v>
      </c>
      <c r="AA229" s="46">
        <f t="shared" si="169"/>
        <v>0</v>
      </c>
      <c r="AB229" s="46">
        <f t="shared" si="169"/>
        <v>0</v>
      </c>
      <c r="AC229" s="46">
        <f t="shared" si="169"/>
        <v>0</v>
      </c>
      <c r="AD229" s="46">
        <f t="shared" si="169"/>
        <v>0</v>
      </c>
      <c r="AE229" s="46">
        <f t="shared" si="169"/>
        <v>0</v>
      </c>
      <c r="AF229" s="46">
        <f t="shared" si="169"/>
        <v>0</v>
      </c>
      <c r="AG229" s="46">
        <f t="shared" si="169"/>
        <v>1150000</v>
      </c>
      <c r="AH229" s="46">
        <f t="shared" si="169"/>
        <v>0</v>
      </c>
      <c r="AI229" s="46">
        <f t="shared" si="169"/>
        <v>0</v>
      </c>
      <c r="AJ229" s="46">
        <f t="shared" si="169"/>
        <v>0</v>
      </c>
      <c r="AK229" s="46">
        <f t="shared" si="169"/>
        <v>0</v>
      </c>
      <c r="AL229" s="46">
        <f t="shared" si="169"/>
        <v>0</v>
      </c>
      <c r="AM229" s="46">
        <f t="shared" si="169"/>
        <v>0</v>
      </c>
      <c r="AN229" s="46">
        <f t="shared" si="169"/>
        <v>0</v>
      </c>
      <c r="AO229" s="46">
        <f t="shared" si="170"/>
        <v>0</v>
      </c>
      <c r="AP229" s="46">
        <f t="shared" si="170"/>
        <v>0</v>
      </c>
      <c r="AQ229" s="46">
        <f t="shared" si="170"/>
        <v>0</v>
      </c>
      <c r="AR229" s="46">
        <f t="shared" si="170"/>
        <v>0</v>
      </c>
      <c r="AS229" s="46">
        <f t="shared" si="170"/>
        <v>0</v>
      </c>
      <c r="AT229" s="46">
        <f t="shared" si="170"/>
        <v>0</v>
      </c>
      <c r="AU229" s="46">
        <f t="shared" si="170"/>
        <v>0</v>
      </c>
      <c r="AV229" s="46">
        <f t="shared" si="170"/>
        <v>0</v>
      </c>
      <c r="AW229" s="46">
        <f t="shared" si="170"/>
        <v>0</v>
      </c>
      <c r="AX229" s="46">
        <f t="shared" si="170"/>
        <v>0</v>
      </c>
      <c r="AY229" s="46">
        <f t="shared" si="170"/>
        <v>0</v>
      </c>
      <c r="AZ229" s="46">
        <f t="shared" si="170"/>
        <v>0</v>
      </c>
      <c r="BA229" s="46">
        <f t="shared" si="170"/>
        <v>0</v>
      </c>
      <c r="BB229" s="46">
        <f t="shared" si="170"/>
        <v>0</v>
      </c>
      <c r="BC229" s="46">
        <f t="shared" si="170"/>
        <v>0</v>
      </c>
      <c r="BD229" s="46">
        <f t="shared" si="170"/>
        <v>0</v>
      </c>
      <c r="BE229" s="46"/>
    </row>
    <row r="230" spans="1:57" ht="14.25" customHeight="1" x14ac:dyDescent="0.3">
      <c r="A230" s="46"/>
      <c r="B230" s="37"/>
      <c r="C230" s="46" t="s">
        <v>165</v>
      </c>
      <c r="D230" s="46"/>
      <c r="E230" s="59">
        <v>65000</v>
      </c>
      <c r="F230" s="66">
        <f>I4</f>
        <v>45688</v>
      </c>
      <c r="G230" s="46"/>
      <c r="H230" s="46"/>
      <c r="I230" s="46">
        <f t="shared" si="168"/>
        <v>65000</v>
      </c>
      <c r="J230" s="46">
        <f t="shared" si="168"/>
        <v>0</v>
      </c>
      <c r="K230" s="46">
        <f t="shared" si="168"/>
        <v>0</v>
      </c>
      <c r="L230" s="46">
        <f t="shared" si="168"/>
        <v>0</v>
      </c>
      <c r="M230" s="46">
        <f t="shared" si="168"/>
        <v>0</v>
      </c>
      <c r="N230" s="46">
        <f t="shared" si="168"/>
        <v>0</v>
      </c>
      <c r="O230" s="46">
        <f t="shared" si="168"/>
        <v>0</v>
      </c>
      <c r="P230" s="46">
        <f t="shared" si="168"/>
        <v>0</v>
      </c>
      <c r="Q230" s="46">
        <f t="shared" si="168"/>
        <v>0</v>
      </c>
      <c r="R230" s="46">
        <f t="shared" si="168"/>
        <v>0</v>
      </c>
      <c r="S230" s="46">
        <f t="shared" si="168"/>
        <v>0</v>
      </c>
      <c r="T230" s="46">
        <f t="shared" si="168"/>
        <v>0</v>
      </c>
      <c r="U230" s="46">
        <f t="shared" si="168"/>
        <v>0</v>
      </c>
      <c r="V230" s="46">
        <f t="shared" si="168"/>
        <v>0</v>
      </c>
      <c r="W230" s="46">
        <f t="shared" si="168"/>
        <v>0</v>
      </c>
      <c r="X230" s="46">
        <f t="shared" si="168"/>
        <v>0</v>
      </c>
      <c r="Y230" s="46">
        <f t="shared" si="169"/>
        <v>0</v>
      </c>
      <c r="Z230" s="46">
        <f t="shared" si="169"/>
        <v>0</v>
      </c>
      <c r="AA230" s="46">
        <f t="shared" si="169"/>
        <v>0</v>
      </c>
      <c r="AB230" s="46">
        <f t="shared" si="169"/>
        <v>0</v>
      </c>
      <c r="AC230" s="46">
        <f t="shared" si="169"/>
        <v>0</v>
      </c>
      <c r="AD230" s="46">
        <f t="shared" si="169"/>
        <v>0</v>
      </c>
      <c r="AE230" s="46">
        <f t="shared" si="169"/>
        <v>0</v>
      </c>
      <c r="AF230" s="46">
        <f t="shared" si="169"/>
        <v>0</v>
      </c>
      <c r="AG230" s="46">
        <f t="shared" si="169"/>
        <v>0</v>
      </c>
      <c r="AH230" s="46">
        <f t="shared" si="169"/>
        <v>0</v>
      </c>
      <c r="AI230" s="46">
        <f t="shared" si="169"/>
        <v>0</v>
      </c>
      <c r="AJ230" s="46">
        <f t="shared" si="169"/>
        <v>0</v>
      </c>
      <c r="AK230" s="46">
        <f t="shared" si="169"/>
        <v>0</v>
      </c>
      <c r="AL230" s="46">
        <f t="shared" si="169"/>
        <v>0</v>
      </c>
      <c r="AM230" s="46">
        <f t="shared" si="169"/>
        <v>0</v>
      </c>
      <c r="AN230" s="46">
        <f t="shared" si="169"/>
        <v>0</v>
      </c>
      <c r="AO230" s="46">
        <f t="shared" si="170"/>
        <v>0</v>
      </c>
      <c r="AP230" s="46">
        <f t="shared" si="170"/>
        <v>0</v>
      </c>
      <c r="AQ230" s="46">
        <f t="shared" si="170"/>
        <v>0</v>
      </c>
      <c r="AR230" s="46">
        <f t="shared" si="170"/>
        <v>0</v>
      </c>
      <c r="AS230" s="46">
        <f t="shared" si="170"/>
        <v>0</v>
      </c>
      <c r="AT230" s="46">
        <f t="shared" si="170"/>
        <v>0</v>
      </c>
      <c r="AU230" s="46">
        <f t="shared" si="170"/>
        <v>0</v>
      </c>
      <c r="AV230" s="46">
        <f t="shared" si="170"/>
        <v>0</v>
      </c>
      <c r="AW230" s="46">
        <f t="shared" si="170"/>
        <v>0</v>
      </c>
      <c r="AX230" s="46">
        <f t="shared" si="170"/>
        <v>0</v>
      </c>
      <c r="AY230" s="46">
        <f t="shared" si="170"/>
        <v>0</v>
      </c>
      <c r="AZ230" s="46">
        <f t="shared" si="170"/>
        <v>0</v>
      </c>
      <c r="BA230" s="46">
        <f t="shared" si="170"/>
        <v>0</v>
      </c>
      <c r="BB230" s="46">
        <f t="shared" si="170"/>
        <v>0</v>
      </c>
      <c r="BC230" s="46">
        <f t="shared" si="170"/>
        <v>0</v>
      </c>
      <c r="BD230" s="46">
        <f t="shared" si="170"/>
        <v>0</v>
      </c>
      <c r="BE230" s="46"/>
    </row>
    <row r="231" spans="1:57" ht="14.25" customHeight="1" x14ac:dyDescent="0.3">
      <c r="A231" s="46"/>
      <c r="B231" s="37"/>
      <c r="C231" s="46" t="s">
        <v>166</v>
      </c>
      <c r="D231" s="46"/>
      <c r="E231" s="59">
        <v>2520000</v>
      </c>
      <c r="F231" s="66">
        <f>AG4</f>
        <v>46418</v>
      </c>
      <c r="G231" s="46"/>
      <c r="H231" s="46"/>
      <c r="I231" s="46">
        <f t="shared" si="168"/>
        <v>0</v>
      </c>
      <c r="J231" s="46">
        <f t="shared" si="168"/>
        <v>0</v>
      </c>
      <c r="K231" s="46">
        <f t="shared" si="168"/>
        <v>0</v>
      </c>
      <c r="L231" s="46">
        <f t="shared" si="168"/>
        <v>0</v>
      </c>
      <c r="M231" s="46">
        <f t="shared" si="168"/>
        <v>0</v>
      </c>
      <c r="N231" s="46">
        <f t="shared" si="168"/>
        <v>0</v>
      </c>
      <c r="O231" s="46">
        <f t="shared" si="168"/>
        <v>0</v>
      </c>
      <c r="P231" s="46">
        <f t="shared" si="168"/>
        <v>0</v>
      </c>
      <c r="Q231" s="46">
        <f t="shared" si="168"/>
        <v>0</v>
      </c>
      <c r="R231" s="46">
        <f t="shared" si="168"/>
        <v>0</v>
      </c>
      <c r="S231" s="46">
        <f t="shared" si="168"/>
        <v>0</v>
      </c>
      <c r="T231" s="46">
        <f t="shared" si="168"/>
        <v>0</v>
      </c>
      <c r="U231" s="46">
        <f t="shared" si="168"/>
        <v>0</v>
      </c>
      <c r="V231" s="46">
        <f t="shared" si="168"/>
        <v>0</v>
      </c>
      <c r="W231" s="46">
        <f t="shared" si="168"/>
        <v>0</v>
      </c>
      <c r="X231" s="46">
        <f t="shared" si="168"/>
        <v>0</v>
      </c>
      <c r="Y231" s="46">
        <f t="shared" si="169"/>
        <v>0</v>
      </c>
      <c r="Z231" s="46">
        <f t="shared" si="169"/>
        <v>0</v>
      </c>
      <c r="AA231" s="46">
        <f t="shared" si="169"/>
        <v>0</v>
      </c>
      <c r="AB231" s="46">
        <f t="shared" si="169"/>
        <v>0</v>
      </c>
      <c r="AC231" s="46">
        <f t="shared" si="169"/>
        <v>0</v>
      </c>
      <c r="AD231" s="46">
        <f t="shared" si="169"/>
        <v>0</v>
      </c>
      <c r="AE231" s="46">
        <f t="shared" si="169"/>
        <v>0</v>
      </c>
      <c r="AF231" s="46">
        <f t="shared" si="169"/>
        <v>0</v>
      </c>
      <c r="AG231" s="46">
        <f t="shared" si="169"/>
        <v>2520000</v>
      </c>
      <c r="AH231" s="46">
        <f t="shared" si="169"/>
        <v>0</v>
      </c>
      <c r="AI231" s="46">
        <f t="shared" si="169"/>
        <v>0</v>
      </c>
      <c r="AJ231" s="46">
        <f t="shared" si="169"/>
        <v>0</v>
      </c>
      <c r="AK231" s="46">
        <f t="shared" si="169"/>
        <v>0</v>
      </c>
      <c r="AL231" s="46">
        <f t="shared" si="169"/>
        <v>0</v>
      </c>
      <c r="AM231" s="46">
        <f t="shared" si="169"/>
        <v>0</v>
      </c>
      <c r="AN231" s="46">
        <f t="shared" si="169"/>
        <v>0</v>
      </c>
      <c r="AO231" s="46">
        <f t="shared" si="170"/>
        <v>0</v>
      </c>
      <c r="AP231" s="46">
        <f t="shared" si="170"/>
        <v>0</v>
      </c>
      <c r="AQ231" s="46">
        <f t="shared" si="170"/>
        <v>0</v>
      </c>
      <c r="AR231" s="46">
        <f t="shared" si="170"/>
        <v>0</v>
      </c>
      <c r="AS231" s="46">
        <f t="shared" si="170"/>
        <v>0</v>
      </c>
      <c r="AT231" s="46">
        <f t="shared" si="170"/>
        <v>0</v>
      </c>
      <c r="AU231" s="46">
        <f t="shared" si="170"/>
        <v>0</v>
      </c>
      <c r="AV231" s="46">
        <f t="shared" si="170"/>
        <v>0</v>
      </c>
      <c r="AW231" s="46">
        <f t="shared" si="170"/>
        <v>0</v>
      </c>
      <c r="AX231" s="46">
        <f t="shared" si="170"/>
        <v>0</v>
      </c>
      <c r="AY231" s="46">
        <f t="shared" si="170"/>
        <v>0</v>
      </c>
      <c r="AZ231" s="46">
        <f t="shared" si="170"/>
        <v>0</v>
      </c>
      <c r="BA231" s="46">
        <f t="shared" si="170"/>
        <v>0</v>
      </c>
      <c r="BB231" s="46">
        <f t="shared" si="170"/>
        <v>0</v>
      </c>
      <c r="BC231" s="46">
        <f t="shared" si="170"/>
        <v>0</v>
      </c>
      <c r="BD231" s="46">
        <f t="shared" si="170"/>
        <v>0</v>
      </c>
      <c r="BE231" s="46"/>
    </row>
    <row r="232" spans="1:57" ht="14.25" customHeight="1" x14ac:dyDescent="0.3">
      <c r="A232" s="46"/>
      <c r="B232" s="37"/>
      <c r="C232" s="46" t="s">
        <v>167</v>
      </c>
      <c r="D232" s="46"/>
      <c r="E232" s="59">
        <f>50000*23</f>
        <v>1150000</v>
      </c>
      <c r="F232" s="66">
        <f>I4</f>
        <v>45688</v>
      </c>
      <c r="G232" s="46"/>
      <c r="H232" s="46"/>
      <c r="I232" s="46">
        <f>E232/2</f>
        <v>575000</v>
      </c>
      <c r="J232" s="46">
        <f t="shared" si="168"/>
        <v>0</v>
      </c>
      <c r="K232" s="46">
        <f t="shared" si="168"/>
        <v>0</v>
      </c>
      <c r="L232" s="46">
        <f t="shared" si="168"/>
        <v>0</v>
      </c>
      <c r="M232" s="46">
        <f t="shared" si="168"/>
        <v>0</v>
      </c>
      <c r="N232" s="46">
        <f t="shared" si="168"/>
        <v>0</v>
      </c>
      <c r="O232" s="46">
        <f>E232/2</f>
        <v>575000</v>
      </c>
      <c r="P232" s="46">
        <f t="shared" si="168"/>
        <v>0</v>
      </c>
      <c r="Q232" s="46">
        <f t="shared" si="168"/>
        <v>0</v>
      </c>
      <c r="R232" s="46">
        <f t="shared" si="168"/>
        <v>0</v>
      </c>
      <c r="S232" s="46">
        <f t="shared" si="168"/>
        <v>0</v>
      </c>
      <c r="T232" s="46">
        <f t="shared" si="168"/>
        <v>0</v>
      </c>
      <c r="U232" s="46">
        <f t="shared" si="168"/>
        <v>0</v>
      </c>
      <c r="V232" s="46">
        <f t="shared" si="168"/>
        <v>0</v>
      </c>
      <c r="W232" s="46">
        <f t="shared" si="168"/>
        <v>0</v>
      </c>
      <c r="X232" s="46">
        <f t="shared" si="168"/>
        <v>0</v>
      </c>
      <c r="Y232" s="46">
        <f t="shared" si="169"/>
        <v>0</v>
      </c>
      <c r="Z232" s="46">
        <f t="shared" si="169"/>
        <v>0</v>
      </c>
      <c r="AA232" s="46">
        <f t="shared" si="169"/>
        <v>0</v>
      </c>
      <c r="AB232" s="46">
        <f t="shared" si="169"/>
        <v>0</v>
      </c>
      <c r="AC232" s="46">
        <f t="shared" si="169"/>
        <v>0</v>
      </c>
      <c r="AD232" s="46">
        <f t="shared" si="169"/>
        <v>0</v>
      </c>
      <c r="AE232" s="46">
        <f t="shared" si="169"/>
        <v>0</v>
      </c>
      <c r="AF232" s="46">
        <f t="shared" si="169"/>
        <v>0</v>
      </c>
      <c r="AG232" s="46">
        <f t="shared" si="169"/>
        <v>0</v>
      </c>
      <c r="AH232" s="46">
        <f t="shared" si="169"/>
        <v>0</v>
      </c>
      <c r="AI232" s="46">
        <f t="shared" si="169"/>
        <v>0</v>
      </c>
      <c r="AJ232" s="46">
        <f t="shared" si="169"/>
        <v>0</v>
      </c>
      <c r="AK232" s="46">
        <f t="shared" si="169"/>
        <v>0</v>
      </c>
      <c r="AL232" s="46">
        <f t="shared" si="169"/>
        <v>0</v>
      </c>
      <c r="AM232" s="46">
        <f t="shared" si="169"/>
        <v>0</v>
      </c>
      <c r="AN232" s="46">
        <f t="shared" si="169"/>
        <v>0</v>
      </c>
      <c r="AO232" s="46">
        <f t="shared" si="170"/>
        <v>0</v>
      </c>
      <c r="AP232" s="46">
        <f t="shared" si="170"/>
        <v>0</v>
      </c>
      <c r="AQ232" s="46">
        <f t="shared" si="170"/>
        <v>0</v>
      </c>
      <c r="AR232" s="46">
        <f t="shared" si="170"/>
        <v>0</v>
      </c>
      <c r="AS232" s="46">
        <f t="shared" si="170"/>
        <v>0</v>
      </c>
      <c r="AT232" s="46">
        <f t="shared" si="170"/>
        <v>0</v>
      </c>
      <c r="AU232" s="46">
        <f t="shared" si="170"/>
        <v>0</v>
      </c>
      <c r="AV232" s="46">
        <f t="shared" si="170"/>
        <v>0</v>
      </c>
      <c r="AW232" s="46">
        <f t="shared" si="170"/>
        <v>0</v>
      </c>
      <c r="AX232" s="46">
        <f t="shared" si="170"/>
        <v>0</v>
      </c>
      <c r="AY232" s="46">
        <f t="shared" si="170"/>
        <v>0</v>
      </c>
      <c r="AZ232" s="46">
        <f t="shared" si="170"/>
        <v>0</v>
      </c>
      <c r="BA232" s="46">
        <f t="shared" si="170"/>
        <v>0</v>
      </c>
      <c r="BB232" s="46">
        <f t="shared" si="170"/>
        <v>0</v>
      </c>
      <c r="BC232" s="46">
        <f t="shared" si="170"/>
        <v>0</v>
      </c>
      <c r="BD232" s="46">
        <f t="shared" si="170"/>
        <v>0</v>
      </c>
      <c r="BE232" s="46"/>
    </row>
    <row r="233" spans="1:57" ht="14.25" customHeight="1" x14ac:dyDescent="0.3">
      <c r="A233" s="46"/>
      <c r="B233" s="37"/>
      <c r="C233" s="46" t="s">
        <v>168</v>
      </c>
      <c r="D233" s="46"/>
      <c r="E233" s="59">
        <v>0</v>
      </c>
      <c r="F233" s="66">
        <v>0</v>
      </c>
      <c r="G233" s="46"/>
      <c r="H233" s="46"/>
      <c r="I233" s="46">
        <v>65059</v>
      </c>
      <c r="J233" s="46">
        <v>31650</v>
      </c>
      <c r="K233" s="46">
        <v>60858</v>
      </c>
      <c r="L233" s="46">
        <v>23385</v>
      </c>
      <c r="M233" s="46">
        <f t="shared" si="168"/>
        <v>0</v>
      </c>
      <c r="N233" s="46">
        <f t="shared" si="168"/>
        <v>0</v>
      </c>
      <c r="O233" s="46">
        <f t="shared" si="168"/>
        <v>0</v>
      </c>
      <c r="P233" s="46">
        <f>5000+65000+65000+70000</f>
        <v>205000</v>
      </c>
      <c r="Q233" s="46">
        <f t="shared" si="168"/>
        <v>0</v>
      </c>
      <c r="R233" s="46">
        <f t="shared" si="168"/>
        <v>0</v>
      </c>
      <c r="S233" s="46">
        <f t="shared" si="168"/>
        <v>0</v>
      </c>
      <c r="T233" s="46">
        <f t="shared" si="168"/>
        <v>0</v>
      </c>
      <c r="U233" s="46">
        <f t="shared" si="168"/>
        <v>0</v>
      </c>
      <c r="V233" s="46">
        <f t="shared" si="168"/>
        <v>0</v>
      </c>
      <c r="W233" s="46">
        <f t="shared" si="168"/>
        <v>0</v>
      </c>
      <c r="X233" s="46">
        <f t="shared" si="168"/>
        <v>0</v>
      </c>
      <c r="Y233" s="46">
        <f t="shared" si="169"/>
        <v>0</v>
      </c>
      <c r="Z233" s="46">
        <f t="shared" si="169"/>
        <v>0</v>
      </c>
      <c r="AA233" s="46">
        <f t="shared" si="169"/>
        <v>0</v>
      </c>
      <c r="AB233" s="46">
        <f t="shared" si="169"/>
        <v>0</v>
      </c>
      <c r="AC233" s="46">
        <f t="shared" si="169"/>
        <v>0</v>
      </c>
      <c r="AD233" s="46">
        <f t="shared" si="169"/>
        <v>0</v>
      </c>
      <c r="AE233" s="46">
        <f t="shared" si="169"/>
        <v>0</v>
      </c>
      <c r="AF233" s="46">
        <f t="shared" si="169"/>
        <v>0</v>
      </c>
      <c r="AG233" s="46">
        <f t="shared" si="169"/>
        <v>0</v>
      </c>
      <c r="AH233" s="46">
        <f t="shared" si="169"/>
        <v>0</v>
      </c>
      <c r="AI233" s="46">
        <f t="shared" si="169"/>
        <v>0</v>
      </c>
      <c r="AJ233" s="46">
        <f t="shared" si="169"/>
        <v>0</v>
      </c>
      <c r="AK233" s="46">
        <f t="shared" si="169"/>
        <v>0</v>
      </c>
      <c r="AL233" s="46">
        <f t="shared" si="169"/>
        <v>0</v>
      </c>
      <c r="AM233" s="46">
        <f t="shared" si="169"/>
        <v>0</v>
      </c>
      <c r="AN233" s="46">
        <f t="shared" si="169"/>
        <v>0</v>
      </c>
      <c r="AO233" s="46">
        <f t="shared" si="170"/>
        <v>0</v>
      </c>
      <c r="AP233" s="46">
        <f t="shared" si="170"/>
        <v>0</v>
      </c>
      <c r="AQ233" s="46">
        <f t="shared" si="170"/>
        <v>0</v>
      </c>
      <c r="AR233" s="46">
        <f t="shared" si="170"/>
        <v>0</v>
      </c>
      <c r="AS233" s="46">
        <f t="shared" si="170"/>
        <v>0</v>
      </c>
      <c r="AT233" s="46">
        <f t="shared" si="170"/>
        <v>0</v>
      </c>
      <c r="AU233" s="46">
        <f t="shared" si="170"/>
        <v>0</v>
      </c>
      <c r="AV233" s="46">
        <f t="shared" si="170"/>
        <v>0</v>
      </c>
      <c r="AW233" s="46">
        <f t="shared" si="170"/>
        <v>0</v>
      </c>
      <c r="AX233" s="46">
        <f t="shared" si="170"/>
        <v>0</v>
      </c>
      <c r="AY233" s="46">
        <f t="shared" si="170"/>
        <v>0</v>
      </c>
      <c r="AZ233" s="46">
        <f t="shared" si="170"/>
        <v>0</v>
      </c>
      <c r="BA233" s="46">
        <f t="shared" si="170"/>
        <v>0</v>
      </c>
      <c r="BB233" s="46">
        <f t="shared" si="170"/>
        <v>0</v>
      </c>
      <c r="BC233" s="46">
        <f t="shared" si="170"/>
        <v>0</v>
      </c>
      <c r="BD233" s="46">
        <f t="shared" si="170"/>
        <v>0</v>
      </c>
      <c r="BE233" s="46"/>
    </row>
    <row r="234" spans="1:57" ht="14.25" customHeight="1" x14ac:dyDescent="0.3">
      <c r="A234" s="46"/>
      <c r="B234" s="37"/>
      <c r="C234" s="46" t="s">
        <v>169</v>
      </c>
      <c r="D234" s="46"/>
      <c r="E234" s="59">
        <v>2140000</v>
      </c>
      <c r="F234" s="66">
        <f>I4</f>
        <v>45688</v>
      </c>
      <c r="G234" s="46"/>
      <c r="H234" s="46"/>
      <c r="I234" s="46">
        <f t="shared" si="168"/>
        <v>2140000</v>
      </c>
      <c r="J234" s="46">
        <f t="shared" si="168"/>
        <v>0</v>
      </c>
      <c r="K234" s="46">
        <f t="shared" si="168"/>
        <v>0</v>
      </c>
      <c r="L234" s="46">
        <f t="shared" si="168"/>
        <v>0</v>
      </c>
      <c r="M234" s="46">
        <f t="shared" si="168"/>
        <v>0</v>
      </c>
      <c r="N234" s="46">
        <f t="shared" si="168"/>
        <v>0</v>
      </c>
      <c r="O234" s="46">
        <f t="shared" si="168"/>
        <v>0</v>
      </c>
      <c r="P234" s="46">
        <f t="shared" si="168"/>
        <v>0</v>
      </c>
      <c r="Q234" s="46">
        <f t="shared" si="168"/>
        <v>0</v>
      </c>
      <c r="R234" s="46">
        <f t="shared" si="168"/>
        <v>0</v>
      </c>
      <c r="S234" s="46">
        <f t="shared" si="168"/>
        <v>0</v>
      </c>
      <c r="T234" s="46">
        <f t="shared" si="168"/>
        <v>0</v>
      </c>
      <c r="U234" s="46">
        <f t="shared" si="168"/>
        <v>0</v>
      </c>
      <c r="V234" s="46">
        <f t="shared" si="168"/>
        <v>0</v>
      </c>
      <c r="W234" s="46">
        <f t="shared" si="168"/>
        <v>0</v>
      </c>
      <c r="X234" s="46">
        <f t="shared" si="168"/>
        <v>0</v>
      </c>
      <c r="Y234" s="46">
        <f t="shared" si="169"/>
        <v>0</v>
      </c>
      <c r="Z234" s="46">
        <f t="shared" si="169"/>
        <v>0</v>
      </c>
      <c r="AA234" s="46">
        <f t="shared" si="169"/>
        <v>0</v>
      </c>
      <c r="AB234" s="46">
        <f t="shared" si="169"/>
        <v>0</v>
      </c>
      <c r="AC234" s="46">
        <f t="shared" si="169"/>
        <v>0</v>
      </c>
      <c r="AD234" s="46">
        <f t="shared" si="169"/>
        <v>0</v>
      </c>
      <c r="AE234" s="46">
        <f t="shared" si="169"/>
        <v>0</v>
      </c>
      <c r="AF234" s="46">
        <f t="shared" si="169"/>
        <v>0</v>
      </c>
      <c r="AG234" s="46">
        <f t="shared" si="169"/>
        <v>0</v>
      </c>
      <c r="AH234" s="46">
        <f t="shared" si="169"/>
        <v>0</v>
      </c>
      <c r="AI234" s="46">
        <f t="shared" si="169"/>
        <v>0</v>
      </c>
      <c r="AJ234" s="46">
        <f t="shared" si="169"/>
        <v>0</v>
      </c>
      <c r="AK234" s="46">
        <f t="shared" si="169"/>
        <v>0</v>
      </c>
      <c r="AL234" s="46">
        <f t="shared" si="169"/>
        <v>0</v>
      </c>
      <c r="AM234" s="46">
        <f t="shared" si="169"/>
        <v>0</v>
      </c>
      <c r="AN234" s="46">
        <f t="shared" si="169"/>
        <v>0</v>
      </c>
      <c r="AO234" s="46">
        <f t="shared" si="170"/>
        <v>0</v>
      </c>
      <c r="AP234" s="46">
        <f t="shared" si="170"/>
        <v>0</v>
      </c>
      <c r="AQ234" s="46">
        <f t="shared" si="170"/>
        <v>0</v>
      </c>
      <c r="AR234" s="46">
        <f t="shared" si="170"/>
        <v>0</v>
      </c>
      <c r="AS234" s="46">
        <f t="shared" si="170"/>
        <v>0</v>
      </c>
      <c r="AT234" s="46">
        <f t="shared" si="170"/>
        <v>0</v>
      </c>
      <c r="AU234" s="46">
        <f t="shared" si="170"/>
        <v>0</v>
      </c>
      <c r="AV234" s="46">
        <f t="shared" si="170"/>
        <v>0</v>
      </c>
      <c r="AW234" s="46">
        <f t="shared" si="170"/>
        <v>0</v>
      </c>
      <c r="AX234" s="46">
        <f t="shared" si="170"/>
        <v>0</v>
      </c>
      <c r="AY234" s="46">
        <f t="shared" si="170"/>
        <v>0</v>
      </c>
      <c r="AZ234" s="46">
        <f t="shared" si="170"/>
        <v>0</v>
      </c>
      <c r="BA234" s="46">
        <f t="shared" si="170"/>
        <v>0</v>
      </c>
      <c r="BB234" s="46">
        <f t="shared" si="170"/>
        <v>0</v>
      </c>
      <c r="BC234" s="46">
        <f t="shared" si="170"/>
        <v>0</v>
      </c>
      <c r="BD234" s="46">
        <f t="shared" si="170"/>
        <v>0</v>
      </c>
      <c r="BE234" s="46"/>
    </row>
    <row r="235" spans="1:57" ht="14.25" customHeight="1" x14ac:dyDescent="0.3">
      <c r="A235" s="46"/>
      <c r="B235" s="37"/>
      <c r="C235" s="46" t="s">
        <v>239</v>
      </c>
      <c r="D235" s="46"/>
      <c r="E235" s="59">
        <v>1353663</v>
      </c>
      <c r="F235" s="66">
        <f>I4</f>
        <v>45688</v>
      </c>
      <c r="G235" s="46"/>
      <c r="H235" s="46"/>
      <c r="I235" s="46">
        <f t="shared" si="168"/>
        <v>1353663</v>
      </c>
      <c r="J235" s="46">
        <f t="shared" si="168"/>
        <v>0</v>
      </c>
      <c r="K235" s="46">
        <f t="shared" si="168"/>
        <v>0</v>
      </c>
      <c r="L235" s="46">
        <f t="shared" si="168"/>
        <v>0</v>
      </c>
      <c r="M235" s="46">
        <f t="shared" si="168"/>
        <v>0</v>
      </c>
      <c r="N235" s="46">
        <f t="shared" si="168"/>
        <v>0</v>
      </c>
      <c r="O235" s="46">
        <f t="shared" si="168"/>
        <v>0</v>
      </c>
      <c r="P235" s="46">
        <f t="shared" si="168"/>
        <v>0</v>
      </c>
      <c r="Q235" s="46">
        <f t="shared" si="168"/>
        <v>0</v>
      </c>
      <c r="R235" s="46">
        <f t="shared" si="168"/>
        <v>0</v>
      </c>
      <c r="S235" s="46">
        <f t="shared" si="168"/>
        <v>0</v>
      </c>
      <c r="T235" s="46">
        <f t="shared" si="168"/>
        <v>0</v>
      </c>
      <c r="U235" s="46">
        <f t="shared" si="168"/>
        <v>0</v>
      </c>
      <c r="V235" s="46">
        <f t="shared" si="168"/>
        <v>0</v>
      </c>
      <c r="W235" s="46">
        <f t="shared" si="168"/>
        <v>0</v>
      </c>
      <c r="X235" s="46">
        <f t="shared" si="168"/>
        <v>0</v>
      </c>
      <c r="Y235" s="46">
        <f t="shared" si="169"/>
        <v>0</v>
      </c>
      <c r="Z235" s="46">
        <f t="shared" si="169"/>
        <v>0</v>
      </c>
      <c r="AA235" s="46">
        <f t="shared" si="169"/>
        <v>0</v>
      </c>
      <c r="AB235" s="46">
        <f t="shared" si="169"/>
        <v>0</v>
      </c>
      <c r="AC235" s="46">
        <f t="shared" si="169"/>
        <v>0</v>
      </c>
      <c r="AD235" s="46">
        <f t="shared" si="169"/>
        <v>0</v>
      </c>
      <c r="AE235" s="46">
        <f t="shared" si="169"/>
        <v>0</v>
      </c>
      <c r="AF235" s="46">
        <f t="shared" si="169"/>
        <v>0</v>
      </c>
      <c r="AG235" s="46">
        <f t="shared" si="169"/>
        <v>0</v>
      </c>
      <c r="AH235" s="46">
        <f t="shared" si="169"/>
        <v>0</v>
      </c>
      <c r="AI235" s="46">
        <f t="shared" si="169"/>
        <v>0</v>
      </c>
      <c r="AJ235" s="46">
        <f t="shared" si="169"/>
        <v>0</v>
      </c>
      <c r="AK235" s="46">
        <f t="shared" si="169"/>
        <v>0</v>
      </c>
      <c r="AL235" s="46">
        <f t="shared" si="169"/>
        <v>0</v>
      </c>
      <c r="AM235" s="46">
        <f t="shared" si="169"/>
        <v>0</v>
      </c>
      <c r="AN235" s="46">
        <f t="shared" si="169"/>
        <v>0</v>
      </c>
      <c r="AO235" s="46">
        <f t="shared" si="170"/>
        <v>0</v>
      </c>
      <c r="AP235" s="46">
        <f t="shared" si="170"/>
        <v>0</v>
      </c>
      <c r="AQ235" s="46">
        <f t="shared" si="170"/>
        <v>0</v>
      </c>
      <c r="AR235" s="46">
        <f t="shared" si="170"/>
        <v>0</v>
      </c>
      <c r="AS235" s="46">
        <f t="shared" si="170"/>
        <v>0</v>
      </c>
      <c r="AT235" s="46">
        <f t="shared" si="170"/>
        <v>0</v>
      </c>
      <c r="AU235" s="46">
        <f t="shared" si="170"/>
        <v>0</v>
      </c>
      <c r="AV235" s="46">
        <f t="shared" si="170"/>
        <v>0</v>
      </c>
      <c r="AW235" s="46">
        <f t="shared" si="170"/>
        <v>0</v>
      </c>
      <c r="AX235" s="46">
        <f t="shared" si="170"/>
        <v>0</v>
      </c>
      <c r="AY235" s="46">
        <f t="shared" si="170"/>
        <v>0</v>
      </c>
      <c r="AZ235" s="46">
        <f t="shared" si="170"/>
        <v>0</v>
      </c>
      <c r="BA235" s="46">
        <f t="shared" si="170"/>
        <v>0</v>
      </c>
      <c r="BB235" s="46">
        <f t="shared" si="170"/>
        <v>0</v>
      </c>
      <c r="BC235" s="46">
        <f t="shared" si="170"/>
        <v>0</v>
      </c>
      <c r="BD235" s="46">
        <f t="shared" si="170"/>
        <v>0</v>
      </c>
      <c r="BE235" s="46"/>
    </row>
    <row r="236" spans="1:57" ht="14.25" customHeight="1" x14ac:dyDescent="0.3">
      <c r="A236" s="46"/>
      <c r="B236" s="37"/>
      <c r="C236" s="46" t="s">
        <v>240</v>
      </c>
      <c r="D236" s="46"/>
      <c r="E236" s="59">
        <v>54523</v>
      </c>
      <c r="F236" s="66">
        <f>M4</f>
        <v>45808</v>
      </c>
      <c r="G236" s="46"/>
      <c r="H236" s="46"/>
      <c r="I236" s="46">
        <f t="shared" si="168"/>
        <v>0</v>
      </c>
      <c r="J236" s="46">
        <f t="shared" si="168"/>
        <v>0</v>
      </c>
      <c r="K236" s="46">
        <f t="shared" si="168"/>
        <v>0</v>
      </c>
      <c r="L236" s="46">
        <f t="shared" si="168"/>
        <v>0</v>
      </c>
      <c r="M236" s="46">
        <f t="shared" si="168"/>
        <v>54523</v>
      </c>
      <c r="N236" s="46">
        <f t="shared" si="168"/>
        <v>0</v>
      </c>
      <c r="O236" s="46">
        <f t="shared" si="168"/>
        <v>0</v>
      </c>
      <c r="P236" s="46">
        <f t="shared" si="168"/>
        <v>0</v>
      </c>
      <c r="Q236" s="46">
        <f t="shared" si="168"/>
        <v>0</v>
      </c>
      <c r="R236" s="46">
        <f t="shared" si="168"/>
        <v>0</v>
      </c>
      <c r="S236" s="46">
        <f t="shared" si="168"/>
        <v>0</v>
      </c>
      <c r="T236" s="46">
        <f t="shared" si="168"/>
        <v>0</v>
      </c>
      <c r="U236" s="46">
        <f t="shared" si="168"/>
        <v>0</v>
      </c>
      <c r="V236" s="46">
        <f t="shared" si="168"/>
        <v>0</v>
      </c>
      <c r="W236" s="46">
        <f t="shared" si="168"/>
        <v>0</v>
      </c>
      <c r="X236" s="46">
        <f t="shared" si="168"/>
        <v>0</v>
      </c>
      <c r="Y236" s="46">
        <f t="shared" si="169"/>
        <v>0</v>
      </c>
      <c r="Z236" s="46">
        <f t="shared" si="169"/>
        <v>0</v>
      </c>
      <c r="AA236" s="46">
        <f t="shared" si="169"/>
        <v>0</v>
      </c>
      <c r="AB236" s="46">
        <f t="shared" si="169"/>
        <v>0</v>
      </c>
      <c r="AC236" s="46">
        <f t="shared" si="169"/>
        <v>0</v>
      </c>
      <c r="AD236" s="46">
        <f t="shared" si="169"/>
        <v>0</v>
      </c>
      <c r="AE236" s="46">
        <f t="shared" si="169"/>
        <v>0</v>
      </c>
      <c r="AF236" s="46">
        <f t="shared" si="169"/>
        <v>0</v>
      </c>
      <c r="AG236" s="46">
        <f t="shared" si="169"/>
        <v>0</v>
      </c>
      <c r="AH236" s="46">
        <f t="shared" si="169"/>
        <v>0</v>
      </c>
      <c r="AI236" s="46">
        <f t="shared" si="169"/>
        <v>0</v>
      </c>
      <c r="AJ236" s="46">
        <f t="shared" si="169"/>
        <v>0</v>
      </c>
      <c r="AK236" s="46">
        <f t="shared" si="169"/>
        <v>0</v>
      </c>
      <c r="AL236" s="46">
        <f t="shared" si="169"/>
        <v>0</v>
      </c>
      <c r="AM236" s="46">
        <f t="shared" si="169"/>
        <v>0</v>
      </c>
      <c r="AN236" s="46">
        <f t="shared" si="169"/>
        <v>0</v>
      </c>
      <c r="AO236" s="46">
        <f t="shared" si="170"/>
        <v>0</v>
      </c>
      <c r="AP236" s="46">
        <f t="shared" si="170"/>
        <v>0</v>
      </c>
      <c r="AQ236" s="46">
        <f t="shared" si="170"/>
        <v>0</v>
      </c>
      <c r="AR236" s="46">
        <f t="shared" si="170"/>
        <v>0</v>
      </c>
      <c r="AS236" s="46">
        <f t="shared" si="170"/>
        <v>0</v>
      </c>
      <c r="AT236" s="46">
        <f t="shared" si="170"/>
        <v>0</v>
      </c>
      <c r="AU236" s="46">
        <f t="shared" si="170"/>
        <v>0</v>
      </c>
      <c r="AV236" s="46">
        <f t="shared" si="170"/>
        <v>0</v>
      </c>
      <c r="AW236" s="46">
        <f t="shared" si="170"/>
        <v>0</v>
      </c>
      <c r="AX236" s="46">
        <f t="shared" si="170"/>
        <v>0</v>
      </c>
      <c r="AY236" s="46">
        <f t="shared" si="170"/>
        <v>0</v>
      </c>
      <c r="AZ236" s="46">
        <f t="shared" si="170"/>
        <v>0</v>
      </c>
      <c r="BA236" s="46">
        <f t="shared" si="170"/>
        <v>0</v>
      </c>
      <c r="BB236" s="46">
        <f t="shared" si="170"/>
        <v>0</v>
      </c>
      <c r="BC236" s="46">
        <f t="shared" si="170"/>
        <v>0</v>
      </c>
      <c r="BD236" s="46">
        <f t="shared" si="170"/>
        <v>0</v>
      </c>
      <c r="BE236" s="46"/>
    </row>
    <row r="237" spans="1:57" ht="14.25" customHeight="1" x14ac:dyDescent="0.3">
      <c r="A237" s="46"/>
      <c r="B237" s="37"/>
      <c r="C237" s="46" t="s">
        <v>241</v>
      </c>
      <c r="D237" s="46"/>
      <c r="E237" s="59">
        <f>56722+37453</f>
        <v>94175</v>
      </c>
      <c r="F237" s="66">
        <f>M4</f>
        <v>45808</v>
      </c>
      <c r="G237" s="46"/>
      <c r="H237" s="46"/>
      <c r="I237" s="46">
        <f t="shared" si="168"/>
        <v>0</v>
      </c>
      <c r="J237" s="46">
        <f t="shared" si="168"/>
        <v>0</v>
      </c>
      <c r="K237" s="46">
        <f t="shared" si="168"/>
        <v>0</v>
      </c>
      <c r="L237" s="46">
        <f t="shared" si="168"/>
        <v>0</v>
      </c>
      <c r="M237" s="46">
        <f t="shared" si="168"/>
        <v>94175</v>
      </c>
      <c r="N237" s="46">
        <f t="shared" si="168"/>
        <v>0</v>
      </c>
      <c r="O237" s="46">
        <f t="shared" si="168"/>
        <v>0</v>
      </c>
      <c r="P237" s="46">
        <f t="shared" si="168"/>
        <v>0</v>
      </c>
      <c r="Q237" s="46">
        <f t="shared" si="168"/>
        <v>0</v>
      </c>
      <c r="R237" s="46">
        <f t="shared" si="168"/>
        <v>0</v>
      </c>
      <c r="S237" s="46">
        <f t="shared" si="168"/>
        <v>0</v>
      </c>
      <c r="T237" s="46">
        <f t="shared" si="168"/>
        <v>0</v>
      </c>
      <c r="U237" s="46">
        <f t="shared" si="168"/>
        <v>0</v>
      </c>
      <c r="V237" s="46">
        <f t="shared" si="168"/>
        <v>0</v>
      </c>
      <c r="W237" s="46">
        <f t="shared" si="168"/>
        <v>0</v>
      </c>
      <c r="X237" s="46">
        <f t="shared" si="168"/>
        <v>0</v>
      </c>
      <c r="Y237" s="46">
        <f t="shared" si="169"/>
        <v>0</v>
      </c>
      <c r="Z237" s="46">
        <f t="shared" si="169"/>
        <v>0</v>
      </c>
      <c r="AA237" s="46">
        <f t="shared" si="169"/>
        <v>0</v>
      </c>
      <c r="AB237" s="46">
        <f t="shared" si="169"/>
        <v>0</v>
      </c>
      <c r="AC237" s="46">
        <f t="shared" si="169"/>
        <v>0</v>
      </c>
      <c r="AD237" s="46">
        <f t="shared" si="169"/>
        <v>0</v>
      </c>
      <c r="AE237" s="46">
        <f t="shared" si="169"/>
        <v>0</v>
      </c>
      <c r="AF237" s="46">
        <f t="shared" si="169"/>
        <v>0</v>
      </c>
      <c r="AG237" s="46">
        <f t="shared" si="169"/>
        <v>0</v>
      </c>
      <c r="AH237" s="46">
        <f t="shared" si="169"/>
        <v>0</v>
      </c>
      <c r="AI237" s="46">
        <f t="shared" si="169"/>
        <v>0</v>
      </c>
      <c r="AJ237" s="46">
        <f t="shared" si="169"/>
        <v>0</v>
      </c>
      <c r="AK237" s="46">
        <f t="shared" si="169"/>
        <v>0</v>
      </c>
      <c r="AL237" s="46">
        <f t="shared" si="169"/>
        <v>0</v>
      </c>
      <c r="AM237" s="46">
        <f t="shared" si="169"/>
        <v>0</v>
      </c>
      <c r="AN237" s="46">
        <f t="shared" si="169"/>
        <v>0</v>
      </c>
      <c r="AO237" s="46">
        <f t="shared" si="170"/>
        <v>0</v>
      </c>
      <c r="AP237" s="46">
        <f t="shared" si="170"/>
        <v>0</v>
      </c>
      <c r="AQ237" s="46">
        <f t="shared" si="170"/>
        <v>0</v>
      </c>
      <c r="AR237" s="46">
        <f t="shared" si="170"/>
        <v>0</v>
      </c>
      <c r="AS237" s="46">
        <f t="shared" si="170"/>
        <v>0</v>
      </c>
      <c r="AT237" s="46">
        <f t="shared" si="170"/>
        <v>0</v>
      </c>
      <c r="AU237" s="46">
        <f t="shared" si="170"/>
        <v>0</v>
      </c>
      <c r="AV237" s="46">
        <f t="shared" si="170"/>
        <v>0</v>
      </c>
      <c r="AW237" s="46">
        <f t="shared" si="170"/>
        <v>0</v>
      </c>
      <c r="AX237" s="46">
        <f t="shared" si="170"/>
        <v>0</v>
      </c>
      <c r="AY237" s="46">
        <f t="shared" si="170"/>
        <v>0</v>
      </c>
      <c r="AZ237" s="46">
        <f t="shared" si="170"/>
        <v>0</v>
      </c>
      <c r="BA237" s="46">
        <f t="shared" si="170"/>
        <v>0</v>
      </c>
      <c r="BB237" s="46">
        <f t="shared" si="170"/>
        <v>0</v>
      </c>
      <c r="BC237" s="46">
        <f t="shared" si="170"/>
        <v>0</v>
      </c>
      <c r="BD237" s="46">
        <f t="shared" si="170"/>
        <v>0</v>
      </c>
      <c r="BE237" s="46"/>
    </row>
    <row r="238" spans="1:57" ht="14.25" customHeight="1" x14ac:dyDescent="0.3">
      <c r="A238" s="46"/>
      <c r="B238" s="37"/>
      <c r="C238" s="46" t="s">
        <v>242</v>
      </c>
      <c r="D238" s="46"/>
      <c r="E238" s="59">
        <v>45000</v>
      </c>
      <c r="F238" s="66">
        <f>S4</f>
        <v>45991</v>
      </c>
      <c r="G238" s="46"/>
      <c r="H238" s="46"/>
      <c r="I238" s="46">
        <f t="shared" si="168"/>
        <v>0</v>
      </c>
      <c r="J238" s="46">
        <f t="shared" si="168"/>
        <v>0</v>
      </c>
      <c r="K238" s="46">
        <f t="shared" si="168"/>
        <v>0</v>
      </c>
      <c r="L238" s="46">
        <f t="shared" si="168"/>
        <v>0</v>
      </c>
      <c r="M238" s="46">
        <f t="shared" si="168"/>
        <v>0</v>
      </c>
      <c r="N238" s="46">
        <f t="shared" si="168"/>
        <v>0</v>
      </c>
      <c r="O238" s="46">
        <f t="shared" si="168"/>
        <v>0</v>
      </c>
      <c r="P238" s="46">
        <f t="shared" si="168"/>
        <v>0</v>
      </c>
      <c r="Q238" s="46">
        <f t="shared" si="168"/>
        <v>0</v>
      </c>
      <c r="R238" s="46">
        <f t="shared" si="168"/>
        <v>0</v>
      </c>
      <c r="S238" s="46">
        <f t="shared" si="168"/>
        <v>45000</v>
      </c>
      <c r="T238" s="46">
        <f t="shared" si="168"/>
        <v>0</v>
      </c>
      <c r="U238" s="46">
        <f t="shared" si="168"/>
        <v>0</v>
      </c>
      <c r="V238" s="46">
        <f t="shared" si="168"/>
        <v>0</v>
      </c>
      <c r="W238" s="46">
        <f t="shared" si="168"/>
        <v>0</v>
      </c>
      <c r="X238" s="46">
        <f t="shared" si="168"/>
        <v>0</v>
      </c>
      <c r="Y238" s="46">
        <f t="shared" si="169"/>
        <v>0</v>
      </c>
      <c r="Z238" s="46">
        <f t="shared" si="169"/>
        <v>0</v>
      </c>
      <c r="AA238" s="46">
        <f t="shared" si="169"/>
        <v>0</v>
      </c>
      <c r="AB238" s="46">
        <f t="shared" si="169"/>
        <v>0</v>
      </c>
      <c r="AC238" s="46">
        <f t="shared" si="169"/>
        <v>0</v>
      </c>
      <c r="AD238" s="46">
        <f t="shared" si="169"/>
        <v>0</v>
      </c>
      <c r="AE238" s="46">
        <f t="shared" si="169"/>
        <v>0</v>
      </c>
      <c r="AF238" s="46">
        <f t="shared" si="169"/>
        <v>0</v>
      </c>
      <c r="AG238" s="46">
        <f t="shared" si="169"/>
        <v>0</v>
      </c>
      <c r="AH238" s="46">
        <f t="shared" si="169"/>
        <v>0</v>
      </c>
      <c r="AI238" s="46">
        <f t="shared" si="169"/>
        <v>0</v>
      </c>
      <c r="AJ238" s="46">
        <f t="shared" si="169"/>
        <v>0</v>
      </c>
      <c r="AK238" s="46">
        <f t="shared" si="169"/>
        <v>0</v>
      </c>
      <c r="AL238" s="46">
        <f t="shared" si="169"/>
        <v>0</v>
      </c>
      <c r="AM238" s="46">
        <f t="shared" si="169"/>
        <v>0</v>
      </c>
      <c r="AN238" s="46">
        <f t="shared" si="169"/>
        <v>0</v>
      </c>
      <c r="AO238" s="46">
        <f t="shared" si="170"/>
        <v>0</v>
      </c>
      <c r="AP238" s="46">
        <f t="shared" si="170"/>
        <v>0</v>
      </c>
      <c r="AQ238" s="46">
        <f t="shared" si="170"/>
        <v>0</v>
      </c>
      <c r="AR238" s="46">
        <f t="shared" si="170"/>
        <v>0</v>
      </c>
      <c r="AS238" s="46">
        <f t="shared" si="170"/>
        <v>0</v>
      </c>
      <c r="AT238" s="46">
        <f t="shared" si="170"/>
        <v>0</v>
      </c>
      <c r="AU238" s="46">
        <f t="shared" si="170"/>
        <v>0</v>
      </c>
      <c r="AV238" s="46">
        <f t="shared" si="170"/>
        <v>0</v>
      </c>
      <c r="AW238" s="46">
        <f t="shared" si="170"/>
        <v>0</v>
      </c>
      <c r="AX238" s="46">
        <f t="shared" si="170"/>
        <v>0</v>
      </c>
      <c r="AY238" s="46">
        <f t="shared" si="170"/>
        <v>0</v>
      </c>
      <c r="AZ238" s="46">
        <f t="shared" si="170"/>
        <v>0</v>
      </c>
      <c r="BA238" s="46">
        <f t="shared" si="170"/>
        <v>0</v>
      </c>
      <c r="BB238" s="46">
        <f t="shared" si="170"/>
        <v>0</v>
      </c>
      <c r="BC238" s="46">
        <f t="shared" si="170"/>
        <v>0</v>
      </c>
      <c r="BD238" s="46">
        <f t="shared" si="170"/>
        <v>0</v>
      </c>
      <c r="BE238" s="46"/>
    </row>
    <row r="239" spans="1:57" ht="14.25" customHeight="1" x14ac:dyDescent="0.3">
      <c r="A239" s="46"/>
      <c r="B239" s="37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  <c r="AC239" s="46"/>
      <c r="AD239" s="46"/>
      <c r="AE239" s="46"/>
      <c r="AF239" s="46"/>
      <c r="AG239" s="46"/>
      <c r="AH239" s="46"/>
      <c r="AI239" s="46"/>
      <c r="AJ239" s="46"/>
      <c r="AK239" s="46"/>
      <c r="AL239" s="46"/>
      <c r="AM239" s="46"/>
      <c r="AN239" s="46"/>
      <c r="AO239" s="46"/>
      <c r="AP239" s="46"/>
      <c r="AQ239" s="46"/>
      <c r="AR239" s="46"/>
      <c r="AS239" s="46"/>
      <c r="AT239" s="46"/>
      <c r="AU239" s="46"/>
      <c r="AV239" s="46"/>
      <c r="AW239" s="46"/>
      <c r="AX239" s="46"/>
      <c r="AY239" s="46"/>
      <c r="AZ239" s="46"/>
      <c r="BA239" s="46"/>
      <c r="BB239" s="46"/>
      <c r="BC239" s="46"/>
      <c r="BD239" s="46"/>
      <c r="BE239" s="46"/>
    </row>
    <row r="240" spans="1:57" ht="14.25" customHeight="1" x14ac:dyDescent="0.3">
      <c r="A240" s="46"/>
      <c r="B240" s="37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  <c r="AC240" s="46"/>
      <c r="AD240" s="46"/>
      <c r="AE240" s="46"/>
      <c r="AF240" s="46"/>
      <c r="AG240" s="46"/>
      <c r="AH240" s="46"/>
      <c r="AI240" s="46"/>
      <c r="AJ240" s="46"/>
      <c r="AK240" s="46"/>
      <c r="AL240" s="46"/>
      <c r="AM240" s="46"/>
      <c r="AN240" s="46"/>
      <c r="AO240" s="46"/>
      <c r="AP240" s="46"/>
      <c r="AQ240" s="46"/>
      <c r="AR240" s="46"/>
      <c r="AS240" s="46"/>
      <c r="AT240" s="46"/>
      <c r="AU240" s="46"/>
      <c r="AV240" s="46"/>
      <c r="AW240" s="46"/>
      <c r="AX240" s="46"/>
      <c r="AY240" s="46"/>
      <c r="AZ240" s="46"/>
      <c r="BA240" s="46"/>
      <c r="BB240" s="46"/>
      <c r="BC240" s="46"/>
      <c r="BD240" s="46"/>
      <c r="BE240" s="46"/>
    </row>
    <row r="241" spans="1:57" ht="14.25" customHeight="1" x14ac:dyDescent="0.3">
      <c r="A241" s="46"/>
      <c r="B241" s="37" t="s">
        <v>170</v>
      </c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  <c r="AD241" s="46"/>
      <c r="AE241" s="46"/>
      <c r="AF241" s="46"/>
      <c r="AG241" s="46"/>
      <c r="AH241" s="46"/>
      <c r="AI241" s="46"/>
      <c r="AJ241" s="46"/>
      <c r="AK241" s="46"/>
      <c r="AL241" s="46"/>
      <c r="AM241" s="46"/>
      <c r="AN241" s="46"/>
      <c r="AO241" s="46"/>
      <c r="AP241" s="46"/>
      <c r="AQ241" s="46"/>
      <c r="AR241" s="46"/>
      <c r="AS241" s="46"/>
      <c r="AT241" s="46"/>
      <c r="AU241" s="46"/>
      <c r="AV241" s="46"/>
      <c r="AW241" s="46"/>
      <c r="AX241" s="46"/>
      <c r="AY241" s="46"/>
      <c r="AZ241" s="46"/>
      <c r="BA241" s="46"/>
      <c r="BB241" s="46"/>
      <c r="BC241" s="46"/>
      <c r="BD241" s="46"/>
      <c r="BE241" s="46"/>
    </row>
    <row r="242" spans="1:57" ht="14.25" customHeight="1" x14ac:dyDescent="0.3">
      <c r="A242" s="46"/>
      <c r="B242" s="37"/>
      <c r="C242" s="46" t="s">
        <v>171</v>
      </c>
      <c r="D242" s="46"/>
      <c r="E242" s="59">
        <v>430000</v>
      </c>
      <c r="F242" s="66">
        <f>T4</f>
        <v>46022</v>
      </c>
      <c r="G242" s="46"/>
      <c r="H242" s="46"/>
      <c r="I242" s="46">
        <f t="shared" ref="I242:X246" si="171">IF($F242=I$4,$E242,0)</f>
        <v>0</v>
      </c>
      <c r="J242" s="46">
        <f t="shared" si="171"/>
        <v>0</v>
      </c>
      <c r="K242" s="46">
        <f t="shared" si="171"/>
        <v>0</v>
      </c>
      <c r="L242" s="46">
        <f t="shared" si="171"/>
        <v>0</v>
      </c>
      <c r="M242" s="46">
        <f t="shared" si="171"/>
        <v>0</v>
      </c>
      <c r="N242" s="46">
        <f t="shared" si="171"/>
        <v>0</v>
      </c>
      <c r="O242" s="46">
        <f t="shared" si="171"/>
        <v>0</v>
      </c>
      <c r="P242" s="46">
        <f t="shared" si="171"/>
        <v>0</v>
      </c>
      <c r="Q242" s="46">
        <f t="shared" si="171"/>
        <v>0</v>
      </c>
      <c r="R242" s="46">
        <f t="shared" si="171"/>
        <v>0</v>
      </c>
      <c r="S242" s="46">
        <f t="shared" si="171"/>
        <v>0</v>
      </c>
      <c r="T242" s="46">
        <f t="shared" si="171"/>
        <v>430000</v>
      </c>
      <c r="U242" s="46">
        <f t="shared" si="171"/>
        <v>0</v>
      </c>
      <c r="V242" s="46">
        <f t="shared" si="171"/>
        <v>0</v>
      </c>
      <c r="W242" s="46">
        <f t="shared" si="171"/>
        <v>0</v>
      </c>
      <c r="X242" s="46">
        <f t="shared" si="171"/>
        <v>0</v>
      </c>
      <c r="Y242" s="46">
        <f t="shared" ref="Y242:AN246" si="172">IF($F242=Y$4,$E242,0)</f>
        <v>0</v>
      </c>
      <c r="Z242" s="46">
        <f t="shared" si="172"/>
        <v>0</v>
      </c>
      <c r="AA242" s="46">
        <f t="shared" si="172"/>
        <v>0</v>
      </c>
      <c r="AB242" s="46">
        <f t="shared" si="172"/>
        <v>0</v>
      </c>
      <c r="AC242" s="46">
        <f t="shared" si="172"/>
        <v>0</v>
      </c>
      <c r="AD242" s="46">
        <f t="shared" si="172"/>
        <v>0</v>
      </c>
      <c r="AE242" s="46">
        <f t="shared" si="172"/>
        <v>0</v>
      </c>
      <c r="AF242" s="46">
        <f t="shared" si="172"/>
        <v>0</v>
      </c>
      <c r="AG242" s="46">
        <f t="shared" si="172"/>
        <v>0</v>
      </c>
      <c r="AH242" s="46">
        <f t="shared" si="172"/>
        <v>0</v>
      </c>
      <c r="AI242" s="46">
        <f t="shared" si="172"/>
        <v>0</v>
      </c>
      <c r="AJ242" s="46">
        <f t="shared" si="172"/>
        <v>0</v>
      </c>
      <c r="AK242" s="46">
        <f t="shared" si="172"/>
        <v>0</v>
      </c>
      <c r="AL242" s="46">
        <f t="shared" si="172"/>
        <v>0</v>
      </c>
      <c r="AM242" s="46">
        <f t="shared" si="172"/>
        <v>0</v>
      </c>
      <c r="AN242" s="46">
        <f t="shared" si="172"/>
        <v>0</v>
      </c>
      <c r="AO242" s="46">
        <f t="shared" ref="AO242:BD246" si="173">IF($F242=AO$4,$E242,0)</f>
        <v>0</v>
      </c>
      <c r="AP242" s="46">
        <f t="shared" si="173"/>
        <v>0</v>
      </c>
      <c r="AQ242" s="46">
        <f t="shared" si="173"/>
        <v>0</v>
      </c>
      <c r="AR242" s="46">
        <f t="shared" si="173"/>
        <v>0</v>
      </c>
      <c r="AS242" s="46">
        <f t="shared" si="173"/>
        <v>0</v>
      </c>
      <c r="AT242" s="46">
        <f t="shared" si="173"/>
        <v>0</v>
      </c>
      <c r="AU242" s="46">
        <f t="shared" si="173"/>
        <v>0</v>
      </c>
      <c r="AV242" s="46">
        <f t="shared" si="173"/>
        <v>0</v>
      </c>
      <c r="AW242" s="46">
        <f t="shared" si="173"/>
        <v>0</v>
      </c>
      <c r="AX242" s="46">
        <f t="shared" si="173"/>
        <v>0</v>
      </c>
      <c r="AY242" s="46">
        <f t="shared" si="173"/>
        <v>0</v>
      </c>
      <c r="AZ242" s="46">
        <f t="shared" si="173"/>
        <v>0</v>
      </c>
      <c r="BA242" s="46">
        <f t="shared" si="173"/>
        <v>0</v>
      </c>
      <c r="BB242" s="46">
        <f t="shared" si="173"/>
        <v>0</v>
      </c>
      <c r="BC242" s="46">
        <f t="shared" si="173"/>
        <v>0</v>
      </c>
      <c r="BD242" s="46">
        <f t="shared" si="173"/>
        <v>0</v>
      </c>
      <c r="BE242" s="46"/>
    </row>
    <row r="243" spans="1:57" ht="14.25" customHeight="1" x14ac:dyDescent="0.3">
      <c r="A243" s="57"/>
      <c r="B243" s="37"/>
      <c r="C243" s="46" t="s">
        <v>172</v>
      </c>
      <c r="D243" s="46"/>
      <c r="E243" s="59">
        <v>430000</v>
      </c>
      <c r="F243" s="66">
        <f>V4</f>
        <v>46081</v>
      </c>
      <c r="G243" s="46"/>
      <c r="H243" s="46"/>
      <c r="I243" s="46">
        <f t="shared" si="171"/>
        <v>0</v>
      </c>
      <c r="J243" s="46">
        <f t="shared" si="171"/>
        <v>0</v>
      </c>
      <c r="K243" s="46">
        <f t="shared" si="171"/>
        <v>0</v>
      </c>
      <c r="L243" s="46">
        <f t="shared" si="171"/>
        <v>0</v>
      </c>
      <c r="M243" s="46">
        <f t="shared" si="171"/>
        <v>0</v>
      </c>
      <c r="N243" s="46">
        <f t="shared" si="171"/>
        <v>0</v>
      </c>
      <c r="O243" s="46">
        <f t="shared" si="171"/>
        <v>0</v>
      </c>
      <c r="P243" s="46">
        <f t="shared" si="171"/>
        <v>0</v>
      </c>
      <c r="Q243" s="46">
        <f t="shared" si="171"/>
        <v>0</v>
      </c>
      <c r="R243" s="46">
        <f t="shared" si="171"/>
        <v>0</v>
      </c>
      <c r="S243" s="46">
        <f t="shared" si="171"/>
        <v>0</v>
      </c>
      <c r="T243" s="46">
        <f t="shared" si="171"/>
        <v>0</v>
      </c>
      <c r="U243" s="46">
        <f t="shared" si="171"/>
        <v>0</v>
      </c>
      <c r="V243" s="46">
        <f t="shared" si="171"/>
        <v>430000</v>
      </c>
      <c r="W243" s="46">
        <f t="shared" si="171"/>
        <v>0</v>
      </c>
      <c r="X243" s="46">
        <f t="shared" si="171"/>
        <v>0</v>
      </c>
      <c r="Y243" s="46">
        <f t="shared" si="172"/>
        <v>0</v>
      </c>
      <c r="Z243" s="46">
        <f t="shared" si="172"/>
        <v>0</v>
      </c>
      <c r="AA243" s="46">
        <f t="shared" si="172"/>
        <v>0</v>
      </c>
      <c r="AB243" s="46">
        <f t="shared" si="172"/>
        <v>0</v>
      </c>
      <c r="AC243" s="46">
        <f t="shared" si="172"/>
        <v>0</v>
      </c>
      <c r="AD243" s="46">
        <f t="shared" si="172"/>
        <v>0</v>
      </c>
      <c r="AE243" s="46">
        <f t="shared" si="172"/>
        <v>0</v>
      </c>
      <c r="AF243" s="46">
        <f t="shared" si="172"/>
        <v>0</v>
      </c>
      <c r="AG243" s="46">
        <f t="shared" si="172"/>
        <v>0</v>
      </c>
      <c r="AH243" s="46">
        <f t="shared" si="172"/>
        <v>0</v>
      </c>
      <c r="AI243" s="46">
        <f t="shared" si="172"/>
        <v>0</v>
      </c>
      <c r="AJ243" s="46">
        <f t="shared" si="172"/>
        <v>0</v>
      </c>
      <c r="AK243" s="46">
        <f t="shared" si="172"/>
        <v>0</v>
      </c>
      <c r="AL243" s="46">
        <f t="shared" si="172"/>
        <v>0</v>
      </c>
      <c r="AM243" s="46">
        <f t="shared" si="172"/>
        <v>0</v>
      </c>
      <c r="AN243" s="46">
        <f t="shared" si="172"/>
        <v>0</v>
      </c>
      <c r="AO243" s="46">
        <f t="shared" si="173"/>
        <v>0</v>
      </c>
      <c r="AP243" s="46">
        <f t="shared" si="173"/>
        <v>0</v>
      </c>
      <c r="AQ243" s="46">
        <f t="shared" si="173"/>
        <v>0</v>
      </c>
      <c r="AR243" s="46">
        <f t="shared" si="173"/>
        <v>0</v>
      </c>
      <c r="AS243" s="46">
        <f t="shared" si="173"/>
        <v>0</v>
      </c>
      <c r="AT243" s="46">
        <f t="shared" si="173"/>
        <v>0</v>
      </c>
      <c r="AU243" s="46">
        <f t="shared" si="173"/>
        <v>0</v>
      </c>
      <c r="AV243" s="46">
        <f t="shared" si="173"/>
        <v>0</v>
      </c>
      <c r="AW243" s="46">
        <f t="shared" si="173"/>
        <v>0</v>
      </c>
      <c r="AX243" s="46">
        <f t="shared" si="173"/>
        <v>0</v>
      </c>
      <c r="AY243" s="46">
        <f t="shared" si="173"/>
        <v>0</v>
      </c>
      <c r="AZ243" s="46">
        <f t="shared" si="173"/>
        <v>0</v>
      </c>
      <c r="BA243" s="46">
        <f t="shared" si="173"/>
        <v>0</v>
      </c>
      <c r="BB243" s="46">
        <f t="shared" si="173"/>
        <v>0</v>
      </c>
      <c r="BC243" s="46">
        <f t="shared" si="173"/>
        <v>0</v>
      </c>
      <c r="BD243" s="46">
        <f t="shared" si="173"/>
        <v>0</v>
      </c>
      <c r="BE243" s="46"/>
    </row>
    <row r="244" spans="1:57" ht="14.25" customHeight="1" x14ac:dyDescent="0.3">
      <c r="A244" s="46"/>
      <c r="B244" s="37"/>
      <c r="C244" s="46" t="s">
        <v>243</v>
      </c>
      <c r="D244" s="46"/>
      <c r="E244" s="59">
        <v>95000</v>
      </c>
      <c r="F244" s="66">
        <f>P4</f>
        <v>45900</v>
      </c>
      <c r="G244" s="46"/>
      <c r="H244" s="46"/>
      <c r="I244" s="46">
        <f>IF($F244=I$4,$E244,0)</f>
        <v>0</v>
      </c>
      <c r="J244" s="46">
        <f t="shared" si="171"/>
        <v>0</v>
      </c>
      <c r="K244" s="46">
        <f t="shared" si="171"/>
        <v>0</v>
      </c>
      <c r="L244" s="46">
        <f t="shared" si="171"/>
        <v>0</v>
      </c>
      <c r="M244" s="46">
        <f t="shared" si="171"/>
        <v>0</v>
      </c>
      <c r="N244" s="46">
        <f t="shared" si="171"/>
        <v>0</v>
      </c>
      <c r="O244" s="46">
        <f t="shared" si="171"/>
        <v>0</v>
      </c>
      <c r="P244" s="46">
        <f t="shared" si="171"/>
        <v>95000</v>
      </c>
      <c r="Q244" s="46">
        <f t="shared" si="171"/>
        <v>0</v>
      </c>
      <c r="R244" s="46">
        <f t="shared" si="171"/>
        <v>0</v>
      </c>
      <c r="S244" s="46">
        <f t="shared" si="171"/>
        <v>0</v>
      </c>
      <c r="T244" s="46">
        <f t="shared" si="171"/>
        <v>0</v>
      </c>
      <c r="U244" s="46">
        <f t="shared" si="171"/>
        <v>0</v>
      </c>
      <c r="V244" s="46">
        <f t="shared" si="171"/>
        <v>0</v>
      </c>
      <c r="W244" s="46">
        <f t="shared" si="171"/>
        <v>0</v>
      </c>
      <c r="X244" s="46">
        <f t="shared" si="171"/>
        <v>0</v>
      </c>
      <c r="Y244" s="46">
        <f t="shared" si="172"/>
        <v>0</v>
      </c>
      <c r="Z244" s="46">
        <f t="shared" si="172"/>
        <v>0</v>
      </c>
      <c r="AA244" s="46">
        <f t="shared" si="172"/>
        <v>0</v>
      </c>
      <c r="AB244" s="46">
        <f t="shared" si="172"/>
        <v>0</v>
      </c>
      <c r="AC244" s="46">
        <f t="shared" si="172"/>
        <v>0</v>
      </c>
      <c r="AD244" s="46">
        <f t="shared" si="172"/>
        <v>0</v>
      </c>
      <c r="AE244" s="46">
        <f t="shared" si="172"/>
        <v>0</v>
      </c>
      <c r="AF244" s="46">
        <f t="shared" si="172"/>
        <v>0</v>
      </c>
      <c r="AG244" s="46">
        <f t="shared" si="172"/>
        <v>0</v>
      </c>
      <c r="AH244" s="46">
        <f t="shared" si="172"/>
        <v>0</v>
      </c>
      <c r="AI244" s="46">
        <f t="shared" si="172"/>
        <v>0</v>
      </c>
      <c r="AJ244" s="46">
        <f t="shared" si="172"/>
        <v>0</v>
      </c>
      <c r="AK244" s="46">
        <f t="shared" si="172"/>
        <v>0</v>
      </c>
      <c r="AL244" s="46">
        <f t="shared" si="172"/>
        <v>0</v>
      </c>
      <c r="AM244" s="46">
        <f t="shared" si="172"/>
        <v>0</v>
      </c>
      <c r="AN244" s="46">
        <f t="shared" si="172"/>
        <v>0</v>
      </c>
      <c r="AO244" s="46">
        <f t="shared" si="173"/>
        <v>0</v>
      </c>
      <c r="AP244" s="46">
        <f t="shared" si="173"/>
        <v>0</v>
      </c>
      <c r="AQ244" s="46">
        <f t="shared" si="173"/>
        <v>0</v>
      </c>
      <c r="AR244" s="46">
        <f t="shared" si="173"/>
        <v>0</v>
      </c>
      <c r="AS244" s="46">
        <f t="shared" si="173"/>
        <v>0</v>
      </c>
      <c r="AT244" s="46">
        <f t="shared" si="173"/>
        <v>0</v>
      </c>
      <c r="AU244" s="46">
        <f t="shared" si="173"/>
        <v>0</v>
      </c>
      <c r="AV244" s="46">
        <f t="shared" si="173"/>
        <v>0</v>
      </c>
      <c r="AW244" s="46">
        <f t="shared" si="173"/>
        <v>0</v>
      </c>
      <c r="AX244" s="46">
        <f t="shared" si="173"/>
        <v>0</v>
      </c>
      <c r="AY244" s="46">
        <f t="shared" si="173"/>
        <v>0</v>
      </c>
      <c r="AZ244" s="46">
        <f t="shared" si="173"/>
        <v>0</v>
      </c>
      <c r="BA244" s="46">
        <f t="shared" si="173"/>
        <v>0</v>
      </c>
      <c r="BB244" s="46">
        <f t="shared" si="173"/>
        <v>0</v>
      </c>
      <c r="BC244" s="46">
        <f t="shared" si="173"/>
        <v>0</v>
      </c>
      <c r="BD244" s="46">
        <f t="shared" si="173"/>
        <v>0</v>
      </c>
      <c r="BE244" s="46"/>
    </row>
    <row r="245" spans="1:57" ht="14.25" customHeight="1" x14ac:dyDescent="0.3">
      <c r="A245" s="46"/>
      <c r="B245" s="37"/>
      <c r="C245" s="46" t="s">
        <v>244</v>
      </c>
      <c r="D245" s="46"/>
      <c r="E245" s="59"/>
      <c r="F245" s="66"/>
      <c r="G245" s="46"/>
      <c r="H245" s="46"/>
      <c r="I245" s="46">
        <f>IF($F245=I$4,$E245,0)</f>
        <v>0</v>
      </c>
      <c r="J245" s="46">
        <f t="shared" si="171"/>
        <v>0</v>
      </c>
      <c r="K245" s="46">
        <f t="shared" si="171"/>
        <v>0</v>
      </c>
      <c r="L245" s="46">
        <f t="shared" si="171"/>
        <v>0</v>
      </c>
      <c r="M245" s="46">
        <f t="shared" si="171"/>
        <v>0</v>
      </c>
      <c r="N245" s="46">
        <f t="shared" si="171"/>
        <v>0</v>
      </c>
      <c r="O245" s="46">
        <f t="shared" si="171"/>
        <v>0</v>
      </c>
      <c r="P245" s="46">
        <f>40000+75000</f>
        <v>115000</v>
      </c>
      <c r="Q245" s="46">
        <f t="shared" si="171"/>
        <v>0</v>
      </c>
      <c r="R245" s="46">
        <f t="shared" si="171"/>
        <v>0</v>
      </c>
      <c r="S245" s="46">
        <v>20000</v>
      </c>
      <c r="T245" s="46">
        <f t="shared" si="171"/>
        <v>0</v>
      </c>
      <c r="U245" s="46">
        <f t="shared" si="171"/>
        <v>0</v>
      </c>
      <c r="V245" s="46">
        <f t="shared" si="171"/>
        <v>0</v>
      </c>
      <c r="W245" s="46">
        <f t="shared" si="171"/>
        <v>0</v>
      </c>
      <c r="X245" s="46">
        <f t="shared" si="171"/>
        <v>0</v>
      </c>
      <c r="Y245" s="46">
        <f t="shared" si="172"/>
        <v>0</v>
      </c>
      <c r="Z245" s="46">
        <f t="shared" si="172"/>
        <v>0</v>
      </c>
      <c r="AA245" s="46">
        <f t="shared" si="172"/>
        <v>0</v>
      </c>
      <c r="AB245" s="46">
        <f t="shared" si="172"/>
        <v>0</v>
      </c>
      <c r="AC245" s="46">
        <f t="shared" si="172"/>
        <v>0</v>
      </c>
      <c r="AD245" s="46">
        <f t="shared" si="172"/>
        <v>0</v>
      </c>
      <c r="AE245" s="46">
        <f t="shared" si="172"/>
        <v>0</v>
      </c>
      <c r="AF245" s="46">
        <f t="shared" si="172"/>
        <v>0</v>
      </c>
      <c r="AG245" s="46">
        <f t="shared" si="172"/>
        <v>0</v>
      </c>
      <c r="AH245" s="46">
        <f t="shared" si="172"/>
        <v>0</v>
      </c>
      <c r="AI245" s="46">
        <f t="shared" si="172"/>
        <v>0</v>
      </c>
      <c r="AJ245" s="46">
        <f t="shared" si="172"/>
        <v>0</v>
      </c>
      <c r="AK245" s="46">
        <f t="shared" si="172"/>
        <v>0</v>
      </c>
      <c r="AL245" s="46">
        <f t="shared" si="172"/>
        <v>0</v>
      </c>
      <c r="AM245" s="46">
        <f t="shared" si="172"/>
        <v>0</v>
      </c>
      <c r="AN245" s="46">
        <f t="shared" si="172"/>
        <v>0</v>
      </c>
      <c r="AO245" s="46">
        <f t="shared" si="173"/>
        <v>0</v>
      </c>
      <c r="AP245" s="46">
        <f t="shared" si="173"/>
        <v>0</v>
      </c>
      <c r="AQ245" s="46">
        <f t="shared" si="173"/>
        <v>0</v>
      </c>
      <c r="AR245" s="46">
        <f t="shared" si="173"/>
        <v>0</v>
      </c>
      <c r="AS245" s="46">
        <f t="shared" si="173"/>
        <v>0</v>
      </c>
      <c r="AT245" s="46">
        <f t="shared" si="173"/>
        <v>0</v>
      </c>
      <c r="AU245" s="46">
        <f t="shared" si="173"/>
        <v>0</v>
      </c>
      <c r="AV245" s="46">
        <f t="shared" si="173"/>
        <v>0</v>
      </c>
      <c r="AW245" s="46">
        <f t="shared" si="173"/>
        <v>0</v>
      </c>
      <c r="AX245" s="46">
        <f t="shared" si="173"/>
        <v>0</v>
      </c>
      <c r="AY245" s="46">
        <f t="shared" si="173"/>
        <v>0</v>
      </c>
      <c r="AZ245" s="46">
        <f t="shared" si="173"/>
        <v>0</v>
      </c>
      <c r="BA245" s="46">
        <f t="shared" si="173"/>
        <v>0</v>
      </c>
      <c r="BB245" s="46">
        <f t="shared" si="173"/>
        <v>0</v>
      </c>
      <c r="BC245" s="46">
        <f t="shared" si="173"/>
        <v>0</v>
      </c>
      <c r="BD245" s="46">
        <f t="shared" si="173"/>
        <v>0</v>
      </c>
      <c r="BE245" s="46"/>
    </row>
    <row r="246" spans="1:57" ht="14.25" customHeight="1" x14ac:dyDescent="0.3">
      <c r="A246" s="46"/>
      <c r="B246" s="37"/>
      <c r="C246" s="46"/>
      <c r="D246" s="46"/>
      <c r="E246" s="46"/>
      <c r="F246" s="46"/>
      <c r="G246" s="46"/>
      <c r="H246" s="46"/>
      <c r="I246" s="46">
        <f>IF($F246=I$4,$E246,0)</f>
        <v>0</v>
      </c>
      <c r="J246" s="46">
        <f t="shared" si="171"/>
        <v>0</v>
      </c>
      <c r="K246" s="46">
        <f t="shared" si="171"/>
        <v>0</v>
      </c>
      <c r="L246" s="46">
        <f t="shared" si="171"/>
        <v>0</v>
      </c>
      <c r="M246" s="46">
        <f t="shared" si="171"/>
        <v>0</v>
      </c>
      <c r="N246" s="46">
        <f t="shared" si="171"/>
        <v>0</v>
      </c>
      <c r="O246" s="46">
        <f t="shared" si="171"/>
        <v>0</v>
      </c>
      <c r="P246" s="46">
        <f t="shared" si="171"/>
        <v>0</v>
      </c>
      <c r="Q246" s="46">
        <f t="shared" si="171"/>
        <v>0</v>
      </c>
      <c r="R246" s="46">
        <f t="shared" si="171"/>
        <v>0</v>
      </c>
      <c r="S246" s="46">
        <f t="shared" si="171"/>
        <v>0</v>
      </c>
      <c r="T246" s="46">
        <f t="shared" si="171"/>
        <v>0</v>
      </c>
      <c r="U246" s="46">
        <f t="shared" si="171"/>
        <v>0</v>
      </c>
      <c r="V246" s="46">
        <f t="shared" si="171"/>
        <v>0</v>
      </c>
      <c r="W246" s="46">
        <f t="shared" si="171"/>
        <v>0</v>
      </c>
      <c r="X246" s="46">
        <f t="shared" si="171"/>
        <v>0</v>
      </c>
      <c r="Y246" s="46">
        <f t="shared" si="172"/>
        <v>0</v>
      </c>
      <c r="Z246" s="46">
        <f t="shared" si="172"/>
        <v>0</v>
      </c>
      <c r="AA246" s="46">
        <f t="shared" si="172"/>
        <v>0</v>
      </c>
      <c r="AB246" s="46">
        <f t="shared" si="172"/>
        <v>0</v>
      </c>
      <c r="AC246" s="46">
        <f t="shared" si="172"/>
        <v>0</v>
      </c>
      <c r="AD246" s="46">
        <f t="shared" si="172"/>
        <v>0</v>
      </c>
      <c r="AE246" s="46">
        <f t="shared" si="172"/>
        <v>0</v>
      </c>
      <c r="AF246" s="46">
        <f t="shared" si="172"/>
        <v>0</v>
      </c>
      <c r="AG246" s="46">
        <f t="shared" si="172"/>
        <v>0</v>
      </c>
      <c r="AH246" s="46">
        <f t="shared" si="172"/>
        <v>0</v>
      </c>
      <c r="AI246" s="46">
        <f t="shared" si="172"/>
        <v>0</v>
      </c>
      <c r="AJ246" s="46">
        <f t="shared" si="172"/>
        <v>0</v>
      </c>
      <c r="AK246" s="46">
        <f t="shared" si="172"/>
        <v>0</v>
      </c>
      <c r="AL246" s="46">
        <f t="shared" si="172"/>
        <v>0</v>
      </c>
      <c r="AM246" s="46">
        <f t="shared" si="172"/>
        <v>0</v>
      </c>
      <c r="AN246" s="46">
        <f t="shared" si="172"/>
        <v>0</v>
      </c>
      <c r="AO246" s="46">
        <f t="shared" si="173"/>
        <v>0</v>
      </c>
      <c r="AP246" s="46">
        <f t="shared" si="173"/>
        <v>0</v>
      </c>
      <c r="AQ246" s="46">
        <f t="shared" si="173"/>
        <v>0</v>
      </c>
      <c r="AR246" s="46">
        <f t="shared" si="173"/>
        <v>0</v>
      </c>
      <c r="AS246" s="46">
        <f t="shared" si="173"/>
        <v>0</v>
      </c>
      <c r="AT246" s="46">
        <f t="shared" si="173"/>
        <v>0</v>
      </c>
      <c r="AU246" s="46">
        <f t="shared" si="173"/>
        <v>0</v>
      </c>
      <c r="AV246" s="46">
        <f t="shared" si="173"/>
        <v>0</v>
      </c>
      <c r="AW246" s="46">
        <f t="shared" si="173"/>
        <v>0</v>
      </c>
      <c r="AX246" s="46">
        <f t="shared" si="173"/>
        <v>0</v>
      </c>
      <c r="AY246" s="46">
        <f t="shared" si="173"/>
        <v>0</v>
      </c>
      <c r="AZ246" s="46">
        <f t="shared" si="173"/>
        <v>0</v>
      </c>
      <c r="BA246" s="46">
        <f t="shared" si="173"/>
        <v>0</v>
      </c>
      <c r="BB246" s="46">
        <f t="shared" si="173"/>
        <v>0</v>
      </c>
      <c r="BC246" s="46">
        <f t="shared" si="173"/>
        <v>0</v>
      </c>
      <c r="BD246" s="46">
        <f t="shared" si="173"/>
        <v>0</v>
      </c>
      <c r="BE246" s="46"/>
    </row>
    <row r="247" spans="1:57" ht="14.25" customHeight="1" x14ac:dyDescent="0.3">
      <c r="A247" s="46"/>
      <c r="B247" s="37"/>
      <c r="C247" s="46"/>
      <c r="D247" s="46"/>
      <c r="E247" s="46"/>
      <c r="F247" s="46"/>
      <c r="G247" s="46"/>
      <c r="H247" s="46"/>
      <c r="I247" s="51">
        <f>SUM(I228:I246)</f>
        <v>4198722</v>
      </c>
      <c r="J247" s="51">
        <f t="shared" ref="J247:BD247" si="174">SUM(J228:J246)</f>
        <v>31650</v>
      </c>
      <c r="K247" s="51">
        <f t="shared" si="174"/>
        <v>60858</v>
      </c>
      <c r="L247" s="51">
        <f t="shared" si="174"/>
        <v>23385</v>
      </c>
      <c r="M247" s="51">
        <f t="shared" si="174"/>
        <v>148698</v>
      </c>
      <c r="N247" s="51">
        <f t="shared" si="174"/>
        <v>0</v>
      </c>
      <c r="O247" s="51">
        <f t="shared" si="174"/>
        <v>575000</v>
      </c>
      <c r="P247" s="51">
        <f t="shared" si="174"/>
        <v>415000</v>
      </c>
      <c r="Q247" s="51">
        <f t="shared" si="174"/>
        <v>855000</v>
      </c>
      <c r="R247" s="51">
        <f t="shared" si="174"/>
        <v>0</v>
      </c>
      <c r="S247" s="51">
        <f t="shared" si="174"/>
        <v>65000</v>
      </c>
      <c r="T247" s="51">
        <f t="shared" si="174"/>
        <v>430000</v>
      </c>
      <c r="U247" s="51">
        <f t="shared" si="174"/>
        <v>0</v>
      </c>
      <c r="V247" s="51">
        <f t="shared" si="174"/>
        <v>430000</v>
      </c>
      <c r="W247" s="51">
        <f t="shared" si="174"/>
        <v>0</v>
      </c>
      <c r="X247" s="51">
        <f t="shared" si="174"/>
        <v>0</v>
      </c>
      <c r="Y247" s="51">
        <f t="shared" si="174"/>
        <v>0</v>
      </c>
      <c r="Z247" s="51">
        <f t="shared" si="174"/>
        <v>0</v>
      </c>
      <c r="AA247" s="51">
        <f t="shared" si="174"/>
        <v>0</v>
      </c>
      <c r="AB247" s="51">
        <f t="shared" si="174"/>
        <v>0</v>
      </c>
      <c r="AC247" s="51">
        <f t="shared" si="174"/>
        <v>0</v>
      </c>
      <c r="AD247" s="51">
        <f t="shared" si="174"/>
        <v>0</v>
      </c>
      <c r="AE247" s="51">
        <f t="shared" si="174"/>
        <v>0</v>
      </c>
      <c r="AF247" s="51">
        <f t="shared" si="174"/>
        <v>0</v>
      </c>
      <c r="AG247" s="51">
        <f t="shared" si="174"/>
        <v>3670000</v>
      </c>
      <c r="AH247" s="51">
        <f t="shared" si="174"/>
        <v>0</v>
      </c>
      <c r="AI247" s="51">
        <f t="shared" si="174"/>
        <v>0</v>
      </c>
      <c r="AJ247" s="51">
        <f t="shared" si="174"/>
        <v>0</v>
      </c>
      <c r="AK247" s="51">
        <f t="shared" si="174"/>
        <v>0</v>
      </c>
      <c r="AL247" s="51">
        <f t="shared" si="174"/>
        <v>0</v>
      </c>
      <c r="AM247" s="51">
        <f t="shared" si="174"/>
        <v>0</v>
      </c>
      <c r="AN247" s="51">
        <f t="shared" si="174"/>
        <v>0</v>
      </c>
      <c r="AO247" s="51">
        <f t="shared" si="174"/>
        <v>0</v>
      </c>
      <c r="AP247" s="51">
        <f t="shared" si="174"/>
        <v>0</v>
      </c>
      <c r="AQ247" s="51">
        <f t="shared" si="174"/>
        <v>0</v>
      </c>
      <c r="AR247" s="51">
        <f t="shared" si="174"/>
        <v>0</v>
      </c>
      <c r="AS247" s="51">
        <f t="shared" si="174"/>
        <v>0</v>
      </c>
      <c r="AT247" s="51">
        <f t="shared" si="174"/>
        <v>0</v>
      </c>
      <c r="AU247" s="51">
        <f t="shared" si="174"/>
        <v>0</v>
      </c>
      <c r="AV247" s="51">
        <f t="shared" si="174"/>
        <v>0</v>
      </c>
      <c r="AW247" s="51">
        <f t="shared" si="174"/>
        <v>0</v>
      </c>
      <c r="AX247" s="51">
        <f t="shared" si="174"/>
        <v>0</v>
      </c>
      <c r="AY247" s="51">
        <f t="shared" si="174"/>
        <v>0</v>
      </c>
      <c r="AZ247" s="51">
        <f t="shared" si="174"/>
        <v>0</v>
      </c>
      <c r="BA247" s="51">
        <f t="shared" si="174"/>
        <v>0</v>
      </c>
      <c r="BB247" s="51">
        <f t="shared" si="174"/>
        <v>0</v>
      </c>
      <c r="BC247" s="51">
        <f t="shared" si="174"/>
        <v>0</v>
      </c>
      <c r="BD247" s="51">
        <f t="shared" si="174"/>
        <v>0</v>
      </c>
      <c r="BE247" s="51"/>
    </row>
    <row r="248" spans="1:57" ht="14.25" customHeight="1" x14ac:dyDescent="0.3">
      <c r="A248" s="46"/>
      <c r="B248" s="37"/>
      <c r="C248" s="46"/>
      <c r="E248" s="46"/>
      <c r="F248" s="67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  <c r="AC248" s="46"/>
      <c r="AD248" s="46"/>
      <c r="AE248" s="46"/>
      <c r="AF248" s="46"/>
      <c r="AG248" s="46"/>
      <c r="AH248" s="46"/>
      <c r="AI248" s="46"/>
      <c r="AJ248" s="46"/>
      <c r="AK248" s="46"/>
      <c r="AL248" s="46"/>
      <c r="AM248" s="46"/>
      <c r="AN248" s="46"/>
      <c r="AO248" s="46"/>
      <c r="AP248" s="46"/>
      <c r="AQ248" s="46"/>
      <c r="AR248" s="46"/>
      <c r="AS248" s="46"/>
      <c r="AT248" s="46"/>
      <c r="AU248" s="46"/>
      <c r="AV248" s="46"/>
      <c r="AW248" s="46"/>
      <c r="AX248" s="46"/>
      <c r="AY248" s="46"/>
      <c r="AZ248" s="46"/>
      <c r="BA248" s="46"/>
      <c r="BB248" s="46"/>
      <c r="BC248" s="46"/>
      <c r="BD248" s="46"/>
      <c r="BE248" s="46"/>
    </row>
    <row r="249" spans="1:57" ht="14.25" customHeight="1" x14ac:dyDescent="0.3">
      <c r="A249" s="46"/>
      <c r="B249" s="37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  <c r="AE249" s="46"/>
      <c r="AF249" s="46"/>
      <c r="AG249" s="46"/>
      <c r="AH249" s="46"/>
      <c r="AI249" s="46"/>
      <c r="AJ249" s="46"/>
      <c r="AK249" s="46"/>
      <c r="AL249" s="46"/>
      <c r="AM249" s="46"/>
      <c r="AN249" s="46"/>
      <c r="AO249" s="46"/>
      <c r="AP249" s="46"/>
      <c r="AQ249" s="46"/>
      <c r="AR249" s="46"/>
      <c r="AS249" s="46"/>
      <c r="AT249" s="46"/>
      <c r="AU249" s="46"/>
      <c r="AV249" s="46"/>
      <c r="AW249" s="46"/>
      <c r="AX249" s="46"/>
      <c r="AY249" s="46"/>
      <c r="AZ249" s="46"/>
      <c r="BA249" s="46"/>
      <c r="BB249" s="46"/>
      <c r="BC249" s="46"/>
      <c r="BD249" s="46"/>
      <c r="BE249" s="46"/>
    </row>
    <row r="250" spans="1:57" ht="14.25" customHeight="1" x14ac:dyDescent="0.3">
      <c r="A250" s="42"/>
      <c r="B250" s="43" t="s">
        <v>173</v>
      </c>
      <c r="C250" s="42"/>
      <c r="D250" s="40">
        <v>2025</v>
      </c>
      <c r="E250" s="40">
        <v>2026</v>
      </c>
      <c r="F250" s="40">
        <v>2027</v>
      </c>
      <c r="G250" s="40">
        <v>2028</v>
      </c>
      <c r="H250" s="40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  <c r="AC250" s="42"/>
      <c r="AD250" s="42"/>
      <c r="AE250" s="42"/>
      <c r="AF250" s="42"/>
      <c r="AG250" s="42"/>
      <c r="AH250" s="42"/>
      <c r="AI250" s="42"/>
      <c r="AJ250" s="42"/>
      <c r="AK250" s="42"/>
      <c r="AL250" s="42"/>
      <c r="AM250" s="42"/>
      <c r="AN250" s="42"/>
      <c r="AO250" s="42"/>
      <c r="AP250" s="42"/>
      <c r="AQ250" s="42"/>
      <c r="AR250" s="42"/>
      <c r="AS250" s="42"/>
      <c r="AT250" s="42"/>
      <c r="AU250" s="42"/>
      <c r="AV250" s="42"/>
      <c r="AW250" s="42"/>
      <c r="AX250" s="42"/>
      <c r="AY250" s="42"/>
      <c r="AZ250" s="42"/>
      <c r="BA250" s="42"/>
      <c r="BB250" s="42"/>
      <c r="BC250" s="42"/>
      <c r="BD250" s="42"/>
      <c r="BE250" s="42"/>
    </row>
    <row r="251" spans="1:57" ht="14.25" customHeight="1" x14ac:dyDescent="0.3">
      <c r="A251" s="46"/>
      <c r="B251" s="37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46"/>
      <c r="AD251" s="46"/>
      <c r="AE251" s="46"/>
      <c r="AF251" s="46"/>
      <c r="AG251" s="46"/>
      <c r="AH251" s="46"/>
      <c r="AI251" s="46"/>
      <c r="AJ251" s="46"/>
      <c r="AK251" s="46"/>
      <c r="AL251" s="46"/>
      <c r="AM251" s="46"/>
      <c r="AN251" s="46"/>
      <c r="AO251" s="46"/>
      <c r="AP251" s="46"/>
      <c r="AQ251" s="46"/>
      <c r="AR251" s="46"/>
      <c r="AS251" s="46"/>
      <c r="AT251" s="46"/>
      <c r="AU251" s="46"/>
      <c r="AV251" s="46"/>
      <c r="AW251" s="46"/>
      <c r="AX251" s="46"/>
      <c r="AY251" s="46"/>
      <c r="AZ251" s="46"/>
      <c r="BA251" s="46"/>
      <c r="BB251" s="46"/>
      <c r="BC251" s="46"/>
      <c r="BD251" s="46"/>
      <c r="BE251" s="46"/>
    </row>
    <row r="252" spans="1:57" ht="14.25" customHeight="1" x14ac:dyDescent="0.3">
      <c r="A252" s="46"/>
      <c r="B252" s="37"/>
      <c r="C252" s="46" t="str">
        <f>C$151</f>
        <v>Total Treatments</v>
      </c>
      <c r="D252" s="46">
        <f>SUMIF($2:$2,D$250,252:252)</f>
        <v>3654.5897417877613</v>
      </c>
      <c r="E252" s="46">
        <f>SUMIF($2:$2,E$250,252:252)</f>
        <v>6112.6634072507832</v>
      </c>
      <c r="F252" s="46">
        <f>SUMIF($2:$2,F$250,252:252)</f>
        <v>8331.3515623249823</v>
      </c>
      <c r="G252" s="46">
        <f>SUMIF($2:$2,G$250,252:252)</f>
        <v>11410.641269051097</v>
      </c>
      <c r="H252" s="46"/>
      <c r="I252" s="46">
        <f t="shared" ref="I252:BD252" si="175">I$151</f>
        <v>324.3</v>
      </c>
      <c r="J252" s="46">
        <f t="shared" si="175"/>
        <v>292.78999999999996</v>
      </c>
      <c r="K252" s="46">
        <f t="shared" si="175"/>
        <v>360.8</v>
      </c>
      <c r="L252" s="46">
        <f t="shared" si="175"/>
        <v>316.60000000000002</v>
      </c>
      <c r="M252" s="46">
        <f t="shared" si="175"/>
        <v>201.2</v>
      </c>
      <c r="N252" s="46">
        <f t="shared" si="175"/>
        <v>188</v>
      </c>
      <c r="O252" s="46">
        <f t="shared" si="175"/>
        <v>253.9</v>
      </c>
      <c r="P252" s="46">
        <f t="shared" si="175"/>
        <v>293.30300000000005</v>
      </c>
      <c r="Q252" s="46">
        <f t="shared" si="175"/>
        <v>302.05826000000008</v>
      </c>
      <c r="R252" s="46">
        <f t="shared" si="175"/>
        <v>342.68250095000002</v>
      </c>
      <c r="S252" s="46">
        <f t="shared" si="175"/>
        <v>374.76826657025003</v>
      </c>
      <c r="T252" s="46">
        <f t="shared" si="175"/>
        <v>404.18771426751124</v>
      </c>
      <c r="U252" s="46">
        <f t="shared" si="175"/>
        <v>418.20659559306</v>
      </c>
      <c r="V252" s="46">
        <f t="shared" si="175"/>
        <v>432.85393571944104</v>
      </c>
      <c r="W252" s="46">
        <f t="shared" si="175"/>
        <v>448.16019688682951</v>
      </c>
      <c r="X252" s="46">
        <f t="shared" si="175"/>
        <v>464.15735001739665</v>
      </c>
      <c r="Y252" s="46">
        <f t="shared" si="175"/>
        <v>480.87894990599824</v>
      </c>
      <c r="Z252" s="46">
        <f t="shared" si="175"/>
        <v>498.36021416591251</v>
      </c>
      <c r="AA252" s="46">
        <f t="shared" si="175"/>
        <v>516.63810611729809</v>
      </c>
      <c r="AB252" s="46">
        <f t="shared" si="175"/>
        <v>535.7514218154131</v>
      </c>
      <c r="AC252" s="46">
        <f t="shared" si="175"/>
        <v>555.74088142549488</v>
      </c>
      <c r="AD252" s="46">
        <f t="shared" si="175"/>
        <v>575.71694313069975</v>
      </c>
      <c r="AE252" s="46">
        <f t="shared" si="175"/>
        <v>587.14241788471224</v>
      </c>
      <c r="AF252" s="46">
        <f t="shared" si="175"/>
        <v>599.05639458852693</v>
      </c>
      <c r="AG252" s="46">
        <f t="shared" si="175"/>
        <v>611.48218182935921</v>
      </c>
      <c r="AH252" s="46">
        <f t="shared" si="175"/>
        <v>624.44423654705656</v>
      </c>
      <c r="AI252" s="46">
        <f t="shared" si="175"/>
        <v>637.96822115933651</v>
      </c>
      <c r="AJ252" s="46">
        <f t="shared" si="175"/>
        <v>652.08106353784353</v>
      </c>
      <c r="AK252" s="46">
        <f t="shared" si="175"/>
        <v>666.81101997746202</v>
      </c>
      <c r="AL252" s="46">
        <f t="shared" si="175"/>
        <v>682.18774130843769</v>
      </c>
      <c r="AM252" s="46">
        <f t="shared" si="175"/>
        <v>698.24234230833486</v>
      </c>
      <c r="AN252" s="46">
        <f t="shared" si="175"/>
        <v>715.00747457871205</v>
      </c>
      <c r="AO252" s="46">
        <f t="shared" si="175"/>
        <v>732.51740305963051</v>
      </c>
      <c r="AP252" s="46">
        <f t="shared" si="175"/>
        <v>750.80808636377458</v>
      </c>
      <c r="AQ252" s="46">
        <f t="shared" si="175"/>
        <v>769.9172611210405</v>
      </c>
      <c r="AR252" s="46">
        <f t="shared" si="175"/>
        <v>789.88453053399405</v>
      </c>
      <c r="AS252" s="46">
        <f t="shared" si="175"/>
        <v>810.75145735461615</v>
      </c>
      <c r="AT252" s="46">
        <f t="shared" si="175"/>
        <v>832.56166150327306</v>
      </c>
      <c r="AU252" s="46">
        <f t="shared" si="175"/>
        <v>855.36092256189022</v>
      </c>
      <c r="AV252" s="46">
        <f t="shared" si="175"/>
        <v>879.1972873849071</v>
      </c>
      <c r="AW252" s="46">
        <f t="shared" si="175"/>
        <v>904.12118308376546</v>
      </c>
      <c r="AX252" s="46">
        <f t="shared" si="175"/>
        <v>930.18553565347042</v>
      </c>
      <c r="AY252" s="46">
        <f t="shared" si="175"/>
        <v>957.44589452318519</v>
      </c>
      <c r="AZ252" s="46">
        <f t="shared" si="175"/>
        <v>985.96056332691478</v>
      </c>
      <c r="BA252" s="46">
        <f t="shared" si="175"/>
        <v>1015.6793723729863</v>
      </c>
      <c r="BB252" s="46">
        <f t="shared" si="175"/>
        <v>1046.7614980108322</v>
      </c>
      <c r="BC252" s="46">
        <f t="shared" si="175"/>
        <v>1079.2875827564999</v>
      </c>
      <c r="BD252" s="46">
        <f t="shared" si="175"/>
        <v>1113.3283105187547</v>
      </c>
      <c r="BE252" s="46"/>
    </row>
    <row r="253" spans="1:57" ht="14.25" customHeight="1" x14ac:dyDescent="0.3">
      <c r="A253" s="46"/>
      <c r="B253" s="37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  <c r="AG253" s="46"/>
      <c r="AH253" s="46"/>
      <c r="AI253" s="46"/>
      <c r="AJ253" s="46"/>
      <c r="AK253" s="46"/>
      <c r="AL253" s="46"/>
      <c r="AM253" s="46"/>
      <c r="AN253" s="46"/>
      <c r="AO253" s="46"/>
      <c r="AP253" s="46"/>
      <c r="AQ253" s="46"/>
      <c r="AR253" s="46"/>
      <c r="AS253" s="46"/>
      <c r="AT253" s="46"/>
      <c r="AU253" s="46"/>
      <c r="AV253" s="46"/>
      <c r="AW253" s="46"/>
      <c r="AX253" s="46"/>
      <c r="AY253" s="46"/>
      <c r="AZ253" s="46"/>
      <c r="BA253" s="46"/>
      <c r="BB253" s="46"/>
      <c r="BC253" s="46"/>
      <c r="BD253" s="46"/>
      <c r="BE253" s="46"/>
    </row>
    <row r="254" spans="1:57" ht="14.25" customHeight="1" x14ac:dyDescent="0.3">
      <c r="A254" s="46"/>
      <c r="B254" s="37" t="s">
        <v>174</v>
      </c>
      <c r="C254" s="37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  <c r="AD254" s="46"/>
      <c r="AE254" s="46"/>
      <c r="AF254" s="46"/>
      <c r="AG254" s="46"/>
      <c r="AH254" s="46"/>
      <c r="AI254" s="46"/>
      <c r="AJ254" s="46"/>
      <c r="AK254" s="46"/>
      <c r="AL254" s="46"/>
      <c r="AM254" s="46"/>
      <c r="AN254" s="46"/>
      <c r="AO254" s="46"/>
      <c r="AP254" s="46"/>
      <c r="AQ254" s="46"/>
      <c r="AR254" s="46"/>
      <c r="AS254" s="46"/>
      <c r="AT254" s="46"/>
      <c r="AU254" s="46"/>
      <c r="AV254" s="46"/>
      <c r="AW254" s="46"/>
      <c r="AX254" s="46"/>
      <c r="AY254" s="46"/>
      <c r="AZ254" s="46"/>
      <c r="BA254" s="46"/>
      <c r="BB254" s="46"/>
      <c r="BC254" s="46"/>
      <c r="BD254" s="46"/>
      <c r="BE254" s="46"/>
    </row>
    <row r="255" spans="1:57" ht="14.25" customHeight="1" x14ac:dyDescent="0.3">
      <c r="A255" s="46"/>
      <c r="B255" s="37"/>
      <c r="C255" s="46" t="str">
        <f>C$15</f>
        <v>IV Treatment Revenue</v>
      </c>
      <c r="D255" s="46">
        <f t="shared" ref="D255:G273" si="176">SUMIF($2:$2,D$250,255:255)</f>
        <v>2657683.95327625</v>
      </c>
      <c r="E255" s="46">
        <f t="shared" si="176"/>
        <v>3533967.2834987035</v>
      </c>
      <c r="F255" s="46">
        <f t="shared" si="176"/>
        <v>3982162.7907138211</v>
      </c>
      <c r="G255" s="46">
        <f t="shared" si="176"/>
        <v>4487200.7066365099</v>
      </c>
      <c r="H255" s="46"/>
      <c r="I255" s="46">
        <f t="shared" ref="I255:BD255" si="177">I$15</f>
        <v>156040</v>
      </c>
      <c r="J255" s="46">
        <f t="shared" si="177"/>
        <v>176343</v>
      </c>
      <c r="K255" s="46">
        <f t="shared" si="177"/>
        <v>199395</v>
      </c>
      <c r="L255" s="46">
        <f t="shared" si="177"/>
        <v>243108</v>
      </c>
      <c r="M255" s="46">
        <f t="shared" si="177"/>
        <v>162474</v>
      </c>
      <c r="N255" s="46">
        <f t="shared" si="177"/>
        <v>132195</v>
      </c>
      <c r="O255" s="46">
        <f t="shared" si="177"/>
        <v>235725</v>
      </c>
      <c r="P255" s="46">
        <f t="shared" si="177"/>
        <v>265125</v>
      </c>
      <c r="Q255" s="46">
        <f t="shared" si="177"/>
        <v>267776.25</v>
      </c>
      <c r="R255" s="46">
        <f t="shared" si="177"/>
        <v>270454.01250000001</v>
      </c>
      <c r="S255" s="46">
        <f t="shared" si="177"/>
        <v>273158.55262500001</v>
      </c>
      <c r="T255" s="46">
        <f t="shared" si="177"/>
        <v>275890.13815125002</v>
      </c>
      <c r="U255" s="46">
        <f t="shared" si="177"/>
        <v>278649.03953276254</v>
      </c>
      <c r="V255" s="46">
        <f t="shared" si="177"/>
        <v>281435.52992809017</v>
      </c>
      <c r="W255" s="46">
        <f t="shared" si="177"/>
        <v>284249.88522737112</v>
      </c>
      <c r="X255" s="46">
        <f t="shared" si="177"/>
        <v>287092.38407964481</v>
      </c>
      <c r="Y255" s="46">
        <f t="shared" si="177"/>
        <v>289963.30792044126</v>
      </c>
      <c r="Z255" s="46">
        <f t="shared" si="177"/>
        <v>292862.94099964562</v>
      </c>
      <c r="AA255" s="46">
        <f t="shared" si="177"/>
        <v>295791.57040964213</v>
      </c>
      <c r="AB255" s="46">
        <f t="shared" si="177"/>
        <v>298749.48611373856</v>
      </c>
      <c r="AC255" s="46">
        <f t="shared" si="177"/>
        <v>301736.98097487591</v>
      </c>
      <c r="AD255" s="46">
        <f t="shared" si="177"/>
        <v>304754.35078462464</v>
      </c>
      <c r="AE255" s="46">
        <f t="shared" si="177"/>
        <v>307801.89429247094</v>
      </c>
      <c r="AF255" s="46">
        <f t="shared" si="177"/>
        <v>310879.91323539562</v>
      </c>
      <c r="AG255" s="46">
        <f t="shared" si="177"/>
        <v>313988.7123677496</v>
      </c>
      <c r="AH255" s="46">
        <f t="shared" si="177"/>
        <v>317128.59949142707</v>
      </c>
      <c r="AI255" s="46">
        <f t="shared" si="177"/>
        <v>320299.88548634131</v>
      </c>
      <c r="AJ255" s="46">
        <f t="shared" si="177"/>
        <v>323502.88434120477</v>
      </c>
      <c r="AK255" s="46">
        <f t="shared" si="177"/>
        <v>326737.91318461677</v>
      </c>
      <c r="AL255" s="46">
        <f t="shared" si="177"/>
        <v>330005.29231646296</v>
      </c>
      <c r="AM255" s="46">
        <f t="shared" si="177"/>
        <v>333305.34523962758</v>
      </c>
      <c r="AN255" s="46">
        <f t="shared" si="177"/>
        <v>336638.39869202388</v>
      </c>
      <c r="AO255" s="46">
        <f t="shared" si="177"/>
        <v>340004.78267894412</v>
      </c>
      <c r="AP255" s="46">
        <f t="shared" si="177"/>
        <v>343404.83050573355</v>
      </c>
      <c r="AQ255" s="46">
        <f t="shared" si="177"/>
        <v>346838.87881079089</v>
      </c>
      <c r="AR255" s="46">
        <f t="shared" si="177"/>
        <v>350307.26759889879</v>
      </c>
      <c r="AS255" s="46">
        <f t="shared" si="177"/>
        <v>353810.34027488774</v>
      </c>
      <c r="AT255" s="46">
        <f t="shared" si="177"/>
        <v>357348.44367763662</v>
      </c>
      <c r="AU255" s="46">
        <f t="shared" si="177"/>
        <v>360921.92811441293</v>
      </c>
      <c r="AV255" s="46">
        <f t="shared" si="177"/>
        <v>364531.14739555708</v>
      </c>
      <c r="AW255" s="46">
        <f t="shared" si="177"/>
        <v>368176.45886951266</v>
      </c>
      <c r="AX255" s="46">
        <f t="shared" si="177"/>
        <v>371858.22345820779</v>
      </c>
      <c r="AY255" s="46">
        <f t="shared" si="177"/>
        <v>375576.8056927899</v>
      </c>
      <c r="AZ255" s="46">
        <f t="shared" si="177"/>
        <v>379332.57374971785</v>
      </c>
      <c r="BA255" s="46">
        <f t="shared" si="177"/>
        <v>383125.89948721498</v>
      </c>
      <c r="BB255" s="46">
        <f t="shared" si="177"/>
        <v>386957.15848208714</v>
      </c>
      <c r="BC255" s="46">
        <f t="shared" si="177"/>
        <v>390826.730066908</v>
      </c>
      <c r="BD255" s="46">
        <f t="shared" si="177"/>
        <v>394734.9973675771</v>
      </c>
      <c r="BE255" s="46"/>
    </row>
    <row r="256" spans="1:57" ht="14.25" customHeight="1" x14ac:dyDescent="0.3">
      <c r="A256" s="46"/>
      <c r="B256" s="37"/>
      <c r="C256" s="46" t="str">
        <f>C$22</f>
        <v>IV CurcuminTreatment Revenue</v>
      </c>
      <c r="D256" s="46">
        <f t="shared" si="176"/>
        <v>1999505.8425659609</v>
      </c>
      <c r="E256" s="46">
        <f t="shared" si="176"/>
        <v>2820818.4629134419</v>
      </c>
      <c r="F256" s="46">
        <f t="shared" si="176"/>
        <v>3185730.232571058</v>
      </c>
      <c r="G256" s="46">
        <f t="shared" si="176"/>
        <v>3589760.5653092088</v>
      </c>
      <c r="H256" s="46"/>
      <c r="I256" s="46">
        <f t="shared" ref="I256:BD256" si="178">I$22</f>
        <v>145464</v>
      </c>
      <c r="J256" s="46">
        <f t="shared" si="178"/>
        <v>157550.91</v>
      </c>
      <c r="K256" s="46">
        <f t="shared" si="178"/>
        <v>188736</v>
      </c>
      <c r="L256" s="46">
        <f t="shared" si="178"/>
        <v>235755</v>
      </c>
      <c r="M256" s="46">
        <f t="shared" si="178"/>
        <v>86430</v>
      </c>
      <c r="N256" s="46">
        <f t="shared" si="178"/>
        <v>49000</v>
      </c>
      <c r="O256" s="46">
        <f t="shared" si="178"/>
        <v>140728</v>
      </c>
      <c r="P256" s="46">
        <f t="shared" si="178"/>
        <v>187496.4</v>
      </c>
      <c r="Q256" s="46">
        <f t="shared" si="178"/>
        <v>193158.79128000003</v>
      </c>
      <c r="R256" s="46">
        <f t="shared" si="178"/>
        <v>198992.18677665605</v>
      </c>
      <c r="S256" s="46">
        <f t="shared" si="178"/>
        <v>205001.75081731105</v>
      </c>
      <c r="T256" s="46">
        <f t="shared" si="178"/>
        <v>211192.80369199385</v>
      </c>
      <c r="U256" s="46">
        <f t="shared" si="178"/>
        <v>217570.82636349206</v>
      </c>
      <c r="V256" s="46">
        <f t="shared" si="178"/>
        <v>224141.46531966954</v>
      </c>
      <c r="W256" s="46">
        <f t="shared" si="178"/>
        <v>227399.90818189684</v>
      </c>
      <c r="X256" s="46">
        <f t="shared" si="178"/>
        <v>229673.90726371581</v>
      </c>
      <c r="Y256" s="46">
        <f t="shared" si="178"/>
        <v>231970.64633635298</v>
      </c>
      <c r="Z256" s="46">
        <f t="shared" si="178"/>
        <v>234290.35279971649</v>
      </c>
      <c r="AA256" s="46">
        <f t="shared" si="178"/>
        <v>236633.25632771364</v>
      </c>
      <c r="AB256" s="46">
        <f t="shared" si="178"/>
        <v>238999.5888909908</v>
      </c>
      <c r="AC256" s="46">
        <f t="shared" si="178"/>
        <v>241389.58477990073</v>
      </c>
      <c r="AD256" s="46">
        <f t="shared" si="178"/>
        <v>243803.48062769973</v>
      </c>
      <c r="AE256" s="46">
        <f t="shared" si="178"/>
        <v>246241.51543397672</v>
      </c>
      <c r="AF256" s="46">
        <f t="shared" si="178"/>
        <v>248703.93058831649</v>
      </c>
      <c r="AG256" s="46">
        <f t="shared" si="178"/>
        <v>251190.96989419966</v>
      </c>
      <c r="AH256" s="46">
        <f t="shared" si="178"/>
        <v>253702.87959314164</v>
      </c>
      <c r="AI256" s="46">
        <f t="shared" si="178"/>
        <v>256239.90838907307</v>
      </c>
      <c r="AJ256" s="46">
        <f t="shared" si="178"/>
        <v>258802.30747296382</v>
      </c>
      <c r="AK256" s="46">
        <f t="shared" si="178"/>
        <v>261390.33054769345</v>
      </c>
      <c r="AL256" s="46">
        <f t="shared" si="178"/>
        <v>264004.23385317042</v>
      </c>
      <c r="AM256" s="46">
        <f t="shared" si="178"/>
        <v>266644.27619170211</v>
      </c>
      <c r="AN256" s="46">
        <f t="shared" si="178"/>
        <v>269310.71895361913</v>
      </c>
      <c r="AO256" s="46">
        <f t="shared" si="178"/>
        <v>272003.82614315534</v>
      </c>
      <c r="AP256" s="46">
        <f t="shared" si="178"/>
        <v>274723.8644045869</v>
      </c>
      <c r="AQ256" s="46">
        <f t="shared" si="178"/>
        <v>277471.10304863279</v>
      </c>
      <c r="AR256" s="46">
        <f t="shared" si="178"/>
        <v>280245.81407911913</v>
      </c>
      <c r="AS256" s="46">
        <f t="shared" si="178"/>
        <v>283048.27221991029</v>
      </c>
      <c r="AT256" s="46">
        <f t="shared" si="178"/>
        <v>285878.7549421094</v>
      </c>
      <c r="AU256" s="46">
        <f t="shared" si="178"/>
        <v>288737.54249153053</v>
      </c>
      <c r="AV256" s="46">
        <f t="shared" si="178"/>
        <v>291624.91791644582</v>
      </c>
      <c r="AW256" s="46">
        <f t="shared" si="178"/>
        <v>294541.16709561029</v>
      </c>
      <c r="AX256" s="46">
        <f t="shared" si="178"/>
        <v>297486.57876656641</v>
      </c>
      <c r="AY256" s="46">
        <f t="shared" si="178"/>
        <v>300461.44455423206</v>
      </c>
      <c r="AZ256" s="46">
        <f t="shared" si="178"/>
        <v>303466.05899977434</v>
      </c>
      <c r="BA256" s="46">
        <f t="shared" si="178"/>
        <v>306500.71958977211</v>
      </c>
      <c r="BB256" s="46">
        <f t="shared" si="178"/>
        <v>309565.7267856698</v>
      </c>
      <c r="BC256" s="46">
        <f t="shared" si="178"/>
        <v>312661.3840535265</v>
      </c>
      <c r="BD256" s="46">
        <f t="shared" si="178"/>
        <v>315787.99789406179</v>
      </c>
      <c r="BE256" s="46"/>
    </row>
    <row r="257" spans="1:57" ht="14.25" customHeight="1" x14ac:dyDescent="0.3">
      <c r="A257" s="46"/>
      <c r="B257" s="37"/>
      <c r="C257" s="46" t="str">
        <f>C$29</f>
        <v>Laser Treatment Revenue</v>
      </c>
      <c r="D257" s="46">
        <f t="shared" si="176"/>
        <v>184352.58001976821</v>
      </c>
      <c r="E257" s="46">
        <f t="shared" si="176"/>
        <v>167965.0817665162</v>
      </c>
      <c r="F257" s="46">
        <f t="shared" si="176"/>
        <v>213020.33672341119</v>
      </c>
      <c r="G257" s="46">
        <f t="shared" si="176"/>
        <v>270161.29412441672</v>
      </c>
      <c r="H257" s="46"/>
      <c r="I257" s="46">
        <f t="shared" ref="I257:BD257" si="179">I$29</f>
        <v>36000</v>
      </c>
      <c r="J257" s="46">
        <f t="shared" si="179"/>
        <v>17220</v>
      </c>
      <c r="K257" s="46">
        <f t="shared" si="179"/>
        <v>28250</v>
      </c>
      <c r="L257" s="46">
        <f t="shared" si="179"/>
        <v>27640</v>
      </c>
      <c r="M257" s="46">
        <f t="shared" si="179"/>
        <v>7170</v>
      </c>
      <c r="N257" s="46">
        <f t="shared" si="179"/>
        <v>0</v>
      </c>
      <c r="O257" s="46">
        <f t="shared" si="179"/>
        <v>9044</v>
      </c>
      <c r="P257" s="46">
        <f t="shared" si="179"/>
        <v>11342.837142857143</v>
      </c>
      <c r="Q257" s="46">
        <f t="shared" si="179"/>
        <v>11569.693885714287</v>
      </c>
      <c r="R257" s="46">
        <f t="shared" si="179"/>
        <v>11801.087763428573</v>
      </c>
      <c r="S257" s="46">
        <f t="shared" si="179"/>
        <v>12037.109518697143</v>
      </c>
      <c r="T257" s="46">
        <f t="shared" si="179"/>
        <v>12277.851709071087</v>
      </c>
      <c r="U257" s="46">
        <f t="shared" si="179"/>
        <v>12523.408743252508</v>
      </c>
      <c r="V257" s="46">
        <f t="shared" si="179"/>
        <v>12773.876918117559</v>
      </c>
      <c r="W257" s="46">
        <f t="shared" si="179"/>
        <v>13029.35445647991</v>
      </c>
      <c r="X257" s="46">
        <f t="shared" si="179"/>
        <v>13289.94154560951</v>
      </c>
      <c r="Y257" s="46">
        <f t="shared" si="179"/>
        <v>13555.7403765217</v>
      </c>
      <c r="Z257" s="46">
        <f t="shared" si="179"/>
        <v>13826.855184052136</v>
      </c>
      <c r="AA257" s="46">
        <f t="shared" si="179"/>
        <v>14103.392287733177</v>
      </c>
      <c r="AB257" s="46">
        <f t="shared" si="179"/>
        <v>14385.460133487841</v>
      </c>
      <c r="AC257" s="46">
        <f t="shared" si="179"/>
        <v>14673.169336157598</v>
      </c>
      <c r="AD257" s="46">
        <f t="shared" si="179"/>
        <v>14966.632722880749</v>
      </c>
      <c r="AE257" s="46">
        <f t="shared" si="179"/>
        <v>15265.965377338363</v>
      </c>
      <c r="AF257" s="46">
        <f t="shared" si="179"/>
        <v>15571.284684885133</v>
      </c>
      <c r="AG257" s="46">
        <f t="shared" si="179"/>
        <v>15882.710378582837</v>
      </c>
      <c r="AH257" s="46">
        <f t="shared" si="179"/>
        <v>16200.364586154494</v>
      </c>
      <c r="AI257" s="46">
        <f t="shared" si="179"/>
        <v>16524.371877877584</v>
      </c>
      <c r="AJ257" s="46">
        <f t="shared" si="179"/>
        <v>16854.859315435137</v>
      </c>
      <c r="AK257" s="46">
        <f t="shared" si="179"/>
        <v>17191.95650174384</v>
      </c>
      <c r="AL257" s="46">
        <f t="shared" si="179"/>
        <v>17535.795631778714</v>
      </c>
      <c r="AM257" s="46">
        <f t="shared" si="179"/>
        <v>17886.51154441429</v>
      </c>
      <c r="AN257" s="46">
        <f t="shared" si="179"/>
        <v>18244.241775302577</v>
      </c>
      <c r="AO257" s="46">
        <f t="shared" si="179"/>
        <v>18609.126610808627</v>
      </c>
      <c r="AP257" s="46">
        <f t="shared" si="179"/>
        <v>18981.309143024799</v>
      </c>
      <c r="AQ257" s="46">
        <f t="shared" si="179"/>
        <v>19360.935325885293</v>
      </c>
      <c r="AR257" s="46">
        <f t="shared" si="179"/>
        <v>19748.154032402999</v>
      </c>
      <c r="AS257" s="46">
        <f t="shared" si="179"/>
        <v>20143.117113051063</v>
      </c>
      <c r="AT257" s="46">
        <f t="shared" si="179"/>
        <v>20545.979455312085</v>
      </c>
      <c r="AU257" s="46">
        <f t="shared" si="179"/>
        <v>20956.899044418326</v>
      </c>
      <c r="AV257" s="46">
        <f t="shared" si="179"/>
        <v>21376.037025306694</v>
      </c>
      <c r="AW257" s="46">
        <f t="shared" si="179"/>
        <v>21803.557765812824</v>
      </c>
      <c r="AX257" s="46">
        <f t="shared" si="179"/>
        <v>22239.628921129086</v>
      </c>
      <c r="AY257" s="46">
        <f t="shared" si="179"/>
        <v>22684.421499551663</v>
      </c>
      <c r="AZ257" s="46">
        <f t="shared" si="179"/>
        <v>23138.109929542698</v>
      </c>
      <c r="BA257" s="46">
        <f t="shared" si="179"/>
        <v>23600.872128133553</v>
      </c>
      <c r="BB257" s="46">
        <f t="shared" si="179"/>
        <v>24072.889570696225</v>
      </c>
      <c r="BC257" s="46">
        <f t="shared" si="179"/>
        <v>24554.347362110151</v>
      </c>
      <c r="BD257" s="46">
        <f t="shared" si="179"/>
        <v>25045.434309352353</v>
      </c>
      <c r="BE257" s="46"/>
    </row>
    <row r="258" spans="1:57" ht="14.25" customHeight="1" x14ac:dyDescent="0.3">
      <c r="A258" s="46"/>
      <c r="B258" s="37"/>
      <c r="C258" s="46" t="str">
        <f>C$34</f>
        <v>Hyperthermia Session Revenue</v>
      </c>
      <c r="D258" s="46">
        <f t="shared" si="176"/>
        <v>4443642.3457259033</v>
      </c>
      <c r="E258" s="46">
        <f t="shared" si="176"/>
        <v>6519084.0685512125</v>
      </c>
      <c r="F258" s="46">
        <f t="shared" si="176"/>
        <v>7715136</v>
      </c>
      <c r="G258" s="46">
        <f t="shared" si="176"/>
        <v>7715136</v>
      </c>
      <c r="H258" s="46"/>
      <c r="I258" s="46">
        <f t="shared" ref="I258:BD258" si="180">I$34</f>
        <v>454421.73913043481</v>
      </c>
      <c r="J258" s="46">
        <f t="shared" si="180"/>
        <v>394102.5</v>
      </c>
      <c r="K258" s="46">
        <f t="shared" si="180"/>
        <v>513106</v>
      </c>
      <c r="L258" s="46">
        <f t="shared" si="180"/>
        <v>408012</v>
      </c>
      <c r="M258" s="46">
        <f t="shared" si="180"/>
        <v>245734.5</v>
      </c>
      <c r="N258" s="46">
        <f t="shared" si="180"/>
        <v>315282</v>
      </c>
      <c r="O258" s="46">
        <f t="shared" si="180"/>
        <v>310645.5</v>
      </c>
      <c r="P258" s="46">
        <f t="shared" si="180"/>
        <v>326177.77500000002</v>
      </c>
      <c r="Q258" s="46">
        <f t="shared" si="180"/>
        <v>342486.66375000001</v>
      </c>
      <c r="R258" s="46">
        <f t="shared" si="180"/>
        <v>359610.99693750002</v>
      </c>
      <c r="S258" s="46">
        <f t="shared" si="180"/>
        <v>377591.5467843751</v>
      </c>
      <c r="T258" s="46">
        <f t="shared" si="180"/>
        <v>396471.12412359391</v>
      </c>
      <c r="U258" s="46">
        <f t="shared" si="180"/>
        <v>416294.68032977363</v>
      </c>
      <c r="V258" s="46">
        <f t="shared" si="180"/>
        <v>437109.41434626235</v>
      </c>
      <c r="W258" s="46">
        <f t="shared" si="180"/>
        <v>458964.88506357546</v>
      </c>
      <c r="X258" s="46">
        <f t="shared" si="180"/>
        <v>481913.12931675429</v>
      </c>
      <c r="Y258" s="46">
        <f t="shared" si="180"/>
        <v>506008.78578259202</v>
      </c>
      <c r="Z258" s="46">
        <f t="shared" si="180"/>
        <v>531309.22507172171</v>
      </c>
      <c r="AA258" s="46">
        <f t="shared" si="180"/>
        <v>557874.68632530782</v>
      </c>
      <c r="AB258" s="46">
        <f t="shared" si="180"/>
        <v>585768.42064157326</v>
      </c>
      <c r="AC258" s="46">
        <f t="shared" si="180"/>
        <v>615056.84167365194</v>
      </c>
      <c r="AD258" s="46">
        <f t="shared" si="180"/>
        <v>642928</v>
      </c>
      <c r="AE258" s="46">
        <f t="shared" si="180"/>
        <v>642928</v>
      </c>
      <c r="AF258" s="46">
        <f t="shared" si="180"/>
        <v>642928</v>
      </c>
      <c r="AG258" s="46">
        <f t="shared" si="180"/>
        <v>642928</v>
      </c>
      <c r="AH258" s="46">
        <f t="shared" si="180"/>
        <v>642928</v>
      </c>
      <c r="AI258" s="46">
        <f t="shared" si="180"/>
        <v>642928</v>
      </c>
      <c r="AJ258" s="46">
        <f t="shared" si="180"/>
        <v>642928</v>
      </c>
      <c r="AK258" s="46">
        <f t="shared" si="180"/>
        <v>642928</v>
      </c>
      <c r="AL258" s="46">
        <f t="shared" si="180"/>
        <v>642928</v>
      </c>
      <c r="AM258" s="46">
        <f t="shared" si="180"/>
        <v>642928</v>
      </c>
      <c r="AN258" s="46">
        <f t="shared" si="180"/>
        <v>642928</v>
      </c>
      <c r="AO258" s="46">
        <f t="shared" si="180"/>
        <v>642928</v>
      </c>
      <c r="AP258" s="46">
        <f t="shared" si="180"/>
        <v>642928</v>
      </c>
      <c r="AQ258" s="46">
        <f t="shared" si="180"/>
        <v>642928</v>
      </c>
      <c r="AR258" s="46">
        <f t="shared" si="180"/>
        <v>642928</v>
      </c>
      <c r="AS258" s="46">
        <f t="shared" si="180"/>
        <v>642928</v>
      </c>
      <c r="AT258" s="46">
        <f t="shared" si="180"/>
        <v>642928</v>
      </c>
      <c r="AU258" s="46">
        <f t="shared" si="180"/>
        <v>642928</v>
      </c>
      <c r="AV258" s="46">
        <f t="shared" si="180"/>
        <v>642928</v>
      </c>
      <c r="AW258" s="46">
        <f t="shared" si="180"/>
        <v>642928</v>
      </c>
      <c r="AX258" s="46">
        <f t="shared" si="180"/>
        <v>642928</v>
      </c>
      <c r="AY258" s="46">
        <f t="shared" si="180"/>
        <v>642928</v>
      </c>
      <c r="AZ258" s="46">
        <f t="shared" si="180"/>
        <v>642928</v>
      </c>
      <c r="BA258" s="46">
        <f t="shared" si="180"/>
        <v>642928</v>
      </c>
      <c r="BB258" s="46">
        <f t="shared" si="180"/>
        <v>642928</v>
      </c>
      <c r="BC258" s="46">
        <f t="shared" si="180"/>
        <v>642928</v>
      </c>
      <c r="BD258" s="46">
        <f t="shared" si="180"/>
        <v>642928</v>
      </c>
      <c r="BE258" s="46"/>
    </row>
    <row r="259" spans="1:57" ht="14.25" customHeight="1" x14ac:dyDescent="0.3">
      <c r="A259" s="46"/>
      <c r="B259" s="37"/>
      <c r="C259" s="46" t="str">
        <f>C$41</f>
        <v>Hyperthermia 2 Session Revenue</v>
      </c>
      <c r="D259" s="46">
        <f t="shared" si="176"/>
        <v>353024.83125000005</v>
      </c>
      <c r="E259" s="46">
        <f t="shared" si="176"/>
        <v>2063396.6657686697</v>
      </c>
      <c r="F259" s="46">
        <f t="shared" si="176"/>
        <v>3705563.9553136351</v>
      </c>
      <c r="G259" s="46">
        <f t="shared" si="176"/>
        <v>6654660.4706295766</v>
      </c>
      <c r="H259" s="46"/>
      <c r="I259" s="46">
        <f t="shared" ref="I259:BD259" si="181">I$41</f>
        <v>0</v>
      </c>
      <c r="J259" s="46">
        <f t="shared" si="181"/>
        <v>0</v>
      </c>
      <c r="K259" s="46">
        <f t="shared" si="181"/>
        <v>0</v>
      </c>
      <c r="L259" s="46">
        <f t="shared" si="181"/>
        <v>0</v>
      </c>
      <c r="M259" s="46">
        <f t="shared" si="181"/>
        <v>0</v>
      </c>
      <c r="N259" s="46">
        <f t="shared" si="181"/>
        <v>0</v>
      </c>
      <c r="O259" s="46">
        <f t="shared" si="181"/>
        <v>0</v>
      </c>
      <c r="P259" s="46">
        <f t="shared" si="181"/>
        <v>0</v>
      </c>
      <c r="Q259" s="46">
        <f t="shared" si="181"/>
        <v>0</v>
      </c>
      <c r="R259" s="46">
        <f t="shared" si="181"/>
        <v>111982.5</v>
      </c>
      <c r="S259" s="46">
        <f t="shared" si="181"/>
        <v>117581.62500000001</v>
      </c>
      <c r="T259" s="46">
        <f t="shared" si="181"/>
        <v>123460.70625000002</v>
      </c>
      <c r="U259" s="46">
        <f t="shared" si="181"/>
        <v>129633.74156250003</v>
      </c>
      <c r="V259" s="46">
        <f t="shared" si="181"/>
        <v>136115.42864062503</v>
      </c>
      <c r="W259" s="46">
        <f t="shared" si="181"/>
        <v>142921.2000726563</v>
      </c>
      <c r="X259" s="46">
        <f t="shared" si="181"/>
        <v>150067.26007628909</v>
      </c>
      <c r="Y259" s="46">
        <f t="shared" si="181"/>
        <v>157570.62308010357</v>
      </c>
      <c r="Z259" s="46">
        <f t="shared" si="181"/>
        <v>165449.15423410875</v>
      </c>
      <c r="AA259" s="46">
        <f t="shared" si="181"/>
        <v>173721.61194581419</v>
      </c>
      <c r="AB259" s="46">
        <f t="shared" si="181"/>
        <v>182407.6925431049</v>
      </c>
      <c r="AC259" s="46">
        <f t="shared" si="181"/>
        <v>191528.07717026016</v>
      </c>
      <c r="AD259" s="46">
        <f t="shared" si="181"/>
        <v>201104.48102877318</v>
      </c>
      <c r="AE259" s="46">
        <f t="shared" si="181"/>
        <v>211159.70508021183</v>
      </c>
      <c r="AF259" s="46">
        <f t="shared" si="181"/>
        <v>221717.69033422245</v>
      </c>
      <c r="AG259" s="46">
        <f t="shared" si="181"/>
        <v>232803.5748509336</v>
      </c>
      <c r="AH259" s="46">
        <f t="shared" si="181"/>
        <v>244443.75359348024</v>
      </c>
      <c r="AI259" s="46">
        <f t="shared" si="181"/>
        <v>256665.94127315425</v>
      </c>
      <c r="AJ259" s="46">
        <f t="shared" si="181"/>
        <v>269499.23833681201</v>
      </c>
      <c r="AK259" s="46">
        <f t="shared" si="181"/>
        <v>282974.20025365258</v>
      </c>
      <c r="AL259" s="46">
        <f t="shared" si="181"/>
        <v>297122.91026633524</v>
      </c>
      <c r="AM259" s="46">
        <f t="shared" si="181"/>
        <v>311979.05577965197</v>
      </c>
      <c r="AN259" s="46">
        <f t="shared" si="181"/>
        <v>327578.00856863463</v>
      </c>
      <c r="AO259" s="46">
        <f t="shared" si="181"/>
        <v>343956.90899706638</v>
      </c>
      <c r="AP259" s="46">
        <f t="shared" si="181"/>
        <v>361154.75444691972</v>
      </c>
      <c r="AQ259" s="46">
        <f t="shared" si="181"/>
        <v>379212.49216926569</v>
      </c>
      <c r="AR259" s="46">
        <f t="shared" si="181"/>
        <v>398173.11677772901</v>
      </c>
      <c r="AS259" s="46">
        <f t="shared" si="181"/>
        <v>418081.77261661546</v>
      </c>
      <c r="AT259" s="46">
        <f t="shared" si="181"/>
        <v>438985.86124744621</v>
      </c>
      <c r="AU259" s="46">
        <f t="shared" si="181"/>
        <v>460935.15430981852</v>
      </c>
      <c r="AV259" s="46">
        <f t="shared" si="181"/>
        <v>483981.9120253094</v>
      </c>
      <c r="AW259" s="46">
        <f t="shared" si="181"/>
        <v>508181.00762657495</v>
      </c>
      <c r="AX259" s="46">
        <f t="shared" si="181"/>
        <v>533590.05800790375</v>
      </c>
      <c r="AY259" s="46">
        <f t="shared" si="181"/>
        <v>560269.56090829894</v>
      </c>
      <c r="AZ259" s="46">
        <f t="shared" si="181"/>
        <v>588283.03895371396</v>
      </c>
      <c r="BA259" s="46">
        <f t="shared" si="181"/>
        <v>617697.19090139959</v>
      </c>
      <c r="BB259" s="46">
        <f t="shared" si="181"/>
        <v>648582.05044646957</v>
      </c>
      <c r="BC259" s="46">
        <f t="shared" si="181"/>
        <v>681011.15296879306</v>
      </c>
      <c r="BD259" s="46">
        <f t="shared" si="181"/>
        <v>715061.71061723283</v>
      </c>
      <c r="BE259" s="46"/>
    </row>
    <row r="260" spans="1:57" ht="14.25" customHeight="1" x14ac:dyDescent="0.3">
      <c r="A260" s="46"/>
      <c r="B260" s="37"/>
      <c r="C260" s="46" t="str">
        <f>C$48</f>
        <v>HBOT 1 Session Revenue</v>
      </c>
      <c r="D260" s="46">
        <f t="shared" si="176"/>
        <v>42000</v>
      </c>
      <c r="E260" s="46">
        <f t="shared" si="176"/>
        <v>701945.27955151815</v>
      </c>
      <c r="F260" s="46">
        <f t="shared" si="176"/>
        <v>1260592.8708039667</v>
      </c>
      <c r="G260" s="46">
        <f t="shared" si="176"/>
        <v>2263843.6815717011</v>
      </c>
      <c r="H260" s="46"/>
      <c r="I260" s="46">
        <f t="shared" ref="I260:BD260" si="182">I$48</f>
        <v>0</v>
      </c>
      <c r="J260" s="46">
        <f t="shared" si="182"/>
        <v>0</v>
      </c>
      <c r="K260" s="46">
        <f t="shared" si="182"/>
        <v>0</v>
      </c>
      <c r="L260" s="46">
        <f t="shared" si="182"/>
        <v>0</v>
      </c>
      <c r="M260" s="46">
        <f t="shared" si="182"/>
        <v>0</v>
      </c>
      <c r="N260" s="46">
        <f t="shared" si="182"/>
        <v>0</v>
      </c>
      <c r="O260" s="46">
        <f t="shared" si="182"/>
        <v>0</v>
      </c>
      <c r="P260" s="46">
        <f t="shared" si="182"/>
        <v>0</v>
      </c>
      <c r="Q260" s="46">
        <f t="shared" si="182"/>
        <v>0</v>
      </c>
      <c r="R260" s="46">
        <f t="shared" si="182"/>
        <v>0</v>
      </c>
      <c r="S260" s="46">
        <f t="shared" si="182"/>
        <v>0</v>
      </c>
      <c r="T260" s="46">
        <f t="shared" si="182"/>
        <v>42000</v>
      </c>
      <c r="U260" s="46">
        <f t="shared" si="182"/>
        <v>44100</v>
      </c>
      <c r="V260" s="46">
        <f t="shared" si="182"/>
        <v>46305.000000000007</v>
      </c>
      <c r="W260" s="46">
        <f t="shared" si="182"/>
        <v>48620.250000000007</v>
      </c>
      <c r="X260" s="46">
        <f t="shared" si="182"/>
        <v>51051.262500000012</v>
      </c>
      <c r="Y260" s="46">
        <f t="shared" si="182"/>
        <v>53603.825625000019</v>
      </c>
      <c r="Z260" s="46">
        <f t="shared" si="182"/>
        <v>56284.016906250021</v>
      </c>
      <c r="AA260" s="46">
        <f t="shared" si="182"/>
        <v>59098.217751562523</v>
      </c>
      <c r="AB260" s="46">
        <f t="shared" si="182"/>
        <v>62053.128639140647</v>
      </c>
      <c r="AC260" s="46">
        <f t="shared" si="182"/>
        <v>65155.785071097678</v>
      </c>
      <c r="AD260" s="46">
        <f t="shared" si="182"/>
        <v>68413.574324652567</v>
      </c>
      <c r="AE260" s="46">
        <f t="shared" si="182"/>
        <v>71834.253040885204</v>
      </c>
      <c r="AF260" s="46">
        <f t="shared" si="182"/>
        <v>75425.965692929472</v>
      </c>
      <c r="AG260" s="46">
        <f t="shared" si="182"/>
        <v>79197.263977575945</v>
      </c>
      <c r="AH260" s="46">
        <f t="shared" si="182"/>
        <v>83157.127176454756</v>
      </c>
      <c r="AI260" s="46">
        <f t="shared" si="182"/>
        <v>87314.983535277497</v>
      </c>
      <c r="AJ260" s="46">
        <f t="shared" si="182"/>
        <v>91680.732712041383</v>
      </c>
      <c r="AK260" s="46">
        <f t="shared" si="182"/>
        <v>96264.769347643451</v>
      </c>
      <c r="AL260" s="46">
        <f t="shared" si="182"/>
        <v>101078.00781502562</v>
      </c>
      <c r="AM260" s="46">
        <f t="shared" si="182"/>
        <v>106131.90820577691</v>
      </c>
      <c r="AN260" s="46">
        <f t="shared" si="182"/>
        <v>111438.50361606576</v>
      </c>
      <c r="AO260" s="46">
        <f t="shared" si="182"/>
        <v>117010.42879686906</v>
      </c>
      <c r="AP260" s="46">
        <f t="shared" si="182"/>
        <v>122860.95023671251</v>
      </c>
      <c r="AQ260" s="46">
        <f t="shared" si="182"/>
        <v>129003.99774854815</v>
      </c>
      <c r="AR260" s="46">
        <f t="shared" si="182"/>
        <v>135454.19763597555</v>
      </c>
      <c r="AS260" s="46">
        <f t="shared" si="182"/>
        <v>142226.90751777432</v>
      </c>
      <c r="AT260" s="46">
        <f t="shared" si="182"/>
        <v>149338.25289366307</v>
      </c>
      <c r="AU260" s="46">
        <f t="shared" si="182"/>
        <v>156805.16553834622</v>
      </c>
      <c r="AV260" s="46">
        <f t="shared" si="182"/>
        <v>164645.42381526352</v>
      </c>
      <c r="AW260" s="46">
        <f t="shared" si="182"/>
        <v>172877.69500602671</v>
      </c>
      <c r="AX260" s="46">
        <f t="shared" si="182"/>
        <v>181521.57975632808</v>
      </c>
      <c r="AY260" s="46">
        <f t="shared" si="182"/>
        <v>190597.65874414449</v>
      </c>
      <c r="AZ260" s="46">
        <f t="shared" si="182"/>
        <v>200127.54168135172</v>
      </c>
      <c r="BA260" s="46">
        <f t="shared" si="182"/>
        <v>210133.91876541931</v>
      </c>
      <c r="BB260" s="46">
        <f t="shared" si="182"/>
        <v>220640.61470369028</v>
      </c>
      <c r="BC260" s="46">
        <f t="shared" si="182"/>
        <v>231672.64543887484</v>
      </c>
      <c r="BD260" s="46">
        <f t="shared" si="182"/>
        <v>243256.2777108186</v>
      </c>
      <c r="BE260" s="46"/>
    </row>
    <row r="261" spans="1:57" ht="14.25" customHeight="1" x14ac:dyDescent="0.3">
      <c r="A261" s="46"/>
      <c r="B261" s="37"/>
      <c r="C261" s="46" t="str">
        <f>C$55</f>
        <v>HBOT 2 Session Revenue</v>
      </c>
      <c r="D261" s="46">
        <f t="shared" si="176"/>
        <v>0</v>
      </c>
      <c r="E261" s="46">
        <f t="shared" si="176"/>
        <v>0</v>
      </c>
      <c r="F261" s="46">
        <f t="shared" si="176"/>
        <v>0</v>
      </c>
      <c r="G261" s="46">
        <f t="shared" si="176"/>
        <v>0</v>
      </c>
      <c r="H261" s="46"/>
      <c r="I261" s="46">
        <f t="shared" ref="I261:BD261" si="183">I$55</f>
        <v>0</v>
      </c>
      <c r="J261" s="46">
        <f t="shared" si="183"/>
        <v>0</v>
      </c>
      <c r="K261" s="46">
        <f t="shared" si="183"/>
        <v>0</v>
      </c>
      <c r="L261" s="46">
        <f t="shared" si="183"/>
        <v>0</v>
      </c>
      <c r="M261" s="46">
        <f t="shared" si="183"/>
        <v>0</v>
      </c>
      <c r="N261" s="46">
        <f t="shared" si="183"/>
        <v>0</v>
      </c>
      <c r="O261" s="46">
        <f t="shared" si="183"/>
        <v>0</v>
      </c>
      <c r="P261" s="46">
        <f t="shared" si="183"/>
        <v>0</v>
      </c>
      <c r="Q261" s="46">
        <f t="shared" si="183"/>
        <v>0</v>
      </c>
      <c r="R261" s="46">
        <f t="shared" si="183"/>
        <v>0</v>
      </c>
      <c r="S261" s="46">
        <f t="shared" si="183"/>
        <v>0</v>
      </c>
      <c r="T261" s="46">
        <f t="shared" si="183"/>
        <v>0</v>
      </c>
      <c r="U261" s="46">
        <f t="shared" si="183"/>
        <v>0</v>
      </c>
      <c r="V261" s="46">
        <f t="shared" si="183"/>
        <v>0</v>
      </c>
      <c r="W261" s="46">
        <f t="shared" si="183"/>
        <v>0</v>
      </c>
      <c r="X261" s="46">
        <f t="shared" si="183"/>
        <v>0</v>
      </c>
      <c r="Y261" s="46">
        <f t="shared" si="183"/>
        <v>0</v>
      </c>
      <c r="Z261" s="46">
        <f t="shared" si="183"/>
        <v>0</v>
      </c>
      <c r="AA261" s="46">
        <f t="shared" si="183"/>
        <v>0</v>
      </c>
      <c r="AB261" s="46">
        <f t="shared" si="183"/>
        <v>0</v>
      </c>
      <c r="AC261" s="46">
        <f t="shared" si="183"/>
        <v>0</v>
      </c>
      <c r="AD261" s="46">
        <f t="shared" si="183"/>
        <v>0</v>
      </c>
      <c r="AE261" s="46">
        <f t="shared" si="183"/>
        <v>0</v>
      </c>
      <c r="AF261" s="46">
        <f t="shared" si="183"/>
        <v>0</v>
      </c>
      <c r="AG261" s="46">
        <f t="shared" si="183"/>
        <v>0</v>
      </c>
      <c r="AH261" s="46">
        <f t="shared" si="183"/>
        <v>0</v>
      </c>
      <c r="AI261" s="46">
        <f t="shared" si="183"/>
        <v>0</v>
      </c>
      <c r="AJ261" s="46">
        <f t="shared" si="183"/>
        <v>0</v>
      </c>
      <c r="AK261" s="46">
        <f t="shared" si="183"/>
        <v>0</v>
      </c>
      <c r="AL261" s="46">
        <f t="shared" si="183"/>
        <v>0</v>
      </c>
      <c r="AM261" s="46">
        <f t="shared" si="183"/>
        <v>0</v>
      </c>
      <c r="AN261" s="46">
        <f t="shared" si="183"/>
        <v>0</v>
      </c>
      <c r="AO261" s="46">
        <f t="shared" si="183"/>
        <v>0</v>
      </c>
      <c r="AP261" s="46">
        <f t="shared" si="183"/>
        <v>0</v>
      </c>
      <c r="AQ261" s="46">
        <f t="shared" si="183"/>
        <v>0</v>
      </c>
      <c r="AR261" s="46">
        <f t="shared" si="183"/>
        <v>0</v>
      </c>
      <c r="AS261" s="46">
        <f t="shared" si="183"/>
        <v>0</v>
      </c>
      <c r="AT261" s="46">
        <f t="shared" si="183"/>
        <v>0</v>
      </c>
      <c r="AU261" s="46">
        <f t="shared" si="183"/>
        <v>0</v>
      </c>
      <c r="AV261" s="46">
        <f t="shared" si="183"/>
        <v>0</v>
      </c>
      <c r="AW261" s="46">
        <f t="shared" si="183"/>
        <v>0</v>
      </c>
      <c r="AX261" s="46">
        <f t="shared" si="183"/>
        <v>0</v>
      </c>
      <c r="AY261" s="46">
        <f t="shared" si="183"/>
        <v>0</v>
      </c>
      <c r="AZ261" s="46">
        <f t="shared" si="183"/>
        <v>0</v>
      </c>
      <c r="BA261" s="46">
        <f t="shared" si="183"/>
        <v>0</v>
      </c>
      <c r="BB261" s="46">
        <f t="shared" si="183"/>
        <v>0</v>
      </c>
      <c r="BC261" s="46">
        <f t="shared" si="183"/>
        <v>0</v>
      </c>
      <c r="BD261" s="46">
        <f t="shared" si="183"/>
        <v>0</v>
      </c>
      <c r="BE261" s="46"/>
    </row>
    <row r="262" spans="1:57" ht="14.25" customHeight="1" x14ac:dyDescent="0.3">
      <c r="A262" s="46"/>
      <c r="B262" s="37"/>
      <c r="C262" s="46" t="str">
        <f>C$62</f>
        <v>PDT Low Treatment Revenue</v>
      </c>
      <c r="D262" s="46">
        <f t="shared" si="176"/>
        <v>3415801.1057031211</v>
      </c>
      <c r="E262" s="46">
        <f t="shared" si="176"/>
        <v>3199722.3959489143</v>
      </c>
      <c r="F262" s="46">
        <f t="shared" si="176"/>
        <v>4303270.8910022797</v>
      </c>
      <c r="G262" s="46">
        <f t="shared" si="176"/>
        <v>5664918.6959546106</v>
      </c>
      <c r="H262" s="46"/>
      <c r="I262" s="46">
        <f>I$62</f>
        <v>622464.75999999593</v>
      </c>
      <c r="J262" s="46">
        <f t="shared" ref="J262:BD262" si="184">J$62</f>
        <v>416303</v>
      </c>
      <c r="K262" s="46">
        <f t="shared" si="184"/>
        <v>0</v>
      </c>
      <c r="L262" s="46">
        <f t="shared" si="184"/>
        <v>656453</v>
      </c>
      <c r="M262" s="46">
        <f t="shared" si="184"/>
        <v>350056</v>
      </c>
      <c r="N262" s="46">
        <f t="shared" si="184"/>
        <v>292977</v>
      </c>
      <c r="O262" s="46">
        <f t="shared" si="184"/>
        <v>0</v>
      </c>
      <c r="P262" s="46">
        <f t="shared" si="184"/>
        <v>204999.99999999997</v>
      </c>
      <c r="Q262" s="46">
        <f t="shared" si="184"/>
        <v>210124.99999999997</v>
      </c>
      <c r="R262" s="46">
        <f t="shared" si="184"/>
        <v>215378.12499999997</v>
      </c>
      <c r="S262" s="46">
        <f t="shared" si="184"/>
        <v>220762.57812499994</v>
      </c>
      <c r="T262" s="46">
        <f t="shared" si="184"/>
        <v>226281.64257812494</v>
      </c>
      <c r="U262" s="46">
        <f t="shared" si="184"/>
        <v>231938.68364257805</v>
      </c>
      <c r="V262" s="46">
        <f t="shared" si="184"/>
        <v>237737.15073364245</v>
      </c>
      <c r="W262" s="46">
        <f t="shared" si="184"/>
        <v>243680.57950198351</v>
      </c>
      <c r="X262" s="46">
        <f t="shared" si="184"/>
        <v>249772.59398953305</v>
      </c>
      <c r="Y262" s="46">
        <f t="shared" si="184"/>
        <v>256016.90883927132</v>
      </c>
      <c r="Z262" s="46">
        <f t="shared" si="184"/>
        <v>262417.33156025311</v>
      </c>
      <c r="AA262" s="46">
        <f t="shared" si="184"/>
        <v>268977.7648492594</v>
      </c>
      <c r="AB262" s="46">
        <f t="shared" si="184"/>
        <v>275702.2089704909</v>
      </c>
      <c r="AC262" s="46">
        <f t="shared" si="184"/>
        <v>282594.76419475314</v>
      </c>
      <c r="AD262" s="46">
        <f t="shared" si="184"/>
        <v>289659.63329962193</v>
      </c>
      <c r="AE262" s="46">
        <f t="shared" si="184"/>
        <v>296901.12413211243</v>
      </c>
      <c r="AF262" s="46">
        <f t="shared" si="184"/>
        <v>304323.65223541524</v>
      </c>
      <c r="AG262" s="46">
        <f t="shared" si="184"/>
        <v>311931.74354130059</v>
      </c>
      <c r="AH262" s="46">
        <f t="shared" si="184"/>
        <v>319730.03712983307</v>
      </c>
      <c r="AI262" s="46">
        <f t="shared" si="184"/>
        <v>327723.28805807885</v>
      </c>
      <c r="AJ262" s="46">
        <f t="shared" si="184"/>
        <v>335916.37025953078</v>
      </c>
      <c r="AK262" s="46">
        <f t="shared" si="184"/>
        <v>344314.27951601899</v>
      </c>
      <c r="AL262" s="46">
        <f t="shared" si="184"/>
        <v>352922.13650391944</v>
      </c>
      <c r="AM262" s="46">
        <f t="shared" si="184"/>
        <v>361745.18991651741</v>
      </c>
      <c r="AN262" s="46">
        <f t="shared" si="184"/>
        <v>370788.81966443034</v>
      </c>
      <c r="AO262" s="46">
        <f t="shared" si="184"/>
        <v>380058.54015604104</v>
      </c>
      <c r="AP262" s="46">
        <f t="shared" si="184"/>
        <v>389560.00365994201</v>
      </c>
      <c r="AQ262" s="46">
        <f t="shared" si="184"/>
        <v>399299.00375144056</v>
      </c>
      <c r="AR262" s="46">
        <f t="shared" si="184"/>
        <v>409281.47884522652</v>
      </c>
      <c r="AS262" s="46">
        <f t="shared" si="184"/>
        <v>419513.51581635716</v>
      </c>
      <c r="AT262" s="46">
        <f t="shared" si="184"/>
        <v>430001.35371176602</v>
      </c>
      <c r="AU262" s="46">
        <f t="shared" si="184"/>
        <v>440751.38755456009</v>
      </c>
      <c r="AV262" s="46">
        <f t="shared" si="184"/>
        <v>451770.17224342411</v>
      </c>
      <c r="AW262" s="46">
        <f t="shared" si="184"/>
        <v>463064.42654950963</v>
      </c>
      <c r="AX262" s="46">
        <f t="shared" si="184"/>
        <v>474641.03721324733</v>
      </c>
      <c r="AY262" s="46">
        <f t="shared" si="184"/>
        <v>486507.06314357847</v>
      </c>
      <c r="AZ262" s="46">
        <f t="shared" si="184"/>
        <v>498669.7397221679</v>
      </c>
      <c r="BA262" s="46">
        <f t="shared" si="184"/>
        <v>500000</v>
      </c>
      <c r="BB262" s="46">
        <f t="shared" si="184"/>
        <v>500000</v>
      </c>
      <c r="BC262" s="46">
        <f t="shared" si="184"/>
        <v>500000</v>
      </c>
      <c r="BD262" s="46">
        <f t="shared" si="184"/>
        <v>500000</v>
      </c>
      <c r="BE262" s="46"/>
    </row>
    <row r="263" spans="1:57" ht="14.25" customHeight="1" x14ac:dyDescent="0.3">
      <c r="A263" s="46"/>
      <c r="B263" s="37"/>
      <c r="C263" s="46" t="str">
        <f>C$70</f>
        <v>PDT High Treatment Revenue</v>
      </c>
      <c r="D263" s="46">
        <f t="shared" si="176"/>
        <v>2083444.9999999979</v>
      </c>
      <c r="E263" s="46">
        <f t="shared" si="176"/>
        <v>2880000</v>
      </c>
      <c r="F263" s="46">
        <f t="shared" si="176"/>
        <v>2880000</v>
      </c>
      <c r="G263" s="46">
        <f t="shared" si="176"/>
        <v>2880000</v>
      </c>
      <c r="H263" s="46"/>
      <c r="I263" s="46">
        <f t="shared" ref="I263:BD263" si="185">I$70</f>
        <v>0</v>
      </c>
      <c r="J263" s="46">
        <f t="shared" si="185"/>
        <v>0</v>
      </c>
      <c r="K263" s="46">
        <f t="shared" si="185"/>
        <v>528769.9999999979</v>
      </c>
      <c r="L263" s="46">
        <f t="shared" si="185"/>
        <v>0</v>
      </c>
      <c r="M263" s="46">
        <f t="shared" si="185"/>
        <v>0</v>
      </c>
      <c r="N263" s="46">
        <f t="shared" si="185"/>
        <v>0</v>
      </c>
      <c r="O263" s="46">
        <f t="shared" si="185"/>
        <v>354675</v>
      </c>
      <c r="P263" s="46">
        <f t="shared" si="185"/>
        <v>240000</v>
      </c>
      <c r="Q263" s="46">
        <f t="shared" si="185"/>
        <v>240000</v>
      </c>
      <c r="R263" s="46">
        <f t="shared" si="185"/>
        <v>240000</v>
      </c>
      <c r="S263" s="46">
        <f t="shared" si="185"/>
        <v>240000</v>
      </c>
      <c r="T263" s="46">
        <f t="shared" si="185"/>
        <v>240000</v>
      </c>
      <c r="U263" s="46">
        <f t="shared" si="185"/>
        <v>240000</v>
      </c>
      <c r="V263" s="46">
        <f t="shared" si="185"/>
        <v>240000</v>
      </c>
      <c r="W263" s="46">
        <f t="shared" si="185"/>
        <v>240000</v>
      </c>
      <c r="X263" s="46">
        <f t="shared" si="185"/>
        <v>240000</v>
      </c>
      <c r="Y263" s="46">
        <f t="shared" si="185"/>
        <v>240000</v>
      </c>
      <c r="Z263" s="46">
        <f t="shared" si="185"/>
        <v>240000</v>
      </c>
      <c r="AA263" s="46">
        <f t="shared" si="185"/>
        <v>240000</v>
      </c>
      <c r="AB263" s="46">
        <f t="shared" si="185"/>
        <v>240000</v>
      </c>
      <c r="AC263" s="46">
        <f t="shared" si="185"/>
        <v>240000</v>
      </c>
      <c r="AD263" s="46">
        <f t="shared" si="185"/>
        <v>240000</v>
      </c>
      <c r="AE263" s="46">
        <f t="shared" si="185"/>
        <v>240000</v>
      </c>
      <c r="AF263" s="46">
        <f t="shared" si="185"/>
        <v>240000</v>
      </c>
      <c r="AG263" s="46">
        <f t="shared" si="185"/>
        <v>240000</v>
      </c>
      <c r="AH263" s="46">
        <f t="shared" si="185"/>
        <v>240000</v>
      </c>
      <c r="AI263" s="46">
        <f t="shared" si="185"/>
        <v>240000</v>
      </c>
      <c r="AJ263" s="46">
        <f t="shared" si="185"/>
        <v>240000</v>
      </c>
      <c r="AK263" s="46">
        <f t="shared" si="185"/>
        <v>240000</v>
      </c>
      <c r="AL263" s="46">
        <f t="shared" si="185"/>
        <v>240000</v>
      </c>
      <c r="AM263" s="46">
        <f t="shared" si="185"/>
        <v>240000</v>
      </c>
      <c r="AN263" s="46">
        <f t="shared" si="185"/>
        <v>240000</v>
      </c>
      <c r="AO263" s="46">
        <f t="shared" si="185"/>
        <v>240000</v>
      </c>
      <c r="AP263" s="46">
        <f t="shared" si="185"/>
        <v>240000</v>
      </c>
      <c r="AQ263" s="46">
        <f t="shared" si="185"/>
        <v>240000</v>
      </c>
      <c r="AR263" s="46">
        <f t="shared" si="185"/>
        <v>240000</v>
      </c>
      <c r="AS263" s="46">
        <f t="shared" si="185"/>
        <v>240000</v>
      </c>
      <c r="AT263" s="46">
        <f t="shared" si="185"/>
        <v>240000</v>
      </c>
      <c r="AU263" s="46">
        <f t="shared" si="185"/>
        <v>240000</v>
      </c>
      <c r="AV263" s="46">
        <f t="shared" si="185"/>
        <v>240000</v>
      </c>
      <c r="AW263" s="46">
        <f t="shared" si="185"/>
        <v>240000</v>
      </c>
      <c r="AX263" s="46">
        <f t="shared" si="185"/>
        <v>240000</v>
      </c>
      <c r="AY263" s="46">
        <f t="shared" si="185"/>
        <v>240000</v>
      </c>
      <c r="AZ263" s="46">
        <f t="shared" si="185"/>
        <v>240000</v>
      </c>
      <c r="BA263" s="46">
        <f t="shared" si="185"/>
        <v>240000</v>
      </c>
      <c r="BB263" s="46">
        <f t="shared" si="185"/>
        <v>240000</v>
      </c>
      <c r="BC263" s="46">
        <f t="shared" si="185"/>
        <v>240000</v>
      </c>
      <c r="BD263" s="46">
        <f t="shared" si="185"/>
        <v>240000</v>
      </c>
      <c r="BE263" s="46"/>
    </row>
    <row r="264" spans="1:57" ht="14.25" customHeight="1" x14ac:dyDescent="0.3">
      <c r="A264" s="46"/>
      <c r="B264" s="37"/>
      <c r="C264" s="46" t="str">
        <f>C$79</f>
        <v>Immunotherapy Treatments Revenue</v>
      </c>
      <c r="D264" s="46">
        <f t="shared" si="176"/>
        <v>5589462.6092354003</v>
      </c>
      <c r="E264" s="46">
        <f t="shared" si="176"/>
        <v>7866021.1350210849</v>
      </c>
      <c r="F264" s="46">
        <f t="shared" si="176"/>
        <v>9987759.5812206138</v>
      </c>
      <c r="G264" s="46">
        <f t="shared" si="176"/>
        <v>12681804.401482422</v>
      </c>
      <c r="H264" s="46"/>
      <c r="I264" s="46">
        <f t="shared" ref="I264:BD264" si="186">I$79</f>
        <v>310408</v>
      </c>
      <c r="J264" s="46">
        <f t="shared" si="186"/>
        <v>348812</v>
      </c>
      <c r="K264" s="46">
        <f t="shared" si="186"/>
        <v>488000</v>
      </c>
      <c r="L264" s="46">
        <f t="shared" si="186"/>
        <v>366350</v>
      </c>
      <c r="M264" s="46">
        <f t="shared" si="186"/>
        <v>586512</v>
      </c>
      <c r="N264" s="46">
        <f t="shared" si="186"/>
        <v>484520</v>
      </c>
      <c r="O264" s="46">
        <f t="shared" si="186"/>
        <v>242832</v>
      </c>
      <c r="P264" s="46">
        <f t="shared" si="186"/>
        <v>530640.86422857142</v>
      </c>
      <c r="Q264" s="46">
        <f t="shared" si="186"/>
        <v>541306.74559956568</v>
      </c>
      <c r="R264" s="46">
        <f t="shared" si="186"/>
        <v>552187.01118611696</v>
      </c>
      <c r="S264" s="46">
        <f t="shared" si="186"/>
        <v>563285.97011095786</v>
      </c>
      <c r="T264" s="46">
        <f t="shared" si="186"/>
        <v>574608.01811018819</v>
      </c>
      <c r="U264" s="46">
        <f t="shared" si="186"/>
        <v>586157.63927420287</v>
      </c>
      <c r="V264" s="46">
        <f t="shared" si="186"/>
        <v>597939.40782361431</v>
      </c>
      <c r="W264" s="46">
        <f t="shared" si="186"/>
        <v>609957.989920869</v>
      </c>
      <c r="X264" s="46">
        <f t="shared" si="186"/>
        <v>622218.14551827847</v>
      </c>
      <c r="Y264" s="46">
        <f t="shared" si="186"/>
        <v>634724.7302431959</v>
      </c>
      <c r="Z264" s="46">
        <f t="shared" si="186"/>
        <v>647482.6973210841</v>
      </c>
      <c r="AA264" s="46">
        <f t="shared" si="186"/>
        <v>660497.0995372379</v>
      </c>
      <c r="AB264" s="46">
        <f t="shared" si="186"/>
        <v>673773.0912379364</v>
      </c>
      <c r="AC264" s="46">
        <f t="shared" si="186"/>
        <v>687315.93037181883</v>
      </c>
      <c r="AD264" s="46">
        <f t="shared" si="186"/>
        <v>701130.98057229258</v>
      </c>
      <c r="AE264" s="46">
        <f t="shared" si="186"/>
        <v>715223.71328179562</v>
      </c>
      <c r="AF264" s="46">
        <f t="shared" si="186"/>
        <v>729599.70991875976</v>
      </c>
      <c r="AG264" s="46">
        <f t="shared" si="186"/>
        <v>744264.66408812674</v>
      </c>
      <c r="AH264" s="46">
        <f t="shared" si="186"/>
        <v>759224.38383629813</v>
      </c>
      <c r="AI264" s="46">
        <f t="shared" si="186"/>
        <v>774484.79395140777</v>
      </c>
      <c r="AJ264" s="46">
        <f t="shared" si="186"/>
        <v>790051.9383098312</v>
      </c>
      <c r="AK264" s="46">
        <f t="shared" si="186"/>
        <v>805931.98226985883</v>
      </c>
      <c r="AL264" s="46">
        <f t="shared" si="186"/>
        <v>822131.21511348302</v>
      </c>
      <c r="AM264" s="46">
        <f t="shared" si="186"/>
        <v>838656.05253726419</v>
      </c>
      <c r="AN264" s="46">
        <f t="shared" si="186"/>
        <v>855513.03919326316</v>
      </c>
      <c r="AO264" s="46">
        <f t="shared" si="186"/>
        <v>872708.85128104768</v>
      </c>
      <c r="AP264" s="46">
        <f t="shared" si="186"/>
        <v>890250.2991917968</v>
      </c>
      <c r="AQ264" s="46">
        <f t="shared" si="186"/>
        <v>908144.33020555205</v>
      </c>
      <c r="AR264" s="46">
        <f t="shared" si="186"/>
        <v>926398.03124268376</v>
      </c>
      <c r="AS264" s="46">
        <f t="shared" si="186"/>
        <v>945018.63167066174</v>
      </c>
      <c r="AT264" s="46">
        <f t="shared" si="186"/>
        <v>964013.50616724195</v>
      </c>
      <c r="AU264" s="46">
        <f t="shared" si="186"/>
        <v>983390.17764120363</v>
      </c>
      <c r="AV264" s="46">
        <f t="shared" si="186"/>
        <v>1003156.3202117918</v>
      </c>
      <c r="AW264" s="46">
        <f t="shared" si="186"/>
        <v>1023319.7622480489</v>
      </c>
      <c r="AX264" s="46">
        <f t="shared" si="186"/>
        <v>1043888.4894692346</v>
      </c>
      <c r="AY264" s="46">
        <f t="shared" si="186"/>
        <v>1064870.6481075662</v>
      </c>
      <c r="AZ264" s="46">
        <f t="shared" si="186"/>
        <v>1086274.5481345283</v>
      </c>
      <c r="BA264" s="46">
        <f t="shared" si="186"/>
        <v>1108108.6665520326</v>
      </c>
      <c r="BB264" s="46">
        <f t="shared" si="186"/>
        <v>1130381.6507497283</v>
      </c>
      <c r="BC264" s="46">
        <f t="shared" si="186"/>
        <v>1153102.321929798</v>
      </c>
      <c r="BD264" s="46">
        <f t="shared" si="186"/>
        <v>1176279.678600587</v>
      </c>
      <c r="BE264" s="46"/>
    </row>
    <row r="265" spans="1:57" ht="14.25" customHeight="1" x14ac:dyDescent="0.3">
      <c r="A265" s="46"/>
      <c r="B265" s="37"/>
      <c r="C265" s="46" t="str">
        <f>C$88</f>
        <v>Chemotherapy Treatments Revenue</v>
      </c>
      <c r="D265" s="46">
        <f t="shared" si="176"/>
        <v>2634668.2418592768</v>
      </c>
      <c r="E265" s="46">
        <f t="shared" si="176"/>
        <v>2439655.1944358097</v>
      </c>
      <c r="F265" s="46">
        <f t="shared" si="176"/>
        <v>3097714.7308460129</v>
      </c>
      <c r="G265" s="46">
        <f t="shared" si="176"/>
        <v>3933275.7250228985</v>
      </c>
      <c r="H265" s="46"/>
      <c r="I265" s="46">
        <f>I$88</f>
        <v>121093</v>
      </c>
      <c r="J265" s="46">
        <f t="shared" ref="J265:BD265" si="187">J$88</f>
        <v>101899</v>
      </c>
      <c r="K265" s="46">
        <f t="shared" si="187"/>
        <v>185784</v>
      </c>
      <c r="L265" s="46">
        <f t="shared" si="187"/>
        <v>203262</v>
      </c>
      <c r="M265" s="46">
        <f t="shared" si="187"/>
        <v>915624</v>
      </c>
      <c r="N265" s="46">
        <f t="shared" si="187"/>
        <v>89024</v>
      </c>
      <c r="O265" s="46">
        <f t="shared" si="187"/>
        <v>161336</v>
      </c>
      <c r="P265" s="46">
        <f t="shared" si="187"/>
        <v>164578.8536</v>
      </c>
      <c r="Q265" s="46">
        <f t="shared" si="187"/>
        <v>167886.88855736001</v>
      </c>
      <c r="R265" s="46">
        <f t="shared" si="187"/>
        <v>171261.41501736295</v>
      </c>
      <c r="S265" s="46">
        <f t="shared" si="187"/>
        <v>174703.76945921191</v>
      </c>
      <c r="T265" s="46">
        <f t="shared" si="187"/>
        <v>178215.31522534206</v>
      </c>
      <c r="U265" s="46">
        <f t="shared" si="187"/>
        <v>181797.44306137145</v>
      </c>
      <c r="V265" s="46">
        <f t="shared" si="187"/>
        <v>185451.57166690505</v>
      </c>
      <c r="W265" s="46">
        <f t="shared" si="187"/>
        <v>189179.14825740983</v>
      </c>
      <c r="X265" s="46">
        <f t="shared" si="187"/>
        <v>192981.64913738376</v>
      </c>
      <c r="Y265" s="46">
        <f t="shared" si="187"/>
        <v>196860.58028504517</v>
      </c>
      <c r="Z265" s="46">
        <f t="shared" si="187"/>
        <v>200817.47794877461</v>
      </c>
      <c r="AA265" s="46">
        <f t="shared" si="187"/>
        <v>204853.90925554498</v>
      </c>
      <c r="AB265" s="46">
        <f t="shared" si="187"/>
        <v>208971.47283158143</v>
      </c>
      <c r="AC265" s="46">
        <f t="shared" si="187"/>
        <v>213171.79943549624</v>
      </c>
      <c r="AD265" s="46">
        <f t="shared" si="187"/>
        <v>217456.55260414971</v>
      </c>
      <c r="AE265" s="46">
        <f t="shared" si="187"/>
        <v>221827.42931149315</v>
      </c>
      <c r="AF265" s="46">
        <f t="shared" si="187"/>
        <v>226286.16064065415</v>
      </c>
      <c r="AG265" s="46">
        <f t="shared" si="187"/>
        <v>230834.5124695313</v>
      </c>
      <c r="AH265" s="46">
        <f t="shared" si="187"/>
        <v>235474.28617016887</v>
      </c>
      <c r="AI265" s="46">
        <f t="shared" si="187"/>
        <v>240207.31932218926</v>
      </c>
      <c r="AJ265" s="46">
        <f t="shared" si="187"/>
        <v>245035.48644056526</v>
      </c>
      <c r="AK265" s="46">
        <f t="shared" si="187"/>
        <v>249960.69971802065</v>
      </c>
      <c r="AL265" s="46">
        <f t="shared" si="187"/>
        <v>254984.90978235292</v>
      </c>
      <c r="AM265" s="46">
        <f t="shared" si="187"/>
        <v>260110.10646897819</v>
      </c>
      <c r="AN265" s="46">
        <f t="shared" si="187"/>
        <v>265338.31960900465</v>
      </c>
      <c r="AO265" s="46">
        <f t="shared" si="187"/>
        <v>270671.6198331457</v>
      </c>
      <c r="AP265" s="46">
        <f t="shared" si="187"/>
        <v>276112.11939179187</v>
      </c>
      <c r="AQ265" s="46">
        <f t="shared" si="187"/>
        <v>281661.97299156693</v>
      </c>
      <c r="AR265" s="46">
        <f t="shared" si="187"/>
        <v>287323.3786486974</v>
      </c>
      <c r="AS265" s="46">
        <f t="shared" si="187"/>
        <v>293098.57855953625</v>
      </c>
      <c r="AT265" s="46">
        <f t="shared" si="187"/>
        <v>298989.85998858296</v>
      </c>
      <c r="AU265" s="46">
        <f t="shared" si="187"/>
        <v>304999.55617435352</v>
      </c>
      <c r="AV265" s="46">
        <f t="shared" si="187"/>
        <v>311130.047253458</v>
      </c>
      <c r="AW265" s="46">
        <f t="shared" si="187"/>
        <v>317383.76120325254</v>
      </c>
      <c r="AX265" s="46">
        <f t="shared" si="187"/>
        <v>323763.17480343796</v>
      </c>
      <c r="AY265" s="46">
        <f t="shared" si="187"/>
        <v>330270.81461698707</v>
      </c>
      <c r="AZ265" s="46">
        <f t="shared" si="187"/>
        <v>336909.25799078849</v>
      </c>
      <c r="BA265" s="46">
        <f t="shared" si="187"/>
        <v>343681.13407640334</v>
      </c>
      <c r="BB265" s="46">
        <f t="shared" si="187"/>
        <v>350589.12487133907</v>
      </c>
      <c r="BC265" s="46">
        <f t="shared" si="187"/>
        <v>357635.96628125297</v>
      </c>
      <c r="BD265" s="46">
        <f t="shared" si="187"/>
        <v>364824.44920350617</v>
      </c>
      <c r="BE265" s="46"/>
    </row>
    <row r="266" spans="1:57" ht="14.25" customHeight="1" x14ac:dyDescent="0.3">
      <c r="A266" s="46"/>
      <c r="B266" s="37"/>
      <c r="C266" s="46" t="str">
        <f>C$95</f>
        <v>Consultation Session Revenue</v>
      </c>
      <c r="D266" s="46">
        <f t="shared" si="176"/>
        <v>871249.83545447211</v>
      </c>
      <c r="E266" s="46">
        <f t="shared" si="176"/>
        <v>980196.9962260141</v>
      </c>
      <c r="F266" s="46">
        <f t="shared" si="176"/>
        <v>1246369.9685567261</v>
      </c>
      <c r="G266" s="46">
        <f t="shared" si="176"/>
        <v>1580698.4856112453</v>
      </c>
      <c r="H266" s="46"/>
      <c r="I266" s="46">
        <f t="shared" ref="I266:BD266" si="188">I$95</f>
        <v>117340.2</v>
      </c>
      <c r="J266" s="46">
        <f t="shared" si="188"/>
        <v>133152</v>
      </c>
      <c r="K266" s="46">
        <f t="shared" si="188"/>
        <v>74343.199999999997</v>
      </c>
      <c r="L266" s="46">
        <f t="shared" si="188"/>
        <v>57144.4</v>
      </c>
      <c r="M266" s="46">
        <f t="shared" si="188"/>
        <v>74065.8</v>
      </c>
      <c r="N266" s="46">
        <f t="shared" si="188"/>
        <v>55480</v>
      </c>
      <c r="O266" s="46">
        <f t="shared" si="188"/>
        <v>42719.6</v>
      </c>
      <c r="P266" s="46">
        <f t="shared" si="188"/>
        <v>58480.883999999998</v>
      </c>
      <c r="Q266" s="46">
        <f t="shared" si="188"/>
        <v>60843.511713599997</v>
      </c>
      <c r="R266" s="46">
        <f t="shared" si="188"/>
        <v>63301.589586829439</v>
      </c>
      <c r="S266" s="46">
        <f t="shared" si="188"/>
        <v>65858.97380613735</v>
      </c>
      <c r="T266" s="46">
        <f t="shared" si="188"/>
        <v>68519.676347905304</v>
      </c>
      <c r="U266" s="46">
        <f t="shared" si="188"/>
        <v>71287.871272360688</v>
      </c>
      <c r="V266" s="46">
        <f t="shared" si="188"/>
        <v>74167.901271764058</v>
      </c>
      <c r="W266" s="46">
        <f t="shared" si="188"/>
        <v>76234.01762491242</v>
      </c>
      <c r="X266" s="46">
        <f t="shared" si="188"/>
        <v>77758.697977410673</v>
      </c>
      <c r="Y266" s="46">
        <f t="shared" si="188"/>
        <v>79313.87193695888</v>
      </c>
      <c r="Z266" s="46">
        <f t="shared" si="188"/>
        <v>80900.149375698064</v>
      </c>
      <c r="AA266" s="46">
        <f t="shared" si="188"/>
        <v>82518.152363212022</v>
      </c>
      <c r="AB266" s="46">
        <f t="shared" si="188"/>
        <v>84168.515410476262</v>
      </c>
      <c r="AC266" s="46">
        <f t="shared" si="188"/>
        <v>85851.885718685793</v>
      </c>
      <c r="AD266" s="46">
        <f t="shared" si="188"/>
        <v>87568.923433059521</v>
      </c>
      <c r="AE266" s="46">
        <f t="shared" si="188"/>
        <v>89320.301901720697</v>
      </c>
      <c r="AF266" s="46">
        <f t="shared" si="188"/>
        <v>91106.707939755113</v>
      </c>
      <c r="AG266" s="46">
        <f t="shared" si="188"/>
        <v>92928.842098550216</v>
      </c>
      <c r="AH266" s="46">
        <f t="shared" si="188"/>
        <v>94787.418940521224</v>
      </c>
      <c r="AI266" s="46">
        <f t="shared" si="188"/>
        <v>96683.167319331638</v>
      </c>
      <c r="AJ266" s="46">
        <f t="shared" si="188"/>
        <v>98616.830665718269</v>
      </c>
      <c r="AK266" s="46">
        <f t="shared" si="188"/>
        <v>100589.16727903263</v>
      </c>
      <c r="AL266" s="46">
        <f t="shared" si="188"/>
        <v>102600.95062461328</v>
      </c>
      <c r="AM266" s="46">
        <f t="shared" si="188"/>
        <v>104652.96963710555</v>
      </c>
      <c r="AN266" s="46">
        <f t="shared" si="188"/>
        <v>106746.02902984766</v>
      </c>
      <c r="AO266" s="46">
        <f t="shared" si="188"/>
        <v>108880.94961044462</v>
      </c>
      <c r="AP266" s="46">
        <f t="shared" si="188"/>
        <v>111058.56860265351</v>
      </c>
      <c r="AQ266" s="46">
        <f t="shared" si="188"/>
        <v>113279.73997470658</v>
      </c>
      <c r="AR266" s="46">
        <f t="shared" si="188"/>
        <v>115545.3347742007</v>
      </c>
      <c r="AS266" s="46">
        <f t="shared" si="188"/>
        <v>117856.24146968473</v>
      </c>
      <c r="AT266" s="46">
        <f t="shared" si="188"/>
        <v>120213.36629907842</v>
      </c>
      <c r="AU266" s="46">
        <f t="shared" si="188"/>
        <v>122617.63362505999</v>
      </c>
      <c r="AV266" s="46">
        <f t="shared" si="188"/>
        <v>125069.98629756119</v>
      </c>
      <c r="AW266" s="46">
        <f t="shared" si="188"/>
        <v>127571.38602351242</v>
      </c>
      <c r="AX266" s="46">
        <f t="shared" si="188"/>
        <v>130122.81374398267</v>
      </c>
      <c r="AY266" s="46">
        <f t="shared" si="188"/>
        <v>132725.27001886233</v>
      </c>
      <c r="AZ266" s="46">
        <f t="shared" si="188"/>
        <v>135379.77541923957</v>
      </c>
      <c r="BA266" s="46">
        <f t="shared" si="188"/>
        <v>138087.37092762435</v>
      </c>
      <c r="BB266" s="46">
        <f t="shared" si="188"/>
        <v>140849.11834617684</v>
      </c>
      <c r="BC266" s="46">
        <f t="shared" si="188"/>
        <v>143666.10071310037</v>
      </c>
      <c r="BD266" s="46">
        <f t="shared" si="188"/>
        <v>146539.4227273624</v>
      </c>
      <c r="BE266" s="46"/>
    </row>
    <row r="267" spans="1:57" ht="14.25" customHeight="1" x14ac:dyDescent="0.3">
      <c r="A267" s="46"/>
      <c r="B267" s="37"/>
      <c r="C267" s="46" t="str">
        <f>C$100</f>
        <v>Supplements Patient Revenue</v>
      </c>
      <c r="D267" s="46">
        <f t="shared" si="176"/>
        <v>944988.4322691909</v>
      </c>
      <c r="E267" s="46">
        <f t="shared" si="176"/>
        <v>1210073.2363084606</v>
      </c>
      <c r="F267" s="46">
        <f t="shared" si="176"/>
        <v>2298387.7697514957</v>
      </c>
      <c r="G267" s="46">
        <f t="shared" si="176"/>
        <v>4127574.2159601171</v>
      </c>
      <c r="H267" s="46"/>
      <c r="I267" s="46">
        <f t="shared" ref="I267:BD267" si="189">I$100</f>
        <v>121685</v>
      </c>
      <c r="J267" s="46">
        <f t="shared" si="189"/>
        <v>99698</v>
      </c>
      <c r="K267" s="46">
        <f t="shared" si="189"/>
        <v>120493</v>
      </c>
      <c r="L267" s="46">
        <f t="shared" si="189"/>
        <v>93722</v>
      </c>
      <c r="M267" s="46">
        <f t="shared" si="189"/>
        <v>100729</v>
      </c>
      <c r="N267" s="46">
        <f t="shared" si="189"/>
        <v>73874</v>
      </c>
      <c r="O267" s="46">
        <f t="shared" si="189"/>
        <v>57077</v>
      </c>
      <c r="P267" s="46">
        <f t="shared" si="189"/>
        <v>48195</v>
      </c>
      <c r="Q267" s="46">
        <f t="shared" si="189"/>
        <v>51616.845000000008</v>
      </c>
      <c r="R267" s="46">
        <f t="shared" si="189"/>
        <v>55281.640995000016</v>
      </c>
      <c r="S267" s="46">
        <f t="shared" si="189"/>
        <v>59206.63750564502</v>
      </c>
      <c r="T267" s="46">
        <f t="shared" si="189"/>
        <v>63410.308768545809</v>
      </c>
      <c r="U267" s="46">
        <f t="shared" si="189"/>
        <v>67912.44069111257</v>
      </c>
      <c r="V267" s="46">
        <f t="shared" si="189"/>
        <v>72734.223980181559</v>
      </c>
      <c r="W267" s="46">
        <f t="shared" si="189"/>
        <v>77898.353882774463</v>
      </c>
      <c r="X267" s="46">
        <f t="shared" si="189"/>
        <v>83429.137008451449</v>
      </c>
      <c r="Y267" s="46">
        <f t="shared" si="189"/>
        <v>89352.605736051511</v>
      </c>
      <c r="Z267" s="46">
        <f t="shared" si="189"/>
        <v>95696.640743311174</v>
      </c>
      <c r="AA267" s="46">
        <f t="shared" si="189"/>
        <v>102491.10223608628</v>
      </c>
      <c r="AB267" s="46">
        <f t="shared" si="189"/>
        <v>109767.97049484841</v>
      </c>
      <c r="AC267" s="46">
        <f t="shared" si="189"/>
        <v>117561.49639998266</v>
      </c>
      <c r="AD267" s="46">
        <f t="shared" si="189"/>
        <v>124735.69076468211</v>
      </c>
      <c r="AE267" s="46">
        <f t="shared" si="189"/>
        <v>130972.47530291622</v>
      </c>
      <c r="AF267" s="46">
        <f t="shared" si="189"/>
        <v>137521.09906806203</v>
      </c>
      <c r="AG267" s="46">
        <f t="shared" si="189"/>
        <v>144397.15402146513</v>
      </c>
      <c r="AH267" s="46">
        <f t="shared" si="189"/>
        <v>151617.01172253839</v>
      </c>
      <c r="AI267" s="46">
        <f t="shared" si="189"/>
        <v>159197.86230866532</v>
      </c>
      <c r="AJ267" s="46">
        <f t="shared" si="189"/>
        <v>167157.75542409858</v>
      </c>
      <c r="AK267" s="46">
        <f t="shared" si="189"/>
        <v>175515.64319530351</v>
      </c>
      <c r="AL267" s="46">
        <f t="shared" si="189"/>
        <v>184291.4253550687</v>
      </c>
      <c r="AM267" s="46">
        <f t="shared" si="189"/>
        <v>193505.99662282216</v>
      </c>
      <c r="AN267" s="46">
        <f t="shared" si="189"/>
        <v>203181.29645396327</v>
      </c>
      <c r="AO267" s="46">
        <f t="shared" si="189"/>
        <v>213340.36127666145</v>
      </c>
      <c r="AP267" s="46">
        <f t="shared" si="189"/>
        <v>224007.37934049452</v>
      </c>
      <c r="AQ267" s="46">
        <f t="shared" si="189"/>
        <v>235207.74830751924</v>
      </c>
      <c r="AR267" s="46">
        <f t="shared" si="189"/>
        <v>246968.13572289521</v>
      </c>
      <c r="AS267" s="46">
        <f t="shared" si="189"/>
        <v>259316.54250903995</v>
      </c>
      <c r="AT267" s="46">
        <f t="shared" si="189"/>
        <v>272282.36963449192</v>
      </c>
      <c r="AU267" s="46">
        <f t="shared" si="189"/>
        <v>285896.48811621655</v>
      </c>
      <c r="AV267" s="46">
        <f t="shared" si="189"/>
        <v>300191.31252202741</v>
      </c>
      <c r="AW267" s="46">
        <f t="shared" si="189"/>
        <v>315200.8781481288</v>
      </c>
      <c r="AX267" s="46">
        <f t="shared" si="189"/>
        <v>330960.92205553525</v>
      </c>
      <c r="AY267" s="46">
        <f t="shared" si="189"/>
        <v>347508.96815831203</v>
      </c>
      <c r="AZ267" s="46">
        <f t="shared" si="189"/>
        <v>364884.41656622762</v>
      </c>
      <c r="BA267" s="46">
        <f t="shared" si="189"/>
        <v>383128.63739453902</v>
      </c>
      <c r="BB267" s="46">
        <f t="shared" si="189"/>
        <v>402285.069264266</v>
      </c>
      <c r="BC267" s="46">
        <f t="shared" si="189"/>
        <v>422399.32272747933</v>
      </c>
      <c r="BD267" s="46">
        <f t="shared" si="189"/>
        <v>443519.28886385332</v>
      </c>
      <c r="BE267" s="46"/>
    </row>
    <row r="268" spans="1:57" ht="14.25" customHeight="1" x14ac:dyDescent="0.3">
      <c r="A268" s="46"/>
      <c r="B268" s="37"/>
      <c r="C268" s="46" t="str">
        <f>C$169</f>
        <v>Scripted Medication Patient Revenue</v>
      </c>
      <c r="D268" s="46">
        <f t="shared" si="176"/>
        <v>1060871.9536184857</v>
      </c>
      <c r="E268" s="46">
        <f t="shared" si="176"/>
        <v>1458007.8146329145</v>
      </c>
      <c r="F268" s="46">
        <f t="shared" si="176"/>
        <v>3022954.5141656548</v>
      </c>
      <c r="G268" s="46">
        <f t="shared" si="176"/>
        <v>5428791.9875415452</v>
      </c>
      <c r="H268" s="46"/>
      <c r="I268" s="46">
        <f t="shared" ref="I268:BD268" si="190">I$169</f>
        <v>123834</v>
      </c>
      <c r="J268" s="46">
        <f t="shared" si="190"/>
        <v>102626</v>
      </c>
      <c r="K268" s="46">
        <f t="shared" si="190"/>
        <v>93934</v>
      </c>
      <c r="L268" s="46">
        <f t="shared" si="190"/>
        <v>137037</v>
      </c>
      <c r="M268" s="46">
        <f t="shared" si="190"/>
        <v>120455</v>
      </c>
      <c r="N268" s="46">
        <f t="shared" si="190"/>
        <v>144217</v>
      </c>
      <c r="O268" s="46">
        <f t="shared" si="190"/>
        <v>80536</v>
      </c>
      <c r="P268" s="46">
        <f t="shared" si="190"/>
        <v>42087.9375</v>
      </c>
      <c r="Q268" s="46">
        <f t="shared" si="190"/>
        <v>46401.951093750009</v>
      </c>
      <c r="R268" s="46">
        <f t="shared" si="190"/>
        <v>51158.151080859388</v>
      </c>
      <c r="S268" s="46">
        <f t="shared" si="190"/>
        <v>56401.86156664748</v>
      </c>
      <c r="T268" s="46">
        <f t="shared" si="190"/>
        <v>62183.052377228843</v>
      </c>
      <c r="U268" s="46">
        <f t="shared" si="190"/>
        <v>68556.815245894803</v>
      </c>
      <c r="V268" s="46">
        <f t="shared" si="190"/>
        <v>75583.888808599018</v>
      </c>
      <c r="W268" s="46">
        <f t="shared" si="190"/>
        <v>83331.237411480426</v>
      </c>
      <c r="X268" s="46">
        <f t="shared" si="190"/>
        <v>91872.689246157184</v>
      </c>
      <c r="Y268" s="46">
        <f t="shared" si="190"/>
        <v>101289.63989388831</v>
      </c>
      <c r="Z268" s="46">
        <f t="shared" si="190"/>
        <v>111671.82798301187</v>
      </c>
      <c r="AA268" s="46">
        <f t="shared" si="190"/>
        <v>123118.19035127059</v>
      </c>
      <c r="AB268" s="46">
        <f t="shared" si="190"/>
        <v>135737.80486227584</v>
      </c>
      <c r="AC268" s="46">
        <f t="shared" si="190"/>
        <v>149650.92986065912</v>
      </c>
      <c r="AD268" s="46">
        <f t="shared" si="190"/>
        <v>164058.61727824813</v>
      </c>
      <c r="AE268" s="46">
        <f t="shared" si="190"/>
        <v>172261.54814216055</v>
      </c>
      <c r="AF268" s="46">
        <f t="shared" si="190"/>
        <v>180874.62554926859</v>
      </c>
      <c r="AG268" s="46">
        <f t="shared" si="190"/>
        <v>189918.35682673202</v>
      </c>
      <c r="AH268" s="46">
        <f t="shared" si="190"/>
        <v>199414.27466806863</v>
      </c>
      <c r="AI268" s="46">
        <f t="shared" si="190"/>
        <v>209384.98840147207</v>
      </c>
      <c r="AJ268" s="46">
        <f t="shared" si="190"/>
        <v>219854.23782154566</v>
      </c>
      <c r="AK268" s="46">
        <f t="shared" si="190"/>
        <v>230846.94971262294</v>
      </c>
      <c r="AL268" s="46">
        <f t="shared" si="190"/>
        <v>242389.29719825409</v>
      </c>
      <c r="AM268" s="46">
        <f t="shared" si="190"/>
        <v>254508.76205816685</v>
      </c>
      <c r="AN268" s="46">
        <f t="shared" si="190"/>
        <v>267234.20016107516</v>
      </c>
      <c r="AO268" s="46">
        <f t="shared" si="190"/>
        <v>280595.91016912897</v>
      </c>
      <c r="AP268" s="46">
        <f t="shared" si="190"/>
        <v>294625.70567758539</v>
      </c>
      <c r="AQ268" s="46">
        <f t="shared" si="190"/>
        <v>309356.9909614647</v>
      </c>
      <c r="AR268" s="46">
        <f t="shared" si="190"/>
        <v>324824.8405095379</v>
      </c>
      <c r="AS268" s="46">
        <f t="shared" si="190"/>
        <v>341066.08253501478</v>
      </c>
      <c r="AT268" s="46">
        <f t="shared" si="190"/>
        <v>358119.38666176551</v>
      </c>
      <c r="AU268" s="46">
        <f t="shared" si="190"/>
        <v>376025.35599485383</v>
      </c>
      <c r="AV268" s="46">
        <f t="shared" si="190"/>
        <v>394826.62379459658</v>
      </c>
      <c r="AW268" s="46">
        <f t="shared" si="190"/>
        <v>414567.95498432644</v>
      </c>
      <c r="AX268" s="46">
        <f t="shared" si="190"/>
        <v>435296.35273354274</v>
      </c>
      <c r="AY268" s="46">
        <f t="shared" si="190"/>
        <v>457061.17037021992</v>
      </c>
      <c r="AZ268" s="46">
        <f t="shared" si="190"/>
        <v>479914.22888873087</v>
      </c>
      <c r="BA268" s="46">
        <f t="shared" si="190"/>
        <v>503909.94033316744</v>
      </c>
      <c r="BB268" s="46">
        <f t="shared" si="190"/>
        <v>529105.43734982586</v>
      </c>
      <c r="BC268" s="46">
        <f t="shared" si="190"/>
        <v>555560.70921731717</v>
      </c>
      <c r="BD268" s="46">
        <f t="shared" si="190"/>
        <v>583338.74467818311</v>
      </c>
      <c r="BE268" s="46"/>
    </row>
    <row r="269" spans="1:57" ht="14.25" customHeight="1" x14ac:dyDescent="0.3">
      <c r="A269" s="46"/>
      <c r="B269" s="37"/>
      <c r="C269" s="46" t="str">
        <f>C$170</f>
        <v>DCT Patient Revenue</v>
      </c>
      <c r="D269" s="46">
        <f t="shared" si="176"/>
        <v>414600</v>
      </c>
      <c r="E269" s="46">
        <f t="shared" si="176"/>
        <v>0</v>
      </c>
      <c r="F269" s="46">
        <f t="shared" si="176"/>
        <v>0</v>
      </c>
      <c r="G269" s="46">
        <f t="shared" si="176"/>
        <v>0</v>
      </c>
      <c r="H269" s="46"/>
      <c r="I269" s="46">
        <f t="shared" ref="I269:BD269" si="191">I$170</f>
        <v>414600</v>
      </c>
      <c r="J269" s="46">
        <f t="shared" si="191"/>
        <v>0</v>
      </c>
      <c r="K269" s="46">
        <f t="shared" si="191"/>
        <v>0</v>
      </c>
      <c r="L269" s="46">
        <f t="shared" si="191"/>
        <v>0</v>
      </c>
      <c r="M269" s="46">
        <f t="shared" si="191"/>
        <v>0</v>
      </c>
      <c r="N269" s="46">
        <f t="shared" si="191"/>
        <v>0</v>
      </c>
      <c r="O269" s="46">
        <f t="shared" si="191"/>
        <v>0</v>
      </c>
      <c r="P269" s="46">
        <f t="shared" si="191"/>
        <v>0</v>
      </c>
      <c r="Q269" s="46">
        <f t="shared" si="191"/>
        <v>0</v>
      </c>
      <c r="R269" s="46">
        <f t="shared" si="191"/>
        <v>0</v>
      </c>
      <c r="S269" s="46">
        <f t="shared" si="191"/>
        <v>0</v>
      </c>
      <c r="T269" s="46">
        <f t="shared" si="191"/>
        <v>0</v>
      </c>
      <c r="U269" s="46">
        <f t="shared" si="191"/>
        <v>0</v>
      </c>
      <c r="V269" s="46">
        <f t="shared" si="191"/>
        <v>0</v>
      </c>
      <c r="W269" s="46">
        <f t="shared" si="191"/>
        <v>0</v>
      </c>
      <c r="X269" s="46">
        <f t="shared" si="191"/>
        <v>0</v>
      </c>
      <c r="Y269" s="46">
        <f t="shared" si="191"/>
        <v>0</v>
      </c>
      <c r="Z269" s="46">
        <f t="shared" si="191"/>
        <v>0</v>
      </c>
      <c r="AA269" s="46">
        <f t="shared" si="191"/>
        <v>0</v>
      </c>
      <c r="AB269" s="46">
        <f t="shared" si="191"/>
        <v>0</v>
      </c>
      <c r="AC269" s="46">
        <f t="shared" si="191"/>
        <v>0</v>
      </c>
      <c r="AD269" s="46">
        <f t="shared" si="191"/>
        <v>0</v>
      </c>
      <c r="AE269" s="46">
        <f t="shared" si="191"/>
        <v>0</v>
      </c>
      <c r="AF269" s="46">
        <f t="shared" si="191"/>
        <v>0</v>
      </c>
      <c r="AG269" s="46">
        <f t="shared" si="191"/>
        <v>0</v>
      </c>
      <c r="AH269" s="46">
        <f t="shared" si="191"/>
        <v>0</v>
      </c>
      <c r="AI269" s="46">
        <f t="shared" si="191"/>
        <v>0</v>
      </c>
      <c r="AJ269" s="46">
        <f t="shared" si="191"/>
        <v>0</v>
      </c>
      <c r="AK269" s="46">
        <f t="shared" si="191"/>
        <v>0</v>
      </c>
      <c r="AL269" s="46">
        <f t="shared" si="191"/>
        <v>0</v>
      </c>
      <c r="AM269" s="46">
        <f t="shared" si="191"/>
        <v>0</v>
      </c>
      <c r="AN269" s="46">
        <f t="shared" si="191"/>
        <v>0</v>
      </c>
      <c r="AO269" s="46">
        <f t="shared" si="191"/>
        <v>0</v>
      </c>
      <c r="AP269" s="46">
        <f t="shared" si="191"/>
        <v>0</v>
      </c>
      <c r="AQ269" s="46">
        <f t="shared" si="191"/>
        <v>0</v>
      </c>
      <c r="AR269" s="46">
        <f t="shared" si="191"/>
        <v>0</v>
      </c>
      <c r="AS269" s="46">
        <f t="shared" si="191"/>
        <v>0</v>
      </c>
      <c r="AT269" s="46">
        <f t="shared" si="191"/>
        <v>0</v>
      </c>
      <c r="AU269" s="46">
        <f t="shared" si="191"/>
        <v>0</v>
      </c>
      <c r="AV269" s="46">
        <f t="shared" si="191"/>
        <v>0</v>
      </c>
      <c r="AW269" s="46">
        <f t="shared" si="191"/>
        <v>0</v>
      </c>
      <c r="AX269" s="46">
        <f t="shared" si="191"/>
        <v>0</v>
      </c>
      <c r="AY269" s="46">
        <f t="shared" si="191"/>
        <v>0</v>
      </c>
      <c r="AZ269" s="46">
        <f t="shared" si="191"/>
        <v>0</v>
      </c>
      <c r="BA269" s="46">
        <f t="shared" si="191"/>
        <v>0</v>
      </c>
      <c r="BB269" s="46">
        <f t="shared" si="191"/>
        <v>0</v>
      </c>
      <c r="BC269" s="46">
        <f t="shared" si="191"/>
        <v>0</v>
      </c>
      <c r="BD269" s="46">
        <f t="shared" si="191"/>
        <v>0</v>
      </c>
      <c r="BE269" s="46"/>
    </row>
    <row r="270" spans="1:57" ht="14.25" customHeight="1" x14ac:dyDescent="0.3">
      <c r="A270" s="46"/>
      <c r="B270" s="37"/>
      <c r="C270" s="46" t="str">
        <f>C$171</f>
        <v>Pathcare Rebate Testing Revenue</v>
      </c>
      <c r="D270" s="46">
        <f t="shared" si="176"/>
        <v>0</v>
      </c>
      <c r="E270" s="46">
        <f t="shared" si="176"/>
        <v>0</v>
      </c>
      <c r="F270" s="46">
        <f t="shared" si="176"/>
        <v>0</v>
      </c>
      <c r="G270" s="46">
        <f t="shared" si="176"/>
        <v>0</v>
      </c>
      <c r="H270" s="46"/>
      <c r="I270" s="46">
        <f t="shared" ref="I270:BD270" si="192">I$171</f>
        <v>0</v>
      </c>
      <c r="J270" s="46">
        <f t="shared" si="192"/>
        <v>0</v>
      </c>
      <c r="K270" s="46">
        <f t="shared" si="192"/>
        <v>0</v>
      </c>
      <c r="L270" s="46">
        <f t="shared" si="192"/>
        <v>0</v>
      </c>
      <c r="M270" s="46">
        <f t="shared" si="192"/>
        <v>0</v>
      </c>
      <c r="N270" s="46">
        <f t="shared" si="192"/>
        <v>0</v>
      </c>
      <c r="O270" s="46">
        <f t="shared" si="192"/>
        <v>0</v>
      </c>
      <c r="P270" s="46">
        <f t="shared" si="192"/>
        <v>0</v>
      </c>
      <c r="Q270" s="46">
        <f t="shared" si="192"/>
        <v>0</v>
      </c>
      <c r="R270" s="46">
        <f t="shared" si="192"/>
        <v>0</v>
      </c>
      <c r="S270" s="46">
        <f t="shared" si="192"/>
        <v>0</v>
      </c>
      <c r="T270" s="46">
        <f t="shared" si="192"/>
        <v>0</v>
      </c>
      <c r="U270" s="46">
        <f t="shared" si="192"/>
        <v>0</v>
      </c>
      <c r="V270" s="46">
        <f t="shared" si="192"/>
        <v>0</v>
      </c>
      <c r="W270" s="46">
        <f t="shared" si="192"/>
        <v>0</v>
      </c>
      <c r="X270" s="46">
        <f t="shared" si="192"/>
        <v>0</v>
      </c>
      <c r="Y270" s="46">
        <f t="shared" si="192"/>
        <v>0</v>
      </c>
      <c r="Z270" s="46">
        <f t="shared" si="192"/>
        <v>0</v>
      </c>
      <c r="AA270" s="46">
        <f t="shared" si="192"/>
        <v>0</v>
      </c>
      <c r="AB270" s="46">
        <f t="shared" si="192"/>
        <v>0</v>
      </c>
      <c r="AC270" s="46">
        <f t="shared" si="192"/>
        <v>0</v>
      </c>
      <c r="AD270" s="46">
        <f t="shared" si="192"/>
        <v>0</v>
      </c>
      <c r="AE270" s="46">
        <f t="shared" si="192"/>
        <v>0</v>
      </c>
      <c r="AF270" s="46">
        <f t="shared" si="192"/>
        <v>0</v>
      </c>
      <c r="AG270" s="46">
        <f t="shared" si="192"/>
        <v>0</v>
      </c>
      <c r="AH270" s="46">
        <f t="shared" si="192"/>
        <v>0</v>
      </c>
      <c r="AI270" s="46">
        <f t="shared" si="192"/>
        <v>0</v>
      </c>
      <c r="AJ270" s="46">
        <f t="shared" si="192"/>
        <v>0</v>
      </c>
      <c r="AK270" s="46">
        <f t="shared" si="192"/>
        <v>0</v>
      </c>
      <c r="AL270" s="46">
        <f t="shared" si="192"/>
        <v>0</v>
      </c>
      <c r="AM270" s="46">
        <f t="shared" si="192"/>
        <v>0</v>
      </c>
      <c r="AN270" s="46">
        <f t="shared" si="192"/>
        <v>0</v>
      </c>
      <c r="AO270" s="46">
        <f t="shared" si="192"/>
        <v>0</v>
      </c>
      <c r="AP270" s="46">
        <f t="shared" si="192"/>
        <v>0</v>
      </c>
      <c r="AQ270" s="46">
        <f t="shared" si="192"/>
        <v>0</v>
      </c>
      <c r="AR270" s="46">
        <f t="shared" si="192"/>
        <v>0</v>
      </c>
      <c r="AS270" s="46">
        <f t="shared" si="192"/>
        <v>0</v>
      </c>
      <c r="AT270" s="46">
        <f t="shared" si="192"/>
        <v>0</v>
      </c>
      <c r="AU270" s="46">
        <f t="shared" si="192"/>
        <v>0</v>
      </c>
      <c r="AV270" s="46">
        <f t="shared" si="192"/>
        <v>0</v>
      </c>
      <c r="AW270" s="46">
        <f t="shared" si="192"/>
        <v>0</v>
      </c>
      <c r="AX270" s="46">
        <f t="shared" si="192"/>
        <v>0</v>
      </c>
      <c r="AY270" s="46">
        <f t="shared" si="192"/>
        <v>0</v>
      </c>
      <c r="AZ270" s="46">
        <f t="shared" si="192"/>
        <v>0</v>
      </c>
      <c r="BA270" s="46">
        <f t="shared" si="192"/>
        <v>0</v>
      </c>
      <c r="BB270" s="46">
        <f t="shared" si="192"/>
        <v>0</v>
      </c>
      <c r="BC270" s="46">
        <f t="shared" si="192"/>
        <v>0</v>
      </c>
      <c r="BD270" s="46">
        <f t="shared" si="192"/>
        <v>0</v>
      </c>
      <c r="BE270" s="46"/>
    </row>
    <row r="271" spans="1:57" ht="14.25" customHeight="1" x14ac:dyDescent="0.3">
      <c r="A271" s="46"/>
      <c r="B271" s="37"/>
      <c r="C271" s="46" t="str">
        <f>C$172</f>
        <v>White Label Supplement Revenue</v>
      </c>
      <c r="D271" s="46">
        <f t="shared" si="176"/>
        <v>64575</v>
      </c>
      <c r="E271" s="46">
        <f t="shared" si="176"/>
        <v>552781.90764682053</v>
      </c>
      <c r="F271" s="46">
        <f t="shared" si="176"/>
        <v>992716.88575812371</v>
      </c>
      <c r="G271" s="46">
        <f t="shared" si="176"/>
        <v>1782776.8992377147</v>
      </c>
      <c r="H271" s="46"/>
      <c r="I271" s="46">
        <f t="shared" ref="I271:BD271" si="193">I$172</f>
        <v>0</v>
      </c>
      <c r="J271" s="46">
        <f t="shared" si="193"/>
        <v>0</v>
      </c>
      <c r="K271" s="46">
        <f t="shared" si="193"/>
        <v>0</v>
      </c>
      <c r="L271" s="46">
        <f t="shared" si="193"/>
        <v>0</v>
      </c>
      <c r="M271" s="46">
        <f t="shared" si="193"/>
        <v>0</v>
      </c>
      <c r="N271" s="46">
        <f t="shared" si="193"/>
        <v>0</v>
      </c>
      <c r="O271" s="46">
        <f t="shared" si="193"/>
        <v>0</v>
      </c>
      <c r="P271" s="46">
        <f t="shared" si="193"/>
        <v>0</v>
      </c>
      <c r="Q271" s="46">
        <f t="shared" si="193"/>
        <v>0</v>
      </c>
      <c r="R271" s="46">
        <f t="shared" si="193"/>
        <v>0</v>
      </c>
      <c r="S271" s="46">
        <f t="shared" si="193"/>
        <v>31500</v>
      </c>
      <c r="T271" s="46">
        <f t="shared" si="193"/>
        <v>33075</v>
      </c>
      <c r="U271" s="46">
        <f t="shared" si="193"/>
        <v>34728.750000000007</v>
      </c>
      <c r="V271" s="46">
        <f t="shared" si="193"/>
        <v>36465.187500000007</v>
      </c>
      <c r="W271" s="46">
        <f t="shared" si="193"/>
        <v>38288.446875000009</v>
      </c>
      <c r="X271" s="46">
        <f t="shared" si="193"/>
        <v>40202.869218750013</v>
      </c>
      <c r="Y271" s="46">
        <f t="shared" si="193"/>
        <v>42213.012679687512</v>
      </c>
      <c r="Z271" s="46">
        <f t="shared" si="193"/>
        <v>44323.663313671888</v>
      </c>
      <c r="AA271" s="46">
        <f t="shared" si="193"/>
        <v>46539.846479355489</v>
      </c>
      <c r="AB271" s="46">
        <f t="shared" si="193"/>
        <v>48866.838803323262</v>
      </c>
      <c r="AC271" s="46">
        <f t="shared" si="193"/>
        <v>51310.180743489429</v>
      </c>
      <c r="AD271" s="46">
        <f t="shared" si="193"/>
        <v>53875.689780663903</v>
      </c>
      <c r="AE271" s="46">
        <f t="shared" si="193"/>
        <v>56569.474269697101</v>
      </c>
      <c r="AF271" s="46">
        <f t="shared" si="193"/>
        <v>59397.947983181955</v>
      </c>
      <c r="AG271" s="46">
        <f t="shared" si="193"/>
        <v>62367.84538234106</v>
      </c>
      <c r="AH271" s="46">
        <f t="shared" si="193"/>
        <v>65486.237651458119</v>
      </c>
      <c r="AI271" s="46">
        <f t="shared" si="193"/>
        <v>68760.54953403103</v>
      </c>
      <c r="AJ271" s="46">
        <f t="shared" si="193"/>
        <v>72198.577010732595</v>
      </c>
      <c r="AK271" s="46">
        <f t="shared" si="193"/>
        <v>75808.505861269223</v>
      </c>
      <c r="AL271" s="46">
        <f t="shared" si="193"/>
        <v>79598.931154332677</v>
      </c>
      <c r="AM271" s="46">
        <f t="shared" si="193"/>
        <v>83578.877712049318</v>
      </c>
      <c r="AN271" s="46">
        <f t="shared" si="193"/>
        <v>87757.821597651782</v>
      </c>
      <c r="AO271" s="46">
        <f t="shared" si="193"/>
        <v>92145.712677534379</v>
      </c>
      <c r="AP271" s="46">
        <f t="shared" si="193"/>
        <v>96752.998311411095</v>
      </c>
      <c r="AQ271" s="46">
        <f t="shared" si="193"/>
        <v>101590.64822698165</v>
      </c>
      <c r="AR271" s="46">
        <f t="shared" si="193"/>
        <v>106670.18063833074</v>
      </c>
      <c r="AS271" s="46">
        <f t="shared" si="193"/>
        <v>112003.68967024729</v>
      </c>
      <c r="AT271" s="46">
        <f t="shared" si="193"/>
        <v>117603.87415375967</v>
      </c>
      <c r="AU271" s="46">
        <f t="shared" si="193"/>
        <v>123484.06786144765</v>
      </c>
      <c r="AV271" s="46">
        <f t="shared" si="193"/>
        <v>129658.27125452005</v>
      </c>
      <c r="AW271" s="46">
        <f t="shared" si="193"/>
        <v>136141.18481724604</v>
      </c>
      <c r="AX271" s="46">
        <f t="shared" si="193"/>
        <v>142948.24405810836</v>
      </c>
      <c r="AY271" s="46">
        <f t="shared" si="193"/>
        <v>150095.65626101376</v>
      </c>
      <c r="AZ271" s="46">
        <f t="shared" si="193"/>
        <v>157600.43907406446</v>
      </c>
      <c r="BA271" s="46">
        <f t="shared" si="193"/>
        <v>165480.46102776768</v>
      </c>
      <c r="BB271" s="46">
        <f t="shared" si="193"/>
        <v>173754.4840791561</v>
      </c>
      <c r="BC271" s="46">
        <f t="shared" si="193"/>
        <v>182442.2082831139</v>
      </c>
      <c r="BD271" s="46">
        <f t="shared" si="193"/>
        <v>191564.3186972696</v>
      </c>
      <c r="BE271" s="46"/>
    </row>
    <row r="272" spans="1:57" ht="14.25" customHeight="1" x14ac:dyDescent="0.3">
      <c r="A272" s="46"/>
      <c r="B272" s="37"/>
      <c r="C272" s="46" t="str">
        <f>C$173</f>
        <v xml:space="preserve">Revenue Balancing Line </v>
      </c>
      <c r="D272" s="46">
        <f t="shared" si="176"/>
        <v>-653626</v>
      </c>
      <c r="E272" s="46">
        <f t="shared" si="176"/>
        <v>0</v>
      </c>
      <c r="F272" s="46">
        <f t="shared" si="176"/>
        <v>0</v>
      </c>
      <c r="G272" s="46">
        <f t="shared" si="176"/>
        <v>0</v>
      </c>
      <c r="H272" s="46"/>
      <c r="I272" s="46">
        <f t="shared" ref="I272:BD272" si="194">I$173</f>
        <v>-107122</v>
      </c>
      <c r="J272" s="46">
        <f t="shared" si="194"/>
        <v>-110476</v>
      </c>
      <c r="K272" s="46">
        <f t="shared" si="194"/>
        <v>-72436</v>
      </c>
      <c r="L272" s="46">
        <f t="shared" si="194"/>
        <v>-168618</v>
      </c>
      <c r="M272" s="46">
        <f t="shared" si="194"/>
        <v>-282523</v>
      </c>
      <c r="N272" s="46">
        <f t="shared" si="194"/>
        <v>-33311</v>
      </c>
      <c r="O272" s="46">
        <f t="shared" si="194"/>
        <v>120860</v>
      </c>
      <c r="P272" s="46">
        <f t="shared" si="194"/>
        <v>0</v>
      </c>
      <c r="Q272" s="46">
        <f t="shared" si="194"/>
        <v>0</v>
      </c>
      <c r="R272" s="46">
        <f t="shared" si="194"/>
        <v>0</v>
      </c>
      <c r="S272" s="46">
        <f t="shared" si="194"/>
        <v>0</v>
      </c>
      <c r="T272" s="46">
        <f t="shared" si="194"/>
        <v>0</v>
      </c>
      <c r="U272" s="46">
        <f t="shared" si="194"/>
        <v>0</v>
      </c>
      <c r="V272" s="46">
        <f t="shared" si="194"/>
        <v>0</v>
      </c>
      <c r="W272" s="46">
        <f t="shared" si="194"/>
        <v>0</v>
      </c>
      <c r="X272" s="46">
        <f t="shared" si="194"/>
        <v>0</v>
      </c>
      <c r="Y272" s="46">
        <f t="shared" si="194"/>
        <v>0</v>
      </c>
      <c r="Z272" s="46">
        <f t="shared" si="194"/>
        <v>0</v>
      </c>
      <c r="AA272" s="46">
        <f t="shared" si="194"/>
        <v>0</v>
      </c>
      <c r="AB272" s="46">
        <f t="shared" si="194"/>
        <v>0</v>
      </c>
      <c r="AC272" s="46">
        <f t="shared" si="194"/>
        <v>0</v>
      </c>
      <c r="AD272" s="46">
        <f t="shared" si="194"/>
        <v>0</v>
      </c>
      <c r="AE272" s="46">
        <f t="shared" si="194"/>
        <v>0</v>
      </c>
      <c r="AF272" s="46">
        <f t="shared" si="194"/>
        <v>0</v>
      </c>
      <c r="AG272" s="46">
        <f t="shared" si="194"/>
        <v>0</v>
      </c>
      <c r="AH272" s="46">
        <f t="shared" si="194"/>
        <v>0</v>
      </c>
      <c r="AI272" s="46">
        <f t="shared" si="194"/>
        <v>0</v>
      </c>
      <c r="AJ272" s="46">
        <f t="shared" si="194"/>
        <v>0</v>
      </c>
      <c r="AK272" s="46">
        <f t="shared" si="194"/>
        <v>0</v>
      </c>
      <c r="AL272" s="46">
        <f t="shared" si="194"/>
        <v>0</v>
      </c>
      <c r="AM272" s="46">
        <f t="shared" si="194"/>
        <v>0</v>
      </c>
      <c r="AN272" s="46">
        <f t="shared" si="194"/>
        <v>0</v>
      </c>
      <c r="AO272" s="46">
        <f t="shared" si="194"/>
        <v>0</v>
      </c>
      <c r="AP272" s="46">
        <f t="shared" si="194"/>
        <v>0</v>
      </c>
      <c r="AQ272" s="46">
        <f t="shared" si="194"/>
        <v>0</v>
      </c>
      <c r="AR272" s="46">
        <f t="shared" si="194"/>
        <v>0</v>
      </c>
      <c r="AS272" s="46">
        <f t="shared" si="194"/>
        <v>0</v>
      </c>
      <c r="AT272" s="46">
        <f t="shared" si="194"/>
        <v>0</v>
      </c>
      <c r="AU272" s="46">
        <f t="shared" si="194"/>
        <v>0</v>
      </c>
      <c r="AV272" s="46">
        <f t="shared" si="194"/>
        <v>0</v>
      </c>
      <c r="AW272" s="46">
        <f t="shared" si="194"/>
        <v>0</v>
      </c>
      <c r="AX272" s="46">
        <f t="shared" si="194"/>
        <v>0</v>
      </c>
      <c r="AY272" s="46">
        <f t="shared" si="194"/>
        <v>0</v>
      </c>
      <c r="AZ272" s="46">
        <f t="shared" si="194"/>
        <v>0</v>
      </c>
      <c r="BA272" s="46">
        <f t="shared" si="194"/>
        <v>0</v>
      </c>
      <c r="BB272" s="46">
        <f t="shared" si="194"/>
        <v>0</v>
      </c>
      <c r="BC272" s="46">
        <f t="shared" si="194"/>
        <v>0</v>
      </c>
      <c r="BD272" s="46">
        <f t="shared" si="194"/>
        <v>0</v>
      </c>
      <c r="BE272" s="46"/>
    </row>
    <row r="273" spans="1:57" ht="14.25" customHeight="1" x14ac:dyDescent="0.3">
      <c r="A273" s="37"/>
      <c r="B273" s="37"/>
      <c r="C273" s="37" t="str">
        <f>C$174</f>
        <v>Total Revenue</v>
      </c>
      <c r="D273" s="68">
        <f t="shared" si="176"/>
        <v>26106245.73097783</v>
      </c>
      <c r="E273" s="68">
        <f t="shared" si="176"/>
        <v>36393635.522270076</v>
      </c>
      <c r="F273" s="68">
        <f t="shared" si="176"/>
        <v>47891380.527426802</v>
      </c>
      <c r="G273" s="68">
        <f t="shared" si="176"/>
        <v>63060603.129081964</v>
      </c>
      <c r="H273" s="37"/>
      <c r="I273" s="68">
        <f>SUM(I255:I272)</f>
        <v>2516228.6991304308</v>
      </c>
      <c r="J273" s="68">
        <f t="shared" ref="J273:BD273" si="195">SUM(J255:J272)</f>
        <v>1837230.4100000001</v>
      </c>
      <c r="K273" s="68">
        <f t="shared" si="195"/>
        <v>2348375.1999999983</v>
      </c>
      <c r="L273" s="68">
        <f t="shared" si="195"/>
        <v>2259865.4</v>
      </c>
      <c r="M273" s="68">
        <f t="shared" si="195"/>
        <v>2366727.2999999998</v>
      </c>
      <c r="N273" s="68">
        <f t="shared" si="195"/>
        <v>1603258</v>
      </c>
      <c r="O273" s="68">
        <f t="shared" si="195"/>
        <v>1756178.1</v>
      </c>
      <c r="P273" s="68">
        <f t="shared" si="195"/>
        <v>2079125.5514714285</v>
      </c>
      <c r="Q273" s="68">
        <f t="shared" si="195"/>
        <v>2133172.3408799903</v>
      </c>
      <c r="R273" s="68">
        <f t="shared" si="195"/>
        <v>2301408.7168437536</v>
      </c>
      <c r="S273" s="68">
        <f t="shared" si="195"/>
        <v>2397090.3753189826</v>
      </c>
      <c r="T273" s="68">
        <f t="shared" si="195"/>
        <v>2507585.6373332441</v>
      </c>
      <c r="U273" s="68">
        <f t="shared" si="195"/>
        <v>2581151.3397193011</v>
      </c>
      <c r="V273" s="68">
        <f t="shared" si="195"/>
        <v>2657960.0469374717</v>
      </c>
      <c r="W273" s="68">
        <f t="shared" si="195"/>
        <v>2733755.2564764088</v>
      </c>
      <c r="X273" s="68">
        <f t="shared" si="195"/>
        <v>2811323.666877978</v>
      </c>
      <c r="Y273" s="68">
        <f t="shared" si="195"/>
        <v>2892444.278735111</v>
      </c>
      <c r="Z273" s="68">
        <f t="shared" si="195"/>
        <v>2977332.3334412999</v>
      </c>
      <c r="AA273" s="68">
        <f t="shared" si="195"/>
        <v>3066218.8001197404</v>
      </c>
      <c r="AB273" s="68">
        <f t="shared" si="195"/>
        <v>3159351.6795729683</v>
      </c>
      <c r="AC273" s="68">
        <f t="shared" si="195"/>
        <v>3256997.4257308291</v>
      </c>
      <c r="AD273" s="68">
        <f t="shared" si="195"/>
        <v>3354456.6072213477</v>
      </c>
      <c r="AE273" s="68">
        <f t="shared" si="195"/>
        <v>3418307.3995667789</v>
      </c>
      <c r="AF273" s="68">
        <f t="shared" si="195"/>
        <v>3484336.6878708461</v>
      </c>
      <c r="AG273" s="68">
        <f t="shared" si="195"/>
        <v>3552634.3498970894</v>
      </c>
      <c r="AH273" s="68">
        <f t="shared" si="195"/>
        <v>3623294.374559544</v>
      </c>
      <c r="AI273" s="68">
        <f t="shared" si="195"/>
        <v>3696415.0594568998</v>
      </c>
      <c r="AJ273" s="68">
        <f t="shared" si="195"/>
        <v>3772099.2181104794</v>
      </c>
      <c r="AK273" s="68">
        <f t="shared" si="195"/>
        <v>3850454.3973874776</v>
      </c>
      <c r="AL273" s="68">
        <f t="shared" si="195"/>
        <v>3931593.1056147963</v>
      </c>
      <c r="AM273" s="68">
        <f t="shared" si="195"/>
        <v>4015633.0519140773</v>
      </c>
      <c r="AN273" s="68">
        <f t="shared" si="195"/>
        <v>4102697.3973148819</v>
      </c>
      <c r="AO273" s="68">
        <f t="shared" si="195"/>
        <v>4192915.0182308471</v>
      </c>
      <c r="AP273" s="68">
        <f t="shared" si="195"/>
        <v>4286420.7829126529</v>
      </c>
      <c r="AQ273" s="68">
        <f t="shared" si="195"/>
        <v>4383355.8415223546</v>
      </c>
      <c r="AR273" s="68">
        <f t="shared" si="195"/>
        <v>4483867.9305056976</v>
      </c>
      <c r="AS273" s="68">
        <f t="shared" si="195"/>
        <v>4588111.69197278</v>
      </c>
      <c r="AT273" s="68">
        <f t="shared" si="195"/>
        <v>4696249.0088328533</v>
      </c>
      <c r="AU273" s="68">
        <f t="shared" si="195"/>
        <v>4808449.3564662226</v>
      </c>
      <c r="AV273" s="68">
        <f t="shared" si="195"/>
        <v>4924890.1717552617</v>
      </c>
      <c r="AW273" s="68">
        <f t="shared" si="195"/>
        <v>5045757.2403375637</v>
      </c>
      <c r="AX273" s="68">
        <f t="shared" si="195"/>
        <v>5171245.1029872242</v>
      </c>
      <c r="AY273" s="68">
        <f t="shared" si="195"/>
        <v>5301557.482075558</v>
      </c>
      <c r="AZ273" s="68">
        <f t="shared" si="195"/>
        <v>5436907.7291098479</v>
      </c>
      <c r="BA273" s="68">
        <f t="shared" si="195"/>
        <v>5566382.8111834731</v>
      </c>
      <c r="BB273" s="68">
        <f t="shared" si="195"/>
        <v>5699711.3246491048</v>
      </c>
      <c r="BC273" s="68">
        <f t="shared" si="195"/>
        <v>5838460.889042275</v>
      </c>
      <c r="BD273" s="68">
        <f t="shared" si="195"/>
        <v>5982880.3206698047</v>
      </c>
      <c r="BE273" s="68"/>
    </row>
    <row r="274" spans="1:57" ht="14.25" customHeight="1" x14ac:dyDescent="0.3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  <c r="AE274" s="37"/>
      <c r="AF274" s="37"/>
      <c r="AG274" s="37"/>
      <c r="AH274" s="37"/>
      <c r="AI274" s="37"/>
      <c r="AJ274" s="37"/>
      <c r="AK274" s="37"/>
      <c r="AL274" s="37"/>
      <c r="AM274" s="37"/>
      <c r="AN274" s="37"/>
      <c r="AO274" s="37"/>
      <c r="AP274" s="37"/>
      <c r="AQ274" s="37"/>
      <c r="AR274" s="37"/>
      <c r="AS274" s="37"/>
      <c r="AT274" s="37"/>
      <c r="AU274" s="37"/>
      <c r="AV274" s="37"/>
      <c r="AW274" s="37"/>
      <c r="AX274" s="37"/>
      <c r="AY274" s="37"/>
      <c r="AZ274" s="37"/>
      <c r="BA274" s="37"/>
      <c r="BB274" s="37"/>
      <c r="BC274" s="37"/>
      <c r="BD274" s="37"/>
      <c r="BE274" s="37"/>
    </row>
    <row r="275" spans="1:57" ht="14.25" customHeight="1" x14ac:dyDescent="0.3">
      <c r="A275" s="37"/>
      <c r="B275" s="37" t="s">
        <v>12</v>
      </c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  <c r="AE275" s="37"/>
      <c r="AF275" s="37"/>
      <c r="AG275" s="37"/>
      <c r="AH275" s="37"/>
      <c r="AI275" s="37"/>
      <c r="AJ275" s="37"/>
      <c r="AK275" s="37"/>
      <c r="AL275" s="37"/>
      <c r="AM275" s="37"/>
      <c r="AN275" s="37"/>
      <c r="AO275" s="37"/>
      <c r="AP275" s="37"/>
      <c r="AQ275" s="37"/>
      <c r="AR275" s="37"/>
      <c r="AS275" s="37"/>
      <c r="AT275" s="37"/>
      <c r="AU275" s="37"/>
      <c r="AV275" s="37"/>
      <c r="AW275" s="37"/>
      <c r="AX275" s="37"/>
      <c r="AY275" s="37"/>
      <c r="AZ275" s="37"/>
      <c r="BA275" s="37"/>
      <c r="BB275" s="37"/>
      <c r="BC275" s="37"/>
      <c r="BD275" s="37"/>
      <c r="BE275" s="37"/>
    </row>
    <row r="276" spans="1:57" ht="14.25" customHeight="1" x14ac:dyDescent="0.3">
      <c r="A276" s="46"/>
      <c r="B276" s="46"/>
      <c r="C276" s="46" t="str">
        <f>C$17</f>
        <v>IV COS</v>
      </c>
      <c r="D276" s="46">
        <f t="shared" ref="D276:G288" si="196">SUMIF($2:$2,D$250,276:276)</f>
        <v>-797305.18598287506</v>
      </c>
      <c r="E276" s="46">
        <f t="shared" si="196"/>
        <v>-1060190.1850496111</v>
      </c>
      <c r="F276" s="46">
        <f t="shared" si="196"/>
        <v>-1194648.8372141463</v>
      </c>
      <c r="G276" s="46">
        <f t="shared" si="196"/>
        <v>-1346160.211990953</v>
      </c>
      <c r="H276" s="46"/>
      <c r="I276" s="46">
        <f>I$17</f>
        <v>-46812</v>
      </c>
      <c r="J276" s="46">
        <f t="shared" ref="J276:BD276" si="197">J$17</f>
        <v>-52902.9</v>
      </c>
      <c r="K276" s="46">
        <f t="shared" si="197"/>
        <v>-59818.5</v>
      </c>
      <c r="L276" s="46">
        <f t="shared" si="197"/>
        <v>-72932.399999999994</v>
      </c>
      <c r="M276" s="46">
        <f t="shared" si="197"/>
        <v>-48742.2</v>
      </c>
      <c r="N276" s="46">
        <f t="shared" si="197"/>
        <v>-39658.5</v>
      </c>
      <c r="O276" s="46">
        <f t="shared" si="197"/>
        <v>-70717.5</v>
      </c>
      <c r="P276" s="46">
        <f t="shared" si="197"/>
        <v>-79537.5</v>
      </c>
      <c r="Q276" s="46">
        <f t="shared" si="197"/>
        <v>-80332.875000000015</v>
      </c>
      <c r="R276" s="46">
        <f t="shared" si="197"/>
        <v>-81136.203750000001</v>
      </c>
      <c r="S276" s="46">
        <f t="shared" si="197"/>
        <v>-81947.565787500003</v>
      </c>
      <c r="T276" s="46">
        <f t="shared" si="197"/>
        <v>-82767.041445375013</v>
      </c>
      <c r="U276" s="46">
        <f t="shared" si="197"/>
        <v>-83594.711859828763</v>
      </c>
      <c r="V276" s="46">
        <f t="shared" si="197"/>
        <v>-84430.658978427062</v>
      </c>
      <c r="W276" s="46">
        <f t="shared" si="197"/>
        <v>-85274.965568211323</v>
      </c>
      <c r="X276" s="46">
        <f t="shared" si="197"/>
        <v>-86127.71522389345</v>
      </c>
      <c r="Y276" s="46">
        <f t="shared" si="197"/>
        <v>-86988.992376132373</v>
      </c>
      <c r="Z276" s="46">
        <f t="shared" si="197"/>
        <v>-87858.882299893696</v>
      </c>
      <c r="AA276" s="46">
        <f t="shared" si="197"/>
        <v>-88737.471122892632</v>
      </c>
      <c r="AB276" s="46">
        <f t="shared" si="197"/>
        <v>-89624.845834121559</v>
      </c>
      <c r="AC276" s="46">
        <f t="shared" si="197"/>
        <v>-90521.094292462774</v>
      </c>
      <c r="AD276" s="46">
        <f t="shared" si="197"/>
        <v>-91426.305235387394</v>
      </c>
      <c r="AE276" s="46">
        <f t="shared" si="197"/>
        <v>-92340.568287741276</v>
      </c>
      <c r="AF276" s="46">
        <f t="shared" si="197"/>
        <v>-93263.973970618696</v>
      </c>
      <c r="AG276" s="46">
        <f t="shared" si="197"/>
        <v>-94196.613710324877</v>
      </c>
      <c r="AH276" s="46">
        <f t="shared" si="197"/>
        <v>-95138.579847428118</v>
      </c>
      <c r="AI276" s="46">
        <f t="shared" si="197"/>
        <v>-96089.965645902397</v>
      </c>
      <c r="AJ276" s="46">
        <f t="shared" si="197"/>
        <v>-97050.865302361432</v>
      </c>
      <c r="AK276" s="46">
        <f t="shared" si="197"/>
        <v>-98021.373955385032</v>
      </c>
      <c r="AL276" s="46">
        <f t="shared" si="197"/>
        <v>-99001.587694938877</v>
      </c>
      <c r="AM276" s="46">
        <f t="shared" si="197"/>
        <v>-99991.603571888278</v>
      </c>
      <c r="AN276" s="46">
        <f t="shared" si="197"/>
        <v>-100991.51960760716</v>
      </c>
      <c r="AO276" s="46">
        <f t="shared" si="197"/>
        <v>-102001.43480368324</v>
      </c>
      <c r="AP276" s="46">
        <f t="shared" si="197"/>
        <v>-103021.44915172007</v>
      </c>
      <c r="AQ276" s="46">
        <f t="shared" si="197"/>
        <v>-104051.66364323726</v>
      </c>
      <c r="AR276" s="46">
        <f t="shared" si="197"/>
        <v>-105092.18027966963</v>
      </c>
      <c r="AS276" s="46">
        <f t="shared" si="197"/>
        <v>-106143.10208246633</v>
      </c>
      <c r="AT276" s="46">
        <f t="shared" si="197"/>
        <v>-107204.53310329099</v>
      </c>
      <c r="AU276" s="46">
        <f t="shared" si="197"/>
        <v>-108276.57843432389</v>
      </c>
      <c r="AV276" s="46">
        <f t="shared" si="197"/>
        <v>-109359.34421866713</v>
      </c>
      <c r="AW276" s="46">
        <f t="shared" si="197"/>
        <v>-110452.9376608538</v>
      </c>
      <c r="AX276" s="46">
        <f t="shared" si="197"/>
        <v>-111557.46703746234</v>
      </c>
      <c r="AY276" s="46">
        <f t="shared" si="197"/>
        <v>-112673.04170783696</v>
      </c>
      <c r="AZ276" s="46">
        <f t="shared" si="197"/>
        <v>-113799.77212491534</v>
      </c>
      <c r="BA276" s="46">
        <f t="shared" si="197"/>
        <v>-114937.7698461645</v>
      </c>
      <c r="BB276" s="46">
        <f t="shared" si="197"/>
        <v>-116087.14754462615</v>
      </c>
      <c r="BC276" s="46">
        <f t="shared" si="197"/>
        <v>-117248.0190200724</v>
      </c>
      <c r="BD276" s="46">
        <f t="shared" si="197"/>
        <v>-118420.49921027312</v>
      </c>
      <c r="BE276" s="46"/>
    </row>
    <row r="277" spans="1:57" ht="14.25" customHeight="1" x14ac:dyDescent="0.3">
      <c r="A277" s="46"/>
      <c r="B277" s="46"/>
      <c r="C277" s="46" t="str">
        <f>C$24</f>
        <v>IV Curcumin COS</v>
      </c>
      <c r="D277" s="46">
        <f t="shared" si="196"/>
        <v>-582399.19528146007</v>
      </c>
      <c r="E277" s="46">
        <f t="shared" si="196"/>
        <v>-735065.1949677302</v>
      </c>
      <c r="F277" s="46">
        <f t="shared" si="196"/>
        <v>-828289.8604684748</v>
      </c>
      <c r="G277" s="46">
        <f t="shared" si="196"/>
        <v>-933337.74698039435</v>
      </c>
      <c r="H277" s="46"/>
      <c r="I277" s="46">
        <f t="shared" ref="I277:BD277" si="198">I$24</f>
        <v>-43639.199999999997</v>
      </c>
      <c r="J277" s="46">
        <f t="shared" si="198"/>
        <v>-47265.273000000001</v>
      </c>
      <c r="K277" s="46">
        <f t="shared" si="198"/>
        <v>-56620.799999999996</v>
      </c>
      <c r="L277" s="46">
        <f t="shared" si="198"/>
        <v>-70726.5</v>
      </c>
      <c r="M277" s="46">
        <f t="shared" si="198"/>
        <v>-25929</v>
      </c>
      <c r="N277" s="46">
        <f t="shared" si="198"/>
        <v>-14700</v>
      </c>
      <c r="O277" s="46">
        <f t="shared" si="198"/>
        <v>-42218.400000000001</v>
      </c>
      <c r="P277" s="46">
        <f t="shared" si="198"/>
        <v>-55146</v>
      </c>
      <c r="Q277" s="46">
        <f t="shared" si="198"/>
        <v>-55697.460000000006</v>
      </c>
      <c r="R277" s="46">
        <f t="shared" si="198"/>
        <v>-56254.434600000001</v>
      </c>
      <c r="S277" s="46">
        <f t="shared" si="198"/>
        <v>-56816.978946000003</v>
      </c>
      <c r="T277" s="46">
        <f t="shared" si="198"/>
        <v>-57385.148735459996</v>
      </c>
      <c r="U277" s="46">
        <f t="shared" si="198"/>
        <v>-57959.000222814604</v>
      </c>
      <c r="V277" s="46">
        <f t="shared" si="198"/>
        <v>-58538.590225042746</v>
      </c>
      <c r="W277" s="46">
        <f t="shared" si="198"/>
        <v>-59123.976127293172</v>
      </c>
      <c r="X277" s="46">
        <f t="shared" si="198"/>
        <v>-59715.215888566112</v>
      </c>
      <c r="Y277" s="46">
        <f t="shared" si="198"/>
        <v>-60312.368047451768</v>
      </c>
      <c r="Z277" s="46">
        <f t="shared" si="198"/>
        <v>-60915.491727926288</v>
      </c>
      <c r="AA277" s="46">
        <f t="shared" si="198"/>
        <v>-61524.646645205547</v>
      </c>
      <c r="AB277" s="46">
        <f t="shared" si="198"/>
        <v>-62139.893111657606</v>
      </c>
      <c r="AC277" s="46">
        <f t="shared" si="198"/>
        <v>-62761.292042774192</v>
      </c>
      <c r="AD277" s="46">
        <f t="shared" si="198"/>
        <v>-63388.904963201931</v>
      </c>
      <c r="AE277" s="46">
        <f t="shared" si="198"/>
        <v>-64022.794012833947</v>
      </c>
      <c r="AF277" s="46">
        <f t="shared" si="198"/>
        <v>-64663.021952962292</v>
      </c>
      <c r="AG277" s="46">
        <f t="shared" si="198"/>
        <v>-65309.652172491908</v>
      </c>
      <c r="AH277" s="46">
        <f t="shared" si="198"/>
        <v>-65962.748694216833</v>
      </c>
      <c r="AI277" s="46">
        <f t="shared" si="198"/>
        <v>-66622.376181158994</v>
      </c>
      <c r="AJ277" s="46">
        <f t="shared" si="198"/>
        <v>-67288.599942970584</v>
      </c>
      <c r="AK277" s="46">
        <f t="shared" si="198"/>
        <v>-67961.485942400293</v>
      </c>
      <c r="AL277" s="46">
        <f t="shared" si="198"/>
        <v>-68641.100801824316</v>
      </c>
      <c r="AM277" s="46">
        <f t="shared" si="198"/>
        <v>-69327.511809842545</v>
      </c>
      <c r="AN277" s="46">
        <f t="shared" si="198"/>
        <v>-70020.786927940979</v>
      </c>
      <c r="AO277" s="46">
        <f t="shared" si="198"/>
        <v>-70720.994797220395</v>
      </c>
      <c r="AP277" s="46">
        <f t="shared" si="198"/>
        <v>-71428.20474519259</v>
      </c>
      <c r="AQ277" s="46">
        <f t="shared" si="198"/>
        <v>-72142.486792644515</v>
      </c>
      <c r="AR277" s="46">
        <f t="shared" si="198"/>
        <v>-72863.911660570971</v>
      </c>
      <c r="AS277" s="46">
        <f t="shared" si="198"/>
        <v>-73592.550777176672</v>
      </c>
      <c r="AT277" s="46">
        <f t="shared" si="198"/>
        <v>-74328.47628494844</v>
      </c>
      <c r="AU277" s="46">
        <f t="shared" si="198"/>
        <v>-75071.761047797932</v>
      </c>
      <c r="AV277" s="46">
        <f t="shared" si="198"/>
        <v>-75822.478658275912</v>
      </c>
      <c r="AW277" s="46">
        <f t="shared" si="198"/>
        <v>-76580.703444858678</v>
      </c>
      <c r="AX277" s="46">
        <f t="shared" si="198"/>
        <v>-77346.510479307268</v>
      </c>
      <c r="AY277" s="46">
        <f t="shared" si="198"/>
        <v>-78119.975584100335</v>
      </c>
      <c r="AZ277" s="46">
        <f t="shared" si="198"/>
        <v>-78901.175339941328</v>
      </c>
      <c r="BA277" s="46">
        <f t="shared" si="198"/>
        <v>-79690.187093340748</v>
      </c>
      <c r="BB277" s="46">
        <f t="shared" si="198"/>
        <v>-80487.088964274153</v>
      </c>
      <c r="BC277" s="46">
        <f t="shared" si="198"/>
        <v>-81291.959853916895</v>
      </c>
      <c r="BD277" s="46">
        <f t="shared" si="198"/>
        <v>-82104.879452456065</v>
      </c>
      <c r="BE277" s="46"/>
    </row>
    <row r="278" spans="1:57" ht="14.25" customHeight="1" x14ac:dyDescent="0.3">
      <c r="A278" s="46"/>
      <c r="B278" s="46"/>
      <c r="C278" s="46" t="str">
        <f>C$64</f>
        <v>PDT Low COS</v>
      </c>
      <c r="D278" s="46">
        <f t="shared" si="196"/>
        <v>-306540.12438476563</v>
      </c>
      <c r="E278" s="46">
        <f t="shared" si="196"/>
        <v>-271976.40365565772</v>
      </c>
      <c r="F278" s="46">
        <f t="shared" si="196"/>
        <v>-365778.02573519381</v>
      </c>
      <c r="G278" s="46">
        <f t="shared" si="196"/>
        <v>-481518.08915614191</v>
      </c>
      <c r="H278" s="46"/>
      <c r="I278" s="46">
        <f>I$64</f>
        <v>-51000</v>
      </c>
      <c r="J278" s="46">
        <f t="shared" ref="J278:BD278" si="199">J$64</f>
        <v>-34000</v>
      </c>
      <c r="K278" s="46">
        <f t="shared" si="199"/>
        <v>0</v>
      </c>
      <c r="L278" s="46">
        <f t="shared" si="199"/>
        <v>-65645.3</v>
      </c>
      <c r="M278" s="46">
        <f t="shared" si="199"/>
        <v>-35005.599999999999</v>
      </c>
      <c r="N278" s="46">
        <f t="shared" si="199"/>
        <v>-29297.7</v>
      </c>
      <c r="O278" s="46">
        <f t="shared" si="199"/>
        <v>0</v>
      </c>
      <c r="P278" s="46">
        <f t="shared" si="199"/>
        <v>-17425</v>
      </c>
      <c r="Q278" s="46">
        <f t="shared" si="199"/>
        <v>-17860.625</v>
      </c>
      <c r="R278" s="46">
        <f t="shared" si="199"/>
        <v>-18307.140624999996</v>
      </c>
      <c r="S278" s="46">
        <f t="shared" si="199"/>
        <v>-18764.819140624997</v>
      </c>
      <c r="T278" s="46">
        <f t="shared" si="199"/>
        <v>-19233.939619140619</v>
      </c>
      <c r="U278" s="46">
        <f t="shared" si="199"/>
        <v>-19714.788109619134</v>
      </c>
      <c r="V278" s="46">
        <f t="shared" si="199"/>
        <v>-20207.657812359608</v>
      </c>
      <c r="W278" s="46">
        <f t="shared" si="199"/>
        <v>-20712.849257668597</v>
      </c>
      <c r="X278" s="46">
        <f t="shared" si="199"/>
        <v>-21230.670489110307</v>
      </c>
      <c r="Y278" s="46">
        <f t="shared" si="199"/>
        <v>-21761.437251338062</v>
      </c>
      <c r="Z278" s="46">
        <f t="shared" si="199"/>
        <v>-22305.473182621514</v>
      </c>
      <c r="AA278" s="46">
        <f t="shared" si="199"/>
        <v>-22863.110012187051</v>
      </c>
      <c r="AB278" s="46">
        <f t="shared" si="199"/>
        <v>-23434.687762491725</v>
      </c>
      <c r="AC278" s="46">
        <f t="shared" si="199"/>
        <v>-24020.554956554017</v>
      </c>
      <c r="AD278" s="46">
        <f t="shared" si="199"/>
        <v>-24621.068830467862</v>
      </c>
      <c r="AE278" s="46">
        <f t="shared" si="199"/>
        <v>-25236.595551229559</v>
      </c>
      <c r="AF278" s="46">
        <f t="shared" si="199"/>
        <v>-25867.510440010294</v>
      </c>
      <c r="AG278" s="46">
        <f t="shared" si="199"/>
        <v>-26514.198201010549</v>
      </c>
      <c r="AH278" s="46">
        <f t="shared" si="199"/>
        <v>-27177.05315603581</v>
      </c>
      <c r="AI278" s="46">
        <f t="shared" si="199"/>
        <v>-27856.479484936703</v>
      </c>
      <c r="AJ278" s="46">
        <f t="shared" si="199"/>
        <v>-28552.891472060117</v>
      </c>
      <c r="AK278" s="46">
        <f t="shared" si="199"/>
        <v>-29266.713758861617</v>
      </c>
      <c r="AL278" s="46">
        <f t="shared" si="199"/>
        <v>-29998.381602833153</v>
      </c>
      <c r="AM278" s="46">
        <f t="shared" si="199"/>
        <v>-30748.341142903981</v>
      </c>
      <c r="AN278" s="46">
        <f t="shared" si="199"/>
        <v>-31517.049671476576</v>
      </c>
      <c r="AO278" s="46">
        <f t="shared" si="199"/>
        <v>-32304.97591326349</v>
      </c>
      <c r="AP278" s="46">
        <f t="shared" si="199"/>
        <v>-33112.60031109507</v>
      </c>
      <c r="AQ278" s="46">
        <f t="shared" si="199"/>
        <v>-33940.415318872445</v>
      </c>
      <c r="AR278" s="46">
        <f t="shared" si="199"/>
        <v>-34788.925701844251</v>
      </c>
      <c r="AS278" s="46">
        <f t="shared" si="199"/>
        <v>-35658.648844390358</v>
      </c>
      <c r="AT278" s="46">
        <f t="shared" si="199"/>
        <v>-36550.115065500111</v>
      </c>
      <c r="AU278" s="46">
        <f t="shared" si="199"/>
        <v>-37463.867942137607</v>
      </c>
      <c r="AV278" s="46">
        <f t="shared" si="199"/>
        <v>-38400.464640691047</v>
      </c>
      <c r="AW278" s="46">
        <f t="shared" si="199"/>
        <v>-39360.476256708316</v>
      </c>
      <c r="AX278" s="46">
        <f t="shared" si="199"/>
        <v>-40344.488163126021</v>
      </c>
      <c r="AY278" s="46">
        <f t="shared" si="199"/>
        <v>-41353.10036720417</v>
      </c>
      <c r="AZ278" s="46">
        <f t="shared" si="199"/>
        <v>-42386.927876384274</v>
      </c>
      <c r="BA278" s="46">
        <f t="shared" si="199"/>
        <v>-42500</v>
      </c>
      <c r="BB278" s="46">
        <f t="shared" si="199"/>
        <v>-42500</v>
      </c>
      <c r="BC278" s="46">
        <f t="shared" si="199"/>
        <v>-42500</v>
      </c>
      <c r="BD278" s="46">
        <f t="shared" si="199"/>
        <v>-42500</v>
      </c>
      <c r="BE278" s="46"/>
    </row>
    <row r="279" spans="1:57" ht="14.25" customHeight="1" x14ac:dyDescent="0.3">
      <c r="A279" s="46"/>
      <c r="B279" s="46"/>
      <c r="C279" s="46" t="str">
        <f>C$72</f>
        <v>PDT High COS</v>
      </c>
      <c r="D279" s="46">
        <f t="shared" si="196"/>
        <v>-382935</v>
      </c>
      <c r="E279" s="46">
        <f t="shared" si="196"/>
        <v>-576000</v>
      </c>
      <c r="F279" s="46">
        <f t="shared" si="196"/>
        <v>-576000</v>
      </c>
      <c r="G279" s="46">
        <f t="shared" si="196"/>
        <v>-576000</v>
      </c>
      <c r="H279" s="46"/>
      <c r="I279" s="46">
        <f t="shared" ref="I279:BD279" si="200">I$72</f>
        <v>0</v>
      </c>
      <c r="J279" s="46">
        <f t="shared" si="200"/>
        <v>0</v>
      </c>
      <c r="K279" s="46">
        <f t="shared" si="200"/>
        <v>-72000</v>
      </c>
      <c r="L279" s="46">
        <f t="shared" si="200"/>
        <v>0</v>
      </c>
      <c r="M279" s="46">
        <f t="shared" si="200"/>
        <v>0</v>
      </c>
      <c r="N279" s="46">
        <f t="shared" si="200"/>
        <v>0</v>
      </c>
      <c r="O279" s="46">
        <f t="shared" si="200"/>
        <v>-70935</v>
      </c>
      <c r="P279" s="46">
        <f t="shared" si="200"/>
        <v>-48000</v>
      </c>
      <c r="Q279" s="46">
        <f t="shared" si="200"/>
        <v>-48000</v>
      </c>
      <c r="R279" s="46">
        <f t="shared" si="200"/>
        <v>-48000</v>
      </c>
      <c r="S279" s="46">
        <f t="shared" si="200"/>
        <v>-48000</v>
      </c>
      <c r="T279" s="46">
        <f t="shared" si="200"/>
        <v>-48000</v>
      </c>
      <c r="U279" s="46">
        <f t="shared" si="200"/>
        <v>-48000</v>
      </c>
      <c r="V279" s="46">
        <f t="shared" si="200"/>
        <v>-48000</v>
      </c>
      <c r="W279" s="46">
        <f t="shared" si="200"/>
        <v>-48000</v>
      </c>
      <c r="X279" s="46">
        <f t="shared" si="200"/>
        <v>-48000</v>
      </c>
      <c r="Y279" s="46">
        <f t="shared" si="200"/>
        <v>-48000</v>
      </c>
      <c r="Z279" s="46">
        <f t="shared" si="200"/>
        <v>-48000</v>
      </c>
      <c r="AA279" s="46">
        <f t="shared" si="200"/>
        <v>-48000</v>
      </c>
      <c r="AB279" s="46">
        <f t="shared" si="200"/>
        <v>-48000</v>
      </c>
      <c r="AC279" s="46">
        <f t="shared" si="200"/>
        <v>-48000</v>
      </c>
      <c r="AD279" s="46">
        <f t="shared" si="200"/>
        <v>-48000</v>
      </c>
      <c r="AE279" s="46">
        <f t="shared" si="200"/>
        <v>-48000</v>
      </c>
      <c r="AF279" s="46">
        <f t="shared" si="200"/>
        <v>-48000</v>
      </c>
      <c r="AG279" s="46">
        <f t="shared" si="200"/>
        <v>-48000</v>
      </c>
      <c r="AH279" s="46">
        <f t="shared" si="200"/>
        <v>-48000</v>
      </c>
      <c r="AI279" s="46">
        <f t="shared" si="200"/>
        <v>-48000</v>
      </c>
      <c r="AJ279" s="46">
        <f t="shared" si="200"/>
        <v>-48000</v>
      </c>
      <c r="AK279" s="46">
        <f t="shared" si="200"/>
        <v>-48000</v>
      </c>
      <c r="AL279" s="46">
        <f t="shared" si="200"/>
        <v>-48000</v>
      </c>
      <c r="AM279" s="46">
        <f t="shared" si="200"/>
        <v>-48000</v>
      </c>
      <c r="AN279" s="46">
        <f t="shared" si="200"/>
        <v>-48000</v>
      </c>
      <c r="AO279" s="46">
        <f t="shared" si="200"/>
        <v>-48000</v>
      </c>
      <c r="AP279" s="46">
        <f t="shared" si="200"/>
        <v>-48000</v>
      </c>
      <c r="AQ279" s="46">
        <f t="shared" si="200"/>
        <v>-48000</v>
      </c>
      <c r="AR279" s="46">
        <f t="shared" si="200"/>
        <v>-48000</v>
      </c>
      <c r="AS279" s="46">
        <f t="shared" si="200"/>
        <v>-48000</v>
      </c>
      <c r="AT279" s="46">
        <f t="shared" si="200"/>
        <v>-48000</v>
      </c>
      <c r="AU279" s="46">
        <f t="shared" si="200"/>
        <v>-48000</v>
      </c>
      <c r="AV279" s="46">
        <f t="shared" si="200"/>
        <v>-48000</v>
      </c>
      <c r="AW279" s="46">
        <f t="shared" si="200"/>
        <v>-48000</v>
      </c>
      <c r="AX279" s="46">
        <f t="shared" si="200"/>
        <v>-48000</v>
      </c>
      <c r="AY279" s="46">
        <f t="shared" si="200"/>
        <v>-48000</v>
      </c>
      <c r="AZ279" s="46">
        <f t="shared" si="200"/>
        <v>-48000</v>
      </c>
      <c r="BA279" s="46">
        <f t="shared" si="200"/>
        <v>-48000</v>
      </c>
      <c r="BB279" s="46">
        <f t="shared" si="200"/>
        <v>-48000</v>
      </c>
      <c r="BC279" s="46">
        <f t="shared" si="200"/>
        <v>-48000</v>
      </c>
      <c r="BD279" s="46">
        <f t="shared" si="200"/>
        <v>-48000</v>
      </c>
      <c r="BE279" s="46"/>
    </row>
    <row r="280" spans="1:57" ht="14.25" customHeight="1" x14ac:dyDescent="0.3">
      <c r="A280" s="46"/>
      <c r="B280" s="46"/>
      <c r="C280" s="46" t="str">
        <f>C$81</f>
        <v>Immunotherapy COS</v>
      </c>
      <c r="D280" s="46">
        <f t="shared" si="196"/>
        <v>-4791469.0503350338</v>
      </c>
      <c r="E280" s="46">
        <f t="shared" si="196"/>
        <v>-6092708.6868980573</v>
      </c>
      <c r="F280" s="46">
        <f t="shared" si="196"/>
        <v>-6865416.6496992195</v>
      </c>
      <c r="G280" s="46">
        <f t="shared" si="196"/>
        <v>-7736123.3231658507</v>
      </c>
      <c r="H280" s="46"/>
      <c r="I280" s="46">
        <f t="shared" ref="I280:BD280" si="201">I$81</f>
        <v>-270054.96000000002</v>
      </c>
      <c r="J280" s="46">
        <f t="shared" si="201"/>
        <v>-303466.44</v>
      </c>
      <c r="K280" s="46">
        <f t="shared" si="201"/>
        <v>-424560</v>
      </c>
      <c r="L280" s="46">
        <f t="shared" si="201"/>
        <v>-318724.5</v>
      </c>
      <c r="M280" s="46">
        <f t="shared" si="201"/>
        <v>-510265.44</v>
      </c>
      <c r="N280" s="46">
        <f t="shared" si="201"/>
        <v>-421532.4</v>
      </c>
      <c r="O280" s="46">
        <f t="shared" si="201"/>
        <v>-211263.84</v>
      </c>
      <c r="P280" s="46">
        <f t="shared" si="201"/>
        <v>-457086.6850285714</v>
      </c>
      <c r="Q280" s="46">
        <f t="shared" si="201"/>
        <v>-461657.55187885708</v>
      </c>
      <c r="R280" s="46">
        <f t="shared" si="201"/>
        <v>-466274.12739764561</v>
      </c>
      <c r="S280" s="46">
        <f t="shared" si="201"/>
        <v>-470936.86867162213</v>
      </c>
      <c r="T280" s="46">
        <f t="shared" si="201"/>
        <v>-475646.23735833832</v>
      </c>
      <c r="U280" s="46">
        <f t="shared" si="201"/>
        <v>-480402.69973192172</v>
      </c>
      <c r="V280" s="46">
        <f t="shared" si="201"/>
        <v>-485206.72672924085</v>
      </c>
      <c r="W280" s="46">
        <f t="shared" si="201"/>
        <v>-490058.79399653332</v>
      </c>
      <c r="X280" s="46">
        <f t="shared" si="201"/>
        <v>-494959.38193649868</v>
      </c>
      <c r="Y280" s="46">
        <f t="shared" si="201"/>
        <v>-499908.97575586371</v>
      </c>
      <c r="Z280" s="46">
        <f t="shared" si="201"/>
        <v>-504908.06551342231</v>
      </c>
      <c r="AA280" s="46">
        <f t="shared" si="201"/>
        <v>-509957.14616855659</v>
      </c>
      <c r="AB280" s="46">
        <f t="shared" si="201"/>
        <v>-515056.71763024217</v>
      </c>
      <c r="AC280" s="46">
        <f t="shared" si="201"/>
        <v>-520207.28480654454</v>
      </c>
      <c r="AD280" s="46">
        <f t="shared" si="201"/>
        <v>-525409.35765461007</v>
      </c>
      <c r="AE280" s="46">
        <f t="shared" si="201"/>
        <v>-530663.45123115613</v>
      </c>
      <c r="AF280" s="46">
        <f t="shared" si="201"/>
        <v>-535970.08574346767</v>
      </c>
      <c r="AG280" s="46">
        <f t="shared" si="201"/>
        <v>-541329.78660090233</v>
      </c>
      <c r="AH280" s="46">
        <f t="shared" si="201"/>
        <v>-546743.08446691139</v>
      </c>
      <c r="AI280" s="46">
        <f t="shared" si="201"/>
        <v>-552210.5153115805</v>
      </c>
      <c r="AJ280" s="46">
        <f t="shared" si="201"/>
        <v>-557732.62046469643</v>
      </c>
      <c r="AK280" s="46">
        <f t="shared" si="201"/>
        <v>-563309.94666934339</v>
      </c>
      <c r="AL280" s="46">
        <f t="shared" si="201"/>
        <v>-568943.04613603686</v>
      </c>
      <c r="AM280" s="46">
        <f t="shared" si="201"/>
        <v>-574632.47659739724</v>
      </c>
      <c r="AN280" s="46">
        <f t="shared" si="201"/>
        <v>-580378.8013633712</v>
      </c>
      <c r="AO280" s="46">
        <f t="shared" si="201"/>
        <v>-586182.58937700489</v>
      </c>
      <c r="AP280" s="46">
        <f t="shared" si="201"/>
        <v>-592044.41527077497</v>
      </c>
      <c r="AQ280" s="46">
        <f t="shared" si="201"/>
        <v>-597964.85942348267</v>
      </c>
      <c r="AR280" s="46">
        <f t="shared" si="201"/>
        <v>-603944.50801771763</v>
      </c>
      <c r="AS280" s="46">
        <f t="shared" si="201"/>
        <v>-609983.95309789479</v>
      </c>
      <c r="AT280" s="46">
        <f t="shared" si="201"/>
        <v>-616083.79262887372</v>
      </c>
      <c r="AU280" s="46">
        <f t="shared" si="201"/>
        <v>-622244.63055516256</v>
      </c>
      <c r="AV280" s="46">
        <f t="shared" si="201"/>
        <v>-628467.07686071412</v>
      </c>
      <c r="AW280" s="46">
        <f t="shared" si="201"/>
        <v>-634751.7476293213</v>
      </c>
      <c r="AX280" s="46">
        <f t="shared" si="201"/>
        <v>-641099.26510561444</v>
      </c>
      <c r="AY280" s="46">
        <f t="shared" si="201"/>
        <v>-647510.25775667059</v>
      </c>
      <c r="AZ280" s="46">
        <f t="shared" si="201"/>
        <v>-653985.36033423734</v>
      </c>
      <c r="BA280" s="46">
        <f t="shared" si="201"/>
        <v>-660525.21393757977</v>
      </c>
      <c r="BB280" s="46">
        <f t="shared" si="201"/>
        <v>-667130.46607695555</v>
      </c>
      <c r="BC280" s="46">
        <f t="shared" si="201"/>
        <v>-673801.77073772508</v>
      </c>
      <c r="BD280" s="46">
        <f t="shared" si="201"/>
        <v>-680539.7884451024</v>
      </c>
      <c r="BE280" s="46"/>
    </row>
    <row r="281" spans="1:57" ht="14.25" customHeight="1" x14ac:dyDescent="0.3">
      <c r="A281" s="46"/>
      <c r="B281" s="46"/>
      <c r="C281" s="46" t="str">
        <f>C$90</f>
        <v>Chemotherapy COS</v>
      </c>
      <c r="D281" s="46">
        <f t="shared" si="196"/>
        <v>-747936.50710256398</v>
      </c>
      <c r="E281" s="46">
        <f t="shared" si="196"/>
        <v>-560588.18165670848</v>
      </c>
      <c r="F281" s="46">
        <f t="shared" si="196"/>
        <v>-631684.79468694679</v>
      </c>
      <c r="G281" s="46">
        <f t="shared" si="196"/>
        <v>-711798.23780702613</v>
      </c>
      <c r="H281" s="46"/>
      <c r="I281" s="46">
        <f>I$90</f>
        <v>-36327.9</v>
      </c>
      <c r="J281" s="46">
        <f t="shared" ref="J281:BD281" si="202">J$90</f>
        <v>-30569.699999999997</v>
      </c>
      <c r="K281" s="46">
        <f t="shared" si="202"/>
        <v>-55735.199999999997</v>
      </c>
      <c r="L281" s="46">
        <f t="shared" si="202"/>
        <v>-60978.6</v>
      </c>
      <c r="M281" s="46">
        <f t="shared" si="202"/>
        <v>-274687.2</v>
      </c>
      <c r="N281" s="46">
        <f t="shared" si="202"/>
        <v>-26707.200000000001</v>
      </c>
      <c r="O281" s="46">
        <f t="shared" si="202"/>
        <v>-48400.799999999996</v>
      </c>
      <c r="P281" s="46">
        <f t="shared" si="202"/>
        <v>-42056.4</v>
      </c>
      <c r="Q281" s="46">
        <f t="shared" si="202"/>
        <v>-42476.964</v>
      </c>
      <c r="R281" s="46">
        <f t="shared" si="202"/>
        <v>-42901.733639999999</v>
      </c>
      <c r="S281" s="46">
        <f t="shared" si="202"/>
        <v>-43330.750976399999</v>
      </c>
      <c r="T281" s="46">
        <f t="shared" si="202"/>
        <v>-43764.058486164002</v>
      </c>
      <c r="U281" s="46">
        <f t="shared" si="202"/>
        <v>-44201.699071025643</v>
      </c>
      <c r="V281" s="46">
        <f t="shared" si="202"/>
        <v>-44643.716061735897</v>
      </c>
      <c r="W281" s="46">
        <f t="shared" si="202"/>
        <v>-45090.153222353256</v>
      </c>
      <c r="X281" s="46">
        <f t="shared" si="202"/>
        <v>-45541.054754576791</v>
      </c>
      <c r="Y281" s="46">
        <f t="shared" si="202"/>
        <v>-45996.46530212256</v>
      </c>
      <c r="Z281" s="46">
        <f t="shared" si="202"/>
        <v>-46456.42995514378</v>
      </c>
      <c r="AA281" s="46">
        <f t="shared" si="202"/>
        <v>-46920.994254695222</v>
      </c>
      <c r="AB281" s="46">
        <f t="shared" si="202"/>
        <v>-47390.204197242172</v>
      </c>
      <c r="AC281" s="46">
        <f t="shared" si="202"/>
        <v>-47864.106239214598</v>
      </c>
      <c r="AD281" s="46">
        <f t="shared" si="202"/>
        <v>-48342.747301606745</v>
      </c>
      <c r="AE281" s="46">
        <f t="shared" si="202"/>
        <v>-48826.174774622807</v>
      </c>
      <c r="AF281" s="46">
        <f t="shared" si="202"/>
        <v>-49314.43652236904</v>
      </c>
      <c r="AG281" s="46">
        <f t="shared" si="202"/>
        <v>-49807.580887592732</v>
      </c>
      <c r="AH281" s="46">
        <f t="shared" si="202"/>
        <v>-50305.656696468657</v>
      </c>
      <c r="AI281" s="46">
        <f t="shared" si="202"/>
        <v>-50808.713263433347</v>
      </c>
      <c r="AJ281" s="46">
        <f t="shared" si="202"/>
        <v>-51316.80039606768</v>
      </c>
      <c r="AK281" s="46">
        <f t="shared" si="202"/>
        <v>-51829.96840002836</v>
      </c>
      <c r="AL281" s="46">
        <f t="shared" si="202"/>
        <v>-52348.268084028648</v>
      </c>
      <c r="AM281" s="46">
        <f t="shared" si="202"/>
        <v>-52871.750764868935</v>
      </c>
      <c r="AN281" s="46">
        <f t="shared" si="202"/>
        <v>-53400.468272517624</v>
      </c>
      <c r="AO281" s="46">
        <f t="shared" si="202"/>
        <v>-53934.472955242803</v>
      </c>
      <c r="AP281" s="46">
        <f t="shared" si="202"/>
        <v>-54473.817684795227</v>
      </c>
      <c r="AQ281" s="46">
        <f t="shared" si="202"/>
        <v>-55018.555861643181</v>
      </c>
      <c r="AR281" s="46">
        <f t="shared" si="202"/>
        <v>-55568.741420259612</v>
      </c>
      <c r="AS281" s="46">
        <f t="shared" si="202"/>
        <v>-56124.428834462211</v>
      </c>
      <c r="AT281" s="46">
        <f t="shared" si="202"/>
        <v>-56685.673122806838</v>
      </c>
      <c r="AU281" s="46">
        <f t="shared" si="202"/>
        <v>-57252.52985403491</v>
      </c>
      <c r="AV281" s="46">
        <f t="shared" si="202"/>
        <v>-57825.055152575253</v>
      </c>
      <c r="AW281" s="46">
        <f t="shared" si="202"/>
        <v>-58403.305704101011</v>
      </c>
      <c r="AX281" s="46">
        <f t="shared" si="202"/>
        <v>-58987.338761142026</v>
      </c>
      <c r="AY281" s="46">
        <f t="shared" si="202"/>
        <v>-59577.212148753439</v>
      </c>
      <c r="AZ281" s="46">
        <f t="shared" si="202"/>
        <v>-60172.984270240973</v>
      </c>
      <c r="BA281" s="46">
        <f t="shared" si="202"/>
        <v>-60774.71411294338</v>
      </c>
      <c r="BB281" s="46">
        <f t="shared" si="202"/>
        <v>-61382.461254072812</v>
      </c>
      <c r="BC281" s="46">
        <f t="shared" si="202"/>
        <v>-61996.285866613543</v>
      </c>
      <c r="BD281" s="46">
        <f t="shared" si="202"/>
        <v>-62616.248725279678</v>
      </c>
      <c r="BE281" s="46"/>
    </row>
    <row r="282" spans="1:57" ht="14.25" customHeight="1" x14ac:dyDescent="0.3">
      <c r="A282" s="46"/>
      <c r="B282" s="46"/>
      <c r="C282" s="46" t="str">
        <f>C$102</f>
        <v>Supplement Cost of Sales</v>
      </c>
      <c r="D282" s="46">
        <f t="shared" si="196"/>
        <v>-330745.95129421679</v>
      </c>
      <c r="E282" s="46">
        <f t="shared" si="196"/>
        <v>-423525.63270796114</v>
      </c>
      <c r="F282" s="46">
        <f t="shared" si="196"/>
        <v>-804435.71941302333</v>
      </c>
      <c r="G282" s="46">
        <f t="shared" si="196"/>
        <v>-1444650.9755860411</v>
      </c>
      <c r="H282" s="46"/>
      <c r="I282" s="46">
        <f>I$102</f>
        <v>-42589.75</v>
      </c>
      <c r="J282" s="46">
        <f t="shared" ref="J282:BD282" si="203">J$102</f>
        <v>-34894.299999999996</v>
      </c>
      <c r="K282" s="46">
        <f t="shared" si="203"/>
        <v>-42172.549999999996</v>
      </c>
      <c r="L282" s="46">
        <f t="shared" si="203"/>
        <v>-32802.699999999997</v>
      </c>
      <c r="M282" s="46">
        <f t="shared" si="203"/>
        <v>-35255.149999999994</v>
      </c>
      <c r="N282" s="46">
        <f t="shared" si="203"/>
        <v>-25855.899999999998</v>
      </c>
      <c r="O282" s="46">
        <f t="shared" si="203"/>
        <v>-19976.949999999997</v>
      </c>
      <c r="P282" s="46">
        <f t="shared" si="203"/>
        <v>-16868.25</v>
      </c>
      <c r="Q282" s="46">
        <f t="shared" si="203"/>
        <v>-18065.895750000003</v>
      </c>
      <c r="R282" s="46">
        <f t="shared" si="203"/>
        <v>-19348.574348250004</v>
      </c>
      <c r="S282" s="46">
        <f t="shared" si="203"/>
        <v>-20722.323126975756</v>
      </c>
      <c r="T282" s="46">
        <f t="shared" si="203"/>
        <v>-22193.60806899103</v>
      </c>
      <c r="U282" s="46">
        <f t="shared" si="203"/>
        <v>-23769.354241889399</v>
      </c>
      <c r="V282" s="46">
        <f t="shared" si="203"/>
        <v>-25456.978393063546</v>
      </c>
      <c r="W282" s="46">
        <f t="shared" si="203"/>
        <v>-27264.423858971062</v>
      </c>
      <c r="X282" s="46">
        <f t="shared" si="203"/>
        <v>-29200.197952958006</v>
      </c>
      <c r="Y282" s="46">
        <f t="shared" si="203"/>
        <v>-31273.412007618026</v>
      </c>
      <c r="Z282" s="46">
        <f t="shared" si="203"/>
        <v>-33493.824260158908</v>
      </c>
      <c r="AA282" s="46">
        <f t="shared" si="203"/>
        <v>-35871.885782630197</v>
      </c>
      <c r="AB282" s="46">
        <f t="shared" si="203"/>
        <v>-38418.789673196945</v>
      </c>
      <c r="AC282" s="46">
        <f t="shared" si="203"/>
        <v>-41146.523739993929</v>
      </c>
      <c r="AD282" s="46">
        <f t="shared" si="203"/>
        <v>-43657.491767638734</v>
      </c>
      <c r="AE282" s="46">
        <f t="shared" si="203"/>
        <v>-45840.366356020677</v>
      </c>
      <c r="AF282" s="46">
        <f t="shared" si="203"/>
        <v>-48132.384673821711</v>
      </c>
      <c r="AG282" s="46">
        <f t="shared" si="203"/>
        <v>-50539.003907512793</v>
      </c>
      <c r="AH282" s="46">
        <f t="shared" si="203"/>
        <v>-53065.954102888434</v>
      </c>
      <c r="AI282" s="46">
        <f t="shared" si="203"/>
        <v>-55719.251808032859</v>
      </c>
      <c r="AJ282" s="46">
        <f t="shared" si="203"/>
        <v>-58505.214398434495</v>
      </c>
      <c r="AK282" s="46">
        <f t="shared" si="203"/>
        <v>-61430.475118356226</v>
      </c>
      <c r="AL282" s="46">
        <f t="shared" si="203"/>
        <v>-64501.998874274039</v>
      </c>
      <c r="AM282" s="46">
        <f t="shared" si="203"/>
        <v>-67727.098817987746</v>
      </c>
      <c r="AN282" s="46">
        <f t="shared" si="203"/>
        <v>-71113.453758887132</v>
      </c>
      <c r="AO282" s="46">
        <f t="shared" si="203"/>
        <v>-74669.126446831506</v>
      </c>
      <c r="AP282" s="46">
        <f t="shared" si="203"/>
        <v>-78402.582769173081</v>
      </c>
      <c r="AQ282" s="46">
        <f t="shared" si="203"/>
        <v>-82322.711907631732</v>
      </c>
      <c r="AR282" s="46">
        <f t="shared" si="203"/>
        <v>-86438.847503013312</v>
      </c>
      <c r="AS282" s="46">
        <f t="shared" si="203"/>
        <v>-90760.789878163981</v>
      </c>
      <c r="AT282" s="46">
        <f t="shared" si="203"/>
        <v>-95298.82937207217</v>
      </c>
      <c r="AU282" s="46">
        <f t="shared" si="203"/>
        <v>-100063.77084067579</v>
      </c>
      <c r="AV282" s="46">
        <f t="shared" si="203"/>
        <v>-105066.95938270958</v>
      </c>
      <c r="AW282" s="46">
        <f t="shared" si="203"/>
        <v>-110320.30735184507</v>
      </c>
      <c r="AX282" s="46">
        <f t="shared" si="203"/>
        <v>-115836.32271943733</v>
      </c>
      <c r="AY282" s="46">
        <f t="shared" si="203"/>
        <v>-121628.1388554092</v>
      </c>
      <c r="AZ282" s="46">
        <f t="shared" si="203"/>
        <v>-127709.54579817966</v>
      </c>
      <c r="BA282" s="46">
        <f t="shared" si="203"/>
        <v>-134095.02308808864</v>
      </c>
      <c r="BB282" s="46">
        <f t="shared" si="203"/>
        <v>-140799.77424249309</v>
      </c>
      <c r="BC282" s="46">
        <f t="shared" si="203"/>
        <v>-147839.76295461776</v>
      </c>
      <c r="BD282" s="46">
        <f t="shared" si="203"/>
        <v>-155231.75110234864</v>
      </c>
      <c r="BE282" s="46"/>
    </row>
    <row r="283" spans="1:57" ht="14.25" customHeight="1" x14ac:dyDescent="0.3">
      <c r="A283" s="46"/>
      <c r="B283" s="46"/>
      <c r="C283" s="46" t="str">
        <f>C$109</f>
        <v>Scripted Medication COS</v>
      </c>
      <c r="D283" s="46">
        <f t="shared" si="196"/>
        <v>-689566.76985201577</v>
      </c>
      <c r="E283" s="46">
        <f t="shared" si="196"/>
        <v>-947705.07951139438</v>
      </c>
      <c r="F283" s="46">
        <f t="shared" si="196"/>
        <v>-1964920.4342076755</v>
      </c>
      <c r="G283" s="46">
        <f t="shared" si="196"/>
        <v>-3528714.7919020038</v>
      </c>
      <c r="H283" s="46"/>
      <c r="I283" s="46">
        <f>I$109</f>
        <v>-80492.100000000006</v>
      </c>
      <c r="J283" s="46">
        <f t="shared" ref="J283:BD283" si="204">J$109</f>
        <v>-66706.900000000009</v>
      </c>
      <c r="K283" s="46">
        <f t="shared" si="204"/>
        <v>-61057.1</v>
      </c>
      <c r="L283" s="46">
        <f t="shared" si="204"/>
        <v>-89074.05</v>
      </c>
      <c r="M283" s="46">
        <f t="shared" si="204"/>
        <v>-78295.75</v>
      </c>
      <c r="N283" s="46">
        <f t="shared" si="204"/>
        <v>-93741.05</v>
      </c>
      <c r="O283" s="46">
        <f t="shared" si="204"/>
        <v>-52348.4</v>
      </c>
      <c r="P283" s="46">
        <f t="shared" si="204"/>
        <v>-27357.159374999999</v>
      </c>
      <c r="Q283" s="46">
        <f t="shared" si="204"/>
        <v>-30161.268210937506</v>
      </c>
      <c r="R283" s="46">
        <f t="shared" si="204"/>
        <v>-33252.798202558602</v>
      </c>
      <c r="S283" s="46">
        <f t="shared" si="204"/>
        <v>-36661.21001832086</v>
      </c>
      <c r="T283" s="46">
        <f t="shared" si="204"/>
        <v>-40418.984045198747</v>
      </c>
      <c r="U283" s="46">
        <f t="shared" si="204"/>
        <v>-44561.929909831626</v>
      </c>
      <c r="V283" s="46">
        <f t="shared" si="204"/>
        <v>-49129.527725589367</v>
      </c>
      <c r="W283" s="46">
        <f t="shared" si="204"/>
        <v>-54165.30431746228</v>
      </c>
      <c r="X283" s="46">
        <f t="shared" si="204"/>
        <v>-59717.248010002171</v>
      </c>
      <c r="Y283" s="46">
        <f t="shared" si="204"/>
        <v>-65838.265931027403</v>
      </c>
      <c r="Z283" s="46">
        <f t="shared" si="204"/>
        <v>-72586.68818895772</v>
      </c>
      <c r="AA283" s="46">
        <f t="shared" si="204"/>
        <v>-80026.823728325893</v>
      </c>
      <c r="AB283" s="46">
        <f t="shared" si="204"/>
        <v>-88229.573160479296</v>
      </c>
      <c r="AC283" s="46">
        <f t="shared" si="204"/>
        <v>-97273.10440942843</v>
      </c>
      <c r="AD283" s="46">
        <f t="shared" si="204"/>
        <v>-106638.10123086128</v>
      </c>
      <c r="AE283" s="46">
        <f t="shared" si="204"/>
        <v>-111970.00629240436</v>
      </c>
      <c r="AF283" s="46">
        <f t="shared" si="204"/>
        <v>-117568.50660702458</v>
      </c>
      <c r="AG283" s="46">
        <f t="shared" si="204"/>
        <v>-123446.93193737582</v>
      </c>
      <c r="AH283" s="46">
        <f t="shared" si="204"/>
        <v>-129619.27853424462</v>
      </c>
      <c r="AI283" s="46">
        <f t="shared" si="204"/>
        <v>-136100.24246095686</v>
      </c>
      <c r="AJ283" s="46">
        <f t="shared" si="204"/>
        <v>-142905.2545840047</v>
      </c>
      <c r="AK283" s="46">
        <f t="shared" si="204"/>
        <v>-150050.51731320491</v>
      </c>
      <c r="AL283" s="46">
        <f t="shared" si="204"/>
        <v>-157553.04317886516</v>
      </c>
      <c r="AM283" s="46">
        <f t="shared" si="204"/>
        <v>-165430.69533780846</v>
      </c>
      <c r="AN283" s="46">
        <f t="shared" si="204"/>
        <v>-173702.23010469886</v>
      </c>
      <c r="AO283" s="46">
        <f t="shared" si="204"/>
        <v>-182387.34160993385</v>
      </c>
      <c r="AP283" s="46">
        <f t="shared" si="204"/>
        <v>-191506.7086904305</v>
      </c>
      <c r="AQ283" s="46">
        <f t="shared" si="204"/>
        <v>-201082.04412495205</v>
      </c>
      <c r="AR283" s="46">
        <f t="shared" si="204"/>
        <v>-211136.14633119965</v>
      </c>
      <c r="AS283" s="46">
        <f t="shared" si="204"/>
        <v>-221692.95364775963</v>
      </c>
      <c r="AT283" s="46">
        <f t="shared" si="204"/>
        <v>-232777.60133014759</v>
      </c>
      <c r="AU283" s="46">
        <f t="shared" si="204"/>
        <v>-244416.481396655</v>
      </c>
      <c r="AV283" s="46">
        <f t="shared" si="204"/>
        <v>-256637.3054664878</v>
      </c>
      <c r="AW283" s="46">
        <f t="shared" si="204"/>
        <v>-269469.17073981219</v>
      </c>
      <c r="AX283" s="46">
        <f t="shared" si="204"/>
        <v>-282942.62927680276</v>
      </c>
      <c r="AY283" s="46">
        <f t="shared" si="204"/>
        <v>-297089.76074064296</v>
      </c>
      <c r="AZ283" s="46">
        <f t="shared" si="204"/>
        <v>-311944.24877767509</v>
      </c>
      <c r="BA283" s="46">
        <f t="shared" si="204"/>
        <v>-327541.46121655882</v>
      </c>
      <c r="BB283" s="46">
        <f t="shared" si="204"/>
        <v>-343918.53427738685</v>
      </c>
      <c r="BC283" s="46">
        <f t="shared" si="204"/>
        <v>-361114.46099125617</v>
      </c>
      <c r="BD283" s="46">
        <f t="shared" si="204"/>
        <v>-379170.18404081906</v>
      </c>
      <c r="BE283" s="46"/>
    </row>
    <row r="284" spans="1:57" ht="14.25" customHeight="1" x14ac:dyDescent="0.3">
      <c r="A284" s="46"/>
      <c r="B284" s="46"/>
      <c r="C284" s="46" t="str">
        <f>C$116</f>
        <v>DCT COS</v>
      </c>
      <c r="D284" s="46">
        <f t="shared" si="196"/>
        <v>-373140</v>
      </c>
      <c r="E284" s="46">
        <f t="shared" si="196"/>
        <v>0</v>
      </c>
      <c r="F284" s="46">
        <f t="shared" si="196"/>
        <v>0</v>
      </c>
      <c r="G284" s="46">
        <f t="shared" si="196"/>
        <v>0</v>
      </c>
      <c r="H284" s="46"/>
      <c r="I284" s="46">
        <f>I$116</f>
        <v>-373140</v>
      </c>
      <c r="J284" s="46">
        <f t="shared" ref="J284:BD284" si="205">J$116</f>
        <v>0</v>
      </c>
      <c r="K284" s="46">
        <f t="shared" si="205"/>
        <v>0</v>
      </c>
      <c r="L284" s="46">
        <f t="shared" si="205"/>
        <v>0</v>
      </c>
      <c r="M284" s="46">
        <f t="shared" si="205"/>
        <v>0</v>
      </c>
      <c r="N284" s="46">
        <f t="shared" si="205"/>
        <v>0</v>
      </c>
      <c r="O284" s="46">
        <f t="shared" si="205"/>
        <v>0</v>
      </c>
      <c r="P284" s="46">
        <f t="shared" si="205"/>
        <v>0</v>
      </c>
      <c r="Q284" s="46">
        <f t="shared" si="205"/>
        <v>0</v>
      </c>
      <c r="R284" s="46">
        <f t="shared" si="205"/>
        <v>0</v>
      </c>
      <c r="S284" s="46">
        <f t="shared" si="205"/>
        <v>0</v>
      </c>
      <c r="T284" s="46">
        <f t="shared" si="205"/>
        <v>0</v>
      </c>
      <c r="U284" s="46">
        <f t="shared" si="205"/>
        <v>0</v>
      </c>
      <c r="V284" s="46">
        <f t="shared" si="205"/>
        <v>0</v>
      </c>
      <c r="W284" s="46">
        <f t="shared" si="205"/>
        <v>0</v>
      </c>
      <c r="X284" s="46">
        <f t="shared" si="205"/>
        <v>0</v>
      </c>
      <c r="Y284" s="46">
        <f t="shared" si="205"/>
        <v>0</v>
      </c>
      <c r="Z284" s="46">
        <f t="shared" si="205"/>
        <v>0</v>
      </c>
      <c r="AA284" s="46">
        <f t="shared" si="205"/>
        <v>0</v>
      </c>
      <c r="AB284" s="46">
        <f t="shared" si="205"/>
        <v>0</v>
      </c>
      <c r="AC284" s="46">
        <f t="shared" si="205"/>
        <v>0</v>
      </c>
      <c r="AD284" s="46">
        <f t="shared" si="205"/>
        <v>0</v>
      </c>
      <c r="AE284" s="46">
        <f t="shared" si="205"/>
        <v>0</v>
      </c>
      <c r="AF284" s="46">
        <f t="shared" si="205"/>
        <v>0</v>
      </c>
      <c r="AG284" s="46">
        <f t="shared" si="205"/>
        <v>0</v>
      </c>
      <c r="AH284" s="46">
        <f t="shared" si="205"/>
        <v>0</v>
      </c>
      <c r="AI284" s="46">
        <f t="shared" si="205"/>
        <v>0</v>
      </c>
      <c r="AJ284" s="46">
        <f t="shared" si="205"/>
        <v>0</v>
      </c>
      <c r="AK284" s="46">
        <f t="shared" si="205"/>
        <v>0</v>
      </c>
      <c r="AL284" s="46">
        <f t="shared" si="205"/>
        <v>0</v>
      </c>
      <c r="AM284" s="46">
        <f t="shared" si="205"/>
        <v>0</v>
      </c>
      <c r="AN284" s="46">
        <f t="shared" si="205"/>
        <v>0</v>
      </c>
      <c r="AO284" s="46">
        <f t="shared" si="205"/>
        <v>0</v>
      </c>
      <c r="AP284" s="46">
        <f t="shared" si="205"/>
        <v>0</v>
      </c>
      <c r="AQ284" s="46">
        <f t="shared" si="205"/>
        <v>0</v>
      </c>
      <c r="AR284" s="46">
        <f t="shared" si="205"/>
        <v>0</v>
      </c>
      <c r="AS284" s="46">
        <f t="shared" si="205"/>
        <v>0</v>
      </c>
      <c r="AT284" s="46">
        <f t="shared" si="205"/>
        <v>0</v>
      </c>
      <c r="AU284" s="46">
        <f t="shared" si="205"/>
        <v>0</v>
      </c>
      <c r="AV284" s="46">
        <f t="shared" si="205"/>
        <v>0</v>
      </c>
      <c r="AW284" s="46">
        <f t="shared" si="205"/>
        <v>0</v>
      </c>
      <c r="AX284" s="46">
        <f t="shared" si="205"/>
        <v>0</v>
      </c>
      <c r="AY284" s="46">
        <f t="shared" si="205"/>
        <v>0</v>
      </c>
      <c r="AZ284" s="46">
        <f t="shared" si="205"/>
        <v>0</v>
      </c>
      <c r="BA284" s="46">
        <f t="shared" si="205"/>
        <v>0</v>
      </c>
      <c r="BB284" s="46">
        <f t="shared" si="205"/>
        <v>0</v>
      </c>
      <c r="BC284" s="46">
        <f t="shared" si="205"/>
        <v>0</v>
      </c>
      <c r="BD284" s="46">
        <f t="shared" si="205"/>
        <v>0</v>
      </c>
      <c r="BE284" s="46"/>
    </row>
    <row r="285" spans="1:57" ht="14.25" customHeight="1" x14ac:dyDescent="0.3">
      <c r="A285" s="46"/>
      <c r="B285" s="46"/>
      <c r="C285" s="46" t="str">
        <f>C$123</f>
        <v>Pathcare Rebate COS</v>
      </c>
      <c r="D285" s="46">
        <f t="shared" si="196"/>
        <v>0</v>
      </c>
      <c r="E285" s="46">
        <f t="shared" si="196"/>
        <v>0</v>
      </c>
      <c r="F285" s="46">
        <f t="shared" si="196"/>
        <v>0</v>
      </c>
      <c r="G285" s="46">
        <f t="shared" si="196"/>
        <v>0</v>
      </c>
      <c r="H285" s="46"/>
      <c r="I285" s="46">
        <f>I$123</f>
        <v>0</v>
      </c>
      <c r="J285" s="46">
        <f t="shared" ref="J285:BD285" si="206">J$123</f>
        <v>0</v>
      </c>
      <c r="K285" s="46">
        <f t="shared" si="206"/>
        <v>0</v>
      </c>
      <c r="L285" s="46">
        <f t="shared" si="206"/>
        <v>0</v>
      </c>
      <c r="M285" s="46">
        <f t="shared" si="206"/>
        <v>0</v>
      </c>
      <c r="N285" s="46">
        <f t="shared" si="206"/>
        <v>0</v>
      </c>
      <c r="O285" s="46">
        <f t="shared" si="206"/>
        <v>0</v>
      </c>
      <c r="P285" s="46">
        <f t="shared" si="206"/>
        <v>0</v>
      </c>
      <c r="Q285" s="46">
        <f t="shared" si="206"/>
        <v>0</v>
      </c>
      <c r="R285" s="46">
        <f t="shared" si="206"/>
        <v>0</v>
      </c>
      <c r="S285" s="46">
        <f t="shared" si="206"/>
        <v>0</v>
      </c>
      <c r="T285" s="46">
        <f t="shared" si="206"/>
        <v>0</v>
      </c>
      <c r="U285" s="46">
        <f t="shared" si="206"/>
        <v>0</v>
      </c>
      <c r="V285" s="46">
        <f t="shared" si="206"/>
        <v>0</v>
      </c>
      <c r="W285" s="46">
        <f t="shared" si="206"/>
        <v>0</v>
      </c>
      <c r="X285" s="46">
        <f t="shared" si="206"/>
        <v>0</v>
      </c>
      <c r="Y285" s="46">
        <f t="shared" si="206"/>
        <v>0</v>
      </c>
      <c r="Z285" s="46">
        <f t="shared" si="206"/>
        <v>0</v>
      </c>
      <c r="AA285" s="46">
        <f t="shared" si="206"/>
        <v>0</v>
      </c>
      <c r="AB285" s="46">
        <f t="shared" si="206"/>
        <v>0</v>
      </c>
      <c r="AC285" s="46">
        <f t="shared" si="206"/>
        <v>0</v>
      </c>
      <c r="AD285" s="46">
        <f t="shared" si="206"/>
        <v>0</v>
      </c>
      <c r="AE285" s="46">
        <f t="shared" si="206"/>
        <v>0</v>
      </c>
      <c r="AF285" s="46">
        <f t="shared" si="206"/>
        <v>0</v>
      </c>
      <c r="AG285" s="46">
        <f t="shared" si="206"/>
        <v>0</v>
      </c>
      <c r="AH285" s="46">
        <f t="shared" si="206"/>
        <v>0</v>
      </c>
      <c r="AI285" s="46">
        <f t="shared" si="206"/>
        <v>0</v>
      </c>
      <c r="AJ285" s="46">
        <f t="shared" si="206"/>
        <v>0</v>
      </c>
      <c r="AK285" s="46">
        <f t="shared" si="206"/>
        <v>0</v>
      </c>
      <c r="AL285" s="46">
        <f t="shared" si="206"/>
        <v>0</v>
      </c>
      <c r="AM285" s="46">
        <f t="shared" si="206"/>
        <v>0</v>
      </c>
      <c r="AN285" s="46">
        <f t="shared" si="206"/>
        <v>0</v>
      </c>
      <c r="AO285" s="46">
        <f t="shared" si="206"/>
        <v>0</v>
      </c>
      <c r="AP285" s="46">
        <f t="shared" si="206"/>
        <v>0</v>
      </c>
      <c r="AQ285" s="46">
        <f t="shared" si="206"/>
        <v>0</v>
      </c>
      <c r="AR285" s="46">
        <f t="shared" si="206"/>
        <v>0</v>
      </c>
      <c r="AS285" s="46">
        <f t="shared" si="206"/>
        <v>0</v>
      </c>
      <c r="AT285" s="46">
        <f t="shared" si="206"/>
        <v>0</v>
      </c>
      <c r="AU285" s="46">
        <f t="shared" si="206"/>
        <v>0</v>
      </c>
      <c r="AV285" s="46">
        <f t="shared" si="206"/>
        <v>0</v>
      </c>
      <c r="AW285" s="46">
        <f t="shared" si="206"/>
        <v>0</v>
      </c>
      <c r="AX285" s="46">
        <f t="shared" si="206"/>
        <v>0</v>
      </c>
      <c r="AY285" s="46">
        <f t="shared" si="206"/>
        <v>0</v>
      </c>
      <c r="AZ285" s="46">
        <f t="shared" si="206"/>
        <v>0</v>
      </c>
      <c r="BA285" s="46">
        <f t="shared" si="206"/>
        <v>0</v>
      </c>
      <c r="BB285" s="46">
        <f t="shared" si="206"/>
        <v>0</v>
      </c>
      <c r="BC285" s="46">
        <f t="shared" si="206"/>
        <v>0</v>
      </c>
      <c r="BD285" s="46">
        <f t="shared" si="206"/>
        <v>0</v>
      </c>
      <c r="BE285" s="46"/>
    </row>
    <row r="286" spans="1:57" ht="14.25" customHeight="1" x14ac:dyDescent="0.3">
      <c r="A286" s="46"/>
      <c r="B286" s="46"/>
      <c r="C286" s="46" t="str">
        <f>C$132</f>
        <v>WL Supplements COS</v>
      </c>
      <c r="D286" s="46">
        <f t="shared" si="196"/>
        <v>-38745</v>
      </c>
      <c r="E286" s="46">
        <f t="shared" si="196"/>
        <v>-331669.1445880924</v>
      </c>
      <c r="F286" s="46">
        <f t="shared" si="196"/>
        <v>-595630.1314548743</v>
      </c>
      <c r="G286" s="46">
        <f t="shared" si="196"/>
        <v>-1069666.1395426288</v>
      </c>
      <c r="H286" s="46"/>
      <c r="I286" s="46">
        <f>I$132</f>
        <v>0</v>
      </c>
      <c r="J286" s="46">
        <f t="shared" ref="J286:BD286" si="207">J$132</f>
        <v>0</v>
      </c>
      <c r="K286" s="46">
        <f t="shared" si="207"/>
        <v>0</v>
      </c>
      <c r="L286" s="46">
        <f t="shared" si="207"/>
        <v>0</v>
      </c>
      <c r="M286" s="46">
        <f t="shared" si="207"/>
        <v>0</v>
      </c>
      <c r="N286" s="46">
        <f t="shared" si="207"/>
        <v>0</v>
      </c>
      <c r="O286" s="46">
        <f t="shared" si="207"/>
        <v>0</v>
      </c>
      <c r="P286" s="46">
        <f t="shared" si="207"/>
        <v>0</v>
      </c>
      <c r="Q286" s="46">
        <f t="shared" si="207"/>
        <v>0</v>
      </c>
      <c r="R286" s="46">
        <f t="shared" si="207"/>
        <v>0</v>
      </c>
      <c r="S286" s="46">
        <f t="shared" si="207"/>
        <v>-18900</v>
      </c>
      <c r="T286" s="46">
        <f t="shared" si="207"/>
        <v>-19845</v>
      </c>
      <c r="U286" s="46">
        <f t="shared" si="207"/>
        <v>-20837.250000000004</v>
      </c>
      <c r="V286" s="46">
        <f t="shared" si="207"/>
        <v>-21879.112500000003</v>
      </c>
      <c r="W286" s="46">
        <f t="shared" si="207"/>
        <v>-22973.068125000002</v>
      </c>
      <c r="X286" s="46">
        <f t="shared" si="207"/>
        <v>-24121.721531250005</v>
      </c>
      <c r="Y286" s="46">
        <f t="shared" si="207"/>
        <v>-25327.807607812509</v>
      </c>
      <c r="Z286" s="46">
        <f t="shared" si="207"/>
        <v>-26594.197988203134</v>
      </c>
      <c r="AA286" s="46">
        <f t="shared" si="207"/>
        <v>-27923.907887613295</v>
      </c>
      <c r="AB286" s="46">
        <f t="shared" si="207"/>
        <v>-29320.103281993957</v>
      </c>
      <c r="AC286" s="46">
        <f t="shared" si="207"/>
        <v>-30786.108446093658</v>
      </c>
      <c r="AD286" s="46">
        <f t="shared" si="207"/>
        <v>-32325.41386839834</v>
      </c>
      <c r="AE286" s="46">
        <f t="shared" si="207"/>
        <v>-33941.684561818263</v>
      </c>
      <c r="AF286" s="46">
        <f t="shared" si="207"/>
        <v>-35638.768789909176</v>
      </c>
      <c r="AG286" s="46">
        <f t="shared" si="207"/>
        <v>-37420.707229404637</v>
      </c>
      <c r="AH286" s="46">
        <f t="shared" si="207"/>
        <v>-39291.74259087487</v>
      </c>
      <c r="AI286" s="46">
        <f t="shared" si="207"/>
        <v>-41256.329720418616</v>
      </c>
      <c r="AJ286" s="46">
        <f t="shared" si="207"/>
        <v>-43319.146206439553</v>
      </c>
      <c r="AK286" s="46">
        <f t="shared" si="207"/>
        <v>-45485.103516761534</v>
      </c>
      <c r="AL286" s="46">
        <f t="shared" si="207"/>
        <v>-47759.358692599606</v>
      </c>
      <c r="AM286" s="46">
        <f t="shared" si="207"/>
        <v>-50147.326627229595</v>
      </c>
      <c r="AN286" s="46">
        <f t="shared" si="207"/>
        <v>-52654.692958591069</v>
      </c>
      <c r="AO286" s="46">
        <f t="shared" si="207"/>
        <v>-55287.427606520629</v>
      </c>
      <c r="AP286" s="46">
        <f t="shared" si="207"/>
        <v>-58051.798986846661</v>
      </c>
      <c r="AQ286" s="46">
        <f t="shared" si="207"/>
        <v>-60954.388936188989</v>
      </c>
      <c r="AR286" s="46">
        <f t="shared" si="207"/>
        <v>-64002.108382998442</v>
      </c>
      <c r="AS286" s="46">
        <f t="shared" si="207"/>
        <v>-67202.21380214837</v>
      </c>
      <c r="AT286" s="46">
        <f t="shared" si="207"/>
        <v>-70562.324492255793</v>
      </c>
      <c r="AU286" s="46">
        <f t="shared" si="207"/>
        <v>-74090.440716868587</v>
      </c>
      <c r="AV286" s="46">
        <f t="shared" si="207"/>
        <v>-77794.962752712032</v>
      </c>
      <c r="AW286" s="46">
        <f t="shared" si="207"/>
        <v>-81684.710890347633</v>
      </c>
      <c r="AX286" s="46">
        <f t="shared" si="207"/>
        <v>-85768.946434865007</v>
      </c>
      <c r="AY286" s="46">
        <f t="shared" si="207"/>
        <v>-90057.39375660826</v>
      </c>
      <c r="AZ286" s="46">
        <f t="shared" si="207"/>
        <v>-94560.263444438679</v>
      </c>
      <c r="BA286" s="46">
        <f t="shared" si="207"/>
        <v>-99288.276616660616</v>
      </c>
      <c r="BB286" s="46">
        <f t="shared" si="207"/>
        <v>-104252.69044749365</v>
      </c>
      <c r="BC286" s="46">
        <f t="shared" si="207"/>
        <v>-109465.32496986834</v>
      </c>
      <c r="BD286" s="46">
        <f t="shared" si="207"/>
        <v>-114938.59121836176</v>
      </c>
      <c r="BE286" s="46"/>
    </row>
    <row r="287" spans="1:57" ht="14.25" customHeight="1" x14ac:dyDescent="0.3">
      <c r="A287" s="46"/>
      <c r="B287" s="46"/>
      <c r="C287" s="46" t="s">
        <v>245</v>
      </c>
      <c r="D287" s="46">
        <f t="shared" si="196"/>
        <v>-38732</v>
      </c>
      <c r="E287" s="46">
        <f t="shared" si="196"/>
        <v>0</v>
      </c>
      <c r="F287" s="46">
        <f t="shared" si="196"/>
        <v>0</v>
      </c>
      <c r="G287" s="46">
        <f t="shared" si="196"/>
        <v>0</v>
      </c>
      <c r="H287" s="46"/>
      <c r="I287" s="46">
        <f>-(1572173-2094847)</f>
        <v>522674</v>
      </c>
      <c r="J287" s="46">
        <f>-(1269063-913912)</f>
        <v>-355151</v>
      </c>
      <c r="K287" s="46">
        <f>-(1576411-1731034)</f>
        <v>154623</v>
      </c>
      <c r="L287" s="46">
        <f>-(1548981-1642863)</f>
        <v>93882</v>
      </c>
      <c r="M287" s="46">
        <f>-(1358547-1139339)</f>
        <v>-219208</v>
      </c>
      <c r="N287" s="46">
        <f>-(951765-736695)</f>
        <v>-215070</v>
      </c>
      <c r="O287" s="46">
        <f>-(1240317-1219835)</f>
        <v>-20482</v>
      </c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  <c r="AC287" s="46"/>
      <c r="AD287" s="46"/>
      <c r="AE287" s="46"/>
      <c r="AF287" s="46"/>
      <c r="AG287" s="46"/>
      <c r="AH287" s="46"/>
      <c r="AI287" s="46"/>
      <c r="AJ287" s="46"/>
      <c r="AK287" s="46"/>
      <c r="AL287" s="46"/>
      <c r="AM287" s="46"/>
      <c r="AN287" s="46"/>
      <c r="AO287" s="46"/>
      <c r="AP287" s="46"/>
      <c r="AQ287" s="46"/>
      <c r="AR287" s="46"/>
      <c r="AS287" s="46"/>
      <c r="AT287" s="46"/>
      <c r="AU287" s="46"/>
      <c r="AV287" s="46"/>
      <c r="AW287" s="46"/>
      <c r="AX287" s="46"/>
      <c r="AY287" s="46"/>
      <c r="AZ287" s="46"/>
      <c r="BA287" s="46"/>
      <c r="BB287" s="46"/>
      <c r="BC287" s="46"/>
      <c r="BD287" s="46"/>
      <c r="BE287" s="46"/>
    </row>
    <row r="288" spans="1:57" ht="14.25" customHeight="1" x14ac:dyDescent="0.3">
      <c r="A288" s="37"/>
      <c r="B288" s="37" t="s">
        <v>175</v>
      </c>
      <c r="C288" s="37"/>
      <c r="D288" s="68">
        <f t="shared" si="196"/>
        <v>17026730.946744896</v>
      </c>
      <c r="E288" s="68">
        <f t="shared" si="196"/>
        <v>25394207.013234861</v>
      </c>
      <c r="F288" s="68">
        <f t="shared" si="196"/>
        <v>34064576.074547246</v>
      </c>
      <c r="G288" s="68">
        <f t="shared" si="196"/>
        <v>45232633.612950936</v>
      </c>
      <c r="H288" s="68"/>
      <c r="I288" s="68">
        <f>SUM(I273:I287)</f>
        <v>2094846.7891304307</v>
      </c>
      <c r="J288" s="68">
        <f t="shared" ref="J288:BD288" si="208">SUM(J273:J287)</f>
        <v>912273.89700000035</v>
      </c>
      <c r="K288" s="68">
        <f t="shared" si="208"/>
        <v>1731034.0499999984</v>
      </c>
      <c r="L288" s="68">
        <f t="shared" si="208"/>
        <v>1642863.3499999999</v>
      </c>
      <c r="M288" s="68">
        <f t="shared" si="208"/>
        <v>1139338.9599999997</v>
      </c>
      <c r="N288" s="68">
        <f t="shared" si="208"/>
        <v>736695.24999999988</v>
      </c>
      <c r="O288" s="68">
        <f t="shared" si="208"/>
        <v>1219835.2100000002</v>
      </c>
      <c r="P288" s="68">
        <f t="shared" si="208"/>
        <v>1335648.5570678571</v>
      </c>
      <c r="Q288" s="68">
        <f t="shared" si="208"/>
        <v>1378919.701040196</v>
      </c>
      <c r="R288" s="68">
        <f t="shared" si="208"/>
        <v>1535933.7042802996</v>
      </c>
      <c r="S288" s="68">
        <f t="shared" si="208"/>
        <v>1601009.8586515391</v>
      </c>
      <c r="T288" s="68">
        <f t="shared" si="208"/>
        <v>1698331.6195745766</v>
      </c>
      <c r="U288" s="68">
        <f t="shared" si="208"/>
        <v>1758109.9065723699</v>
      </c>
      <c r="V288" s="68">
        <f t="shared" si="208"/>
        <v>1820467.078512012</v>
      </c>
      <c r="W288" s="68">
        <f t="shared" si="208"/>
        <v>1881091.722002916</v>
      </c>
      <c r="X288" s="68">
        <f t="shared" si="208"/>
        <v>1942710.4610911217</v>
      </c>
      <c r="Y288" s="68">
        <f t="shared" si="208"/>
        <v>2007036.5544557439</v>
      </c>
      <c r="Z288" s="68">
        <f t="shared" si="208"/>
        <v>2074213.2803249729</v>
      </c>
      <c r="AA288" s="68">
        <f t="shared" si="208"/>
        <v>2144392.814517634</v>
      </c>
      <c r="AB288" s="68">
        <f t="shared" si="208"/>
        <v>2217736.8649215424</v>
      </c>
      <c r="AC288" s="68">
        <f t="shared" si="208"/>
        <v>2294417.3567977631</v>
      </c>
      <c r="AD288" s="68">
        <f t="shared" si="208"/>
        <v>2370647.2163691754</v>
      </c>
      <c r="AE288" s="68">
        <f t="shared" si="208"/>
        <v>2417465.7584989518</v>
      </c>
      <c r="AF288" s="68">
        <f t="shared" si="208"/>
        <v>2465917.9991706628</v>
      </c>
      <c r="AG288" s="68">
        <f t="shared" si="208"/>
        <v>2516069.8752504736</v>
      </c>
      <c r="AH288" s="68">
        <f t="shared" si="208"/>
        <v>2567990.2764704754</v>
      </c>
      <c r="AI288" s="68">
        <f t="shared" si="208"/>
        <v>2621751.1855804794</v>
      </c>
      <c r="AJ288" s="68">
        <f t="shared" si="208"/>
        <v>2677427.8253434445</v>
      </c>
      <c r="AK288" s="68">
        <f t="shared" si="208"/>
        <v>2735098.8127131364</v>
      </c>
      <c r="AL288" s="68">
        <f t="shared" si="208"/>
        <v>2794846.3205493959</v>
      </c>
      <c r="AM288" s="68">
        <f t="shared" si="208"/>
        <v>2856756.2472441499</v>
      </c>
      <c r="AN288" s="68">
        <f t="shared" si="208"/>
        <v>2920918.3946497915</v>
      </c>
      <c r="AO288" s="68">
        <f t="shared" si="208"/>
        <v>2987426.654721146</v>
      </c>
      <c r="AP288" s="68">
        <f t="shared" si="208"/>
        <v>3056379.205302625</v>
      </c>
      <c r="AQ288" s="68">
        <f t="shared" si="208"/>
        <v>3127878.715513702</v>
      </c>
      <c r="AR288" s="68">
        <f t="shared" si="208"/>
        <v>3202032.5612084242</v>
      </c>
      <c r="AS288" s="68">
        <f t="shared" si="208"/>
        <v>3278953.0510083176</v>
      </c>
      <c r="AT288" s="68">
        <f t="shared" si="208"/>
        <v>3358757.6634329581</v>
      </c>
      <c r="AU288" s="68">
        <f t="shared" si="208"/>
        <v>3441569.2956785657</v>
      </c>
      <c r="AV288" s="68">
        <f t="shared" si="208"/>
        <v>3527516.5246224287</v>
      </c>
      <c r="AW288" s="68">
        <f t="shared" si="208"/>
        <v>3616733.8806597157</v>
      </c>
      <c r="AX288" s="68">
        <f t="shared" si="208"/>
        <v>3709362.1350094667</v>
      </c>
      <c r="AY288" s="68">
        <f t="shared" si="208"/>
        <v>3805548.6011583321</v>
      </c>
      <c r="AZ288" s="68">
        <f t="shared" si="208"/>
        <v>3905447.4511438361</v>
      </c>
      <c r="BA288" s="68">
        <f t="shared" si="208"/>
        <v>3999030.1652721376</v>
      </c>
      <c r="BB288" s="68">
        <f t="shared" si="208"/>
        <v>4095153.1618418032</v>
      </c>
      <c r="BC288" s="68">
        <f t="shared" si="208"/>
        <v>4195203.3046482056</v>
      </c>
      <c r="BD288" s="68">
        <f t="shared" si="208"/>
        <v>4299358.378475165</v>
      </c>
      <c r="BE288" s="68"/>
    </row>
    <row r="289" spans="1:57" ht="14.25" customHeight="1" x14ac:dyDescent="0.3">
      <c r="A289" s="46"/>
      <c r="B289" s="37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  <c r="AD289" s="46"/>
      <c r="AE289" s="46"/>
      <c r="AF289" s="46"/>
      <c r="AG289" s="46"/>
      <c r="AH289" s="46"/>
      <c r="AI289" s="46"/>
      <c r="AJ289" s="46"/>
      <c r="AK289" s="46"/>
      <c r="AL289" s="46"/>
      <c r="AM289" s="46"/>
      <c r="AN289" s="46"/>
      <c r="AO289" s="46"/>
      <c r="AP289" s="46"/>
      <c r="AQ289" s="46"/>
      <c r="AR289" s="46"/>
      <c r="AS289" s="46"/>
      <c r="AT289" s="46"/>
      <c r="AU289" s="46"/>
      <c r="AV289" s="46"/>
      <c r="AW289" s="46"/>
      <c r="AX289" s="46"/>
      <c r="AY289" s="46"/>
      <c r="AZ289" s="46"/>
      <c r="BA289" s="46"/>
      <c r="BB289" s="46"/>
      <c r="BC289" s="46"/>
      <c r="BD289" s="46"/>
      <c r="BE289" s="46"/>
    </row>
    <row r="290" spans="1:57" ht="14.25" customHeight="1" x14ac:dyDescent="0.3">
      <c r="A290" s="46"/>
      <c r="B290" s="37"/>
      <c r="C290" s="46" t="str">
        <f>C$178</f>
        <v>Administrative</v>
      </c>
      <c r="D290" s="46">
        <f t="shared" ref="D290:G298" si="209">SUMIF($2:$2,D$250,290:290)</f>
        <v>-1347614</v>
      </c>
      <c r="E290" s="46">
        <f t="shared" si="209"/>
        <v>-1561718.8800000001</v>
      </c>
      <c r="F290" s="46">
        <f t="shared" si="209"/>
        <v>-1686656.3903999997</v>
      </c>
      <c r="G290" s="46">
        <f t="shared" si="209"/>
        <v>-1812334.2712320006</v>
      </c>
      <c r="H290" s="46"/>
      <c r="I290" s="46">
        <f t="shared" ref="I290:BD290" si="210">-I$178</f>
        <v>-95111</v>
      </c>
      <c r="J290" s="46">
        <f t="shared" si="210"/>
        <v>-100111</v>
      </c>
      <c r="K290" s="46">
        <f t="shared" si="210"/>
        <v>-100111</v>
      </c>
      <c r="L290" s="46">
        <f t="shared" si="210"/>
        <v>-100111</v>
      </c>
      <c r="M290" s="46">
        <f t="shared" si="210"/>
        <v>-100111</v>
      </c>
      <c r="N290" s="46">
        <f t="shared" si="210"/>
        <v>-148748</v>
      </c>
      <c r="O290" s="46">
        <f t="shared" si="210"/>
        <v>-100796</v>
      </c>
      <c r="P290" s="46">
        <f t="shared" si="210"/>
        <v>-120503</v>
      </c>
      <c r="Q290" s="46">
        <f t="shared" si="210"/>
        <v>-120503</v>
      </c>
      <c r="R290" s="46">
        <f t="shared" si="210"/>
        <v>-120503</v>
      </c>
      <c r="S290" s="46">
        <f t="shared" si="210"/>
        <v>-120503</v>
      </c>
      <c r="T290" s="46">
        <f t="shared" si="210"/>
        <v>-120503</v>
      </c>
      <c r="U290" s="46">
        <f t="shared" si="210"/>
        <v>-130143.24</v>
      </c>
      <c r="V290" s="46">
        <f t="shared" si="210"/>
        <v>-130143.24</v>
      </c>
      <c r="W290" s="46">
        <f t="shared" si="210"/>
        <v>-130143.24</v>
      </c>
      <c r="X290" s="46">
        <f t="shared" si="210"/>
        <v>-130143.24</v>
      </c>
      <c r="Y290" s="46">
        <f t="shared" si="210"/>
        <v>-130143.24</v>
      </c>
      <c r="Z290" s="46">
        <f t="shared" si="210"/>
        <v>-130143.24</v>
      </c>
      <c r="AA290" s="46">
        <f t="shared" si="210"/>
        <v>-130143.24</v>
      </c>
      <c r="AB290" s="46">
        <f t="shared" si="210"/>
        <v>-130143.24</v>
      </c>
      <c r="AC290" s="46">
        <f t="shared" si="210"/>
        <v>-130143.24</v>
      </c>
      <c r="AD290" s="46">
        <f t="shared" si="210"/>
        <v>-130143.24</v>
      </c>
      <c r="AE290" s="46">
        <f t="shared" si="210"/>
        <v>-130143.24</v>
      </c>
      <c r="AF290" s="46">
        <f t="shared" si="210"/>
        <v>-130143.24</v>
      </c>
      <c r="AG290" s="46">
        <f t="shared" si="210"/>
        <v>-140554.6992</v>
      </c>
      <c r="AH290" s="46">
        <f t="shared" si="210"/>
        <v>-140554.6992</v>
      </c>
      <c r="AI290" s="46">
        <f t="shared" si="210"/>
        <v>-140554.6992</v>
      </c>
      <c r="AJ290" s="46">
        <f t="shared" si="210"/>
        <v>-140554.6992</v>
      </c>
      <c r="AK290" s="46">
        <f t="shared" si="210"/>
        <v>-140554.6992</v>
      </c>
      <c r="AL290" s="46">
        <f t="shared" si="210"/>
        <v>-140554.6992</v>
      </c>
      <c r="AM290" s="46">
        <f t="shared" si="210"/>
        <v>-140554.6992</v>
      </c>
      <c r="AN290" s="46">
        <f t="shared" si="210"/>
        <v>-140554.6992</v>
      </c>
      <c r="AO290" s="46">
        <f t="shared" si="210"/>
        <v>-140554.6992</v>
      </c>
      <c r="AP290" s="46">
        <f t="shared" si="210"/>
        <v>-140554.6992</v>
      </c>
      <c r="AQ290" s="46">
        <f t="shared" si="210"/>
        <v>-140554.6992</v>
      </c>
      <c r="AR290" s="46">
        <f t="shared" si="210"/>
        <v>-140554.6992</v>
      </c>
      <c r="AS290" s="46">
        <f t="shared" si="210"/>
        <v>-151027.85593600001</v>
      </c>
      <c r="AT290" s="46">
        <f t="shared" si="210"/>
        <v>-151027.85593600001</v>
      </c>
      <c r="AU290" s="46">
        <f t="shared" si="210"/>
        <v>-151027.85593600001</v>
      </c>
      <c r="AV290" s="46">
        <f t="shared" si="210"/>
        <v>-151027.85593600001</v>
      </c>
      <c r="AW290" s="46">
        <f t="shared" si="210"/>
        <v>-151027.85593600001</v>
      </c>
      <c r="AX290" s="46">
        <f t="shared" si="210"/>
        <v>-151027.85593600001</v>
      </c>
      <c r="AY290" s="46">
        <f t="shared" si="210"/>
        <v>-151027.85593600001</v>
      </c>
      <c r="AZ290" s="46">
        <f t="shared" si="210"/>
        <v>-151027.85593600001</v>
      </c>
      <c r="BA290" s="46">
        <f t="shared" si="210"/>
        <v>-151027.85593600001</v>
      </c>
      <c r="BB290" s="46">
        <f t="shared" si="210"/>
        <v>-151027.85593600001</v>
      </c>
      <c r="BC290" s="46">
        <f t="shared" si="210"/>
        <v>-151027.85593600001</v>
      </c>
      <c r="BD290" s="46">
        <f t="shared" si="210"/>
        <v>-151027.85593600001</v>
      </c>
      <c r="BE290" s="46"/>
    </row>
    <row r="291" spans="1:57" ht="14.25" customHeight="1" x14ac:dyDescent="0.3">
      <c r="A291" s="46"/>
      <c r="B291" s="37"/>
      <c r="C291" s="46" t="str">
        <f>C$179</f>
        <v>Managerial</v>
      </c>
      <c r="D291" s="46">
        <f t="shared" si="209"/>
        <v>-1110000</v>
      </c>
      <c r="E291" s="46">
        <f t="shared" si="209"/>
        <v>-1198800</v>
      </c>
      <c r="F291" s="46">
        <f t="shared" si="209"/>
        <v>-1294704</v>
      </c>
      <c r="G291" s="46">
        <f t="shared" si="209"/>
        <v>-1391176.3200000003</v>
      </c>
      <c r="H291" s="46"/>
      <c r="I291" s="46">
        <f>-I$179</f>
        <v>-92500</v>
      </c>
      <c r="J291" s="46">
        <f t="shared" ref="J291:BD291" si="211">-J$179</f>
        <v>-92500</v>
      </c>
      <c r="K291" s="46">
        <f t="shared" si="211"/>
        <v>-92500</v>
      </c>
      <c r="L291" s="46">
        <f t="shared" si="211"/>
        <v>-92500</v>
      </c>
      <c r="M291" s="46">
        <f t="shared" si="211"/>
        <v>-92500</v>
      </c>
      <c r="N291" s="46">
        <f t="shared" si="211"/>
        <v>-92500</v>
      </c>
      <c r="O291" s="46">
        <f t="shared" si="211"/>
        <v>-92500</v>
      </c>
      <c r="P291" s="46">
        <f t="shared" si="211"/>
        <v>-92500</v>
      </c>
      <c r="Q291" s="46">
        <f t="shared" si="211"/>
        <v>-92500</v>
      </c>
      <c r="R291" s="46">
        <f t="shared" si="211"/>
        <v>-92500</v>
      </c>
      <c r="S291" s="46">
        <f t="shared" si="211"/>
        <v>-92500</v>
      </c>
      <c r="T291" s="46">
        <f t="shared" si="211"/>
        <v>-92500</v>
      </c>
      <c r="U291" s="46">
        <f t="shared" si="211"/>
        <v>-99900</v>
      </c>
      <c r="V291" s="46">
        <f t="shared" si="211"/>
        <v>-99900</v>
      </c>
      <c r="W291" s="46">
        <f t="shared" si="211"/>
        <v>-99900</v>
      </c>
      <c r="X291" s="46">
        <f t="shared" si="211"/>
        <v>-99900</v>
      </c>
      <c r="Y291" s="46">
        <f t="shared" si="211"/>
        <v>-99900</v>
      </c>
      <c r="Z291" s="46">
        <f t="shared" si="211"/>
        <v>-99900</v>
      </c>
      <c r="AA291" s="46">
        <f t="shared" si="211"/>
        <v>-99900</v>
      </c>
      <c r="AB291" s="46">
        <f t="shared" si="211"/>
        <v>-99900</v>
      </c>
      <c r="AC291" s="46">
        <f t="shared" si="211"/>
        <v>-99900</v>
      </c>
      <c r="AD291" s="46">
        <f t="shared" si="211"/>
        <v>-99900</v>
      </c>
      <c r="AE291" s="46">
        <f t="shared" si="211"/>
        <v>-99900</v>
      </c>
      <c r="AF291" s="46">
        <f t="shared" si="211"/>
        <v>-99900</v>
      </c>
      <c r="AG291" s="46">
        <f t="shared" si="211"/>
        <v>-107892</v>
      </c>
      <c r="AH291" s="46">
        <f t="shared" si="211"/>
        <v>-107892</v>
      </c>
      <c r="AI291" s="46">
        <f t="shared" si="211"/>
        <v>-107892</v>
      </c>
      <c r="AJ291" s="46">
        <f t="shared" si="211"/>
        <v>-107892</v>
      </c>
      <c r="AK291" s="46">
        <f t="shared" si="211"/>
        <v>-107892</v>
      </c>
      <c r="AL291" s="46">
        <f t="shared" si="211"/>
        <v>-107892</v>
      </c>
      <c r="AM291" s="46">
        <f t="shared" si="211"/>
        <v>-107892</v>
      </c>
      <c r="AN291" s="46">
        <f t="shared" si="211"/>
        <v>-107892</v>
      </c>
      <c r="AO291" s="46">
        <f t="shared" si="211"/>
        <v>-107892</v>
      </c>
      <c r="AP291" s="46">
        <f t="shared" si="211"/>
        <v>-107892</v>
      </c>
      <c r="AQ291" s="46">
        <f t="shared" si="211"/>
        <v>-107892</v>
      </c>
      <c r="AR291" s="46">
        <f t="shared" si="211"/>
        <v>-107892</v>
      </c>
      <c r="AS291" s="46">
        <f t="shared" si="211"/>
        <v>-115931.36</v>
      </c>
      <c r="AT291" s="46">
        <f t="shared" si="211"/>
        <v>-115931.36</v>
      </c>
      <c r="AU291" s="46">
        <f t="shared" si="211"/>
        <v>-115931.36</v>
      </c>
      <c r="AV291" s="46">
        <f t="shared" si="211"/>
        <v>-115931.36</v>
      </c>
      <c r="AW291" s="46">
        <f t="shared" si="211"/>
        <v>-115931.36</v>
      </c>
      <c r="AX291" s="46">
        <f t="shared" si="211"/>
        <v>-115931.36</v>
      </c>
      <c r="AY291" s="46">
        <f t="shared" si="211"/>
        <v>-115931.36</v>
      </c>
      <c r="AZ291" s="46">
        <f t="shared" si="211"/>
        <v>-115931.36</v>
      </c>
      <c r="BA291" s="46">
        <f t="shared" si="211"/>
        <v>-115931.36</v>
      </c>
      <c r="BB291" s="46">
        <f t="shared" si="211"/>
        <v>-115931.36</v>
      </c>
      <c r="BC291" s="46">
        <f t="shared" si="211"/>
        <v>-115931.36</v>
      </c>
      <c r="BD291" s="46">
        <f t="shared" si="211"/>
        <v>-115931.36</v>
      </c>
      <c r="BE291" s="46"/>
    </row>
    <row r="292" spans="1:57" ht="14.25" customHeight="1" x14ac:dyDescent="0.3">
      <c r="A292" s="46"/>
      <c r="B292" s="37"/>
      <c r="C292" s="46" t="str">
        <f>C$180</f>
        <v xml:space="preserve">Exectutive </v>
      </c>
      <c r="D292" s="46">
        <f t="shared" si="209"/>
        <v>-4000008</v>
      </c>
      <c r="E292" s="46">
        <f t="shared" si="209"/>
        <v>-4320008.6399999987</v>
      </c>
      <c r="F292" s="46">
        <f t="shared" si="209"/>
        <v>-4665609.3312000008</v>
      </c>
      <c r="G292" s="46">
        <f t="shared" si="209"/>
        <v>-5013258.0264959997</v>
      </c>
      <c r="H292" s="46"/>
      <c r="I292" s="46">
        <f>-I$180</f>
        <v>-333334</v>
      </c>
      <c r="J292" s="46">
        <f t="shared" ref="J292:BD292" si="212">-J$180</f>
        <v>-333334</v>
      </c>
      <c r="K292" s="46">
        <f t="shared" si="212"/>
        <v>-333334</v>
      </c>
      <c r="L292" s="46">
        <f t="shared" si="212"/>
        <v>-333334</v>
      </c>
      <c r="M292" s="46">
        <f t="shared" si="212"/>
        <v>-333334</v>
      </c>
      <c r="N292" s="46">
        <f t="shared" si="212"/>
        <v>-333334</v>
      </c>
      <c r="O292" s="46">
        <f t="shared" si="212"/>
        <v>-333334</v>
      </c>
      <c r="P292" s="46">
        <f t="shared" si="212"/>
        <v>-333334</v>
      </c>
      <c r="Q292" s="46">
        <f t="shared" si="212"/>
        <v>-333334</v>
      </c>
      <c r="R292" s="46">
        <f t="shared" si="212"/>
        <v>-333334</v>
      </c>
      <c r="S292" s="46">
        <f t="shared" si="212"/>
        <v>-333334</v>
      </c>
      <c r="T292" s="46">
        <f t="shared" si="212"/>
        <v>-333334</v>
      </c>
      <c r="U292" s="46">
        <f t="shared" si="212"/>
        <v>-360000.72</v>
      </c>
      <c r="V292" s="46">
        <f t="shared" si="212"/>
        <v>-360000.72</v>
      </c>
      <c r="W292" s="46">
        <f t="shared" si="212"/>
        <v>-360000.72</v>
      </c>
      <c r="X292" s="46">
        <f t="shared" si="212"/>
        <v>-360000.72</v>
      </c>
      <c r="Y292" s="46">
        <f t="shared" si="212"/>
        <v>-360000.72</v>
      </c>
      <c r="Z292" s="46">
        <f t="shared" si="212"/>
        <v>-360000.72</v>
      </c>
      <c r="AA292" s="46">
        <f t="shared" si="212"/>
        <v>-360000.72</v>
      </c>
      <c r="AB292" s="46">
        <f t="shared" si="212"/>
        <v>-360000.72</v>
      </c>
      <c r="AC292" s="46">
        <f t="shared" si="212"/>
        <v>-360000.72</v>
      </c>
      <c r="AD292" s="46">
        <f t="shared" si="212"/>
        <v>-360000.72</v>
      </c>
      <c r="AE292" s="46">
        <f t="shared" si="212"/>
        <v>-360000.72</v>
      </c>
      <c r="AF292" s="46">
        <f t="shared" si="212"/>
        <v>-360000.72</v>
      </c>
      <c r="AG292" s="46">
        <f t="shared" si="212"/>
        <v>-388800.77760000003</v>
      </c>
      <c r="AH292" s="46">
        <f t="shared" si="212"/>
        <v>-388800.77760000003</v>
      </c>
      <c r="AI292" s="46">
        <f t="shared" si="212"/>
        <v>-388800.77760000003</v>
      </c>
      <c r="AJ292" s="46">
        <f t="shared" si="212"/>
        <v>-388800.77760000003</v>
      </c>
      <c r="AK292" s="46">
        <f t="shared" si="212"/>
        <v>-388800.77760000003</v>
      </c>
      <c r="AL292" s="46">
        <f t="shared" si="212"/>
        <v>-388800.77760000003</v>
      </c>
      <c r="AM292" s="46">
        <f t="shared" si="212"/>
        <v>-388800.77760000003</v>
      </c>
      <c r="AN292" s="46">
        <f t="shared" si="212"/>
        <v>-388800.77760000003</v>
      </c>
      <c r="AO292" s="46">
        <f t="shared" si="212"/>
        <v>-388800.77760000003</v>
      </c>
      <c r="AP292" s="46">
        <f t="shared" si="212"/>
        <v>-388800.77760000003</v>
      </c>
      <c r="AQ292" s="46">
        <f t="shared" si="212"/>
        <v>-388800.77760000003</v>
      </c>
      <c r="AR292" s="46">
        <f t="shared" si="212"/>
        <v>-388800.77760000003</v>
      </c>
      <c r="AS292" s="46">
        <f t="shared" si="212"/>
        <v>-417771.50220799999</v>
      </c>
      <c r="AT292" s="46">
        <f t="shared" si="212"/>
        <v>-417771.50220799999</v>
      </c>
      <c r="AU292" s="46">
        <f t="shared" si="212"/>
        <v>-417771.50220799999</v>
      </c>
      <c r="AV292" s="46">
        <f t="shared" si="212"/>
        <v>-417771.50220799999</v>
      </c>
      <c r="AW292" s="46">
        <f t="shared" si="212"/>
        <v>-417771.50220799999</v>
      </c>
      <c r="AX292" s="46">
        <f t="shared" si="212"/>
        <v>-417771.50220799999</v>
      </c>
      <c r="AY292" s="46">
        <f t="shared" si="212"/>
        <v>-417771.50220799999</v>
      </c>
      <c r="AZ292" s="46">
        <f t="shared" si="212"/>
        <v>-417771.50220799999</v>
      </c>
      <c r="BA292" s="46">
        <f t="shared" si="212"/>
        <v>-417771.50220799999</v>
      </c>
      <c r="BB292" s="46">
        <f t="shared" si="212"/>
        <v>-417771.50220799999</v>
      </c>
      <c r="BC292" s="46">
        <f t="shared" si="212"/>
        <v>-417771.50220799999</v>
      </c>
      <c r="BD292" s="46">
        <f t="shared" si="212"/>
        <v>-417771.50220799999</v>
      </c>
      <c r="BE292" s="46"/>
    </row>
    <row r="293" spans="1:57" ht="14.25" customHeight="1" x14ac:dyDescent="0.3">
      <c r="A293" s="46"/>
      <c r="B293" s="37"/>
      <c r="C293" s="46" t="str">
        <f>C$190</f>
        <v>Total Nurse Cost</v>
      </c>
      <c r="D293" s="46">
        <f t="shared" si="209"/>
        <v>-2001966</v>
      </c>
      <c r="E293" s="46">
        <f t="shared" si="209"/>
        <v>-2444400</v>
      </c>
      <c r="F293" s="46">
        <f t="shared" si="209"/>
        <v>-2444400</v>
      </c>
      <c r="G293" s="46">
        <f t="shared" si="209"/>
        <v>-2444400</v>
      </c>
      <c r="H293" s="46"/>
      <c r="I293" s="46">
        <f t="shared" ref="I293:BD293" si="213">-I$190</f>
        <v>-126470</v>
      </c>
      <c r="J293" s="46">
        <f t="shared" si="213"/>
        <v>-129823</v>
      </c>
      <c r="K293" s="46">
        <f t="shared" si="213"/>
        <v>-134023</v>
      </c>
      <c r="L293" s="46">
        <f t="shared" si="213"/>
        <v>-149559</v>
      </c>
      <c r="M293" s="46">
        <f t="shared" si="213"/>
        <v>-148259</v>
      </c>
      <c r="N293" s="46">
        <f t="shared" si="213"/>
        <v>-147317</v>
      </c>
      <c r="O293" s="46">
        <f t="shared" si="213"/>
        <v>-186515</v>
      </c>
      <c r="P293" s="46">
        <f t="shared" si="213"/>
        <v>-165200</v>
      </c>
      <c r="Q293" s="46">
        <f t="shared" si="213"/>
        <v>-203700</v>
      </c>
      <c r="R293" s="46">
        <f t="shared" si="213"/>
        <v>-203700</v>
      </c>
      <c r="S293" s="46">
        <f t="shared" si="213"/>
        <v>-203700</v>
      </c>
      <c r="T293" s="46">
        <f t="shared" si="213"/>
        <v>-203700</v>
      </c>
      <c r="U293" s="46">
        <f t="shared" si="213"/>
        <v>-203700</v>
      </c>
      <c r="V293" s="46">
        <f t="shared" si="213"/>
        <v>-203700</v>
      </c>
      <c r="W293" s="46">
        <f t="shared" si="213"/>
        <v>-203700</v>
      </c>
      <c r="X293" s="46">
        <f t="shared" si="213"/>
        <v>-203700</v>
      </c>
      <c r="Y293" s="46">
        <f t="shared" si="213"/>
        <v>-203700</v>
      </c>
      <c r="Z293" s="46">
        <f t="shared" si="213"/>
        <v>-203700</v>
      </c>
      <c r="AA293" s="46">
        <f t="shared" si="213"/>
        <v>-203700</v>
      </c>
      <c r="AB293" s="46">
        <f t="shared" si="213"/>
        <v>-203700</v>
      </c>
      <c r="AC293" s="46">
        <f t="shared" si="213"/>
        <v>-203700</v>
      </c>
      <c r="AD293" s="46">
        <f t="shared" si="213"/>
        <v>-203700</v>
      </c>
      <c r="AE293" s="46">
        <f t="shared" si="213"/>
        <v>-203700</v>
      </c>
      <c r="AF293" s="46">
        <f t="shared" si="213"/>
        <v>-203700</v>
      </c>
      <c r="AG293" s="46">
        <f t="shared" si="213"/>
        <v>-203700</v>
      </c>
      <c r="AH293" s="46">
        <f t="shared" si="213"/>
        <v>-203700</v>
      </c>
      <c r="AI293" s="46">
        <f t="shared" si="213"/>
        <v>-203700</v>
      </c>
      <c r="AJ293" s="46">
        <f t="shared" si="213"/>
        <v>-203700</v>
      </c>
      <c r="AK293" s="46">
        <f t="shared" si="213"/>
        <v>-203700</v>
      </c>
      <c r="AL293" s="46">
        <f t="shared" si="213"/>
        <v>-203700</v>
      </c>
      <c r="AM293" s="46">
        <f t="shared" si="213"/>
        <v>-203700</v>
      </c>
      <c r="AN293" s="46">
        <f t="shared" si="213"/>
        <v>-203700</v>
      </c>
      <c r="AO293" s="46">
        <f t="shared" si="213"/>
        <v>-203700</v>
      </c>
      <c r="AP293" s="46">
        <f t="shared" si="213"/>
        <v>-203700</v>
      </c>
      <c r="AQ293" s="46">
        <f t="shared" si="213"/>
        <v>-203700</v>
      </c>
      <c r="AR293" s="46">
        <f t="shared" si="213"/>
        <v>-203700</v>
      </c>
      <c r="AS293" s="46">
        <f t="shared" si="213"/>
        <v>-203700</v>
      </c>
      <c r="AT293" s="46">
        <f t="shared" si="213"/>
        <v>-203700</v>
      </c>
      <c r="AU293" s="46">
        <f t="shared" si="213"/>
        <v>-203700</v>
      </c>
      <c r="AV293" s="46">
        <f t="shared" si="213"/>
        <v>-203700</v>
      </c>
      <c r="AW293" s="46">
        <f t="shared" si="213"/>
        <v>-203700</v>
      </c>
      <c r="AX293" s="46">
        <f t="shared" si="213"/>
        <v>-203700</v>
      </c>
      <c r="AY293" s="46">
        <f t="shared" si="213"/>
        <v>-203700</v>
      </c>
      <c r="AZ293" s="46">
        <f t="shared" si="213"/>
        <v>-203700</v>
      </c>
      <c r="BA293" s="46">
        <f t="shared" si="213"/>
        <v>-203700</v>
      </c>
      <c r="BB293" s="46">
        <f t="shared" si="213"/>
        <v>-203700</v>
      </c>
      <c r="BC293" s="46">
        <f t="shared" si="213"/>
        <v>-203700</v>
      </c>
      <c r="BD293" s="46">
        <f t="shared" si="213"/>
        <v>-203700</v>
      </c>
      <c r="BE293" s="46"/>
    </row>
    <row r="294" spans="1:57" ht="14.25" customHeight="1" x14ac:dyDescent="0.3">
      <c r="A294" s="46"/>
      <c r="B294" s="37"/>
      <c r="C294" s="46" t="str">
        <f>C$195</f>
        <v>Total Doctor Cost</v>
      </c>
      <c r="D294" s="46">
        <f t="shared" si="209"/>
        <v>-1203653</v>
      </c>
      <c r="E294" s="46">
        <f t="shared" si="209"/>
        <v>-1500000</v>
      </c>
      <c r="F294" s="46">
        <f t="shared" si="209"/>
        <v>-1500000</v>
      </c>
      <c r="G294" s="46">
        <f t="shared" si="209"/>
        <v>-1500000</v>
      </c>
      <c r="H294" s="46"/>
      <c r="I294" s="46">
        <f t="shared" ref="I294:BD294" si="214">-I$195</f>
        <v>-76267</v>
      </c>
      <c r="J294" s="46">
        <f t="shared" si="214"/>
        <v>-76267</v>
      </c>
      <c r="K294" s="46">
        <f t="shared" si="214"/>
        <v>-76267</v>
      </c>
      <c r="L294" s="46">
        <f t="shared" si="214"/>
        <v>-76267</v>
      </c>
      <c r="M294" s="46">
        <f t="shared" si="214"/>
        <v>-76267</v>
      </c>
      <c r="N294" s="46">
        <f t="shared" si="214"/>
        <v>-76267</v>
      </c>
      <c r="O294" s="46">
        <f t="shared" si="214"/>
        <v>-121051</v>
      </c>
      <c r="P294" s="46">
        <f t="shared" si="214"/>
        <v>-125000</v>
      </c>
      <c r="Q294" s="46">
        <f t="shared" si="214"/>
        <v>-125000</v>
      </c>
      <c r="R294" s="46">
        <f t="shared" si="214"/>
        <v>-125000</v>
      </c>
      <c r="S294" s="46">
        <f t="shared" si="214"/>
        <v>-125000</v>
      </c>
      <c r="T294" s="46">
        <f t="shared" si="214"/>
        <v>-125000</v>
      </c>
      <c r="U294" s="46">
        <f t="shared" si="214"/>
        <v>-125000</v>
      </c>
      <c r="V294" s="46">
        <f t="shared" si="214"/>
        <v>-125000</v>
      </c>
      <c r="W294" s="46">
        <f t="shared" si="214"/>
        <v>-125000</v>
      </c>
      <c r="X294" s="46">
        <f t="shared" si="214"/>
        <v>-125000</v>
      </c>
      <c r="Y294" s="46">
        <f t="shared" si="214"/>
        <v>-125000</v>
      </c>
      <c r="Z294" s="46">
        <f t="shared" si="214"/>
        <v>-125000</v>
      </c>
      <c r="AA294" s="46">
        <f t="shared" si="214"/>
        <v>-125000</v>
      </c>
      <c r="AB294" s="46">
        <f t="shared" si="214"/>
        <v>-125000</v>
      </c>
      <c r="AC294" s="46">
        <f t="shared" si="214"/>
        <v>-125000</v>
      </c>
      <c r="AD294" s="46">
        <f t="shared" si="214"/>
        <v>-125000</v>
      </c>
      <c r="AE294" s="46">
        <f t="shared" si="214"/>
        <v>-125000</v>
      </c>
      <c r="AF294" s="46">
        <f t="shared" si="214"/>
        <v>-125000</v>
      </c>
      <c r="AG294" s="46">
        <f t="shared" si="214"/>
        <v>-125000</v>
      </c>
      <c r="AH294" s="46">
        <f t="shared" si="214"/>
        <v>-125000</v>
      </c>
      <c r="AI294" s="46">
        <f t="shared" si="214"/>
        <v>-125000</v>
      </c>
      <c r="AJ294" s="46">
        <f t="shared" si="214"/>
        <v>-125000</v>
      </c>
      <c r="AK294" s="46">
        <f t="shared" si="214"/>
        <v>-125000</v>
      </c>
      <c r="AL294" s="46">
        <f t="shared" si="214"/>
        <v>-125000</v>
      </c>
      <c r="AM294" s="46">
        <f t="shared" si="214"/>
        <v>-125000</v>
      </c>
      <c r="AN294" s="46">
        <f t="shared" si="214"/>
        <v>-125000</v>
      </c>
      <c r="AO294" s="46">
        <f t="shared" si="214"/>
        <v>-125000</v>
      </c>
      <c r="AP294" s="46">
        <f t="shared" si="214"/>
        <v>-125000</v>
      </c>
      <c r="AQ294" s="46">
        <f t="shared" si="214"/>
        <v>-125000</v>
      </c>
      <c r="AR294" s="46">
        <f t="shared" si="214"/>
        <v>-125000</v>
      </c>
      <c r="AS294" s="46">
        <f t="shared" si="214"/>
        <v>-125000</v>
      </c>
      <c r="AT294" s="46">
        <f t="shared" si="214"/>
        <v>-125000</v>
      </c>
      <c r="AU294" s="46">
        <f t="shared" si="214"/>
        <v>-125000</v>
      </c>
      <c r="AV294" s="46">
        <f t="shared" si="214"/>
        <v>-125000</v>
      </c>
      <c r="AW294" s="46">
        <f t="shared" si="214"/>
        <v>-125000</v>
      </c>
      <c r="AX294" s="46">
        <f t="shared" si="214"/>
        <v>-125000</v>
      </c>
      <c r="AY294" s="46">
        <f t="shared" si="214"/>
        <v>-125000</v>
      </c>
      <c r="AZ294" s="46">
        <f t="shared" si="214"/>
        <v>-125000</v>
      </c>
      <c r="BA294" s="46">
        <f t="shared" si="214"/>
        <v>-125000</v>
      </c>
      <c r="BB294" s="46">
        <f t="shared" si="214"/>
        <v>-125000</v>
      </c>
      <c r="BC294" s="46">
        <f t="shared" si="214"/>
        <v>-125000</v>
      </c>
      <c r="BD294" s="46">
        <f t="shared" si="214"/>
        <v>-125000</v>
      </c>
      <c r="BE294" s="46"/>
    </row>
    <row r="295" spans="1:57" ht="14.25" customHeight="1" x14ac:dyDescent="0.3">
      <c r="A295" s="46"/>
      <c r="B295" s="37"/>
      <c r="C295" s="46" t="str">
        <f>C$201</f>
        <v>Total Staff Additional Cost to Company</v>
      </c>
      <c r="D295" s="46">
        <f t="shared" si="209"/>
        <v>-164233.75699999995</v>
      </c>
      <c r="E295" s="46">
        <f t="shared" si="209"/>
        <v>-194442.64751999997</v>
      </c>
      <c r="F295" s="46">
        <f t="shared" si="209"/>
        <v>-200847.05132160001</v>
      </c>
      <c r="G295" s="46">
        <f t="shared" si="209"/>
        <v>-207289.40714572792</v>
      </c>
      <c r="H295" s="46"/>
      <c r="I295" s="46">
        <f>-I$201</f>
        <v>-11320.091999999999</v>
      </c>
      <c r="J295" s="46">
        <f t="shared" ref="J295:BD295" si="215">-J$201</f>
        <v>-11562.329</v>
      </c>
      <c r="K295" s="46">
        <f t="shared" si="215"/>
        <v>-11684.129000000001</v>
      </c>
      <c r="L295" s="46">
        <f t="shared" si="215"/>
        <v>-12134.672999999999</v>
      </c>
      <c r="M295" s="46">
        <f t="shared" si="215"/>
        <v>-12096.972999999998</v>
      </c>
      <c r="N295" s="46">
        <f t="shared" si="215"/>
        <v>-13480.127999999999</v>
      </c>
      <c r="O295" s="46">
        <f t="shared" si="215"/>
        <v>-14524.998</v>
      </c>
      <c r="P295" s="46">
        <f t="shared" si="215"/>
        <v>-14592.886999999999</v>
      </c>
      <c r="Q295" s="46">
        <f t="shared" si="215"/>
        <v>-15709.386999999999</v>
      </c>
      <c r="R295" s="46">
        <f t="shared" si="215"/>
        <v>-15709.386999999999</v>
      </c>
      <c r="S295" s="46">
        <f t="shared" si="215"/>
        <v>-15709.386999999999</v>
      </c>
      <c r="T295" s="46">
        <f t="shared" si="215"/>
        <v>-15709.386999999999</v>
      </c>
      <c r="U295" s="46">
        <f t="shared" si="215"/>
        <v>-16203.553959999999</v>
      </c>
      <c r="V295" s="46">
        <f t="shared" si="215"/>
        <v>-16203.553959999999</v>
      </c>
      <c r="W295" s="46">
        <f t="shared" si="215"/>
        <v>-16203.553959999999</v>
      </c>
      <c r="X295" s="46">
        <f t="shared" si="215"/>
        <v>-16203.553959999999</v>
      </c>
      <c r="Y295" s="46">
        <f t="shared" si="215"/>
        <v>-16203.553959999999</v>
      </c>
      <c r="Z295" s="46">
        <f t="shared" si="215"/>
        <v>-16203.553959999999</v>
      </c>
      <c r="AA295" s="46">
        <f t="shared" si="215"/>
        <v>-16203.553959999999</v>
      </c>
      <c r="AB295" s="46">
        <f t="shared" si="215"/>
        <v>-16203.553959999999</v>
      </c>
      <c r="AC295" s="46">
        <f t="shared" si="215"/>
        <v>-16203.553959999999</v>
      </c>
      <c r="AD295" s="46">
        <f t="shared" si="215"/>
        <v>-16203.553959999999</v>
      </c>
      <c r="AE295" s="46">
        <f t="shared" si="215"/>
        <v>-16203.553959999999</v>
      </c>
      <c r="AF295" s="46">
        <f t="shared" si="215"/>
        <v>-16203.553959999999</v>
      </c>
      <c r="AG295" s="46">
        <f t="shared" si="215"/>
        <v>-16737.254276800002</v>
      </c>
      <c r="AH295" s="46">
        <f t="shared" si="215"/>
        <v>-16737.254276800002</v>
      </c>
      <c r="AI295" s="46">
        <f t="shared" si="215"/>
        <v>-16737.254276800002</v>
      </c>
      <c r="AJ295" s="46">
        <f t="shared" si="215"/>
        <v>-16737.254276800002</v>
      </c>
      <c r="AK295" s="46">
        <f t="shared" si="215"/>
        <v>-16737.254276800002</v>
      </c>
      <c r="AL295" s="46">
        <f t="shared" si="215"/>
        <v>-16737.254276800002</v>
      </c>
      <c r="AM295" s="46">
        <f t="shared" si="215"/>
        <v>-16737.254276800002</v>
      </c>
      <c r="AN295" s="46">
        <f t="shared" si="215"/>
        <v>-16737.254276800002</v>
      </c>
      <c r="AO295" s="46">
        <f t="shared" si="215"/>
        <v>-16737.254276800002</v>
      </c>
      <c r="AP295" s="46">
        <f t="shared" si="215"/>
        <v>-16737.254276800002</v>
      </c>
      <c r="AQ295" s="46">
        <f t="shared" si="215"/>
        <v>-16737.254276800002</v>
      </c>
      <c r="AR295" s="46">
        <f t="shared" si="215"/>
        <v>-16737.254276800002</v>
      </c>
      <c r="AS295" s="46">
        <f t="shared" si="215"/>
        <v>-17274.117262143998</v>
      </c>
      <c r="AT295" s="46">
        <f t="shared" si="215"/>
        <v>-17274.117262143998</v>
      </c>
      <c r="AU295" s="46">
        <f t="shared" si="215"/>
        <v>-17274.117262143998</v>
      </c>
      <c r="AV295" s="46">
        <f t="shared" si="215"/>
        <v>-17274.117262143998</v>
      </c>
      <c r="AW295" s="46">
        <f t="shared" si="215"/>
        <v>-17274.117262143998</v>
      </c>
      <c r="AX295" s="46">
        <f t="shared" si="215"/>
        <v>-17274.117262143998</v>
      </c>
      <c r="AY295" s="46">
        <f t="shared" si="215"/>
        <v>-17274.117262143998</v>
      </c>
      <c r="AZ295" s="46">
        <f t="shared" si="215"/>
        <v>-17274.117262143998</v>
      </c>
      <c r="BA295" s="46">
        <f t="shared" si="215"/>
        <v>-17274.117262143998</v>
      </c>
      <c r="BB295" s="46">
        <f t="shared" si="215"/>
        <v>-17274.117262143998</v>
      </c>
      <c r="BC295" s="46">
        <f t="shared" si="215"/>
        <v>-17274.117262143998</v>
      </c>
      <c r="BD295" s="46">
        <f t="shared" si="215"/>
        <v>-17274.117262143998</v>
      </c>
      <c r="BE295" s="46"/>
    </row>
    <row r="296" spans="1:57" ht="14.25" customHeight="1" x14ac:dyDescent="0.3">
      <c r="A296" s="46"/>
      <c r="B296" s="37"/>
      <c r="C296" s="46" t="str">
        <f>C$181</f>
        <v>Director’s Emoluments</v>
      </c>
      <c r="D296" s="46">
        <f t="shared" si="209"/>
        <v>-3000000</v>
      </c>
      <c r="E296" s="46">
        <f t="shared" si="209"/>
        <v>-3000000</v>
      </c>
      <c r="F296" s="46">
        <f t="shared" si="209"/>
        <v>-3000000</v>
      </c>
      <c r="G296" s="46">
        <f t="shared" si="209"/>
        <v>-3000000</v>
      </c>
      <c r="H296" s="46"/>
      <c r="I296" s="46">
        <f t="shared" ref="I296:BD296" si="216">-I$181</f>
        <v>-250000</v>
      </c>
      <c r="J296" s="46">
        <f t="shared" si="216"/>
        <v>-250000</v>
      </c>
      <c r="K296" s="46">
        <f t="shared" si="216"/>
        <v>-250000</v>
      </c>
      <c r="L296" s="46">
        <f t="shared" si="216"/>
        <v>-250000</v>
      </c>
      <c r="M296" s="46">
        <f t="shared" si="216"/>
        <v>-250000</v>
      </c>
      <c r="N296" s="46">
        <f t="shared" si="216"/>
        <v>-250000</v>
      </c>
      <c r="O296" s="46">
        <f t="shared" si="216"/>
        <v>-250000</v>
      </c>
      <c r="P296" s="46">
        <f t="shared" si="216"/>
        <v>-250000</v>
      </c>
      <c r="Q296" s="46">
        <f t="shared" si="216"/>
        <v>-250000</v>
      </c>
      <c r="R296" s="46">
        <f t="shared" si="216"/>
        <v>-250000</v>
      </c>
      <c r="S296" s="46">
        <f t="shared" si="216"/>
        <v>-250000</v>
      </c>
      <c r="T296" s="46">
        <f t="shared" si="216"/>
        <v>-250000</v>
      </c>
      <c r="U296" s="46">
        <f t="shared" si="216"/>
        <v>-250000</v>
      </c>
      <c r="V296" s="46">
        <f t="shared" si="216"/>
        <v>-250000</v>
      </c>
      <c r="W296" s="46">
        <f t="shared" si="216"/>
        <v>-250000</v>
      </c>
      <c r="X296" s="46">
        <f t="shared" si="216"/>
        <v>-250000</v>
      </c>
      <c r="Y296" s="46">
        <f t="shared" si="216"/>
        <v>-250000</v>
      </c>
      <c r="Z296" s="46">
        <f t="shared" si="216"/>
        <v>-250000</v>
      </c>
      <c r="AA296" s="46">
        <f t="shared" si="216"/>
        <v>-250000</v>
      </c>
      <c r="AB296" s="46">
        <f t="shared" si="216"/>
        <v>-250000</v>
      </c>
      <c r="AC296" s="46">
        <f t="shared" si="216"/>
        <v>-250000</v>
      </c>
      <c r="AD296" s="46">
        <f t="shared" si="216"/>
        <v>-250000</v>
      </c>
      <c r="AE296" s="46">
        <f t="shared" si="216"/>
        <v>-250000</v>
      </c>
      <c r="AF296" s="46">
        <f t="shared" si="216"/>
        <v>-250000</v>
      </c>
      <c r="AG296" s="46">
        <f t="shared" si="216"/>
        <v>-250000</v>
      </c>
      <c r="AH296" s="46">
        <f t="shared" si="216"/>
        <v>-250000</v>
      </c>
      <c r="AI296" s="46">
        <f t="shared" si="216"/>
        <v>-250000</v>
      </c>
      <c r="AJ296" s="46">
        <f t="shared" si="216"/>
        <v>-250000</v>
      </c>
      <c r="AK296" s="46">
        <f t="shared" si="216"/>
        <v>-250000</v>
      </c>
      <c r="AL296" s="46">
        <f t="shared" si="216"/>
        <v>-250000</v>
      </c>
      <c r="AM296" s="46">
        <f t="shared" si="216"/>
        <v>-250000</v>
      </c>
      <c r="AN296" s="46">
        <f t="shared" si="216"/>
        <v>-250000</v>
      </c>
      <c r="AO296" s="46">
        <f t="shared" si="216"/>
        <v>-250000</v>
      </c>
      <c r="AP296" s="46">
        <f t="shared" si="216"/>
        <v>-250000</v>
      </c>
      <c r="AQ296" s="46">
        <f t="shared" si="216"/>
        <v>-250000</v>
      </c>
      <c r="AR296" s="46">
        <f t="shared" si="216"/>
        <v>-250000</v>
      </c>
      <c r="AS296" s="46">
        <f t="shared" si="216"/>
        <v>-250000</v>
      </c>
      <c r="AT296" s="46">
        <f t="shared" si="216"/>
        <v>-250000</v>
      </c>
      <c r="AU296" s="46">
        <f t="shared" si="216"/>
        <v>-250000</v>
      </c>
      <c r="AV296" s="46">
        <f t="shared" si="216"/>
        <v>-250000</v>
      </c>
      <c r="AW296" s="46">
        <f t="shared" si="216"/>
        <v>-250000</v>
      </c>
      <c r="AX296" s="46">
        <f t="shared" si="216"/>
        <v>-250000</v>
      </c>
      <c r="AY296" s="46">
        <f t="shared" si="216"/>
        <v>-250000</v>
      </c>
      <c r="AZ296" s="46">
        <f t="shared" si="216"/>
        <v>-250000</v>
      </c>
      <c r="BA296" s="46">
        <f t="shared" si="216"/>
        <v>-250000</v>
      </c>
      <c r="BB296" s="46">
        <f t="shared" si="216"/>
        <v>-250000</v>
      </c>
      <c r="BC296" s="46">
        <f t="shared" si="216"/>
        <v>-250000</v>
      </c>
      <c r="BD296" s="46">
        <f t="shared" si="216"/>
        <v>-250000</v>
      </c>
      <c r="BE296" s="46"/>
    </row>
    <row r="297" spans="1:57" ht="14.25" customHeight="1" x14ac:dyDescent="0.3">
      <c r="A297" s="46"/>
      <c r="B297" s="37"/>
      <c r="C297" s="46" t="str">
        <f>C$182</f>
        <v>Bonus Policy</v>
      </c>
      <c r="D297" s="46">
        <f t="shared" si="209"/>
        <v>-227500</v>
      </c>
      <c r="E297" s="46">
        <f t="shared" si="209"/>
        <v>-719280</v>
      </c>
      <c r="F297" s="46">
        <f t="shared" si="209"/>
        <v>-776822.39999999991</v>
      </c>
      <c r="G297" s="46">
        <f t="shared" si="209"/>
        <v>-834705.79200000002</v>
      </c>
      <c r="H297" s="46"/>
      <c r="I297" s="46">
        <f t="shared" ref="I297:BD297" si="217">-I$182</f>
        <v>0</v>
      </c>
      <c r="J297" s="46">
        <f t="shared" si="217"/>
        <v>0</v>
      </c>
      <c r="K297" s="46">
        <f t="shared" si="217"/>
        <v>0</v>
      </c>
      <c r="L297" s="46">
        <f t="shared" si="217"/>
        <v>0</v>
      </c>
      <c r="M297" s="46">
        <f t="shared" si="217"/>
        <v>0</v>
      </c>
      <c r="N297" s="46">
        <f t="shared" si="217"/>
        <v>0</v>
      </c>
      <c r="O297" s="46">
        <f t="shared" si="217"/>
        <v>-227500</v>
      </c>
      <c r="P297" s="46">
        <f t="shared" si="217"/>
        <v>0</v>
      </c>
      <c r="Q297" s="46">
        <f t="shared" si="217"/>
        <v>0</v>
      </c>
      <c r="R297" s="46">
        <f t="shared" si="217"/>
        <v>0</v>
      </c>
      <c r="S297" s="46">
        <f t="shared" si="217"/>
        <v>0</v>
      </c>
      <c r="T297" s="46">
        <f t="shared" si="217"/>
        <v>0</v>
      </c>
      <c r="U297" s="46">
        <f t="shared" si="217"/>
        <v>-59940</v>
      </c>
      <c r="V297" s="46">
        <f t="shared" si="217"/>
        <v>-59940</v>
      </c>
      <c r="W297" s="46">
        <f t="shared" si="217"/>
        <v>-59940</v>
      </c>
      <c r="X297" s="46">
        <f t="shared" si="217"/>
        <v>-59940</v>
      </c>
      <c r="Y297" s="46">
        <f t="shared" si="217"/>
        <v>-59940</v>
      </c>
      <c r="Z297" s="46">
        <f t="shared" si="217"/>
        <v>-59940</v>
      </c>
      <c r="AA297" s="46">
        <f t="shared" si="217"/>
        <v>-59940</v>
      </c>
      <c r="AB297" s="46">
        <f t="shared" si="217"/>
        <v>-59940</v>
      </c>
      <c r="AC297" s="46">
        <f t="shared" si="217"/>
        <v>-59940</v>
      </c>
      <c r="AD297" s="46">
        <f t="shared" si="217"/>
        <v>-59940</v>
      </c>
      <c r="AE297" s="46">
        <f t="shared" si="217"/>
        <v>-59940</v>
      </c>
      <c r="AF297" s="46">
        <f t="shared" si="217"/>
        <v>-59940</v>
      </c>
      <c r="AG297" s="46">
        <f t="shared" si="217"/>
        <v>-64735.199999999997</v>
      </c>
      <c r="AH297" s="46">
        <f t="shared" si="217"/>
        <v>-64735.199999999997</v>
      </c>
      <c r="AI297" s="46">
        <f t="shared" si="217"/>
        <v>-64735.199999999997</v>
      </c>
      <c r="AJ297" s="46">
        <f t="shared" si="217"/>
        <v>-64735.199999999997</v>
      </c>
      <c r="AK297" s="46">
        <f t="shared" si="217"/>
        <v>-64735.199999999997</v>
      </c>
      <c r="AL297" s="46">
        <f t="shared" si="217"/>
        <v>-64735.199999999997</v>
      </c>
      <c r="AM297" s="46">
        <f t="shared" si="217"/>
        <v>-64735.199999999997</v>
      </c>
      <c r="AN297" s="46">
        <f t="shared" si="217"/>
        <v>-64735.199999999997</v>
      </c>
      <c r="AO297" s="46">
        <f t="shared" si="217"/>
        <v>-64735.199999999997</v>
      </c>
      <c r="AP297" s="46">
        <f t="shared" si="217"/>
        <v>-64735.199999999997</v>
      </c>
      <c r="AQ297" s="46">
        <f t="shared" si="217"/>
        <v>-64735.199999999997</v>
      </c>
      <c r="AR297" s="46">
        <f t="shared" si="217"/>
        <v>-64735.199999999997</v>
      </c>
      <c r="AS297" s="46">
        <f t="shared" si="217"/>
        <v>-69558.816000000006</v>
      </c>
      <c r="AT297" s="46">
        <f t="shared" si="217"/>
        <v>-69558.816000000006</v>
      </c>
      <c r="AU297" s="46">
        <f t="shared" si="217"/>
        <v>-69558.816000000006</v>
      </c>
      <c r="AV297" s="46">
        <f t="shared" si="217"/>
        <v>-69558.816000000006</v>
      </c>
      <c r="AW297" s="46">
        <f t="shared" si="217"/>
        <v>-69558.816000000006</v>
      </c>
      <c r="AX297" s="46">
        <f t="shared" si="217"/>
        <v>-69558.816000000006</v>
      </c>
      <c r="AY297" s="46">
        <f t="shared" si="217"/>
        <v>-69558.816000000006</v>
      </c>
      <c r="AZ297" s="46">
        <f t="shared" si="217"/>
        <v>-69558.816000000006</v>
      </c>
      <c r="BA297" s="46">
        <f t="shared" si="217"/>
        <v>-69558.816000000006</v>
      </c>
      <c r="BB297" s="46">
        <f t="shared" si="217"/>
        <v>-69558.816000000006</v>
      </c>
      <c r="BC297" s="46">
        <f t="shared" si="217"/>
        <v>-69558.816000000006</v>
      </c>
      <c r="BD297" s="46">
        <f t="shared" si="217"/>
        <v>-69558.816000000006</v>
      </c>
      <c r="BE297" s="46"/>
    </row>
    <row r="298" spans="1:57" ht="14.25" customHeight="1" x14ac:dyDescent="0.3">
      <c r="A298" s="37"/>
      <c r="B298" s="37"/>
      <c r="C298" s="37" t="s">
        <v>176</v>
      </c>
      <c r="D298" s="68">
        <f t="shared" si="209"/>
        <v>-13054974.756999999</v>
      </c>
      <c r="E298" s="68">
        <f t="shared" si="209"/>
        <v>-14938650.167520002</v>
      </c>
      <c r="F298" s="68">
        <f t="shared" si="209"/>
        <v>-15569039.172921604</v>
      </c>
      <c r="G298" s="68">
        <f t="shared" si="209"/>
        <v>-16203163.816873735</v>
      </c>
      <c r="H298" s="68"/>
      <c r="I298" s="68">
        <f>SUM(I290:I297)</f>
        <v>-985002.09199999995</v>
      </c>
      <c r="J298" s="68">
        <f t="shared" ref="J298:BD298" si="218">SUM(J290:J297)</f>
        <v>-993597.32900000003</v>
      </c>
      <c r="K298" s="68">
        <f t="shared" si="218"/>
        <v>-997919.12899999996</v>
      </c>
      <c r="L298" s="68">
        <f t="shared" si="218"/>
        <v>-1013905.673</v>
      </c>
      <c r="M298" s="68">
        <f t="shared" si="218"/>
        <v>-1012567.973</v>
      </c>
      <c r="N298" s="68">
        <f t="shared" si="218"/>
        <v>-1061646.128</v>
      </c>
      <c r="O298" s="68">
        <f t="shared" si="218"/>
        <v>-1326220.9980000001</v>
      </c>
      <c r="P298" s="68">
        <f t="shared" si="218"/>
        <v>-1101129.8870000001</v>
      </c>
      <c r="Q298" s="68">
        <f t="shared" si="218"/>
        <v>-1140746.3870000001</v>
      </c>
      <c r="R298" s="68">
        <f t="shared" si="218"/>
        <v>-1140746.3870000001</v>
      </c>
      <c r="S298" s="68">
        <f t="shared" si="218"/>
        <v>-1140746.3870000001</v>
      </c>
      <c r="T298" s="68">
        <f t="shared" si="218"/>
        <v>-1140746.3870000001</v>
      </c>
      <c r="U298" s="68">
        <f t="shared" si="218"/>
        <v>-1244887.5139600001</v>
      </c>
      <c r="V298" s="68">
        <f t="shared" si="218"/>
        <v>-1244887.5139600001</v>
      </c>
      <c r="W298" s="68">
        <f t="shared" si="218"/>
        <v>-1244887.5139600001</v>
      </c>
      <c r="X298" s="68">
        <f t="shared" si="218"/>
        <v>-1244887.5139600001</v>
      </c>
      <c r="Y298" s="68">
        <f t="shared" si="218"/>
        <v>-1244887.5139600001</v>
      </c>
      <c r="Z298" s="68">
        <f t="shared" si="218"/>
        <v>-1244887.5139600001</v>
      </c>
      <c r="AA298" s="68">
        <f t="shared" si="218"/>
        <v>-1244887.5139600001</v>
      </c>
      <c r="AB298" s="68">
        <f t="shared" si="218"/>
        <v>-1244887.5139600001</v>
      </c>
      <c r="AC298" s="68">
        <f t="shared" si="218"/>
        <v>-1244887.5139600001</v>
      </c>
      <c r="AD298" s="68">
        <f t="shared" si="218"/>
        <v>-1244887.5139600001</v>
      </c>
      <c r="AE298" s="68">
        <f t="shared" si="218"/>
        <v>-1244887.5139600001</v>
      </c>
      <c r="AF298" s="68">
        <f t="shared" si="218"/>
        <v>-1244887.5139600001</v>
      </c>
      <c r="AG298" s="68">
        <f t="shared" si="218"/>
        <v>-1297419.9310768</v>
      </c>
      <c r="AH298" s="68">
        <f t="shared" si="218"/>
        <v>-1297419.9310768</v>
      </c>
      <c r="AI298" s="68">
        <f t="shared" si="218"/>
        <v>-1297419.9310768</v>
      </c>
      <c r="AJ298" s="68">
        <f t="shared" si="218"/>
        <v>-1297419.9310768</v>
      </c>
      <c r="AK298" s="68">
        <f t="shared" si="218"/>
        <v>-1297419.9310768</v>
      </c>
      <c r="AL298" s="68">
        <f t="shared" si="218"/>
        <v>-1297419.9310768</v>
      </c>
      <c r="AM298" s="68">
        <f t="shared" si="218"/>
        <v>-1297419.9310768</v>
      </c>
      <c r="AN298" s="68">
        <f t="shared" si="218"/>
        <v>-1297419.9310768</v>
      </c>
      <c r="AO298" s="68">
        <f t="shared" si="218"/>
        <v>-1297419.9310768</v>
      </c>
      <c r="AP298" s="68">
        <f t="shared" si="218"/>
        <v>-1297419.9310768</v>
      </c>
      <c r="AQ298" s="68">
        <f t="shared" si="218"/>
        <v>-1297419.9310768</v>
      </c>
      <c r="AR298" s="68">
        <f t="shared" si="218"/>
        <v>-1297419.9310768</v>
      </c>
      <c r="AS298" s="68">
        <f t="shared" si="218"/>
        <v>-1350263.6514061443</v>
      </c>
      <c r="AT298" s="68">
        <f t="shared" si="218"/>
        <v>-1350263.6514061443</v>
      </c>
      <c r="AU298" s="68">
        <f t="shared" si="218"/>
        <v>-1350263.6514061443</v>
      </c>
      <c r="AV298" s="68">
        <f t="shared" si="218"/>
        <v>-1350263.6514061443</v>
      </c>
      <c r="AW298" s="68">
        <f t="shared" si="218"/>
        <v>-1350263.6514061443</v>
      </c>
      <c r="AX298" s="68">
        <f t="shared" si="218"/>
        <v>-1350263.6514061443</v>
      </c>
      <c r="AY298" s="68">
        <f t="shared" si="218"/>
        <v>-1350263.6514061443</v>
      </c>
      <c r="AZ298" s="68">
        <f t="shared" si="218"/>
        <v>-1350263.6514061443</v>
      </c>
      <c r="BA298" s="68">
        <f t="shared" si="218"/>
        <v>-1350263.6514061443</v>
      </c>
      <c r="BB298" s="68">
        <f t="shared" si="218"/>
        <v>-1350263.6514061443</v>
      </c>
      <c r="BC298" s="68">
        <f t="shared" si="218"/>
        <v>-1350263.6514061443</v>
      </c>
      <c r="BD298" s="68">
        <f t="shared" si="218"/>
        <v>-1350263.6514061443</v>
      </c>
      <c r="BE298" s="68"/>
    </row>
    <row r="299" spans="1:57" ht="14.25" customHeight="1" x14ac:dyDescent="0.3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  <c r="AE299" s="37"/>
      <c r="AF299" s="37"/>
      <c r="AG299" s="37"/>
      <c r="AH299" s="37"/>
      <c r="AI299" s="37"/>
      <c r="AJ299" s="37"/>
      <c r="AK299" s="37"/>
      <c r="AL299" s="37"/>
      <c r="AM299" s="37"/>
      <c r="AN299" s="37"/>
      <c r="AO299" s="37"/>
      <c r="AP299" s="37"/>
      <c r="AQ299" s="37"/>
      <c r="AR299" s="37"/>
      <c r="AS299" s="37"/>
      <c r="AT299" s="37"/>
      <c r="AU299" s="37"/>
      <c r="AV299" s="37"/>
      <c r="AW299" s="37"/>
      <c r="AX299" s="37"/>
      <c r="AY299" s="37"/>
      <c r="AZ299" s="37"/>
      <c r="BA299" s="37"/>
      <c r="BB299" s="37"/>
      <c r="BC299" s="37"/>
      <c r="BD299" s="37"/>
      <c r="BE299" s="37"/>
    </row>
    <row r="300" spans="1:57" ht="14.25" customHeight="1" x14ac:dyDescent="0.3">
      <c r="A300" s="46"/>
      <c r="B300" s="37" t="s">
        <v>16</v>
      </c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  <c r="AB300" s="46"/>
      <c r="AC300" s="46"/>
      <c r="AD300" s="46"/>
      <c r="AE300" s="46"/>
      <c r="AF300" s="46"/>
      <c r="AG300" s="46"/>
      <c r="AH300" s="46"/>
      <c r="AI300" s="46"/>
      <c r="AJ300" s="46"/>
      <c r="AK300" s="46"/>
      <c r="AL300" s="46"/>
      <c r="AM300" s="46"/>
      <c r="AN300" s="46"/>
      <c r="AO300" s="46"/>
      <c r="AP300" s="46"/>
      <c r="AQ300" s="46"/>
      <c r="AR300" s="46"/>
      <c r="AS300" s="46"/>
      <c r="AT300" s="46"/>
      <c r="AU300" s="46"/>
      <c r="AV300" s="46"/>
      <c r="AW300" s="46"/>
      <c r="AX300" s="46"/>
      <c r="AY300" s="46"/>
      <c r="AZ300" s="46"/>
      <c r="BA300" s="46"/>
      <c r="BB300" s="46"/>
      <c r="BC300" s="46"/>
      <c r="BD300" s="46"/>
      <c r="BE300" s="46"/>
    </row>
    <row r="301" spans="1:57" ht="14.25" customHeight="1" x14ac:dyDescent="0.3">
      <c r="A301" s="46"/>
      <c r="B301" s="37"/>
      <c r="C301" s="46" t="str">
        <f>C$204</f>
        <v>Advertising / Merchandise</v>
      </c>
      <c r="D301" s="46">
        <f t="shared" ref="D301:G324" si="219">SUMIF($2:$2,D$250,301:301)</f>
        <v>-1220972</v>
      </c>
      <c r="E301" s="46">
        <f t="shared" si="219"/>
        <v>-1650000</v>
      </c>
      <c r="F301" s="46">
        <f t="shared" si="219"/>
        <v>-1815000</v>
      </c>
      <c r="G301" s="46">
        <f t="shared" si="219"/>
        <v>-1981500</v>
      </c>
      <c r="H301" s="46"/>
      <c r="I301" s="46">
        <f>-I$204</f>
        <v>-139779</v>
      </c>
      <c r="J301" s="46">
        <f t="shared" ref="J301:BD301" si="220">-J$204</f>
        <v>-15950</v>
      </c>
      <c r="K301" s="46">
        <f t="shared" si="220"/>
        <v>-96761</v>
      </c>
      <c r="L301" s="46">
        <f t="shared" si="220"/>
        <v>-61843</v>
      </c>
      <c r="M301" s="46">
        <f t="shared" si="220"/>
        <v>-124981</v>
      </c>
      <c r="N301" s="46">
        <f t="shared" si="220"/>
        <v>-76914</v>
      </c>
      <c r="O301" s="46">
        <f t="shared" si="220"/>
        <v>-79744</v>
      </c>
      <c r="P301" s="46">
        <f t="shared" si="220"/>
        <v>-125000</v>
      </c>
      <c r="Q301" s="46">
        <f t="shared" si="220"/>
        <v>-125000</v>
      </c>
      <c r="R301" s="46">
        <f t="shared" si="220"/>
        <v>-125000</v>
      </c>
      <c r="S301" s="46">
        <f t="shared" si="220"/>
        <v>-125000</v>
      </c>
      <c r="T301" s="46">
        <f t="shared" si="220"/>
        <v>-125000</v>
      </c>
      <c r="U301" s="46">
        <f t="shared" si="220"/>
        <v>-137500</v>
      </c>
      <c r="V301" s="46">
        <f t="shared" si="220"/>
        <v>-137500</v>
      </c>
      <c r="W301" s="46">
        <f t="shared" si="220"/>
        <v>-137500</v>
      </c>
      <c r="X301" s="46">
        <f t="shared" si="220"/>
        <v>-137500</v>
      </c>
      <c r="Y301" s="46">
        <f t="shared" si="220"/>
        <v>-137500</v>
      </c>
      <c r="Z301" s="46">
        <f t="shared" si="220"/>
        <v>-137500</v>
      </c>
      <c r="AA301" s="46">
        <f t="shared" si="220"/>
        <v>-137500</v>
      </c>
      <c r="AB301" s="46">
        <f t="shared" si="220"/>
        <v>-137500</v>
      </c>
      <c r="AC301" s="46">
        <f t="shared" si="220"/>
        <v>-137500</v>
      </c>
      <c r="AD301" s="46">
        <f t="shared" si="220"/>
        <v>-137500</v>
      </c>
      <c r="AE301" s="46">
        <f t="shared" si="220"/>
        <v>-137500</v>
      </c>
      <c r="AF301" s="46">
        <f t="shared" si="220"/>
        <v>-137500</v>
      </c>
      <c r="AG301" s="46">
        <f t="shared" si="220"/>
        <v>-151250</v>
      </c>
      <c r="AH301" s="46">
        <f t="shared" si="220"/>
        <v>-151250</v>
      </c>
      <c r="AI301" s="46">
        <f t="shared" si="220"/>
        <v>-151250</v>
      </c>
      <c r="AJ301" s="46">
        <f t="shared" si="220"/>
        <v>-151250</v>
      </c>
      <c r="AK301" s="46">
        <f t="shared" si="220"/>
        <v>-151250</v>
      </c>
      <c r="AL301" s="46">
        <f t="shared" si="220"/>
        <v>-151250</v>
      </c>
      <c r="AM301" s="46">
        <f t="shared" si="220"/>
        <v>-151250</v>
      </c>
      <c r="AN301" s="46">
        <f t="shared" si="220"/>
        <v>-151250</v>
      </c>
      <c r="AO301" s="46">
        <f t="shared" si="220"/>
        <v>-151250</v>
      </c>
      <c r="AP301" s="46">
        <f t="shared" si="220"/>
        <v>-151250</v>
      </c>
      <c r="AQ301" s="46">
        <f t="shared" si="220"/>
        <v>-151250</v>
      </c>
      <c r="AR301" s="46">
        <f t="shared" si="220"/>
        <v>-151250</v>
      </c>
      <c r="AS301" s="46">
        <f t="shared" si="220"/>
        <v>-165125</v>
      </c>
      <c r="AT301" s="46">
        <f t="shared" si="220"/>
        <v>-165125</v>
      </c>
      <c r="AU301" s="46">
        <f t="shared" si="220"/>
        <v>-165125</v>
      </c>
      <c r="AV301" s="46">
        <f t="shared" si="220"/>
        <v>-165125</v>
      </c>
      <c r="AW301" s="46">
        <f t="shared" si="220"/>
        <v>-165125</v>
      </c>
      <c r="AX301" s="46">
        <f t="shared" si="220"/>
        <v>-165125</v>
      </c>
      <c r="AY301" s="46">
        <f t="shared" si="220"/>
        <v>-165125</v>
      </c>
      <c r="AZ301" s="46">
        <f t="shared" si="220"/>
        <v>-165125</v>
      </c>
      <c r="BA301" s="46">
        <f t="shared" si="220"/>
        <v>-165125</v>
      </c>
      <c r="BB301" s="46">
        <f t="shared" si="220"/>
        <v>-165125</v>
      </c>
      <c r="BC301" s="46">
        <f t="shared" si="220"/>
        <v>-165125</v>
      </c>
      <c r="BD301" s="46">
        <f t="shared" si="220"/>
        <v>-165125</v>
      </c>
      <c r="BE301" s="46"/>
    </row>
    <row r="302" spans="1:57" ht="14.25" customHeight="1" x14ac:dyDescent="0.3">
      <c r="A302" s="46"/>
      <c r="B302" s="37"/>
      <c r="C302" s="46" t="str">
        <f>C$205</f>
        <v>Bank Fees</v>
      </c>
      <c r="D302" s="46">
        <f t="shared" si="219"/>
        <v>-347761.71428571426</v>
      </c>
      <c r="E302" s="46">
        <f t="shared" si="219"/>
        <v>-375582.65142857144</v>
      </c>
      <c r="F302" s="46">
        <f t="shared" si="219"/>
        <v>-405629.26354285725</v>
      </c>
      <c r="G302" s="46">
        <f t="shared" si="219"/>
        <v>-435853.92965485709</v>
      </c>
      <c r="H302" s="46"/>
      <c r="I302" s="46">
        <f>-I$205</f>
        <v>-11891</v>
      </c>
      <c r="J302" s="46">
        <f t="shared" ref="J302:BD302" si="221">-J$205</f>
        <v>-35912</v>
      </c>
      <c r="K302" s="46">
        <f t="shared" si="221"/>
        <v>-41282</v>
      </c>
      <c r="L302" s="46">
        <f t="shared" si="221"/>
        <v>-27491</v>
      </c>
      <c r="M302" s="46">
        <f t="shared" si="221"/>
        <v>-30897</v>
      </c>
      <c r="N302" s="46">
        <f t="shared" si="221"/>
        <v>-31378</v>
      </c>
      <c r="O302" s="46">
        <f t="shared" si="221"/>
        <v>-24010</v>
      </c>
      <c r="P302" s="46">
        <f t="shared" si="221"/>
        <v>-28980.142857142859</v>
      </c>
      <c r="Q302" s="46">
        <f t="shared" si="221"/>
        <v>-28980.142857142859</v>
      </c>
      <c r="R302" s="46">
        <f t="shared" si="221"/>
        <v>-28980.142857142859</v>
      </c>
      <c r="S302" s="46">
        <f t="shared" si="221"/>
        <v>-28980.142857142859</v>
      </c>
      <c r="T302" s="46">
        <f t="shared" si="221"/>
        <v>-28980.142857142859</v>
      </c>
      <c r="U302" s="46">
        <f t="shared" si="221"/>
        <v>-31298.554285714286</v>
      </c>
      <c r="V302" s="46">
        <f t="shared" si="221"/>
        <v>-31298.554285714286</v>
      </c>
      <c r="W302" s="46">
        <f t="shared" si="221"/>
        <v>-31298.554285714286</v>
      </c>
      <c r="X302" s="46">
        <f t="shared" si="221"/>
        <v>-31298.554285714286</v>
      </c>
      <c r="Y302" s="46">
        <f t="shared" si="221"/>
        <v>-31298.554285714286</v>
      </c>
      <c r="Z302" s="46">
        <f t="shared" si="221"/>
        <v>-31298.554285714286</v>
      </c>
      <c r="AA302" s="46">
        <f t="shared" si="221"/>
        <v>-31298.554285714286</v>
      </c>
      <c r="AB302" s="46">
        <f t="shared" si="221"/>
        <v>-31298.554285714286</v>
      </c>
      <c r="AC302" s="46">
        <f t="shared" si="221"/>
        <v>-31298.554285714286</v>
      </c>
      <c r="AD302" s="46">
        <f t="shared" si="221"/>
        <v>-31298.554285714286</v>
      </c>
      <c r="AE302" s="46">
        <f t="shared" si="221"/>
        <v>-31298.554285714286</v>
      </c>
      <c r="AF302" s="46">
        <f t="shared" si="221"/>
        <v>-31298.554285714286</v>
      </c>
      <c r="AG302" s="46">
        <f t="shared" si="221"/>
        <v>-33802.438628571428</v>
      </c>
      <c r="AH302" s="46">
        <f t="shared" si="221"/>
        <v>-33802.438628571428</v>
      </c>
      <c r="AI302" s="46">
        <f t="shared" si="221"/>
        <v>-33802.438628571428</v>
      </c>
      <c r="AJ302" s="46">
        <f t="shared" si="221"/>
        <v>-33802.438628571428</v>
      </c>
      <c r="AK302" s="46">
        <f t="shared" si="221"/>
        <v>-33802.438628571428</v>
      </c>
      <c r="AL302" s="46">
        <f t="shared" si="221"/>
        <v>-33802.438628571428</v>
      </c>
      <c r="AM302" s="46">
        <f t="shared" si="221"/>
        <v>-33802.438628571428</v>
      </c>
      <c r="AN302" s="46">
        <f t="shared" si="221"/>
        <v>-33802.438628571428</v>
      </c>
      <c r="AO302" s="46">
        <f t="shared" si="221"/>
        <v>-33802.438628571428</v>
      </c>
      <c r="AP302" s="46">
        <f t="shared" si="221"/>
        <v>-33802.438628571428</v>
      </c>
      <c r="AQ302" s="46">
        <f t="shared" si="221"/>
        <v>-33802.438628571428</v>
      </c>
      <c r="AR302" s="46">
        <f t="shared" si="221"/>
        <v>-33802.438628571428</v>
      </c>
      <c r="AS302" s="46">
        <f t="shared" si="221"/>
        <v>-36321.160804571431</v>
      </c>
      <c r="AT302" s="46">
        <f t="shared" si="221"/>
        <v>-36321.160804571431</v>
      </c>
      <c r="AU302" s="46">
        <f t="shared" si="221"/>
        <v>-36321.160804571431</v>
      </c>
      <c r="AV302" s="46">
        <f t="shared" si="221"/>
        <v>-36321.160804571431</v>
      </c>
      <c r="AW302" s="46">
        <f t="shared" si="221"/>
        <v>-36321.160804571431</v>
      </c>
      <c r="AX302" s="46">
        <f t="shared" si="221"/>
        <v>-36321.160804571431</v>
      </c>
      <c r="AY302" s="46">
        <f t="shared" si="221"/>
        <v>-36321.160804571431</v>
      </c>
      <c r="AZ302" s="46">
        <f t="shared" si="221"/>
        <v>-36321.160804571431</v>
      </c>
      <c r="BA302" s="46">
        <f t="shared" si="221"/>
        <v>-36321.160804571431</v>
      </c>
      <c r="BB302" s="46">
        <f t="shared" si="221"/>
        <v>-36321.160804571431</v>
      </c>
      <c r="BC302" s="46">
        <f t="shared" si="221"/>
        <v>-36321.160804571431</v>
      </c>
      <c r="BD302" s="46">
        <f t="shared" si="221"/>
        <v>-36321.160804571431</v>
      </c>
      <c r="BE302" s="46"/>
    </row>
    <row r="303" spans="1:57" ht="14.25" customHeight="1" x14ac:dyDescent="0.3">
      <c r="A303" s="46"/>
      <c r="B303" s="37"/>
      <c r="C303" s="46" t="str">
        <f>C$206</f>
        <v>Casual Wages</v>
      </c>
      <c r="D303" s="46">
        <f t="shared" si="219"/>
        <v>-67200</v>
      </c>
      <c r="E303" s="46">
        <f t="shared" si="219"/>
        <v>-67200</v>
      </c>
      <c r="F303" s="46">
        <f t="shared" si="219"/>
        <v>-67200</v>
      </c>
      <c r="G303" s="46">
        <f t="shared" si="219"/>
        <v>-67200</v>
      </c>
      <c r="H303" s="46"/>
      <c r="I303" s="46">
        <f>-I$206</f>
        <v>-19200</v>
      </c>
      <c r="J303" s="46">
        <f t="shared" ref="J303:BD303" si="222">-J$206</f>
        <v>-18000</v>
      </c>
      <c r="K303" s="46">
        <f t="shared" si="222"/>
        <v>0</v>
      </c>
      <c r="L303" s="46">
        <f t="shared" si="222"/>
        <v>0</v>
      </c>
      <c r="M303" s="46">
        <f t="shared" si="222"/>
        <v>0</v>
      </c>
      <c r="N303" s="46">
        <f t="shared" si="222"/>
        <v>0</v>
      </c>
      <c r="O303" s="46">
        <f t="shared" si="222"/>
        <v>-2000</v>
      </c>
      <c r="P303" s="46">
        <f t="shared" si="222"/>
        <v>-5600</v>
      </c>
      <c r="Q303" s="46">
        <f t="shared" si="222"/>
        <v>-5600</v>
      </c>
      <c r="R303" s="46">
        <f t="shared" si="222"/>
        <v>-5600</v>
      </c>
      <c r="S303" s="46">
        <f t="shared" si="222"/>
        <v>-5600</v>
      </c>
      <c r="T303" s="46">
        <f t="shared" si="222"/>
        <v>-5600</v>
      </c>
      <c r="U303" s="46">
        <f t="shared" si="222"/>
        <v>-5600</v>
      </c>
      <c r="V303" s="46">
        <f t="shared" si="222"/>
        <v>-5600</v>
      </c>
      <c r="W303" s="46">
        <f t="shared" si="222"/>
        <v>-5600</v>
      </c>
      <c r="X303" s="46">
        <f t="shared" si="222"/>
        <v>-5600</v>
      </c>
      <c r="Y303" s="46">
        <f t="shared" si="222"/>
        <v>-5600</v>
      </c>
      <c r="Z303" s="46">
        <f t="shared" si="222"/>
        <v>-5600</v>
      </c>
      <c r="AA303" s="46">
        <f t="shared" si="222"/>
        <v>-5600</v>
      </c>
      <c r="AB303" s="46">
        <f t="shared" si="222"/>
        <v>-5600</v>
      </c>
      <c r="AC303" s="46">
        <f t="shared" si="222"/>
        <v>-5600</v>
      </c>
      <c r="AD303" s="46">
        <f t="shared" si="222"/>
        <v>-5600</v>
      </c>
      <c r="AE303" s="46">
        <f t="shared" si="222"/>
        <v>-5600</v>
      </c>
      <c r="AF303" s="46">
        <f t="shared" si="222"/>
        <v>-5600</v>
      </c>
      <c r="AG303" s="46">
        <f t="shared" si="222"/>
        <v>-5600</v>
      </c>
      <c r="AH303" s="46">
        <f t="shared" si="222"/>
        <v>-5600</v>
      </c>
      <c r="AI303" s="46">
        <f t="shared" si="222"/>
        <v>-5600</v>
      </c>
      <c r="AJ303" s="46">
        <f t="shared" si="222"/>
        <v>-5600</v>
      </c>
      <c r="AK303" s="46">
        <f t="shared" si="222"/>
        <v>-5600</v>
      </c>
      <c r="AL303" s="46">
        <f t="shared" si="222"/>
        <v>-5600</v>
      </c>
      <c r="AM303" s="46">
        <f t="shared" si="222"/>
        <v>-5600</v>
      </c>
      <c r="AN303" s="46">
        <f t="shared" si="222"/>
        <v>-5600</v>
      </c>
      <c r="AO303" s="46">
        <f t="shared" si="222"/>
        <v>-5600</v>
      </c>
      <c r="AP303" s="46">
        <f t="shared" si="222"/>
        <v>-5600</v>
      </c>
      <c r="AQ303" s="46">
        <f t="shared" si="222"/>
        <v>-5600</v>
      </c>
      <c r="AR303" s="46">
        <f t="shared" si="222"/>
        <v>-5600</v>
      </c>
      <c r="AS303" s="46">
        <f t="shared" si="222"/>
        <v>-5600</v>
      </c>
      <c r="AT303" s="46">
        <f t="shared" si="222"/>
        <v>-5600</v>
      </c>
      <c r="AU303" s="46">
        <f t="shared" si="222"/>
        <v>-5600</v>
      </c>
      <c r="AV303" s="46">
        <f t="shared" si="222"/>
        <v>-5600</v>
      </c>
      <c r="AW303" s="46">
        <f t="shared" si="222"/>
        <v>-5600</v>
      </c>
      <c r="AX303" s="46">
        <f t="shared" si="222"/>
        <v>-5600</v>
      </c>
      <c r="AY303" s="46">
        <f t="shared" si="222"/>
        <v>-5600</v>
      </c>
      <c r="AZ303" s="46">
        <f t="shared" si="222"/>
        <v>-5600</v>
      </c>
      <c r="BA303" s="46">
        <f t="shared" si="222"/>
        <v>-5600</v>
      </c>
      <c r="BB303" s="46">
        <f t="shared" si="222"/>
        <v>-5600</v>
      </c>
      <c r="BC303" s="46">
        <f t="shared" si="222"/>
        <v>-5600</v>
      </c>
      <c r="BD303" s="46">
        <f t="shared" si="222"/>
        <v>-5600</v>
      </c>
      <c r="BE303" s="46"/>
    </row>
    <row r="304" spans="1:57" ht="14.25" customHeight="1" x14ac:dyDescent="0.3">
      <c r="A304" s="46"/>
      <c r="B304" s="37"/>
      <c r="C304" s="46" t="str">
        <f>C$207</f>
        <v xml:space="preserve">Consulting, Accounting, Legal &amp;  Administrative Fees </v>
      </c>
      <c r="D304" s="46">
        <f t="shared" si="219"/>
        <v>-288922.28571428568</v>
      </c>
      <c r="E304" s="46">
        <f t="shared" si="219"/>
        <v>-317814.51428571431</v>
      </c>
      <c r="F304" s="46">
        <f t="shared" si="219"/>
        <v>-349595.96571428562</v>
      </c>
      <c r="G304" s="46">
        <f t="shared" si="219"/>
        <v>-381666.33942857134</v>
      </c>
      <c r="H304" s="46"/>
      <c r="I304" s="46">
        <f>-I$207</f>
        <v>-42641</v>
      </c>
      <c r="J304" s="46">
        <f t="shared" ref="J304:BD304" si="223">-J$207</f>
        <v>-21907</v>
      </c>
      <c r="K304" s="46">
        <f t="shared" si="223"/>
        <v>-13203</v>
      </c>
      <c r="L304" s="46">
        <f t="shared" si="223"/>
        <v>-22204</v>
      </c>
      <c r="M304" s="46">
        <f t="shared" si="223"/>
        <v>-14942</v>
      </c>
      <c r="N304" s="46">
        <f t="shared" si="223"/>
        <v>-21971</v>
      </c>
      <c r="O304" s="46">
        <f t="shared" si="223"/>
        <v>-31670</v>
      </c>
      <c r="P304" s="46">
        <f t="shared" si="223"/>
        <v>-24076.857142857141</v>
      </c>
      <c r="Q304" s="46">
        <f t="shared" si="223"/>
        <v>-24076.857142857141</v>
      </c>
      <c r="R304" s="46">
        <f t="shared" si="223"/>
        <v>-24076.857142857141</v>
      </c>
      <c r="S304" s="46">
        <f t="shared" si="223"/>
        <v>-24076.857142857141</v>
      </c>
      <c r="T304" s="46">
        <f t="shared" si="223"/>
        <v>-24076.857142857141</v>
      </c>
      <c r="U304" s="46">
        <f t="shared" si="223"/>
        <v>-26484.542857142857</v>
      </c>
      <c r="V304" s="46">
        <f t="shared" si="223"/>
        <v>-26484.542857142857</v>
      </c>
      <c r="W304" s="46">
        <f t="shared" si="223"/>
        <v>-26484.542857142857</v>
      </c>
      <c r="X304" s="46">
        <f t="shared" si="223"/>
        <v>-26484.542857142857</v>
      </c>
      <c r="Y304" s="46">
        <f t="shared" si="223"/>
        <v>-26484.542857142857</v>
      </c>
      <c r="Z304" s="46">
        <f t="shared" si="223"/>
        <v>-26484.542857142857</v>
      </c>
      <c r="AA304" s="46">
        <f t="shared" si="223"/>
        <v>-26484.542857142857</v>
      </c>
      <c r="AB304" s="46">
        <f t="shared" si="223"/>
        <v>-26484.542857142857</v>
      </c>
      <c r="AC304" s="46">
        <f t="shared" si="223"/>
        <v>-26484.542857142857</v>
      </c>
      <c r="AD304" s="46">
        <f t="shared" si="223"/>
        <v>-26484.542857142857</v>
      </c>
      <c r="AE304" s="46">
        <f t="shared" si="223"/>
        <v>-26484.542857142857</v>
      </c>
      <c r="AF304" s="46">
        <f t="shared" si="223"/>
        <v>-26484.542857142857</v>
      </c>
      <c r="AG304" s="46">
        <f t="shared" si="223"/>
        <v>-29132.997142857141</v>
      </c>
      <c r="AH304" s="46">
        <f t="shared" si="223"/>
        <v>-29132.997142857141</v>
      </c>
      <c r="AI304" s="46">
        <f t="shared" si="223"/>
        <v>-29132.997142857141</v>
      </c>
      <c r="AJ304" s="46">
        <f t="shared" si="223"/>
        <v>-29132.997142857141</v>
      </c>
      <c r="AK304" s="46">
        <f t="shared" si="223"/>
        <v>-29132.997142857141</v>
      </c>
      <c r="AL304" s="46">
        <f t="shared" si="223"/>
        <v>-29132.997142857141</v>
      </c>
      <c r="AM304" s="46">
        <f t="shared" si="223"/>
        <v>-29132.997142857141</v>
      </c>
      <c r="AN304" s="46">
        <f t="shared" si="223"/>
        <v>-29132.997142857141</v>
      </c>
      <c r="AO304" s="46">
        <f t="shared" si="223"/>
        <v>-29132.997142857141</v>
      </c>
      <c r="AP304" s="46">
        <f t="shared" si="223"/>
        <v>-29132.997142857141</v>
      </c>
      <c r="AQ304" s="46">
        <f t="shared" si="223"/>
        <v>-29132.997142857141</v>
      </c>
      <c r="AR304" s="46">
        <f t="shared" si="223"/>
        <v>-29132.997142857141</v>
      </c>
      <c r="AS304" s="46">
        <f t="shared" si="223"/>
        <v>-31805.528285714285</v>
      </c>
      <c r="AT304" s="46">
        <f t="shared" si="223"/>
        <v>-31805.528285714285</v>
      </c>
      <c r="AU304" s="46">
        <f t="shared" si="223"/>
        <v>-31805.528285714285</v>
      </c>
      <c r="AV304" s="46">
        <f t="shared" si="223"/>
        <v>-31805.528285714285</v>
      </c>
      <c r="AW304" s="46">
        <f t="shared" si="223"/>
        <v>-31805.528285714285</v>
      </c>
      <c r="AX304" s="46">
        <f t="shared" si="223"/>
        <v>-31805.528285714285</v>
      </c>
      <c r="AY304" s="46">
        <f t="shared" si="223"/>
        <v>-31805.528285714285</v>
      </c>
      <c r="AZ304" s="46">
        <f t="shared" si="223"/>
        <v>-31805.528285714285</v>
      </c>
      <c r="BA304" s="46">
        <f t="shared" si="223"/>
        <v>-31805.528285714285</v>
      </c>
      <c r="BB304" s="46">
        <f t="shared" si="223"/>
        <v>-31805.528285714285</v>
      </c>
      <c r="BC304" s="46">
        <f t="shared" si="223"/>
        <v>-31805.528285714285</v>
      </c>
      <c r="BD304" s="46">
        <f t="shared" si="223"/>
        <v>-31805.528285714285</v>
      </c>
      <c r="BE304" s="46"/>
    </row>
    <row r="305" spans="1:57" ht="14.25" customHeight="1" x14ac:dyDescent="0.3">
      <c r="A305" s="46"/>
      <c r="B305" s="37"/>
      <c r="C305" s="46" t="str">
        <f>C$208</f>
        <v>Depreciation</v>
      </c>
      <c r="D305" s="46">
        <f t="shared" si="219"/>
        <v>-3667596</v>
      </c>
      <c r="E305" s="46">
        <f t="shared" si="219"/>
        <v>-3667596</v>
      </c>
      <c r="F305" s="46">
        <f t="shared" si="219"/>
        <v>-3667596</v>
      </c>
      <c r="G305" s="46">
        <f t="shared" si="219"/>
        <v>-3667596</v>
      </c>
      <c r="H305" s="46"/>
      <c r="I305" s="46">
        <f>-I$208</f>
        <v>-305633</v>
      </c>
      <c r="J305" s="46">
        <f t="shared" ref="J305:BD305" si="224">-J$208</f>
        <v>-305633</v>
      </c>
      <c r="K305" s="46">
        <f t="shared" si="224"/>
        <v>-305633</v>
      </c>
      <c r="L305" s="46">
        <f t="shared" si="224"/>
        <v>-305633</v>
      </c>
      <c r="M305" s="46">
        <f t="shared" si="224"/>
        <v>-305633</v>
      </c>
      <c r="N305" s="46">
        <f t="shared" si="224"/>
        <v>-305633</v>
      </c>
      <c r="O305" s="46">
        <f t="shared" si="224"/>
        <v>-305633</v>
      </c>
      <c r="P305" s="46">
        <f t="shared" si="224"/>
        <v>-305633</v>
      </c>
      <c r="Q305" s="46">
        <f t="shared" si="224"/>
        <v>-305633</v>
      </c>
      <c r="R305" s="46">
        <f t="shared" si="224"/>
        <v>-305633</v>
      </c>
      <c r="S305" s="46">
        <f t="shared" si="224"/>
        <v>-305633</v>
      </c>
      <c r="T305" s="46">
        <f t="shared" si="224"/>
        <v>-305633</v>
      </c>
      <c r="U305" s="46">
        <f t="shared" si="224"/>
        <v>-305633</v>
      </c>
      <c r="V305" s="46">
        <f t="shared" si="224"/>
        <v>-305633</v>
      </c>
      <c r="W305" s="46">
        <f t="shared" si="224"/>
        <v>-305633</v>
      </c>
      <c r="X305" s="46">
        <f t="shared" si="224"/>
        <v>-305633</v>
      </c>
      <c r="Y305" s="46">
        <f t="shared" si="224"/>
        <v>-305633</v>
      </c>
      <c r="Z305" s="46">
        <f t="shared" si="224"/>
        <v>-305633</v>
      </c>
      <c r="AA305" s="46">
        <f t="shared" si="224"/>
        <v>-305633</v>
      </c>
      <c r="AB305" s="46">
        <f t="shared" si="224"/>
        <v>-305633</v>
      </c>
      <c r="AC305" s="46">
        <f t="shared" si="224"/>
        <v>-305633</v>
      </c>
      <c r="AD305" s="46">
        <f t="shared" si="224"/>
        <v>-305633</v>
      </c>
      <c r="AE305" s="46">
        <f t="shared" si="224"/>
        <v>-305633</v>
      </c>
      <c r="AF305" s="46">
        <f t="shared" si="224"/>
        <v>-305633</v>
      </c>
      <c r="AG305" s="46">
        <f t="shared" si="224"/>
        <v>-305633</v>
      </c>
      <c r="AH305" s="46">
        <f t="shared" si="224"/>
        <v>-305633</v>
      </c>
      <c r="AI305" s="46">
        <f t="shared" si="224"/>
        <v>-305633</v>
      </c>
      <c r="AJ305" s="46">
        <f t="shared" si="224"/>
        <v>-305633</v>
      </c>
      <c r="AK305" s="46">
        <f t="shared" si="224"/>
        <v>-305633</v>
      </c>
      <c r="AL305" s="46">
        <f t="shared" si="224"/>
        <v>-305633</v>
      </c>
      <c r="AM305" s="46">
        <f t="shared" si="224"/>
        <v>-305633</v>
      </c>
      <c r="AN305" s="46">
        <f t="shared" si="224"/>
        <v>-305633</v>
      </c>
      <c r="AO305" s="46">
        <f t="shared" si="224"/>
        <v>-305633</v>
      </c>
      <c r="AP305" s="46">
        <f t="shared" si="224"/>
        <v>-305633</v>
      </c>
      <c r="AQ305" s="46">
        <f t="shared" si="224"/>
        <v>-305633</v>
      </c>
      <c r="AR305" s="46">
        <f t="shared" si="224"/>
        <v>-305633</v>
      </c>
      <c r="AS305" s="46">
        <f t="shared" si="224"/>
        <v>-305633</v>
      </c>
      <c r="AT305" s="46">
        <f t="shared" si="224"/>
        <v>-305633</v>
      </c>
      <c r="AU305" s="46">
        <f t="shared" si="224"/>
        <v>-305633</v>
      </c>
      <c r="AV305" s="46">
        <f t="shared" si="224"/>
        <v>-305633</v>
      </c>
      <c r="AW305" s="46">
        <f t="shared" si="224"/>
        <v>-305633</v>
      </c>
      <c r="AX305" s="46">
        <f t="shared" si="224"/>
        <v>-305633</v>
      </c>
      <c r="AY305" s="46">
        <f t="shared" si="224"/>
        <v>-305633</v>
      </c>
      <c r="AZ305" s="46">
        <f t="shared" si="224"/>
        <v>-305633</v>
      </c>
      <c r="BA305" s="46">
        <f t="shared" si="224"/>
        <v>-305633</v>
      </c>
      <c r="BB305" s="46">
        <f t="shared" si="224"/>
        <v>-305633</v>
      </c>
      <c r="BC305" s="46">
        <f t="shared" si="224"/>
        <v>-305633</v>
      </c>
      <c r="BD305" s="46">
        <f t="shared" si="224"/>
        <v>-305633</v>
      </c>
      <c r="BE305" s="46"/>
    </row>
    <row r="306" spans="1:57" ht="14.25" customHeight="1" x14ac:dyDescent="0.3">
      <c r="A306" s="46"/>
      <c r="B306" s="37"/>
      <c r="C306" s="46" t="str">
        <f>C$209</f>
        <v>Entertainment &amp; Staff Welfare</v>
      </c>
      <c r="D306" s="46">
        <f t="shared" si="219"/>
        <v>-161278.28571428568</v>
      </c>
      <c r="E306" s="46">
        <f t="shared" si="219"/>
        <v>-177406.11428571425</v>
      </c>
      <c r="F306" s="46">
        <f t="shared" si="219"/>
        <v>-195146.72571428574</v>
      </c>
      <c r="G306" s="46">
        <f t="shared" si="219"/>
        <v>-213048.61542857144</v>
      </c>
      <c r="H306" s="46"/>
      <c r="I306" s="46">
        <f>-I$209</f>
        <v>-9140</v>
      </c>
      <c r="J306" s="46">
        <f t="shared" ref="J306:BD306" si="225">-J$209</f>
        <v>-28517</v>
      </c>
      <c r="K306" s="46">
        <f t="shared" si="225"/>
        <v>-13493</v>
      </c>
      <c r="L306" s="46">
        <f t="shared" si="225"/>
        <v>-17271</v>
      </c>
      <c r="M306" s="46">
        <f t="shared" si="225"/>
        <v>-9989</v>
      </c>
      <c r="N306" s="46">
        <f t="shared" si="225"/>
        <v>-7772</v>
      </c>
      <c r="O306" s="46">
        <f t="shared" si="225"/>
        <v>-7897</v>
      </c>
      <c r="P306" s="46">
        <f t="shared" si="225"/>
        <v>-13439.857142857143</v>
      </c>
      <c r="Q306" s="46">
        <f t="shared" si="225"/>
        <v>-13439.857142857143</v>
      </c>
      <c r="R306" s="46">
        <f t="shared" si="225"/>
        <v>-13439.857142857143</v>
      </c>
      <c r="S306" s="46">
        <f t="shared" si="225"/>
        <v>-13439.857142857143</v>
      </c>
      <c r="T306" s="46">
        <f t="shared" si="225"/>
        <v>-13439.857142857143</v>
      </c>
      <c r="U306" s="46">
        <f t="shared" si="225"/>
        <v>-14783.842857142858</v>
      </c>
      <c r="V306" s="46">
        <f t="shared" si="225"/>
        <v>-14783.842857142858</v>
      </c>
      <c r="W306" s="46">
        <f t="shared" si="225"/>
        <v>-14783.842857142858</v>
      </c>
      <c r="X306" s="46">
        <f t="shared" si="225"/>
        <v>-14783.842857142858</v>
      </c>
      <c r="Y306" s="46">
        <f t="shared" si="225"/>
        <v>-14783.842857142858</v>
      </c>
      <c r="Z306" s="46">
        <f t="shared" si="225"/>
        <v>-14783.842857142858</v>
      </c>
      <c r="AA306" s="46">
        <f t="shared" si="225"/>
        <v>-14783.842857142858</v>
      </c>
      <c r="AB306" s="46">
        <f t="shared" si="225"/>
        <v>-14783.842857142858</v>
      </c>
      <c r="AC306" s="46">
        <f t="shared" si="225"/>
        <v>-14783.842857142858</v>
      </c>
      <c r="AD306" s="46">
        <f t="shared" si="225"/>
        <v>-14783.842857142858</v>
      </c>
      <c r="AE306" s="46">
        <f t="shared" si="225"/>
        <v>-14783.842857142858</v>
      </c>
      <c r="AF306" s="46">
        <f t="shared" si="225"/>
        <v>-14783.842857142858</v>
      </c>
      <c r="AG306" s="46">
        <f t="shared" si="225"/>
        <v>-16262.227142857144</v>
      </c>
      <c r="AH306" s="46">
        <f t="shared" si="225"/>
        <v>-16262.227142857144</v>
      </c>
      <c r="AI306" s="46">
        <f t="shared" si="225"/>
        <v>-16262.227142857144</v>
      </c>
      <c r="AJ306" s="46">
        <f t="shared" si="225"/>
        <v>-16262.227142857144</v>
      </c>
      <c r="AK306" s="46">
        <f t="shared" si="225"/>
        <v>-16262.227142857144</v>
      </c>
      <c r="AL306" s="46">
        <f t="shared" si="225"/>
        <v>-16262.227142857144</v>
      </c>
      <c r="AM306" s="46">
        <f t="shared" si="225"/>
        <v>-16262.227142857144</v>
      </c>
      <c r="AN306" s="46">
        <f t="shared" si="225"/>
        <v>-16262.227142857144</v>
      </c>
      <c r="AO306" s="46">
        <f t="shared" si="225"/>
        <v>-16262.227142857144</v>
      </c>
      <c r="AP306" s="46">
        <f t="shared" si="225"/>
        <v>-16262.227142857144</v>
      </c>
      <c r="AQ306" s="46">
        <f t="shared" si="225"/>
        <v>-16262.227142857144</v>
      </c>
      <c r="AR306" s="46">
        <f t="shared" si="225"/>
        <v>-16262.227142857144</v>
      </c>
      <c r="AS306" s="46">
        <f t="shared" si="225"/>
        <v>-17754.051285714286</v>
      </c>
      <c r="AT306" s="46">
        <f t="shared" si="225"/>
        <v>-17754.051285714286</v>
      </c>
      <c r="AU306" s="46">
        <f t="shared" si="225"/>
        <v>-17754.051285714286</v>
      </c>
      <c r="AV306" s="46">
        <f t="shared" si="225"/>
        <v>-17754.051285714286</v>
      </c>
      <c r="AW306" s="46">
        <f t="shared" si="225"/>
        <v>-17754.051285714286</v>
      </c>
      <c r="AX306" s="46">
        <f t="shared" si="225"/>
        <v>-17754.051285714286</v>
      </c>
      <c r="AY306" s="46">
        <f t="shared" si="225"/>
        <v>-17754.051285714286</v>
      </c>
      <c r="AZ306" s="46">
        <f t="shared" si="225"/>
        <v>-17754.051285714286</v>
      </c>
      <c r="BA306" s="46">
        <f t="shared" si="225"/>
        <v>-17754.051285714286</v>
      </c>
      <c r="BB306" s="46">
        <f t="shared" si="225"/>
        <v>-17754.051285714286</v>
      </c>
      <c r="BC306" s="46">
        <f t="shared" si="225"/>
        <v>-17754.051285714286</v>
      </c>
      <c r="BD306" s="46">
        <f t="shared" si="225"/>
        <v>-17754.051285714286</v>
      </c>
      <c r="BE306" s="46"/>
    </row>
    <row r="307" spans="1:57" ht="14.25" customHeight="1" x14ac:dyDescent="0.3">
      <c r="A307" s="46"/>
      <c r="B307" s="37"/>
      <c r="C307" s="46" t="str">
        <f>C$210</f>
        <v>Freight &amp; Courier, Printing &amp; Stationary</v>
      </c>
      <c r="D307" s="46">
        <f t="shared" si="219"/>
        <v>-110525.14285714283</v>
      </c>
      <c r="E307" s="46">
        <f t="shared" si="219"/>
        <v>-121577.65714285713</v>
      </c>
      <c r="F307" s="46">
        <f t="shared" si="219"/>
        <v>-133735.42285714284</v>
      </c>
      <c r="G307" s="46">
        <f t="shared" si="219"/>
        <v>-146003.71371428567</v>
      </c>
      <c r="H307" s="46"/>
      <c r="I307" s="46">
        <f>-I$210</f>
        <v>-4338</v>
      </c>
      <c r="J307" s="46">
        <f t="shared" ref="J307:BD307" si="226">-J$210</f>
        <v>-3081</v>
      </c>
      <c r="K307" s="46">
        <f t="shared" si="226"/>
        <v>-4241</v>
      </c>
      <c r="L307" s="46">
        <f t="shared" si="226"/>
        <v>-26913</v>
      </c>
      <c r="M307" s="46">
        <f t="shared" si="226"/>
        <v>-6547</v>
      </c>
      <c r="N307" s="46">
        <f t="shared" si="226"/>
        <v>-13366</v>
      </c>
      <c r="O307" s="46">
        <f t="shared" si="226"/>
        <v>-5987</v>
      </c>
      <c r="P307" s="46">
        <f t="shared" si="226"/>
        <v>-9210.4285714285706</v>
      </c>
      <c r="Q307" s="46">
        <f t="shared" si="226"/>
        <v>-9210.4285714285706</v>
      </c>
      <c r="R307" s="46">
        <f t="shared" si="226"/>
        <v>-9210.4285714285706</v>
      </c>
      <c r="S307" s="46">
        <f t="shared" si="226"/>
        <v>-9210.4285714285706</v>
      </c>
      <c r="T307" s="46">
        <f t="shared" si="226"/>
        <v>-9210.4285714285706</v>
      </c>
      <c r="U307" s="46">
        <f t="shared" si="226"/>
        <v>-10131.471428571427</v>
      </c>
      <c r="V307" s="46">
        <f t="shared" si="226"/>
        <v>-10131.471428571427</v>
      </c>
      <c r="W307" s="46">
        <f t="shared" si="226"/>
        <v>-10131.471428571427</v>
      </c>
      <c r="X307" s="46">
        <f t="shared" si="226"/>
        <v>-10131.471428571427</v>
      </c>
      <c r="Y307" s="46">
        <f t="shared" si="226"/>
        <v>-10131.471428571427</v>
      </c>
      <c r="Z307" s="46">
        <f t="shared" si="226"/>
        <v>-10131.471428571427</v>
      </c>
      <c r="AA307" s="46">
        <f t="shared" si="226"/>
        <v>-10131.471428571427</v>
      </c>
      <c r="AB307" s="46">
        <f t="shared" si="226"/>
        <v>-10131.471428571427</v>
      </c>
      <c r="AC307" s="46">
        <f t="shared" si="226"/>
        <v>-10131.471428571427</v>
      </c>
      <c r="AD307" s="46">
        <f t="shared" si="226"/>
        <v>-10131.471428571427</v>
      </c>
      <c r="AE307" s="46">
        <f t="shared" si="226"/>
        <v>-10131.471428571427</v>
      </c>
      <c r="AF307" s="46">
        <f t="shared" si="226"/>
        <v>-10131.471428571427</v>
      </c>
      <c r="AG307" s="46">
        <f t="shared" si="226"/>
        <v>-11144.618571428571</v>
      </c>
      <c r="AH307" s="46">
        <f t="shared" si="226"/>
        <v>-11144.618571428571</v>
      </c>
      <c r="AI307" s="46">
        <f t="shared" si="226"/>
        <v>-11144.618571428571</v>
      </c>
      <c r="AJ307" s="46">
        <f t="shared" si="226"/>
        <v>-11144.618571428571</v>
      </c>
      <c r="AK307" s="46">
        <f t="shared" si="226"/>
        <v>-11144.618571428571</v>
      </c>
      <c r="AL307" s="46">
        <f t="shared" si="226"/>
        <v>-11144.618571428571</v>
      </c>
      <c r="AM307" s="46">
        <f t="shared" si="226"/>
        <v>-11144.618571428571</v>
      </c>
      <c r="AN307" s="46">
        <f t="shared" si="226"/>
        <v>-11144.618571428571</v>
      </c>
      <c r="AO307" s="46">
        <f t="shared" si="226"/>
        <v>-11144.618571428571</v>
      </c>
      <c r="AP307" s="46">
        <f t="shared" si="226"/>
        <v>-11144.618571428571</v>
      </c>
      <c r="AQ307" s="46">
        <f t="shared" si="226"/>
        <v>-11144.618571428571</v>
      </c>
      <c r="AR307" s="46">
        <f t="shared" si="226"/>
        <v>-11144.618571428571</v>
      </c>
      <c r="AS307" s="46">
        <f t="shared" si="226"/>
        <v>-12166.976142857142</v>
      </c>
      <c r="AT307" s="46">
        <f t="shared" si="226"/>
        <v>-12166.976142857142</v>
      </c>
      <c r="AU307" s="46">
        <f t="shared" si="226"/>
        <v>-12166.976142857142</v>
      </c>
      <c r="AV307" s="46">
        <f t="shared" si="226"/>
        <v>-12166.976142857142</v>
      </c>
      <c r="AW307" s="46">
        <f t="shared" si="226"/>
        <v>-12166.976142857142</v>
      </c>
      <c r="AX307" s="46">
        <f t="shared" si="226"/>
        <v>-12166.976142857142</v>
      </c>
      <c r="AY307" s="46">
        <f t="shared" si="226"/>
        <v>-12166.976142857142</v>
      </c>
      <c r="AZ307" s="46">
        <f t="shared" si="226"/>
        <v>-12166.976142857142</v>
      </c>
      <c r="BA307" s="46">
        <f t="shared" si="226"/>
        <v>-12166.976142857142</v>
      </c>
      <c r="BB307" s="46">
        <f t="shared" si="226"/>
        <v>-12166.976142857142</v>
      </c>
      <c r="BC307" s="46">
        <f t="shared" si="226"/>
        <v>-12166.976142857142</v>
      </c>
      <c r="BD307" s="46">
        <f t="shared" si="226"/>
        <v>-12166.976142857142</v>
      </c>
      <c r="BE307" s="46"/>
    </row>
    <row r="308" spans="1:57" ht="14.25" customHeight="1" x14ac:dyDescent="0.3">
      <c r="A308" s="46"/>
      <c r="B308" s="37"/>
      <c r="C308" s="46" t="str">
        <f>C$211</f>
        <v>Insurance</v>
      </c>
      <c r="D308" s="46">
        <f t="shared" si="219"/>
        <v>-462813</v>
      </c>
      <c r="E308" s="46">
        <f t="shared" si="219"/>
        <v>-798336</v>
      </c>
      <c r="F308" s="46">
        <f t="shared" si="219"/>
        <v>-878169.60000000021</v>
      </c>
      <c r="G308" s="46">
        <f t="shared" si="219"/>
        <v>-958728.95999999985</v>
      </c>
      <c r="H308" s="46"/>
      <c r="I308" s="46">
        <f>-I$211</f>
        <v>-21500</v>
      </c>
      <c r="J308" s="46">
        <f t="shared" ref="J308:BD308" si="227">-J$211</f>
        <v>-18701</v>
      </c>
      <c r="K308" s="46">
        <f t="shared" si="227"/>
        <v>-18683</v>
      </c>
      <c r="L308" s="46">
        <f t="shared" si="227"/>
        <v>-18683</v>
      </c>
      <c r="M308" s="46">
        <f t="shared" si="227"/>
        <v>-18683</v>
      </c>
      <c r="N308" s="46">
        <f t="shared" si="227"/>
        <v>-18683</v>
      </c>
      <c r="O308" s="46">
        <f t="shared" si="227"/>
        <v>-45480</v>
      </c>
      <c r="P308" s="46">
        <f t="shared" si="227"/>
        <v>-60480</v>
      </c>
      <c r="Q308" s="46">
        <f t="shared" si="227"/>
        <v>-60480</v>
      </c>
      <c r="R308" s="46">
        <f t="shared" si="227"/>
        <v>-60480</v>
      </c>
      <c r="S308" s="46">
        <f t="shared" si="227"/>
        <v>-60480</v>
      </c>
      <c r="T308" s="46">
        <f t="shared" si="227"/>
        <v>-60480</v>
      </c>
      <c r="U308" s="46">
        <f t="shared" si="227"/>
        <v>-66528</v>
      </c>
      <c r="V308" s="46">
        <f t="shared" si="227"/>
        <v>-66528</v>
      </c>
      <c r="W308" s="46">
        <f t="shared" si="227"/>
        <v>-66528</v>
      </c>
      <c r="X308" s="46">
        <f t="shared" si="227"/>
        <v>-66528</v>
      </c>
      <c r="Y308" s="46">
        <f t="shared" si="227"/>
        <v>-66528</v>
      </c>
      <c r="Z308" s="46">
        <f t="shared" si="227"/>
        <v>-66528</v>
      </c>
      <c r="AA308" s="46">
        <f t="shared" si="227"/>
        <v>-66528</v>
      </c>
      <c r="AB308" s="46">
        <f t="shared" si="227"/>
        <v>-66528</v>
      </c>
      <c r="AC308" s="46">
        <f t="shared" si="227"/>
        <v>-66528</v>
      </c>
      <c r="AD308" s="46">
        <f t="shared" si="227"/>
        <v>-66528</v>
      </c>
      <c r="AE308" s="46">
        <f t="shared" si="227"/>
        <v>-66528</v>
      </c>
      <c r="AF308" s="46">
        <f t="shared" si="227"/>
        <v>-66528</v>
      </c>
      <c r="AG308" s="46">
        <f t="shared" si="227"/>
        <v>-73180.800000000003</v>
      </c>
      <c r="AH308" s="46">
        <f t="shared" si="227"/>
        <v>-73180.800000000003</v>
      </c>
      <c r="AI308" s="46">
        <f t="shared" si="227"/>
        <v>-73180.800000000003</v>
      </c>
      <c r="AJ308" s="46">
        <f t="shared" si="227"/>
        <v>-73180.800000000003</v>
      </c>
      <c r="AK308" s="46">
        <f t="shared" si="227"/>
        <v>-73180.800000000003</v>
      </c>
      <c r="AL308" s="46">
        <f t="shared" si="227"/>
        <v>-73180.800000000003</v>
      </c>
      <c r="AM308" s="46">
        <f t="shared" si="227"/>
        <v>-73180.800000000003</v>
      </c>
      <c r="AN308" s="46">
        <f t="shared" si="227"/>
        <v>-73180.800000000003</v>
      </c>
      <c r="AO308" s="46">
        <f t="shared" si="227"/>
        <v>-73180.800000000003</v>
      </c>
      <c r="AP308" s="46">
        <f t="shared" si="227"/>
        <v>-73180.800000000003</v>
      </c>
      <c r="AQ308" s="46">
        <f t="shared" si="227"/>
        <v>-73180.800000000003</v>
      </c>
      <c r="AR308" s="46">
        <f t="shared" si="227"/>
        <v>-73180.800000000003</v>
      </c>
      <c r="AS308" s="46">
        <f t="shared" si="227"/>
        <v>-79894.080000000002</v>
      </c>
      <c r="AT308" s="46">
        <f t="shared" si="227"/>
        <v>-79894.080000000002</v>
      </c>
      <c r="AU308" s="46">
        <f t="shared" si="227"/>
        <v>-79894.080000000002</v>
      </c>
      <c r="AV308" s="46">
        <f t="shared" si="227"/>
        <v>-79894.080000000002</v>
      </c>
      <c r="AW308" s="46">
        <f t="shared" si="227"/>
        <v>-79894.080000000002</v>
      </c>
      <c r="AX308" s="46">
        <f t="shared" si="227"/>
        <v>-79894.080000000002</v>
      </c>
      <c r="AY308" s="46">
        <f t="shared" si="227"/>
        <v>-79894.080000000002</v>
      </c>
      <c r="AZ308" s="46">
        <f t="shared" si="227"/>
        <v>-79894.080000000002</v>
      </c>
      <c r="BA308" s="46">
        <f t="shared" si="227"/>
        <v>-79894.080000000002</v>
      </c>
      <c r="BB308" s="46">
        <f t="shared" si="227"/>
        <v>-79894.080000000002</v>
      </c>
      <c r="BC308" s="46">
        <f t="shared" si="227"/>
        <v>-79894.080000000002</v>
      </c>
      <c r="BD308" s="46">
        <f t="shared" si="227"/>
        <v>-79894.080000000002</v>
      </c>
      <c r="BE308" s="46"/>
    </row>
    <row r="309" spans="1:57" ht="14.25" customHeight="1" x14ac:dyDescent="0.3">
      <c r="A309" s="46"/>
      <c r="B309" s="37"/>
      <c r="C309" s="46" t="str">
        <f>C$212</f>
        <v>Minor assets</v>
      </c>
      <c r="D309" s="46">
        <f t="shared" si="219"/>
        <v>-83700</v>
      </c>
      <c r="E309" s="46">
        <f t="shared" si="219"/>
        <v>-92070</v>
      </c>
      <c r="F309" s="46">
        <f t="shared" si="219"/>
        <v>-101277</v>
      </c>
      <c r="G309" s="46">
        <f t="shared" si="219"/>
        <v>-110567.70000000003</v>
      </c>
      <c r="H309" s="46"/>
      <c r="I309" s="46">
        <f>-I$212</f>
        <v>-5826</v>
      </c>
      <c r="J309" s="46">
        <f t="shared" ref="J309:BD309" si="228">-J$212</f>
        <v>-13025</v>
      </c>
      <c r="K309" s="46">
        <f t="shared" si="228"/>
        <v>-11395</v>
      </c>
      <c r="L309" s="46">
        <f t="shared" si="228"/>
        <v>-16327</v>
      </c>
      <c r="M309" s="46">
        <f t="shared" si="228"/>
        <v>-807</v>
      </c>
      <c r="N309" s="46">
        <f t="shared" si="228"/>
        <v>-633</v>
      </c>
      <c r="O309" s="46">
        <f t="shared" si="228"/>
        <v>-812</v>
      </c>
      <c r="P309" s="46">
        <f t="shared" si="228"/>
        <v>-6975</v>
      </c>
      <c r="Q309" s="46">
        <f t="shared" si="228"/>
        <v>-6975</v>
      </c>
      <c r="R309" s="46">
        <f t="shared" si="228"/>
        <v>-6975</v>
      </c>
      <c r="S309" s="46">
        <f t="shared" si="228"/>
        <v>-6975</v>
      </c>
      <c r="T309" s="46">
        <f t="shared" si="228"/>
        <v>-6975</v>
      </c>
      <c r="U309" s="46">
        <f t="shared" si="228"/>
        <v>-7672.5</v>
      </c>
      <c r="V309" s="46">
        <f t="shared" si="228"/>
        <v>-7672.5</v>
      </c>
      <c r="W309" s="46">
        <f t="shared" si="228"/>
        <v>-7672.5</v>
      </c>
      <c r="X309" s="46">
        <f t="shared" si="228"/>
        <v>-7672.5</v>
      </c>
      <c r="Y309" s="46">
        <f t="shared" si="228"/>
        <v>-7672.5</v>
      </c>
      <c r="Z309" s="46">
        <f t="shared" si="228"/>
        <v>-7672.5</v>
      </c>
      <c r="AA309" s="46">
        <f t="shared" si="228"/>
        <v>-7672.5</v>
      </c>
      <c r="AB309" s="46">
        <f t="shared" si="228"/>
        <v>-7672.5</v>
      </c>
      <c r="AC309" s="46">
        <f t="shared" si="228"/>
        <v>-7672.5</v>
      </c>
      <c r="AD309" s="46">
        <f t="shared" si="228"/>
        <v>-7672.5</v>
      </c>
      <c r="AE309" s="46">
        <f t="shared" si="228"/>
        <v>-7672.5</v>
      </c>
      <c r="AF309" s="46">
        <f t="shared" si="228"/>
        <v>-7672.5</v>
      </c>
      <c r="AG309" s="46">
        <f t="shared" si="228"/>
        <v>-8439.75</v>
      </c>
      <c r="AH309" s="46">
        <f t="shared" si="228"/>
        <v>-8439.75</v>
      </c>
      <c r="AI309" s="46">
        <f t="shared" si="228"/>
        <v>-8439.75</v>
      </c>
      <c r="AJ309" s="46">
        <f t="shared" si="228"/>
        <v>-8439.75</v>
      </c>
      <c r="AK309" s="46">
        <f t="shared" si="228"/>
        <v>-8439.75</v>
      </c>
      <c r="AL309" s="46">
        <f t="shared" si="228"/>
        <v>-8439.75</v>
      </c>
      <c r="AM309" s="46">
        <f t="shared" si="228"/>
        <v>-8439.75</v>
      </c>
      <c r="AN309" s="46">
        <f t="shared" si="228"/>
        <v>-8439.75</v>
      </c>
      <c r="AO309" s="46">
        <f t="shared" si="228"/>
        <v>-8439.75</v>
      </c>
      <c r="AP309" s="46">
        <f t="shared" si="228"/>
        <v>-8439.75</v>
      </c>
      <c r="AQ309" s="46">
        <f t="shared" si="228"/>
        <v>-8439.75</v>
      </c>
      <c r="AR309" s="46">
        <f t="shared" si="228"/>
        <v>-8439.75</v>
      </c>
      <c r="AS309" s="46">
        <f t="shared" si="228"/>
        <v>-9213.9750000000004</v>
      </c>
      <c r="AT309" s="46">
        <f t="shared" si="228"/>
        <v>-9213.9750000000004</v>
      </c>
      <c r="AU309" s="46">
        <f t="shared" si="228"/>
        <v>-9213.9750000000004</v>
      </c>
      <c r="AV309" s="46">
        <f t="shared" si="228"/>
        <v>-9213.9750000000004</v>
      </c>
      <c r="AW309" s="46">
        <f t="shared" si="228"/>
        <v>-9213.9750000000004</v>
      </c>
      <c r="AX309" s="46">
        <f t="shared" si="228"/>
        <v>-9213.9750000000004</v>
      </c>
      <c r="AY309" s="46">
        <f t="shared" si="228"/>
        <v>-9213.9750000000004</v>
      </c>
      <c r="AZ309" s="46">
        <f t="shared" si="228"/>
        <v>-9213.9750000000004</v>
      </c>
      <c r="BA309" s="46">
        <f t="shared" si="228"/>
        <v>-9213.9750000000004</v>
      </c>
      <c r="BB309" s="46">
        <f t="shared" si="228"/>
        <v>-9213.9750000000004</v>
      </c>
      <c r="BC309" s="46">
        <f t="shared" si="228"/>
        <v>-9213.9750000000004</v>
      </c>
      <c r="BD309" s="46">
        <f t="shared" si="228"/>
        <v>-9213.9750000000004</v>
      </c>
      <c r="BE309" s="46"/>
    </row>
    <row r="310" spans="1:57" ht="14.25" customHeight="1" x14ac:dyDescent="0.3">
      <c r="A310" s="46"/>
      <c r="B310" s="37"/>
      <c r="C310" s="46" t="str">
        <f>C$213</f>
        <v>Motor Vehicle Expenses and Fuel</v>
      </c>
      <c r="D310" s="46">
        <f t="shared" si="219"/>
        <v>-310146.8571428571</v>
      </c>
      <c r="E310" s="46">
        <f t="shared" si="219"/>
        <v>-341161.54285714286</v>
      </c>
      <c r="F310" s="46">
        <f t="shared" si="219"/>
        <v>-375277.69714285713</v>
      </c>
      <c r="G310" s="46">
        <f t="shared" si="219"/>
        <v>-409703.9982857143</v>
      </c>
      <c r="H310" s="46"/>
      <c r="I310" s="46">
        <f>-I$213</f>
        <v>-64231</v>
      </c>
      <c r="J310" s="46">
        <f t="shared" ref="J310:BD310" si="229">-J$213</f>
        <v>-29963</v>
      </c>
      <c r="K310" s="46">
        <f t="shared" si="229"/>
        <v>-11446</v>
      </c>
      <c r="L310" s="46">
        <f t="shared" si="229"/>
        <v>-25902</v>
      </c>
      <c r="M310" s="46">
        <f t="shared" si="229"/>
        <v>-6823</v>
      </c>
      <c r="N310" s="46">
        <f t="shared" si="229"/>
        <v>-20899</v>
      </c>
      <c r="O310" s="46">
        <f t="shared" si="229"/>
        <v>-21655</v>
      </c>
      <c r="P310" s="46">
        <f t="shared" si="229"/>
        <v>-25845.571428571428</v>
      </c>
      <c r="Q310" s="46">
        <f t="shared" si="229"/>
        <v>-25845.571428571428</v>
      </c>
      <c r="R310" s="46">
        <f t="shared" si="229"/>
        <v>-25845.571428571428</v>
      </c>
      <c r="S310" s="46">
        <f t="shared" si="229"/>
        <v>-25845.571428571428</v>
      </c>
      <c r="T310" s="46">
        <f t="shared" si="229"/>
        <v>-25845.571428571428</v>
      </c>
      <c r="U310" s="46">
        <f t="shared" si="229"/>
        <v>-28430.12857142857</v>
      </c>
      <c r="V310" s="46">
        <f t="shared" si="229"/>
        <v>-28430.12857142857</v>
      </c>
      <c r="W310" s="46">
        <f t="shared" si="229"/>
        <v>-28430.12857142857</v>
      </c>
      <c r="X310" s="46">
        <f t="shared" si="229"/>
        <v>-28430.12857142857</v>
      </c>
      <c r="Y310" s="46">
        <f t="shared" si="229"/>
        <v>-28430.12857142857</v>
      </c>
      <c r="Z310" s="46">
        <f t="shared" si="229"/>
        <v>-28430.12857142857</v>
      </c>
      <c r="AA310" s="46">
        <f t="shared" si="229"/>
        <v>-28430.12857142857</v>
      </c>
      <c r="AB310" s="46">
        <f t="shared" si="229"/>
        <v>-28430.12857142857</v>
      </c>
      <c r="AC310" s="46">
        <f t="shared" si="229"/>
        <v>-28430.12857142857</v>
      </c>
      <c r="AD310" s="46">
        <f t="shared" si="229"/>
        <v>-28430.12857142857</v>
      </c>
      <c r="AE310" s="46">
        <f t="shared" si="229"/>
        <v>-28430.12857142857</v>
      </c>
      <c r="AF310" s="46">
        <f t="shared" si="229"/>
        <v>-28430.12857142857</v>
      </c>
      <c r="AG310" s="46">
        <f t="shared" si="229"/>
        <v>-31273.141428571427</v>
      </c>
      <c r="AH310" s="46">
        <f t="shared" si="229"/>
        <v>-31273.141428571427</v>
      </c>
      <c r="AI310" s="46">
        <f t="shared" si="229"/>
        <v>-31273.141428571427</v>
      </c>
      <c r="AJ310" s="46">
        <f t="shared" si="229"/>
        <v>-31273.141428571427</v>
      </c>
      <c r="AK310" s="46">
        <f t="shared" si="229"/>
        <v>-31273.141428571427</v>
      </c>
      <c r="AL310" s="46">
        <f t="shared" si="229"/>
        <v>-31273.141428571427</v>
      </c>
      <c r="AM310" s="46">
        <f t="shared" si="229"/>
        <v>-31273.141428571427</v>
      </c>
      <c r="AN310" s="46">
        <f t="shared" si="229"/>
        <v>-31273.141428571427</v>
      </c>
      <c r="AO310" s="46">
        <f t="shared" si="229"/>
        <v>-31273.141428571427</v>
      </c>
      <c r="AP310" s="46">
        <f t="shared" si="229"/>
        <v>-31273.141428571427</v>
      </c>
      <c r="AQ310" s="46">
        <f t="shared" si="229"/>
        <v>-31273.141428571427</v>
      </c>
      <c r="AR310" s="46">
        <f t="shared" si="229"/>
        <v>-31273.141428571427</v>
      </c>
      <c r="AS310" s="46">
        <f t="shared" si="229"/>
        <v>-34141.999857142859</v>
      </c>
      <c r="AT310" s="46">
        <f t="shared" si="229"/>
        <v>-34141.999857142859</v>
      </c>
      <c r="AU310" s="46">
        <f t="shared" si="229"/>
        <v>-34141.999857142859</v>
      </c>
      <c r="AV310" s="46">
        <f t="shared" si="229"/>
        <v>-34141.999857142859</v>
      </c>
      <c r="AW310" s="46">
        <f t="shared" si="229"/>
        <v>-34141.999857142859</v>
      </c>
      <c r="AX310" s="46">
        <f t="shared" si="229"/>
        <v>-34141.999857142859</v>
      </c>
      <c r="AY310" s="46">
        <f t="shared" si="229"/>
        <v>-34141.999857142859</v>
      </c>
      <c r="AZ310" s="46">
        <f t="shared" si="229"/>
        <v>-34141.999857142859</v>
      </c>
      <c r="BA310" s="46">
        <f t="shared" si="229"/>
        <v>-34141.999857142859</v>
      </c>
      <c r="BB310" s="46">
        <f t="shared" si="229"/>
        <v>-34141.999857142859</v>
      </c>
      <c r="BC310" s="46">
        <f t="shared" si="229"/>
        <v>-34141.999857142859</v>
      </c>
      <c r="BD310" s="46">
        <f t="shared" si="229"/>
        <v>-34141.999857142859</v>
      </c>
      <c r="BE310" s="46"/>
    </row>
    <row r="311" spans="1:57" ht="14.25" customHeight="1" x14ac:dyDescent="0.3">
      <c r="A311" s="46"/>
      <c r="B311" s="37"/>
      <c r="C311" s="46" t="str">
        <f>C$214</f>
        <v>Office, Cleaning, Medical Waste, Security</v>
      </c>
      <c r="D311" s="46">
        <f t="shared" si="219"/>
        <v>-339087.42857142864</v>
      </c>
      <c r="E311" s="46">
        <f t="shared" si="219"/>
        <v>-372996.17142857146</v>
      </c>
      <c r="F311" s="46">
        <f t="shared" si="219"/>
        <v>-410295.78857142857</v>
      </c>
      <c r="G311" s="46">
        <f t="shared" si="219"/>
        <v>-447934.49314285716</v>
      </c>
      <c r="H311" s="46"/>
      <c r="I311" s="46">
        <f>-I$214</f>
        <v>-29455</v>
      </c>
      <c r="J311" s="46">
        <f t="shared" ref="J311:BD311" si="230">-J$214</f>
        <v>-20698</v>
      </c>
      <c r="K311" s="46">
        <f t="shared" si="230"/>
        <v>-39104</v>
      </c>
      <c r="L311" s="46">
        <f t="shared" si="230"/>
        <v>-42876</v>
      </c>
      <c r="M311" s="46">
        <f t="shared" si="230"/>
        <v>-25004</v>
      </c>
      <c r="N311" s="46">
        <f t="shared" si="230"/>
        <v>-17443</v>
      </c>
      <c r="O311" s="46">
        <f t="shared" si="230"/>
        <v>-23221</v>
      </c>
      <c r="P311" s="46">
        <f t="shared" si="230"/>
        <v>-28257.285714285714</v>
      </c>
      <c r="Q311" s="46">
        <f t="shared" si="230"/>
        <v>-28257.285714285714</v>
      </c>
      <c r="R311" s="46">
        <f t="shared" si="230"/>
        <v>-28257.285714285714</v>
      </c>
      <c r="S311" s="46">
        <f t="shared" si="230"/>
        <v>-28257.285714285714</v>
      </c>
      <c r="T311" s="46">
        <f t="shared" si="230"/>
        <v>-28257.285714285714</v>
      </c>
      <c r="U311" s="46">
        <f t="shared" si="230"/>
        <v>-31083.014285714286</v>
      </c>
      <c r="V311" s="46">
        <f t="shared" si="230"/>
        <v>-31083.014285714286</v>
      </c>
      <c r="W311" s="46">
        <f t="shared" si="230"/>
        <v>-31083.014285714286</v>
      </c>
      <c r="X311" s="46">
        <f t="shared" si="230"/>
        <v>-31083.014285714286</v>
      </c>
      <c r="Y311" s="46">
        <f t="shared" si="230"/>
        <v>-31083.014285714286</v>
      </c>
      <c r="Z311" s="46">
        <f t="shared" si="230"/>
        <v>-31083.014285714286</v>
      </c>
      <c r="AA311" s="46">
        <f t="shared" si="230"/>
        <v>-31083.014285714286</v>
      </c>
      <c r="AB311" s="46">
        <f t="shared" si="230"/>
        <v>-31083.014285714286</v>
      </c>
      <c r="AC311" s="46">
        <f t="shared" si="230"/>
        <v>-31083.014285714286</v>
      </c>
      <c r="AD311" s="46">
        <f t="shared" si="230"/>
        <v>-31083.014285714286</v>
      </c>
      <c r="AE311" s="46">
        <f t="shared" si="230"/>
        <v>-31083.014285714286</v>
      </c>
      <c r="AF311" s="46">
        <f t="shared" si="230"/>
        <v>-31083.014285714286</v>
      </c>
      <c r="AG311" s="46">
        <f t="shared" si="230"/>
        <v>-34191.315714285716</v>
      </c>
      <c r="AH311" s="46">
        <f t="shared" si="230"/>
        <v>-34191.315714285716</v>
      </c>
      <c r="AI311" s="46">
        <f t="shared" si="230"/>
        <v>-34191.315714285716</v>
      </c>
      <c r="AJ311" s="46">
        <f t="shared" si="230"/>
        <v>-34191.315714285716</v>
      </c>
      <c r="AK311" s="46">
        <f t="shared" si="230"/>
        <v>-34191.315714285716</v>
      </c>
      <c r="AL311" s="46">
        <f t="shared" si="230"/>
        <v>-34191.315714285716</v>
      </c>
      <c r="AM311" s="46">
        <f t="shared" si="230"/>
        <v>-34191.315714285716</v>
      </c>
      <c r="AN311" s="46">
        <f t="shared" si="230"/>
        <v>-34191.315714285716</v>
      </c>
      <c r="AO311" s="46">
        <f t="shared" si="230"/>
        <v>-34191.315714285716</v>
      </c>
      <c r="AP311" s="46">
        <f t="shared" si="230"/>
        <v>-34191.315714285716</v>
      </c>
      <c r="AQ311" s="46">
        <f t="shared" si="230"/>
        <v>-34191.315714285716</v>
      </c>
      <c r="AR311" s="46">
        <f t="shared" si="230"/>
        <v>-34191.315714285716</v>
      </c>
      <c r="AS311" s="46">
        <f t="shared" si="230"/>
        <v>-37327.874428571427</v>
      </c>
      <c r="AT311" s="46">
        <f t="shared" si="230"/>
        <v>-37327.874428571427</v>
      </c>
      <c r="AU311" s="46">
        <f t="shared" si="230"/>
        <v>-37327.874428571427</v>
      </c>
      <c r="AV311" s="46">
        <f t="shared" si="230"/>
        <v>-37327.874428571427</v>
      </c>
      <c r="AW311" s="46">
        <f t="shared" si="230"/>
        <v>-37327.874428571427</v>
      </c>
      <c r="AX311" s="46">
        <f t="shared" si="230"/>
        <v>-37327.874428571427</v>
      </c>
      <c r="AY311" s="46">
        <f t="shared" si="230"/>
        <v>-37327.874428571427</v>
      </c>
      <c r="AZ311" s="46">
        <f t="shared" si="230"/>
        <v>-37327.874428571427</v>
      </c>
      <c r="BA311" s="46">
        <f t="shared" si="230"/>
        <v>-37327.874428571427</v>
      </c>
      <c r="BB311" s="46">
        <f t="shared" si="230"/>
        <v>-37327.874428571427</v>
      </c>
      <c r="BC311" s="46">
        <f t="shared" si="230"/>
        <v>-37327.874428571427</v>
      </c>
      <c r="BD311" s="46">
        <f t="shared" si="230"/>
        <v>-37327.874428571427</v>
      </c>
      <c r="BE311" s="46"/>
    </row>
    <row r="312" spans="1:57" ht="14.25" customHeight="1" x14ac:dyDescent="0.3">
      <c r="A312" s="46"/>
      <c r="B312" s="37"/>
      <c r="C312" s="46" t="str">
        <f>C$215</f>
        <v>Rent</v>
      </c>
      <c r="D312" s="46">
        <f t="shared" si="219"/>
        <v>-1183309.7142857143</v>
      </c>
      <c r="E312" s="46">
        <f t="shared" si="219"/>
        <v>-1301640.6857142858</v>
      </c>
      <c r="F312" s="46">
        <f t="shared" si="219"/>
        <v>-1431804.7542857144</v>
      </c>
      <c r="G312" s="46">
        <f t="shared" si="219"/>
        <v>-1563152.1325714283</v>
      </c>
      <c r="H312" s="46"/>
      <c r="I312" s="46">
        <f>-I$215</f>
        <v>-101532</v>
      </c>
      <c r="J312" s="46">
        <f t="shared" ref="J312:BD312" si="231">-J$215</f>
        <v>-97434</v>
      </c>
      <c r="K312" s="46">
        <f t="shared" si="231"/>
        <v>-97345</v>
      </c>
      <c r="L312" s="46">
        <f t="shared" si="231"/>
        <v>-97899</v>
      </c>
      <c r="M312" s="46">
        <f t="shared" si="231"/>
        <v>-98779</v>
      </c>
      <c r="N312" s="46">
        <f t="shared" si="231"/>
        <v>-98765</v>
      </c>
      <c r="O312" s="46">
        <f t="shared" si="231"/>
        <v>-98510</v>
      </c>
      <c r="P312" s="46">
        <f t="shared" si="231"/>
        <v>-98609.142857142855</v>
      </c>
      <c r="Q312" s="46">
        <f t="shared" si="231"/>
        <v>-98609.142857142855</v>
      </c>
      <c r="R312" s="46">
        <f t="shared" si="231"/>
        <v>-98609.142857142855</v>
      </c>
      <c r="S312" s="46">
        <f t="shared" si="231"/>
        <v>-98609.142857142855</v>
      </c>
      <c r="T312" s="46">
        <f t="shared" si="231"/>
        <v>-98609.142857142855</v>
      </c>
      <c r="U312" s="46">
        <f t="shared" si="231"/>
        <v>-108470.05714285714</v>
      </c>
      <c r="V312" s="46">
        <f t="shared" si="231"/>
        <v>-108470.05714285714</v>
      </c>
      <c r="W312" s="46">
        <f t="shared" si="231"/>
        <v>-108470.05714285714</v>
      </c>
      <c r="X312" s="46">
        <f t="shared" si="231"/>
        <v>-108470.05714285714</v>
      </c>
      <c r="Y312" s="46">
        <f t="shared" si="231"/>
        <v>-108470.05714285714</v>
      </c>
      <c r="Z312" s="46">
        <f t="shared" si="231"/>
        <v>-108470.05714285714</v>
      </c>
      <c r="AA312" s="46">
        <f t="shared" si="231"/>
        <v>-108470.05714285714</v>
      </c>
      <c r="AB312" s="46">
        <f t="shared" si="231"/>
        <v>-108470.05714285714</v>
      </c>
      <c r="AC312" s="46">
        <f t="shared" si="231"/>
        <v>-108470.05714285714</v>
      </c>
      <c r="AD312" s="46">
        <f t="shared" si="231"/>
        <v>-108470.05714285714</v>
      </c>
      <c r="AE312" s="46">
        <f t="shared" si="231"/>
        <v>-108470.05714285714</v>
      </c>
      <c r="AF312" s="46">
        <f t="shared" si="231"/>
        <v>-108470.05714285714</v>
      </c>
      <c r="AG312" s="46">
        <f t="shared" si="231"/>
        <v>-119317.06285714285</v>
      </c>
      <c r="AH312" s="46">
        <f t="shared" si="231"/>
        <v>-119317.06285714285</v>
      </c>
      <c r="AI312" s="46">
        <f t="shared" si="231"/>
        <v>-119317.06285714285</v>
      </c>
      <c r="AJ312" s="46">
        <f t="shared" si="231"/>
        <v>-119317.06285714285</v>
      </c>
      <c r="AK312" s="46">
        <f t="shared" si="231"/>
        <v>-119317.06285714285</v>
      </c>
      <c r="AL312" s="46">
        <f t="shared" si="231"/>
        <v>-119317.06285714285</v>
      </c>
      <c r="AM312" s="46">
        <f t="shared" si="231"/>
        <v>-119317.06285714285</v>
      </c>
      <c r="AN312" s="46">
        <f t="shared" si="231"/>
        <v>-119317.06285714285</v>
      </c>
      <c r="AO312" s="46">
        <f t="shared" si="231"/>
        <v>-119317.06285714285</v>
      </c>
      <c r="AP312" s="46">
        <f t="shared" si="231"/>
        <v>-119317.06285714285</v>
      </c>
      <c r="AQ312" s="46">
        <f t="shared" si="231"/>
        <v>-119317.06285714285</v>
      </c>
      <c r="AR312" s="46">
        <f t="shared" si="231"/>
        <v>-119317.06285714285</v>
      </c>
      <c r="AS312" s="46">
        <f t="shared" si="231"/>
        <v>-130262.67771428572</v>
      </c>
      <c r="AT312" s="46">
        <f t="shared" si="231"/>
        <v>-130262.67771428572</v>
      </c>
      <c r="AU312" s="46">
        <f t="shared" si="231"/>
        <v>-130262.67771428572</v>
      </c>
      <c r="AV312" s="46">
        <f t="shared" si="231"/>
        <v>-130262.67771428572</v>
      </c>
      <c r="AW312" s="46">
        <f t="shared" si="231"/>
        <v>-130262.67771428572</v>
      </c>
      <c r="AX312" s="46">
        <f t="shared" si="231"/>
        <v>-130262.67771428572</v>
      </c>
      <c r="AY312" s="46">
        <f t="shared" si="231"/>
        <v>-130262.67771428572</v>
      </c>
      <c r="AZ312" s="46">
        <f t="shared" si="231"/>
        <v>-130262.67771428572</v>
      </c>
      <c r="BA312" s="46">
        <f t="shared" si="231"/>
        <v>-130262.67771428572</v>
      </c>
      <c r="BB312" s="46">
        <f t="shared" si="231"/>
        <v>-130262.67771428572</v>
      </c>
      <c r="BC312" s="46">
        <f t="shared" si="231"/>
        <v>-130262.67771428572</v>
      </c>
      <c r="BD312" s="46">
        <f t="shared" si="231"/>
        <v>-130262.67771428572</v>
      </c>
      <c r="BE312" s="46"/>
    </row>
    <row r="313" spans="1:57" ht="14.25" customHeight="1" x14ac:dyDescent="0.3">
      <c r="A313" s="46"/>
      <c r="B313" s="37"/>
      <c r="C313" s="46" t="str">
        <f>C$216</f>
        <v>Repairs and Maintenance</v>
      </c>
      <c r="D313" s="46">
        <f t="shared" si="219"/>
        <v>-68096.57142857142</v>
      </c>
      <c r="E313" s="46">
        <f t="shared" si="219"/>
        <v>-74906.228571428554</v>
      </c>
      <c r="F313" s="46">
        <f t="shared" si="219"/>
        <v>-82396.851428571419</v>
      </c>
      <c r="G313" s="46">
        <f t="shared" si="219"/>
        <v>-89955.570857142855</v>
      </c>
      <c r="H313" s="46"/>
      <c r="I313" s="46">
        <f>-I$216</f>
        <v>-18403</v>
      </c>
      <c r="J313" s="46">
        <f t="shared" ref="J313:BD313" si="232">-J$216</f>
        <v>-216</v>
      </c>
      <c r="K313" s="46">
        <f t="shared" si="232"/>
        <v>-1089</v>
      </c>
      <c r="L313" s="46">
        <f t="shared" si="232"/>
        <v>-185</v>
      </c>
      <c r="M313" s="46">
        <f t="shared" si="232"/>
        <v>-7214</v>
      </c>
      <c r="N313" s="46">
        <f t="shared" si="232"/>
        <v>-6777</v>
      </c>
      <c r="O313" s="46">
        <f t="shared" si="232"/>
        <v>-5839</v>
      </c>
      <c r="P313" s="46">
        <f t="shared" si="232"/>
        <v>-5674.7142857142853</v>
      </c>
      <c r="Q313" s="46">
        <f t="shared" si="232"/>
        <v>-5674.7142857142853</v>
      </c>
      <c r="R313" s="46">
        <f t="shared" si="232"/>
        <v>-5674.7142857142853</v>
      </c>
      <c r="S313" s="46">
        <f t="shared" si="232"/>
        <v>-5674.7142857142853</v>
      </c>
      <c r="T313" s="46">
        <f t="shared" si="232"/>
        <v>-5674.7142857142853</v>
      </c>
      <c r="U313" s="46">
        <f t="shared" si="232"/>
        <v>-6242.1857142857134</v>
      </c>
      <c r="V313" s="46">
        <f t="shared" si="232"/>
        <v>-6242.1857142857134</v>
      </c>
      <c r="W313" s="46">
        <f t="shared" si="232"/>
        <v>-6242.1857142857134</v>
      </c>
      <c r="X313" s="46">
        <f t="shared" si="232"/>
        <v>-6242.1857142857134</v>
      </c>
      <c r="Y313" s="46">
        <f t="shared" si="232"/>
        <v>-6242.1857142857134</v>
      </c>
      <c r="Z313" s="46">
        <f t="shared" si="232"/>
        <v>-6242.1857142857134</v>
      </c>
      <c r="AA313" s="46">
        <f t="shared" si="232"/>
        <v>-6242.1857142857134</v>
      </c>
      <c r="AB313" s="46">
        <f t="shared" si="232"/>
        <v>-6242.1857142857134</v>
      </c>
      <c r="AC313" s="46">
        <f t="shared" si="232"/>
        <v>-6242.1857142857134</v>
      </c>
      <c r="AD313" s="46">
        <f t="shared" si="232"/>
        <v>-6242.1857142857134</v>
      </c>
      <c r="AE313" s="46">
        <f t="shared" si="232"/>
        <v>-6242.1857142857134</v>
      </c>
      <c r="AF313" s="46">
        <f t="shared" si="232"/>
        <v>-6242.1857142857134</v>
      </c>
      <c r="AG313" s="46">
        <f t="shared" si="232"/>
        <v>-6866.4042857142849</v>
      </c>
      <c r="AH313" s="46">
        <f t="shared" si="232"/>
        <v>-6866.4042857142849</v>
      </c>
      <c r="AI313" s="46">
        <f t="shared" si="232"/>
        <v>-6866.4042857142849</v>
      </c>
      <c r="AJ313" s="46">
        <f t="shared" si="232"/>
        <v>-6866.4042857142849</v>
      </c>
      <c r="AK313" s="46">
        <f t="shared" si="232"/>
        <v>-6866.4042857142849</v>
      </c>
      <c r="AL313" s="46">
        <f t="shared" si="232"/>
        <v>-6866.4042857142849</v>
      </c>
      <c r="AM313" s="46">
        <f t="shared" si="232"/>
        <v>-6866.4042857142849</v>
      </c>
      <c r="AN313" s="46">
        <f t="shared" si="232"/>
        <v>-6866.4042857142849</v>
      </c>
      <c r="AO313" s="46">
        <f t="shared" si="232"/>
        <v>-6866.4042857142849</v>
      </c>
      <c r="AP313" s="46">
        <f t="shared" si="232"/>
        <v>-6866.4042857142849</v>
      </c>
      <c r="AQ313" s="46">
        <f t="shared" si="232"/>
        <v>-6866.4042857142849</v>
      </c>
      <c r="AR313" s="46">
        <f t="shared" si="232"/>
        <v>-6866.4042857142849</v>
      </c>
      <c r="AS313" s="46">
        <f t="shared" si="232"/>
        <v>-7496.2975714285712</v>
      </c>
      <c r="AT313" s="46">
        <f t="shared" si="232"/>
        <v>-7496.2975714285712</v>
      </c>
      <c r="AU313" s="46">
        <f t="shared" si="232"/>
        <v>-7496.2975714285712</v>
      </c>
      <c r="AV313" s="46">
        <f t="shared" si="232"/>
        <v>-7496.2975714285712</v>
      </c>
      <c r="AW313" s="46">
        <f t="shared" si="232"/>
        <v>-7496.2975714285712</v>
      </c>
      <c r="AX313" s="46">
        <f t="shared" si="232"/>
        <v>-7496.2975714285712</v>
      </c>
      <c r="AY313" s="46">
        <f t="shared" si="232"/>
        <v>-7496.2975714285712</v>
      </c>
      <c r="AZ313" s="46">
        <f t="shared" si="232"/>
        <v>-7496.2975714285712</v>
      </c>
      <c r="BA313" s="46">
        <f t="shared" si="232"/>
        <v>-7496.2975714285712</v>
      </c>
      <c r="BB313" s="46">
        <f t="shared" si="232"/>
        <v>-7496.2975714285712</v>
      </c>
      <c r="BC313" s="46">
        <f t="shared" si="232"/>
        <v>-7496.2975714285712</v>
      </c>
      <c r="BD313" s="46">
        <f t="shared" si="232"/>
        <v>-7496.2975714285712</v>
      </c>
      <c r="BE313" s="46"/>
    </row>
    <row r="314" spans="1:57" ht="14.25" customHeight="1" x14ac:dyDescent="0.3">
      <c r="A314" s="46"/>
      <c r="B314" s="37"/>
      <c r="C314" s="46" t="str">
        <f>C$217</f>
        <v>Staff Clothing</v>
      </c>
      <c r="D314" s="46">
        <f t="shared" si="219"/>
        <v>-25443.428571428569</v>
      </c>
      <c r="E314" s="46">
        <f t="shared" si="219"/>
        <v>-27987.771428571421</v>
      </c>
      <c r="F314" s="46">
        <f t="shared" si="219"/>
        <v>-30786.548571428561</v>
      </c>
      <c r="G314" s="46">
        <f t="shared" si="219"/>
        <v>-33610.769142857142</v>
      </c>
      <c r="H314" s="46"/>
      <c r="I314" s="46">
        <f>-I$217</f>
        <v>-216</v>
      </c>
      <c r="J314" s="46">
        <f t="shared" ref="J314:BD314" si="233">-J$217</f>
        <v>-278</v>
      </c>
      <c r="K314" s="46">
        <f t="shared" si="233"/>
        <v>-7374</v>
      </c>
      <c r="L314" s="46">
        <f t="shared" si="233"/>
        <v>0</v>
      </c>
      <c r="M314" s="46">
        <f t="shared" si="233"/>
        <v>0</v>
      </c>
      <c r="N314" s="46">
        <f t="shared" si="233"/>
        <v>-4135</v>
      </c>
      <c r="O314" s="46">
        <f t="shared" si="233"/>
        <v>-2839</v>
      </c>
      <c r="P314" s="46">
        <f t="shared" si="233"/>
        <v>-2120.2857142857142</v>
      </c>
      <c r="Q314" s="46">
        <f t="shared" si="233"/>
        <v>-2120.2857142857142</v>
      </c>
      <c r="R314" s="46">
        <f t="shared" si="233"/>
        <v>-2120.2857142857142</v>
      </c>
      <c r="S314" s="46">
        <f t="shared" si="233"/>
        <v>-2120.2857142857142</v>
      </c>
      <c r="T314" s="46">
        <f t="shared" si="233"/>
        <v>-2120.2857142857142</v>
      </c>
      <c r="U314" s="46">
        <f t="shared" si="233"/>
        <v>-2332.3142857142857</v>
      </c>
      <c r="V314" s="46">
        <f t="shared" si="233"/>
        <v>-2332.3142857142857</v>
      </c>
      <c r="W314" s="46">
        <f t="shared" si="233"/>
        <v>-2332.3142857142857</v>
      </c>
      <c r="X314" s="46">
        <f t="shared" si="233"/>
        <v>-2332.3142857142857</v>
      </c>
      <c r="Y314" s="46">
        <f t="shared" si="233"/>
        <v>-2332.3142857142857</v>
      </c>
      <c r="Z314" s="46">
        <f t="shared" si="233"/>
        <v>-2332.3142857142857</v>
      </c>
      <c r="AA314" s="46">
        <f t="shared" si="233"/>
        <v>-2332.3142857142857</v>
      </c>
      <c r="AB314" s="46">
        <f t="shared" si="233"/>
        <v>-2332.3142857142857</v>
      </c>
      <c r="AC314" s="46">
        <f t="shared" si="233"/>
        <v>-2332.3142857142857</v>
      </c>
      <c r="AD314" s="46">
        <f t="shared" si="233"/>
        <v>-2332.3142857142857</v>
      </c>
      <c r="AE314" s="46">
        <f t="shared" si="233"/>
        <v>-2332.3142857142857</v>
      </c>
      <c r="AF314" s="46">
        <f t="shared" si="233"/>
        <v>-2332.3142857142857</v>
      </c>
      <c r="AG314" s="46">
        <f t="shared" si="233"/>
        <v>-2565.545714285714</v>
      </c>
      <c r="AH314" s="46">
        <f t="shared" si="233"/>
        <v>-2565.545714285714</v>
      </c>
      <c r="AI314" s="46">
        <f t="shared" si="233"/>
        <v>-2565.545714285714</v>
      </c>
      <c r="AJ314" s="46">
        <f t="shared" si="233"/>
        <v>-2565.545714285714</v>
      </c>
      <c r="AK314" s="46">
        <f t="shared" si="233"/>
        <v>-2565.545714285714</v>
      </c>
      <c r="AL314" s="46">
        <f t="shared" si="233"/>
        <v>-2565.545714285714</v>
      </c>
      <c r="AM314" s="46">
        <f t="shared" si="233"/>
        <v>-2565.545714285714</v>
      </c>
      <c r="AN314" s="46">
        <f t="shared" si="233"/>
        <v>-2565.545714285714</v>
      </c>
      <c r="AO314" s="46">
        <f t="shared" si="233"/>
        <v>-2565.545714285714</v>
      </c>
      <c r="AP314" s="46">
        <f t="shared" si="233"/>
        <v>-2565.545714285714</v>
      </c>
      <c r="AQ314" s="46">
        <f t="shared" si="233"/>
        <v>-2565.545714285714</v>
      </c>
      <c r="AR314" s="46">
        <f t="shared" si="233"/>
        <v>-2565.545714285714</v>
      </c>
      <c r="AS314" s="46">
        <f t="shared" si="233"/>
        <v>-2800.8974285714285</v>
      </c>
      <c r="AT314" s="46">
        <f t="shared" si="233"/>
        <v>-2800.8974285714285</v>
      </c>
      <c r="AU314" s="46">
        <f t="shared" si="233"/>
        <v>-2800.8974285714285</v>
      </c>
      <c r="AV314" s="46">
        <f t="shared" si="233"/>
        <v>-2800.8974285714285</v>
      </c>
      <c r="AW314" s="46">
        <f t="shared" si="233"/>
        <v>-2800.8974285714285</v>
      </c>
      <c r="AX314" s="46">
        <f t="shared" si="233"/>
        <v>-2800.8974285714285</v>
      </c>
      <c r="AY314" s="46">
        <f t="shared" si="233"/>
        <v>-2800.8974285714285</v>
      </c>
      <c r="AZ314" s="46">
        <f t="shared" si="233"/>
        <v>-2800.8974285714285</v>
      </c>
      <c r="BA314" s="46">
        <f t="shared" si="233"/>
        <v>-2800.8974285714285</v>
      </c>
      <c r="BB314" s="46">
        <f t="shared" si="233"/>
        <v>-2800.8974285714285</v>
      </c>
      <c r="BC314" s="46">
        <f t="shared" si="233"/>
        <v>-2800.8974285714285</v>
      </c>
      <c r="BD314" s="46">
        <f t="shared" si="233"/>
        <v>-2800.8974285714285</v>
      </c>
      <c r="BE314" s="46"/>
    </row>
    <row r="315" spans="1:57" ht="14.25" customHeight="1" x14ac:dyDescent="0.3">
      <c r="A315" s="46"/>
      <c r="B315" s="37"/>
      <c r="C315" s="46" t="str">
        <f>C$218</f>
        <v>Subscriptions</v>
      </c>
      <c r="D315" s="46">
        <f t="shared" si="219"/>
        <v>-264572.57142857142</v>
      </c>
      <c r="E315" s="46">
        <f t="shared" si="219"/>
        <v>-291029.8285714286</v>
      </c>
      <c r="F315" s="46">
        <f t="shared" si="219"/>
        <v>-320132.81142857141</v>
      </c>
      <c r="G315" s="46">
        <f t="shared" si="219"/>
        <v>-349500.36685714289</v>
      </c>
      <c r="H315" s="46"/>
      <c r="I315" s="46">
        <f>-I$218</f>
        <v>-17616</v>
      </c>
      <c r="J315" s="46">
        <f t="shared" ref="J315:BD315" si="234">-J$218</f>
        <v>-13116</v>
      </c>
      <c r="K315" s="46">
        <f t="shared" si="234"/>
        <v>-30893</v>
      </c>
      <c r="L315" s="46">
        <f t="shared" si="234"/>
        <v>-25070</v>
      </c>
      <c r="M315" s="46">
        <f t="shared" si="234"/>
        <v>-23920</v>
      </c>
      <c r="N315" s="46">
        <f t="shared" si="234"/>
        <v>-23367</v>
      </c>
      <c r="O315" s="46">
        <f t="shared" si="234"/>
        <v>-20352</v>
      </c>
      <c r="P315" s="46">
        <f t="shared" si="234"/>
        <v>-22047.714285714286</v>
      </c>
      <c r="Q315" s="46">
        <f t="shared" si="234"/>
        <v>-22047.714285714286</v>
      </c>
      <c r="R315" s="46">
        <f t="shared" si="234"/>
        <v>-22047.714285714286</v>
      </c>
      <c r="S315" s="46">
        <f t="shared" si="234"/>
        <v>-22047.714285714286</v>
      </c>
      <c r="T315" s="46">
        <f t="shared" si="234"/>
        <v>-22047.714285714286</v>
      </c>
      <c r="U315" s="46">
        <f t="shared" si="234"/>
        <v>-24252.485714285714</v>
      </c>
      <c r="V315" s="46">
        <f t="shared" si="234"/>
        <v>-24252.485714285714</v>
      </c>
      <c r="W315" s="46">
        <f t="shared" si="234"/>
        <v>-24252.485714285714</v>
      </c>
      <c r="X315" s="46">
        <f t="shared" si="234"/>
        <v>-24252.485714285714</v>
      </c>
      <c r="Y315" s="46">
        <f t="shared" si="234"/>
        <v>-24252.485714285714</v>
      </c>
      <c r="Z315" s="46">
        <f t="shared" si="234"/>
        <v>-24252.485714285714</v>
      </c>
      <c r="AA315" s="46">
        <f t="shared" si="234"/>
        <v>-24252.485714285714</v>
      </c>
      <c r="AB315" s="46">
        <f t="shared" si="234"/>
        <v>-24252.485714285714</v>
      </c>
      <c r="AC315" s="46">
        <f t="shared" si="234"/>
        <v>-24252.485714285714</v>
      </c>
      <c r="AD315" s="46">
        <f t="shared" si="234"/>
        <v>-24252.485714285714</v>
      </c>
      <c r="AE315" s="46">
        <f t="shared" si="234"/>
        <v>-24252.485714285714</v>
      </c>
      <c r="AF315" s="46">
        <f t="shared" si="234"/>
        <v>-24252.485714285714</v>
      </c>
      <c r="AG315" s="46">
        <f t="shared" si="234"/>
        <v>-26677.734285714287</v>
      </c>
      <c r="AH315" s="46">
        <f t="shared" si="234"/>
        <v>-26677.734285714287</v>
      </c>
      <c r="AI315" s="46">
        <f t="shared" si="234"/>
        <v>-26677.734285714287</v>
      </c>
      <c r="AJ315" s="46">
        <f t="shared" si="234"/>
        <v>-26677.734285714287</v>
      </c>
      <c r="AK315" s="46">
        <f t="shared" si="234"/>
        <v>-26677.734285714287</v>
      </c>
      <c r="AL315" s="46">
        <f t="shared" si="234"/>
        <v>-26677.734285714287</v>
      </c>
      <c r="AM315" s="46">
        <f t="shared" si="234"/>
        <v>-26677.734285714287</v>
      </c>
      <c r="AN315" s="46">
        <f t="shared" si="234"/>
        <v>-26677.734285714287</v>
      </c>
      <c r="AO315" s="46">
        <f t="shared" si="234"/>
        <v>-26677.734285714287</v>
      </c>
      <c r="AP315" s="46">
        <f t="shared" si="234"/>
        <v>-26677.734285714287</v>
      </c>
      <c r="AQ315" s="46">
        <f t="shared" si="234"/>
        <v>-26677.734285714287</v>
      </c>
      <c r="AR315" s="46">
        <f t="shared" si="234"/>
        <v>-26677.734285714287</v>
      </c>
      <c r="AS315" s="46">
        <f t="shared" si="234"/>
        <v>-29125.030571428571</v>
      </c>
      <c r="AT315" s="46">
        <f t="shared" si="234"/>
        <v>-29125.030571428571</v>
      </c>
      <c r="AU315" s="46">
        <f t="shared" si="234"/>
        <v>-29125.030571428571</v>
      </c>
      <c r="AV315" s="46">
        <f t="shared" si="234"/>
        <v>-29125.030571428571</v>
      </c>
      <c r="AW315" s="46">
        <f t="shared" si="234"/>
        <v>-29125.030571428571</v>
      </c>
      <c r="AX315" s="46">
        <f t="shared" si="234"/>
        <v>-29125.030571428571</v>
      </c>
      <c r="AY315" s="46">
        <f t="shared" si="234"/>
        <v>-29125.030571428571</v>
      </c>
      <c r="AZ315" s="46">
        <f t="shared" si="234"/>
        <v>-29125.030571428571</v>
      </c>
      <c r="BA315" s="46">
        <f t="shared" si="234"/>
        <v>-29125.030571428571</v>
      </c>
      <c r="BB315" s="46">
        <f t="shared" si="234"/>
        <v>-29125.030571428571</v>
      </c>
      <c r="BC315" s="46">
        <f t="shared" si="234"/>
        <v>-29125.030571428571</v>
      </c>
      <c r="BD315" s="46">
        <f t="shared" si="234"/>
        <v>-29125.030571428571</v>
      </c>
      <c r="BE315" s="46"/>
    </row>
    <row r="316" spans="1:57" ht="14.25" customHeight="1" x14ac:dyDescent="0.3">
      <c r="A316" s="46"/>
      <c r="B316" s="37"/>
      <c r="C316" s="46" t="str">
        <f>C$219</f>
        <v>Telephone &amp; Internet</v>
      </c>
      <c r="D316" s="46">
        <f t="shared" si="219"/>
        <v>-62638.285714285725</v>
      </c>
      <c r="E316" s="46">
        <f t="shared" si="219"/>
        <v>-68902.114285714299</v>
      </c>
      <c r="F316" s="46">
        <f t="shared" si="219"/>
        <v>-75792.325714285718</v>
      </c>
      <c r="G316" s="46">
        <f t="shared" si="219"/>
        <v>-82745.175428571412</v>
      </c>
      <c r="H316" s="46"/>
      <c r="I316" s="46">
        <f>-I$219</f>
        <v>-5449</v>
      </c>
      <c r="J316" s="46">
        <f t="shared" ref="J316:BD316" si="235">-J$219</f>
        <v>-5235</v>
      </c>
      <c r="K316" s="46">
        <f t="shared" si="235"/>
        <v>-4358</v>
      </c>
      <c r="L316" s="46">
        <f t="shared" si="235"/>
        <v>-4209</v>
      </c>
      <c r="M316" s="46">
        <f t="shared" si="235"/>
        <v>-4414</v>
      </c>
      <c r="N316" s="46">
        <f t="shared" si="235"/>
        <v>-7295</v>
      </c>
      <c r="O316" s="46">
        <f t="shared" si="235"/>
        <v>-5579</v>
      </c>
      <c r="P316" s="46">
        <f t="shared" si="235"/>
        <v>-5219.8571428571431</v>
      </c>
      <c r="Q316" s="46">
        <f t="shared" si="235"/>
        <v>-5219.8571428571431</v>
      </c>
      <c r="R316" s="46">
        <f t="shared" si="235"/>
        <v>-5219.8571428571431</v>
      </c>
      <c r="S316" s="46">
        <f t="shared" si="235"/>
        <v>-5219.8571428571431</v>
      </c>
      <c r="T316" s="46">
        <f t="shared" si="235"/>
        <v>-5219.8571428571431</v>
      </c>
      <c r="U316" s="46">
        <f t="shared" si="235"/>
        <v>-5741.8428571428576</v>
      </c>
      <c r="V316" s="46">
        <f t="shared" si="235"/>
        <v>-5741.8428571428576</v>
      </c>
      <c r="W316" s="46">
        <f t="shared" si="235"/>
        <v>-5741.8428571428576</v>
      </c>
      <c r="X316" s="46">
        <f t="shared" si="235"/>
        <v>-5741.8428571428576</v>
      </c>
      <c r="Y316" s="46">
        <f t="shared" si="235"/>
        <v>-5741.8428571428576</v>
      </c>
      <c r="Z316" s="46">
        <f t="shared" si="235"/>
        <v>-5741.8428571428576</v>
      </c>
      <c r="AA316" s="46">
        <f t="shared" si="235"/>
        <v>-5741.8428571428576</v>
      </c>
      <c r="AB316" s="46">
        <f t="shared" si="235"/>
        <v>-5741.8428571428576</v>
      </c>
      <c r="AC316" s="46">
        <f t="shared" si="235"/>
        <v>-5741.8428571428576</v>
      </c>
      <c r="AD316" s="46">
        <f t="shared" si="235"/>
        <v>-5741.8428571428576</v>
      </c>
      <c r="AE316" s="46">
        <f t="shared" si="235"/>
        <v>-5741.8428571428576</v>
      </c>
      <c r="AF316" s="46">
        <f t="shared" si="235"/>
        <v>-5741.8428571428576</v>
      </c>
      <c r="AG316" s="46">
        <f t="shared" si="235"/>
        <v>-6316.0271428571432</v>
      </c>
      <c r="AH316" s="46">
        <f t="shared" si="235"/>
        <v>-6316.0271428571432</v>
      </c>
      <c r="AI316" s="46">
        <f t="shared" si="235"/>
        <v>-6316.0271428571432</v>
      </c>
      <c r="AJ316" s="46">
        <f t="shared" si="235"/>
        <v>-6316.0271428571432</v>
      </c>
      <c r="AK316" s="46">
        <f t="shared" si="235"/>
        <v>-6316.0271428571432</v>
      </c>
      <c r="AL316" s="46">
        <f t="shared" si="235"/>
        <v>-6316.0271428571432</v>
      </c>
      <c r="AM316" s="46">
        <f t="shared" si="235"/>
        <v>-6316.0271428571432</v>
      </c>
      <c r="AN316" s="46">
        <f t="shared" si="235"/>
        <v>-6316.0271428571432</v>
      </c>
      <c r="AO316" s="46">
        <f t="shared" si="235"/>
        <v>-6316.0271428571432</v>
      </c>
      <c r="AP316" s="46">
        <f t="shared" si="235"/>
        <v>-6316.0271428571432</v>
      </c>
      <c r="AQ316" s="46">
        <f t="shared" si="235"/>
        <v>-6316.0271428571432</v>
      </c>
      <c r="AR316" s="46">
        <f t="shared" si="235"/>
        <v>-6316.0271428571432</v>
      </c>
      <c r="AS316" s="46">
        <f t="shared" si="235"/>
        <v>-6895.4312857142859</v>
      </c>
      <c r="AT316" s="46">
        <f t="shared" si="235"/>
        <v>-6895.4312857142859</v>
      </c>
      <c r="AU316" s="46">
        <f t="shared" si="235"/>
        <v>-6895.4312857142859</v>
      </c>
      <c r="AV316" s="46">
        <f t="shared" si="235"/>
        <v>-6895.4312857142859</v>
      </c>
      <c r="AW316" s="46">
        <f t="shared" si="235"/>
        <v>-6895.4312857142859</v>
      </c>
      <c r="AX316" s="46">
        <f t="shared" si="235"/>
        <v>-6895.4312857142859</v>
      </c>
      <c r="AY316" s="46">
        <f t="shared" si="235"/>
        <v>-6895.4312857142859</v>
      </c>
      <c r="AZ316" s="46">
        <f t="shared" si="235"/>
        <v>-6895.4312857142859</v>
      </c>
      <c r="BA316" s="46">
        <f t="shared" si="235"/>
        <v>-6895.4312857142859</v>
      </c>
      <c r="BB316" s="46">
        <f t="shared" si="235"/>
        <v>-6895.4312857142859</v>
      </c>
      <c r="BC316" s="46">
        <f t="shared" si="235"/>
        <v>-6895.4312857142859</v>
      </c>
      <c r="BD316" s="46">
        <f t="shared" si="235"/>
        <v>-6895.4312857142859</v>
      </c>
      <c r="BE316" s="46"/>
    </row>
    <row r="317" spans="1:57" ht="14.25" customHeight="1" x14ac:dyDescent="0.3">
      <c r="A317" s="46"/>
      <c r="B317" s="37"/>
      <c r="C317" s="46" t="str">
        <f>C$220</f>
        <v>Training and conferences</v>
      </c>
      <c r="D317" s="46">
        <f t="shared" si="219"/>
        <v>-127491.42857142855</v>
      </c>
      <c r="E317" s="46">
        <f t="shared" si="219"/>
        <v>-137690.74285714285</v>
      </c>
      <c r="F317" s="46">
        <f t="shared" si="219"/>
        <v>-148706.00228571429</v>
      </c>
      <c r="G317" s="46">
        <f t="shared" si="219"/>
        <v>-159786.53732571425</v>
      </c>
      <c r="H317" s="46"/>
      <c r="I317" s="46">
        <f>-I$220</f>
        <v>0</v>
      </c>
      <c r="J317" s="46">
        <f t="shared" ref="J317:BD317" si="236">-J$220</f>
        <v>-11348</v>
      </c>
      <c r="K317" s="46">
        <f t="shared" si="236"/>
        <v>-13982</v>
      </c>
      <c r="L317" s="46">
        <f t="shared" si="236"/>
        <v>-11953</v>
      </c>
      <c r="M317" s="46">
        <f t="shared" si="236"/>
        <v>-15366</v>
      </c>
      <c r="N317" s="46">
        <f t="shared" si="236"/>
        <v>-10839</v>
      </c>
      <c r="O317" s="46">
        <f t="shared" si="236"/>
        <v>-10882</v>
      </c>
      <c r="P317" s="46">
        <f t="shared" si="236"/>
        <v>-10624.285714285714</v>
      </c>
      <c r="Q317" s="46">
        <f t="shared" si="236"/>
        <v>-10624.285714285714</v>
      </c>
      <c r="R317" s="46">
        <f t="shared" si="236"/>
        <v>-10624.285714285714</v>
      </c>
      <c r="S317" s="46">
        <f t="shared" si="236"/>
        <v>-10624.285714285714</v>
      </c>
      <c r="T317" s="46">
        <f t="shared" si="236"/>
        <v>-10624.285714285714</v>
      </c>
      <c r="U317" s="46">
        <f t="shared" si="236"/>
        <v>-11474.228571428572</v>
      </c>
      <c r="V317" s="46">
        <f t="shared" si="236"/>
        <v>-11474.228571428572</v>
      </c>
      <c r="W317" s="46">
        <f t="shared" si="236"/>
        <v>-11474.228571428572</v>
      </c>
      <c r="X317" s="46">
        <f t="shared" si="236"/>
        <v>-11474.228571428572</v>
      </c>
      <c r="Y317" s="46">
        <f t="shared" si="236"/>
        <v>-11474.228571428572</v>
      </c>
      <c r="Z317" s="46">
        <f t="shared" si="236"/>
        <v>-11474.228571428572</v>
      </c>
      <c r="AA317" s="46">
        <f t="shared" si="236"/>
        <v>-11474.228571428572</v>
      </c>
      <c r="AB317" s="46">
        <f t="shared" si="236"/>
        <v>-11474.228571428572</v>
      </c>
      <c r="AC317" s="46">
        <f t="shared" si="236"/>
        <v>-11474.228571428572</v>
      </c>
      <c r="AD317" s="46">
        <f t="shared" si="236"/>
        <v>-11474.228571428572</v>
      </c>
      <c r="AE317" s="46">
        <f t="shared" si="236"/>
        <v>-11474.228571428572</v>
      </c>
      <c r="AF317" s="46">
        <f t="shared" si="236"/>
        <v>-11474.228571428572</v>
      </c>
      <c r="AG317" s="46">
        <f t="shared" si="236"/>
        <v>-12392.166857142856</v>
      </c>
      <c r="AH317" s="46">
        <f t="shared" si="236"/>
        <v>-12392.166857142856</v>
      </c>
      <c r="AI317" s="46">
        <f t="shared" si="236"/>
        <v>-12392.166857142856</v>
      </c>
      <c r="AJ317" s="46">
        <f t="shared" si="236"/>
        <v>-12392.166857142856</v>
      </c>
      <c r="AK317" s="46">
        <f t="shared" si="236"/>
        <v>-12392.166857142856</v>
      </c>
      <c r="AL317" s="46">
        <f t="shared" si="236"/>
        <v>-12392.166857142856</v>
      </c>
      <c r="AM317" s="46">
        <f t="shared" si="236"/>
        <v>-12392.166857142856</v>
      </c>
      <c r="AN317" s="46">
        <f t="shared" si="236"/>
        <v>-12392.166857142856</v>
      </c>
      <c r="AO317" s="46">
        <f t="shared" si="236"/>
        <v>-12392.166857142856</v>
      </c>
      <c r="AP317" s="46">
        <f t="shared" si="236"/>
        <v>-12392.166857142856</v>
      </c>
      <c r="AQ317" s="46">
        <f t="shared" si="236"/>
        <v>-12392.166857142856</v>
      </c>
      <c r="AR317" s="46">
        <f t="shared" si="236"/>
        <v>-12392.166857142856</v>
      </c>
      <c r="AS317" s="46">
        <f t="shared" si="236"/>
        <v>-13315.544777142857</v>
      </c>
      <c r="AT317" s="46">
        <f t="shared" si="236"/>
        <v>-13315.544777142857</v>
      </c>
      <c r="AU317" s="46">
        <f t="shared" si="236"/>
        <v>-13315.544777142857</v>
      </c>
      <c r="AV317" s="46">
        <f t="shared" si="236"/>
        <v>-13315.544777142857</v>
      </c>
      <c r="AW317" s="46">
        <f t="shared" si="236"/>
        <v>-13315.544777142857</v>
      </c>
      <c r="AX317" s="46">
        <f t="shared" si="236"/>
        <v>-13315.544777142857</v>
      </c>
      <c r="AY317" s="46">
        <f t="shared" si="236"/>
        <v>-13315.544777142857</v>
      </c>
      <c r="AZ317" s="46">
        <f t="shared" si="236"/>
        <v>-13315.544777142857</v>
      </c>
      <c r="BA317" s="46">
        <f t="shared" si="236"/>
        <v>-13315.544777142857</v>
      </c>
      <c r="BB317" s="46">
        <f t="shared" si="236"/>
        <v>-13315.544777142857</v>
      </c>
      <c r="BC317" s="46">
        <f t="shared" si="236"/>
        <v>-13315.544777142857</v>
      </c>
      <c r="BD317" s="46">
        <f t="shared" si="236"/>
        <v>-13315.544777142857</v>
      </c>
      <c r="BE317" s="46"/>
    </row>
    <row r="318" spans="1:57" ht="14.25" customHeight="1" x14ac:dyDescent="0.3">
      <c r="A318" s="46"/>
      <c r="B318" s="37"/>
      <c r="C318" s="46" t="str">
        <f>C$221</f>
        <v>Travel - International</v>
      </c>
      <c r="D318" s="46">
        <f t="shared" si="219"/>
        <v>-1936644</v>
      </c>
      <c r="E318" s="46">
        <f t="shared" si="219"/>
        <v>-2130308.4</v>
      </c>
      <c r="F318" s="46">
        <f t="shared" si="219"/>
        <v>-2343339.2400000002</v>
      </c>
      <c r="G318" s="46">
        <f t="shared" si="219"/>
        <v>-2558306.7239999999</v>
      </c>
      <c r="H318" s="46"/>
      <c r="I318" s="46">
        <f>-I$221</f>
        <v>-58393</v>
      </c>
      <c r="J318" s="46">
        <f t="shared" ref="J318:BD318" si="237">-J$221</f>
        <v>-25127</v>
      </c>
      <c r="K318" s="46">
        <f t="shared" si="237"/>
        <v>-63082</v>
      </c>
      <c r="L318" s="46">
        <f t="shared" si="237"/>
        <v>-192630</v>
      </c>
      <c r="M318" s="46">
        <f t="shared" si="237"/>
        <v>-233373</v>
      </c>
      <c r="N318" s="46">
        <f t="shared" si="237"/>
        <v>-314360</v>
      </c>
      <c r="O318" s="46">
        <f t="shared" si="237"/>
        <v>-242744</v>
      </c>
      <c r="P318" s="46">
        <f t="shared" si="237"/>
        <v>-161387</v>
      </c>
      <c r="Q318" s="46">
        <f t="shared" si="237"/>
        <v>-161387</v>
      </c>
      <c r="R318" s="46">
        <f t="shared" si="237"/>
        <v>-161387</v>
      </c>
      <c r="S318" s="46">
        <f t="shared" si="237"/>
        <v>-161387</v>
      </c>
      <c r="T318" s="46">
        <f t="shared" si="237"/>
        <v>-161387</v>
      </c>
      <c r="U318" s="46">
        <f t="shared" si="237"/>
        <v>-177525.7</v>
      </c>
      <c r="V318" s="46">
        <f t="shared" si="237"/>
        <v>-177525.7</v>
      </c>
      <c r="W318" s="46">
        <f t="shared" si="237"/>
        <v>-177525.7</v>
      </c>
      <c r="X318" s="46">
        <f t="shared" si="237"/>
        <v>-177525.7</v>
      </c>
      <c r="Y318" s="46">
        <f t="shared" si="237"/>
        <v>-177525.7</v>
      </c>
      <c r="Z318" s="46">
        <f t="shared" si="237"/>
        <v>-177525.7</v>
      </c>
      <c r="AA318" s="46">
        <f t="shared" si="237"/>
        <v>-177525.7</v>
      </c>
      <c r="AB318" s="46">
        <f t="shared" si="237"/>
        <v>-177525.7</v>
      </c>
      <c r="AC318" s="46">
        <f t="shared" si="237"/>
        <v>-177525.7</v>
      </c>
      <c r="AD318" s="46">
        <f t="shared" si="237"/>
        <v>-177525.7</v>
      </c>
      <c r="AE318" s="46">
        <f t="shared" si="237"/>
        <v>-177525.7</v>
      </c>
      <c r="AF318" s="46">
        <f t="shared" si="237"/>
        <v>-177525.7</v>
      </c>
      <c r="AG318" s="46">
        <f t="shared" si="237"/>
        <v>-195278.27000000002</v>
      </c>
      <c r="AH318" s="46">
        <f t="shared" si="237"/>
        <v>-195278.27000000002</v>
      </c>
      <c r="AI318" s="46">
        <f t="shared" si="237"/>
        <v>-195278.27000000002</v>
      </c>
      <c r="AJ318" s="46">
        <f t="shared" si="237"/>
        <v>-195278.27000000002</v>
      </c>
      <c r="AK318" s="46">
        <f t="shared" si="237"/>
        <v>-195278.27000000002</v>
      </c>
      <c r="AL318" s="46">
        <f t="shared" si="237"/>
        <v>-195278.27000000002</v>
      </c>
      <c r="AM318" s="46">
        <f t="shared" si="237"/>
        <v>-195278.27000000002</v>
      </c>
      <c r="AN318" s="46">
        <f t="shared" si="237"/>
        <v>-195278.27000000002</v>
      </c>
      <c r="AO318" s="46">
        <f t="shared" si="237"/>
        <v>-195278.27000000002</v>
      </c>
      <c r="AP318" s="46">
        <f t="shared" si="237"/>
        <v>-195278.27000000002</v>
      </c>
      <c r="AQ318" s="46">
        <f t="shared" si="237"/>
        <v>-195278.27000000002</v>
      </c>
      <c r="AR318" s="46">
        <f t="shared" si="237"/>
        <v>-195278.27000000002</v>
      </c>
      <c r="AS318" s="46">
        <f t="shared" si="237"/>
        <v>-213192.22700000001</v>
      </c>
      <c r="AT318" s="46">
        <f t="shared" si="237"/>
        <v>-213192.22700000001</v>
      </c>
      <c r="AU318" s="46">
        <f t="shared" si="237"/>
        <v>-213192.22700000001</v>
      </c>
      <c r="AV318" s="46">
        <f t="shared" si="237"/>
        <v>-213192.22700000001</v>
      </c>
      <c r="AW318" s="46">
        <f t="shared" si="237"/>
        <v>-213192.22700000001</v>
      </c>
      <c r="AX318" s="46">
        <f t="shared" si="237"/>
        <v>-213192.22700000001</v>
      </c>
      <c r="AY318" s="46">
        <f t="shared" si="237"/>
        <v>-213192.22700000001</v>
      </c>
      <c r="AZ318" s="46">
        <f t="shared" si="237"/>
        <v>-213192.22700000001</v>
      </c>
      <c r="BA318" s="46">
        <f t="shared" si="237"/>
        <v>-213192.22700000001</v>
      </c>
      <c r="BB318" s="46">
        <f t="shared" si="237"/>
        <v>-213192.22700000001</v>
      </c>
      <c r="BC318" s="46">
        <f t="shared" si="237"/>
        <v>-213192.22700000001</v>
      </c>
      <c r="BD318" s="46">
        <f t="shared" si="237"/>
        <v>-213192.22700000001</v>
      </c>
      <c r="BE318" s="46"/>
    </row>
    <row r="319" spans="1:57" ht="14.25" customHeight="1" x14ac:dyDescent="0.3">
      <c r="A319" s="46"/>
      <c r="B319" s="37"/>
      <c r="C319" s="46" t="str">
        <f>C$222</f>
        <v>Travel - National</v>
      </c>
      <c r="D319" s="46">
        <f t="shared" si="219"/>
        <v>-64165.714285714275</v>
      </c>
      <c r="E319" s="46">
        <f t="shared" si="219"/>
        <v>-70582.285714285725</v>
      </c>
      <c r="F319" s="46">
        <f t="shared" si="219"/>
        <v>-77640.514285714278</v>
      </c>
      <c r="G319" s="46">
        <f t="shared" si="219"/>
        <v>-84762.908571428561</v>
      </c>
      <c r="H319" s="46"/>
      <c r="I319" s="46">
        <f>-I$222</f>
        <v>-7302</v>
      </c>
      <c r="J319" s="46">
        <f t="shared" ref="J319:BD319" si="238">-J$222</f>
        <v>-2138</v>
      </c>
      <c r="K319" s="46">
        <f t="shared" si="238"/>
        <v>-1545</v>
      </c>
      <c r="L319" s="46">
        <f t="shared" si="238"/>
        <v>-6636</v>
      </c>
      <c r="M319" s="46">
        <f t="shared" si="238"/>
        <v>-7506</v>
      </c>
      <c r="N319" s="46">
        <f t="shared" si="238"/>
        <v>-5363</v>
      </c>
      <c r="O319" s="46">
        <f t="shared" si="238"/>
        <v>-6940</v>
      </c>
      <c r="P319" s="46">
        <f t="shared" si="238"/>
        <v>-5347.1428571428569</v>
      </c>
      <c r="Q319" s="46">
        <f t="shared" si="238"/>
        <v>-5347.1428571428569</v>
      </c>
      <c r="R319" s="46">
        <f t="shared" si="238"/>
        <v>-5347.1428571428569</v>
      </c>
      <c r="S319" s="46">
        <f t="shared" si="238"/>
        <v>-5347.1428571428569</v>
      </c>
      <c r="T319" s="46">
        <f t="shared" si="238"/>
        <v>-5347.1428571428569</v>
      </c>
      <c r="U319" s="46">
        <f t="shared" si="238"/>
        <v>-5881.8571428571422</v>
      </c>
      <c r="V319" s="46">
        <f t="shared" si="238"/>
        <v>-5881.8571428571422</v>
      </c>
      <c r="W319" s="46">
        <f t="shared" si="238"/>
        <v>-5881.8571428571422</v>
      </c>
      <c r="X319" s="46">
        <f t="shared" si="238"/>
        <v>-5881.8571428571422</v>
      </c>
      <c r="Y319" s="46">
        <f t="shared" si="238"/>
        <v>-5881.8571428571422</v>
      </c>
      <c r="Z319" s="46">
        <f t="shared" si="238"/>
        <v>-5881.8571428571422</v>
      </c>
      <c r="AA319" s="46">
        <f t="shared" si="238"/>
        <v>-5881.8571428571422</v>
      </c>
      <c r="AB319" s="46">
        <f t="shared" si="238"/>
        <v>-5881.8571428571422</v>
      </c>
      <c r="AC319" s="46">
        <f t="shared" si="238"/>
        <v>-5881.8571428571422</v>
      </c>
      <c r="AD319" s="46">
        <f t="shared" si="238"/>
        <v>-5881.8571428571422</v>
      </c>
      <c r="AE319" s="46">
        <f t="shared" si="238"/>
        <v>-5881.8571428571422</v>
      </c>
      <c r="AF319" s="46">
        <f t="shared" si="238"/>
        <v>-5881.8571428571422</v>
      </c>
      <c r="AG319" s="46">
        <f t="shared" si="238"/>
        <v>-6470.0428571428565</v>
      </c>
      <c r="AH319" s="46">
        <f t="shared" si="238"/>
        <v>-6470.0428571428565</v>
      </c>
      <c r="AI319" s="46">
        <f t="shared" si="238"/>
        <v>-6470.0428571428565</v>
      </c>
      <c r="AJ319" s="46">
        <f t="shared" si="238"/>
        <v>-6470.0428571428565</v>
      </c>
      <c r="AK319" s="46">
        <f t="shared" si="238"/>
        <v>-6470.0428571428565</v>
      </c>
      <c r="AL319" s="46">
        <f t="shared" si="238"/>
        <v>-6470.0428571428565</v>
      </c>
      <c r="AM319" s="46">
        <f t="shared" si="238"/>
        <v>-6470.0428571428565</v>
      </c>
      <c r="AN319" s="46">
        <f t="shared" si="238"/>
        <v>-6470.0428571428565</v>
      </c>
      <c r="AO319" s="46">
        <f t="shared" si="238"/>
        <v>-6470.0428571428565</v>
      </c>
      <c r="AP319" s="46">
        <f t="shared" si="238"/>
        <v>-6470.0428571428565</v>
      </c>
      <c r="AQ319" s="46">
        <f t="shared" si="238"/>
        <v>-6470.0428571428565</v>
      </c>
      <c r="AR319" s="46">
        <f t="shared" si="238"/>
        <v>-6470.0428571428565</v>
      </c>
      <c r="AS319" s="46">
        <f t="shared" si="238"/>
        <v>-7063.5757142857137</v>
      </c>
      <c r="AT319" s="46">
        <f t="shared" si="238"/>
        <v>-7063.5757142857137</v>
      </c>
      <c r="AU319" s="46">
        <f t="shared" si="238"/>
        <v>-7063.5757142857137</v>
      </c>
      <c r="AV319" s="46">
        <f t="shared" si="238"/>
        <v>-7063.5757142857137</v>
      </c>
      <c r="AW319" s="46">
        <f t="shared" si="238"/>
        <v>-7063.5757142857137</v>
      </c>
      <c r="AX319" s="46">
        <f t="shared" si="238"/>
        <v>-7063.5757142857137</v>
      </c>
      <c r="AY319" s="46">
        <f t="shared" si="238"/>
        <v>-7063.5757142857137</v>
      </c>
      <c r="AZ319" s="46">
        <f t="shared" si="238"/>
        <v>-7063.5757142857137</v>
      </c>
      <c r="BA319" s="46">
        <f t="shared" si="238"/>
        <v>-7063.5757142857137</v>
      </c>
      <c r="BB319" s="46">
        <f t="shared" si="238"/>
        <v>-7063.5757142857137</v>
      </c>
      <c r="BC319" s="46">
        <f t="shared" si="238"/>
        <v>-7063.5757142857137</v>
      </c>
      <c r="BD319" s="46">
        <f t="shared" si="238"/>
        <v>-7063.5757142857137</v>
      </c>
      <c r="BE319" s="46"/>
    </row>
    <row r="320" spans="1:57" ht="14.25" customHeight="1" x14ac:dyDescent="0.3">
      <c r="A320" s="46"/>
      <c r="B320" s="37"/>
      <c r="C320" s="46" t="str">
        <f>C223</f>
        <v>Contingency</v>
      </c>
      <c r="D320" s="46">
        <f t="shared" si="219"/>
        <v>-420000</v>
      </c>
      <c r="E320" s="46">
        <f t="shared" si="219"/>
        <v>-462000</v>
      </c>
      <c r="F320" s="46">
        <f t="shared" si="219"/>
        <v>-508200</v>
      </c>
      <c r="G320" s="46">
        <f t="shared" si="219"/>
        <v>-554820</v>
      </c>
      <c r="H320" s="46"/>
      <c r="I320" s="46">
        <f>-I$223</f>
        <v>-35000</v>
      </c>
      <c r="J320" s="46">
        <f t="shared" ref="J320:BD320" si="239">-J$223</f>
        <v>-35000</v>
      </c>
      <c r="K320" s="46">
        <f t="shared" si="239"/>
        <v>-35000</v>
      </c>
      <c r="L320" s="46">
        <f t="shared" si="239"/>
        <v>-35000</v>
      </c>
      <c r="M320" s="46">
        <f t="shared" si="239"/>
        <v>-35000</v>
      </c>
      <c r="N320" s="46">
        <f t="shared" si="239"/>
        <v>-35000</v>
      </c>
      <c r="O320" s="46">
        <f t="shared" si="239"/>
        <v>-35000</v>
      </c>
      <c r="P320" s="46">
        <f t="shared" si="239"/>
        <v>-35000</v>
      </c>
      <c r="Q320" s="46">
        <f t="shared" si="239"/>
        <v>-35000</v>
      </c>
      <c r="R320" s="46">
        <f t="shared" si="239"/>
        <v>-35000</v>
      </c>
      <c r="S320" s="46">
        <f t="shared" si="239"/>
        <v>-35000</v>
      </c>
      <c r="T320" s="46">
        <f t="shared" si="239"/>
        <v>-35000</v>
      </c>
      <c r="U320" s="46">
        <f t="shared" si="239"/>
        <v>-38500</v>
      </c>
      <c r="V320" s="46">
        <f t="shared" si="239"/>
        <v>-38500</v>
      </c>
      <c r="W320" s="46">
        <f t="shared" si="239"/>
        <v>-38500</v>
      </c>
      <c r="X320" s="46">
        <f t="shared" si="239"/>
        <v>-38500</v>
      </c>
      <c r="Y320" s="46">
        <f t="shared" si="239"/>
        <v>-38500</v>
      </c>
      <c r="Z320" s="46">
        <f t="shared" si="239"/>
        <v>-38500</v>
      </c>
      <c r="AA320" s="46">
        <f t="shared" si="239"/>
        <v>-38500</v>
      </c>
      <c r="AB320" s="46">
        <f t="shared" si="239"/>
        <v>-38500</v>
      </c>
      <c r="AC320" s="46">
        <f t="shared" si="239"/>
        <v>-38500</v>
      </c>
      <c r="AD320" s="46">
        <f t="shared" si="239"/>
        <v>-38500</v>
      </c>
      <c r="AE320" s="46">
        <f t="shared" si="239"/>
        <v>-38500</v>
      </c>
      <c r="AF320" s="46">
        <f t="shared" si="239"/>
        <v>-38500</v>
      </c>
      <c r="AG320" s="46">
        <f t="shared" si="239"/>
        <v>-42350</v>
      </c>
      <c r="AH320" s="46">
        <f t="shared" si="239"/>
        <v>-42350</v>
      </c>
      <c r="AI320" s="46">
        <f t="shared" si="239"/>
        <v>-42350</v>
      </c>
      <c r="AJ320" s="46">
        <f t="shared" si="239"/>
        <v>-42350</v>
      </c>
      <c r="AK320" s="46">
        <f t="shared" si="239"/>
        <v>-42350</v>
      </c>
      <c r="AL320" s="46">
        <f t="shared" si="239"/>
        <v>-42350</v>
      </c>
      <c r="AM320" s="46">
        <f t="shared" si="239"/>
        <v>-42350</v>
      </c>
      <c r="AN320" s="46">
        <f t="shared" si="239"/>
        <v>-42350</v>
      </c>
      <c r="AO320" s="46">
        <f t="shared" si="239"/>
        <v>-42350</v>
      </c>
      <c r="AP320" s="46">
        <f t="shared" si="239"/>
        <v>-42350</v>
      </c>
      <c r="AQ320" s="46">
        <f t="shared" si="239"/>
        <v>-42350</v>
      </c>
      <c r="AR320" s="46">
        <f t="shared" si="239"/>
        <v>-42350</v>
      </c>
      <c r="AS320" s="46">
        <f t="shared" si="239"/>
        <v>-46235</v>
      </c>
      <c r="AT320" s="46">
        <f t="shared" si="239"/>
        <v>-46235</v>
      </c>
      <c r="AU320" s="46">
        <f t="shared" si="239"/>
        <v>-46235</v>
      </c>
      <c r="AV320" s="46">
        <f t="shared" si="239"/>
        <v>-46235</v>
      </c>
      <c r="AW320" s="46">
        <f t="shared" si="239"/>
        <v>-46235</v>
      </c>
      <c r="AX320" s="46">
        <f t="shared" si="239"/>
        <v>-46235</v>
      </c>
      <c r="AY320" s="46">
        <f t="shared" si="239"/>
        <v>-46235</v>
      </c>
      <c r="AZ320" s="46">
        <f t="shared" si="239"/>
        <v>-46235</v>
      </c>
      <c r="BA320" s="46">
        <f t="shared" si="239"/>
        <v>-46235</v>
      </c>
      <c r="BB320" s="46">
        <f t="shared" si="239"/>
        <v>-46235</v>
      </c>
      <c r="BC320" s="46">
        <f t="shared" si="239"/>
        <v>-46235</v>
      </c>
      <c r="BD320" s="46">
        <f t="shared" si="239"/>
        <v>-46235</v>
      </c>
      <c r="BE320" s="46"/>
    </row>
    <row r="321" spans="1:57" ht="14.25" customHeight="1" x14ac:dyDescent="0.3">
      <c r="A321" s="46"/>
      <c r="B321" s="37"/>
      <c r="C321" s="46" t="str">
        <f>C$224</f>
        <v>IP Dev Refund</v>
      </c>
      <c r="D321" s="46">
        <f t="shared" si="219"/>
        <v>2277533</v>
      </c>
      <c r="E321" s="46">
        <f t="shared" si="219"/>
        <v>2701152.0000000005</v>
      </c>
      <c r="F321" s="46">
        <f t="shared" si="219"/>
        <v>2701152.0000000005</v>
      </c>
      <c r="G321" s="46">
        <f t="shared" si="219"/>
        <v>2701152.0000000005</v>
      </c>
      <c r="H321" s="46"/>
      <c r="I321" s="46">
        <f>-I$224</f>
        <v>0</v>
      </c>
      <c r="J321" s="46">
        <f t="shared" ref="J321:BD321" si="240">-J$224</f>
        <v>0</v>
      </c>
      <c r="K321" s="46">
        <f t="shared" si="240"/>
        <v>0</v>
      </c>
      <c r="L321" s="46">
        <f t="shared" si="240"/>
        <v>0</v>
      </c>
      <c r="M321" s="46">
        <f t="shared" si="240"/>
        <v>673483</v>
      </c>
      <c r="N321" s="46">
        <f t="shared" si="240"/>
        <v>0</v>
      </c>
      <c r="O321" s="46">
        <f t="shared" si="240"/>
        <v>0</v>
      </c>
      <c r="P321" s="46">
        <f t="shared" si="240"/>
        <v>703666</v>
      </c>
      <c r="Q321" s="46">
        <f t="shared" si="240"/>
        <v>225096.00000000003</v>
      </c>
      <c r="R321" s="46">
        <f t="shared" si="240"/>
        <v>225096.00000000003</v>
      </c>
      <c r="S321" s="46">
        <f t="shared" si="240"/>
        <v>225096.00000000003</v>
      </c>
      <c r="T321" s="46">
        <f t="shared" si="240"/>
        <v>225096.00000000003</v>
      </c>
      <c r="U321" s="46">
        <f t="shared" si="240"/>
        <v>225096.00000000003</v>
      </c>
      <c r="V321" s="46">
        <f t="shared" si="240"/>
        <v>225096.00000000003</v>
      </c>
      <c r="W321" s="46">
        <f t="shared" si="240"/>
        <v>225096.00000000003</v>
      </c>
      <c r="X321" s="46">
        <f t="shared" si="240"/>
        <v>225096.00000000003</v>
      </c>
      <c r="Y321" s="46">
        <f t="shared" si="240"/>
        <v>225096.00000000003</v>
      </c>
      <c r="Z321" s="46">
        <f t="shared" si="240"/>
        <v>225096.00000000003</v>
      </c>
      <c r="AA321" s="46">
        <f t="shared" si="240"/>
        <v>225096.00000000003</v>
      </c>
      <c r="AB321" s="46">
        <f t="shared" si="240"/>
        <v>225096.00000000003</v>
      </c>
      <c r="AC321" s="46">
        <f t="shared" si="240"/>
        <v>225096.00000000003</v>
      </c>
      <c r="AD321" s="46">
        <f t="shared" si="240"/>
        <v>225096.00000000003</v>
      </c>
      <c r="AE321" s="46">
        <f t="shared" si="240"/>
        <v>225096.00000000003</v>
      </c>
      <c r="AF321" s="46">
        <f t="shared" si="240"/>
        <v>225096.00000000003</v>
      </c>
      <c r="AG321" s="46">
        <f t="shared" si="240"/>
        <v>225096.00000000003</v>
      </c>
      <c r="AH321" s="46">
        <f t="shared" si="240"/>
        <v>225096.00000000003</v>
      </c>
      <c r="AI321" s="46">
        <f t="shared" si="240"/>
        <v>225096.00000000003</v>
      </c>
      <c r="AJ321" s="46">
        <f t="shared" si="240"/>
        <v>225096.00000000003</v>
      </c>
      <c r="AK321" s="46">
        <f t="shared" si="240"/>
        <v>225096.00000000003</v>
      </c>
      <c r="AL321" s="46">
        <f t="shared" si="240"/>
        <v>225096.00000000003</v>
      </c>
      <c r="AM321" s="46">
        <f t="shared" si="240"/>
        <v>225096.00000000003</v>
      </c>
      <c r="AN321" s="46">
        <f t="shared" si="240"/>
        <v>225096.00000000003</v>
      </c>
      <c r="AO321" s="46">
        <f t="shared" si="240"/>
        <v>225096.00000000003</v>
      </c>
      <c r="AP321" s="46">
        <f t="shared" si="240"/>
        <v>225096.00000000003</v>
      </c>
      <c r="AQ321" s="46">
        <f t="shared" si="240"/>
        <v>225096.00000000003</v>
      </c>
      <c r="AR321" s="46">
        <f t="shared" si="240"/>
        <v>225096.00000000003</v>
      </c>
      <c r="AS321" s="46">
        <f t="shared" si="240"/>
        <v>225096.00000000003</v>
      </c>
      <c r="AT321" s="46">
        <f t="shared" si="240"/>
        <v>225096.00000000003</v>
      </c>
      <c r="AU321" s="46">
        <f t="shared" si="240"/>
        <v>225096.00000000003</v>
      </c>
      <c r="AV321" s="46">
        <f t="shared" si="240"/>
        <v>225096.00000000003</v>
      </c>
      <c r="AW321" s="46">
        <f t="shared" si="240"/>
        <v>225096.00000000003</v>
      </c>
      <c r="AX321" s="46">
        <f t="shared" si="240"/>
        <v>225096.00000000003</v>
      </c>
      <c r="AY321" s="46">
        <f t="shared" si="240"/>
        <v>225096.00000000003</v>
      </c>
      <c r="AZ321" s="46">
        <f t="shared" si="240"/>
        <v>225096.00000000003</v>
      </c>
      <c r="BA321" s="46">
        <f t="shared" si="240"/>
        <v>225096.00000000003</v>
      </c>
      <c r="BB321" s="46">
        <f t="shared" si="240"/>
        <v>225096.00000000003</v>
      </c>
      <c r="BC321" s="46">
        <f t="shared" si="240"/>
        <v>225096.00000000003</v>
      </c>
      <c r="BD321" s="46">
        <f t="shared" si="240"/>
        <v>225096.00000000003</v>
      </c>
      <c r="BE321" s="46"/>
    </row>
    <row r="322" spans="1:57" ht="14.25" customHeight="1" x14ac:dyDescent="0.3">
      <c r="A322" s="46"/>
      <c r="B322" s="37"/>
      <c r="C322" s="46">
        <f>C$226</f>
        <v>0</v>
      </c>
      <c r="D322" s="46">
        <f t="shared" si="219"/>
        <v>0</v>
      </c>
      <c r="E322" s="46">
        <f t="shared" si="219"/>
        <v>0</v>
      </c>
      <c r="F322" s="46">
        <f t="shared" si="219"/>
        <v>0</v>
      </c>
      <c r="G322" s="46">
        <f t="shared" si="219"/>
        <v>0</v>
      </c>
      <c r="H322" s="46"/>
      <c r="I322" s="46">
        <f>-I$225</f>
        <v>0</v>
      </c>
      <c r="J322" s="46">
        <f t="shared" ref="J322:BD322" si="241">-J$225</f>
        <v>0</v>
      </c>
      <c r="K322" s="46">
        <f t="shared" si="241"/>
        <v>0</v>
      </c>
      <c r="L322" s="46">
        <f t="shared" si="241"/>
        <v>0</v>
      </c>
      <c r="M322" s="46">
        <f t="shared" si="241"/>
        <v>0</v>
      </c>
      <c r="N322" s="46">
        <f t="shared" si="241"/>
        <v>0</v>
      </c>
      <c r="O322" s="46">
        <f t="shared" si="241"/>
        <v>0</v>
      </c>
      <c r="P322" s="46">
        <f t="shared" si="241"/>
        <v>0</v>
      </c>
      <c r="Q322" s="46">
        <f t="shared" si="241"/>
        <v>0</v>
      </c>
      <c r="R322" s="46">
        <f t="shared" si="241"/>
        <v>0</v>
      </c>
      <c r="S322" s="46">
        <f t="shared" si="241"/>
        <v>0</v>
      </c>
      <c r="T322" s="46">
        <f t="shared" si="241"/>
        <v>0</v>
      </c>
      <c r="U322" s="46">
        <f t="shared" si="241"/>
        <v>0</v>
      </c>
      <c r="V322" s="46">
        <f t="shared" si="241"/>
        <v>0</v>
      </c>
      <c r="W322" s="46">
        <f t="shared" si="241"/>
        <v>0</v>
      </c>
      <c r="X322" s="46">
        <f t="shared" si="241"/>
        <v>0</v>
      </c>
      <c r="Y322" s="46">
        <f t="shared" si="241"/>
        <v>0</v>
      </c>
      <c r="Z322" s="46">
        <f t="shared" si="241"/>
        <v>0</v>
      </c>
      <c r="AA322" s="46">
        <f t="shared" si="241"/>
        <v>0</v>
      </c>
      <c r="AB322" s="46">
        <f t="shared" si="241"/>
        <v>0</v>
      </c>
      <c r="AC322" s="46">
        <f t="shared" si="241"/>
        <v>0</v>
      </c>
      <c r="AD322" s="46">
        <f t="shared" si="241"/>
        <v>0</v>
      </c>
      <c r="AE322" s="46">
        <f t="shared" si="241"/>
        <v>0</v>
      </c>
      <c r="AF322" s="46">
        <f t="shared" si="241"/>
        <v>0</v>
      </c>
      <c r="AG322" s="46">
        <f t="shared" si="241"/>
        <v>0</v>
      </c>
      <c r="AH322" s="46">
        <f t="shared" si="241"/>
        <v>0</v>
      </c>
      <c r="AI322" s="46">
        <f t="shared" si="241"/>
        <v>0</v>
      </c>
      <c r="AJ322" s="46">
        <f t="shared" si="241"/>
        <v>0</v>
      </c>
      <c r="AK322" s="46">
        <f t="shared" si="241"/>
        <v>0</v>
      </c>
      <c r="AL322" s="46">
        <f t="shared" si="241"/>
        <v>0</v>
      </c>
      <c r="AM322" s="46">
        <f t="shared" si="241"/>
        <v>0</v>
      </c>
      <c r="AN322" s="46">
        <f t="shared" si="241"/>
        <v>0</v>
      </c>
      <c r="AO322" s="46">
        <f t="shared" si="241"/>
        <v>0</v>
      </c>
      <c r="AP322" s="46">
        <f t="shared" si="241"/>
        <v>0</v>
      </c>
      <c r="AQ322" s="46">
        <f t="shared" si="241"/>
        <v>0</v>
      </c>
      <c r="AR322" s="46">
        <f t="shared" si="241"/>
        <v>0</v>
      </c>
      <c r="AS322" s="46">
        <f t="shared" si="241"/>
        <v>0</v>
      </c>
      <c r="AT322" s="46">
        <f t="shared" si="241"/>
        <v>0</v>
      </c>
      <c r="AU322" s="46">
        <f t="shared" si="241"/>
        <v>0</v>
      </c>
      <c r="AV322" s="46">
        <f t="shared" si="241"/>
        <v>0</v>
      </c>
      <c r="AW322" s="46">
        <f t="shared" si="241"/>
        <v>0</v>
      </c>
      <c r="AX322" s="46">
        <f t="shared" si="241"/>
        <v>0</v>
      </c>
      <c r="AY322" s="46">
        <f t="shared" si="241"/>
        <v>0</v>
      </c>
      <c r="AZ322" s="46">
        <f t="shared" si="241"/>
        <v>0</v>
      </c>
      <c r="BA322" s="46">
        <f t="shared" si="241"/>
        <v>0</v>
      </c>
      <c r="BB322" s="46">
        <f t="shared" si="241"/>
        <v>0</v>
      </c>
      <c r="BC322" s="46">
        <f t="shared" si="241"/>
        <v>0</v>
      </c>
      <c r="BD322" s="46">
        <f t="shared" si="241"/>
        <v>0</v>
      </c>
      <c r="BE322" s="46"/>
    </row>
    <row r="323" spans="1:57" ht="14.25" customHeight="1" x14ac:dyDescent="0.3">
      <c r="A323" s="46"/>
      <c r="B323" s="37"/>
      <c r="D323" s="46">
        <f t="shared" si="219"/>
        <v>0</v>
      </c>
      <c r="E323" s="46">
        <f t="shared" si="219"/>
        <v>0</v>
      </c>
      <c r="F323" s="46">
        <f t="shared" si="219"/>
        <v>0</v>
      </c>
      <c r="G323" s="46">
        <f t="shared" si="219"/>
        <v>0</v>
      </c>
      <c r="H323" s="46"/>
      <c r="I323" s="46">
        <f>-I$226</f>
        <v>0</v>
      </c>
      <c r="J323" s="46">
        <f t="shared" ref="J323:BD323" si="242">-J$226</f>
        <v>0</v>
      </c>
      <c r="K323" s="46">
        <f t="shared" si="242"/>
        <v>0</v>
      </c>
      <c r="L323" s="46">
        <f t="shared" si="242"/>
        <v>0</v>
      </c>
      <c r="M323" s="46">
        <f t="shared" si="242"/>
        <v>0</v>
      </c>
      <c r="N323" s="46">
        <f t="shared" si="242"/>
        <v>0</v>
      </c>
      <c r="O323" s="46">
        <f t="shared" si="242"/>
        <v>0</v>
      </c>
      <c r="P323" s="46">
        <f t="shared" si="242"/>
        <v>0</v>
      </c>
      <c r="Q323" s="46">
        <f t="shared" si="242"/>
        <v>0</v>
      </c>
      <c r="R323" s="46">
        <f t="shared" si="242"/>
        <v>0</v>
      </c>
      <c r="S323" s="46">
        <f t="shared" si="242"/>
        <v>0</v>
      </c>
      <c r="T323" s="46">
        <f t="shared" si="242"/>
        <v>0</v>
      </c>
      <c r="U323" s="46">
        <f t="shared" si="242"/>
        <v>0</v>
      </c>
      <c r="V323" s="46">
        <f t="shared" si="242"/>
        <v>0</v>
      </c>
      <c r="W323" s="46">
        <f t="shared" si="242"/>
        <v>0</v>
      </c>
      <c r="X323" s="46">
        <f t="shared" si="242"/>
        <v>0</v>
      </c>
      <c r="Y323" s="46">
        <f t="shared" si="242"/>
        <v>0</v>
      </c>
      <c r="Z323" s="46">
        <f t="shared" si="242"/>
        <v>0</v>
      </c>
      <c r="AA323" s="46">
        <f t="shared" si="242"/>
        <v>0</v>
      </c>
      <c r="AB323" s="46">
        <f t="shared" si="242"/>
        <v>0</v>
      </c>
      <c r="AC323" s="46">
        <f t="shared" si="242"/>
        <v>0</v>
      </c>
      <c r="AD323" s="46">
        <f t="shared" si="242"/>
        <v>0</v>
      </c>
      <c r="AE323" s="46">
        <f t="shared" si="242"/>
        <v>0</v>
      </c>
      <c r="AF323" s="46">
        <f t="shared" si="242"/>
        <v>0</v>
      </c>
      <c r="AG323" s="46">
        <f t="shared" si="242"/>
        <v>0</v>
      </c>
      <c r="AH323" s="46">
        <f t="shared" si="242"/>
        <v>0</v>
      </c>
      <c r="AI323" s="46">
        <f t="shared" si="242"/>
        <v>0</v>
      </c>
      <c r="AJ323" s="46">
        <f t="shared" si="242"/>
        <v>0</v>
      </c>
      <c r="AK323" s="46">
        <f t="shared" si="242"/>
        <v>0</v>
      </c>
      <c r="AL323" s="46">
        <f t="shared" si="242"/>
        <v>0</v>
      </c>
      <c r="AM323" s="46">
        <f t="shared" si="242"/>
        <v>0</v>
      </c>
      <c r="AN323" s="46">
        <f t="shared" si="242"/>
        <v>0</v>
      </c>
      <c r="AO323" s="46">
        <f t="shared" si="242"/>
        <v>0</v>
      </c>
      <c r="AP323" s="46">
        <f t="shared" si="242"/>
        <v>0</v>
      </c>
      <c r="AQ323" s="46">
        <f t="shared" si="242"/>
        <v>0</v>
      </c>
      <c r="AR323" s="46">
        <f t="shared" si="242"/>
        <v>0</v>
      </c>
      <c r="AS323" s="46">
        <f t="shared" si="242"/>
        <v>0</v>
      </c>
      <c r="AT323" s="46">
        <f t="shared" si="242"/>
        <v>0</v>
      </c>
      <c r="AU323" s="46">
        <f t="shared" si="242"/>
        <v>0</v>
      </c>
      <c r="AV323" s="46">
        <f t="shared" si="242"/>
        <v>0</v>
      </c>
      <c r="AW323" s="46">
        <f t="shared" si="242"/>
        <v>0</v>
      </c>
      <c r="AX323" s="46">
        <f t="shared" si="242"/>
        <v>0</v>
      </c>
      <c r="AY323" s="46">
        <f t="shared" si="242"/>
        <v>0</v>
      </c>
      <c r="AZ323" s="46">
        <f t="shared" si="242"/>
        <v>0</v>
      </c>
      <c r="BA323" s="46">
        <f t="shared" si="242"/>
        <v>0</v>
      </c>
      <c r="BB323" s="46">
        <f t="shared" si="242"/>
        <v>0</v>
      </c>
      <c r="BC323" s="46">
        <f t="shared" si="242"/>
        <v>0</v>
      </c>
      <c r="BD323" s="46">
        <f t="shared" si="242"/>
        <v>0</v>
      </c>
      <c r="BE323" s="46"/>
    </row>
    <row r="324" spans="1:57" ht="14.25" customHeight="1" x14ac:dyDescent="0.3">
      <c r="A324" s="37"/>
      <c r="B324" s="37"/>
      <c r="C324" s="37" t="s">
        <v>39</v>
      </c>
      <c r="D324" s="68">
        <f t="shared" si="219"/>
        <v>-8934831.4285714272</v>
      </c>
      <c r="E324" s="68">
        <f t="shared" si="219"/>
        <v>-9845636.7085714284</v>
      </c>
      <c r="F324" s="68">
        <f t="shared" si="219"/>
        <v>-10716570.511542859</v>
      </c>
      <c r="G324" s="68">
        <f t="shared" si="219"/>
        <v>-11595291.934409136</v>
      </c>
      <c r="H324" s="68"/>
      <c r="I324" s="68">
        <f>SUM(I301:I323)</f>
        <v>-897545</v>
      </c>
      <c r="J324" s="68">
        <f t="shared" ref="J324:BD324" si="243">SUM(J301:J323)</f>
        <v>-701279</v>
      </c>
      <c r="K324" s="68">
        <f t="shared" si="243"/>
        <v>-809909</v>
      </c>
      <c r="L324" s="68">
        <f t="shared" si="243"/>
        <v>-938725</v>
      </c>
      <c r="M324" s="68">
        <f t="shared" si="243"/>
        <v>-296395</v>
      </c>
      <c r="N324" s="68">
        <f t="shared" si="243"/>
        <v>-1020593</v>
      </c>
      <c r="O324" s="68">
        <f t="shared" si="243"/>
        <v>-976794</v>
      </c>
      <c r="P324" s="68">
        <f t="shared" si="243"/>
        <v>-275862.28571428568</v>
      </c>
      <c r="Q324" s="68">
        <f t="shared" si="243"/>
        <v>-754432.28571428568</v>
      </c>
      <c r="R324" s="68">
        <f t="shared" si="243"/>
        <v>-754432.28571428568</v>
      </c>
      <c r="S324" s="68">
        <f t="shared" si="243"/>
        <v>-754432.28571428568</v>
      </c>
      <c r="T324" s="68">
        <f t="shared" si="243"/>
        <v>-754432.28571428568</v>
      </c>
      <c r="U324" s="68">
        <f t="shared" si="243"/>
        <v>-820469.72571428574</v>
      </c>
      <c r="V324" s="68">
        <f t="shared" si="243"/>
        <v>-820469.72571428574</v>
      </c>
      <c r="W324" s="68">
        <f t="shared" si="243"/>
        <v>-820469.72571428574</v>
      </c>
      <c r="X324" s="68">
        <f t="shared" si="243"/>
        <v>-820469.72571428574</v>
      </c>
      <c r="Y324" s="68">
        <f t="shared" si="243"/>
        <v>-820469.72571428574</v>
      </c>
      <c r="Z324" s="68">
        <f t="shared" si="243"/>
        <v>-820469.72571428574</v>
      </c>
      <c r="AA324" s="68">
        <f t="shared" si="243"/>
        <v>-820469.72571428574</v>
      </c>
      <c r="AB324" s="68">
        <f t="shared" si="243"/>
        <v>-820469.72571428574</v>
      </c>
      <c r="AC324" s="68">
        <f t="shared" si="243"/>
        <v>-820469.72571428574</v>
      </c>
      <c r="AD324" s="68">
        <f t="shared" si="243"/>
        <v>-820469.72571428574</v>
      </c>
      <c r="AE324" s="68">
        <f t="shared" si="243"/>
        <v>-820469.72571428574</v>
      </c>
      <c r="AF324" s="68">
        <f t="shared" si="243"/>
        <v>-820469.72571428574</v>
      </c>
      <c r="AG324" s="68">
        <f t="shared" si="243"/>
        <v>-893047.54262857162</v>
      </c>
      <c r="AH324" s="68">
        <f t="shared" si="243"/>
        <v>-893047.54262857162</v>
      </c>
      <c r="AI324" s="68">
        <f t="shared" si="243"/>
        <v>-893047.54262857162</v>
      </c>
      <c r="AJ324" s="68">
        <f t="shared" si="243"/>
        <v>-893047.54262857162</v>
      </c>
      <c r="AK324" s="68">
        <f t="shared" si="243"/>
        <v>-893047.54262857162</v>
      </c>
      <c r="AL324" s="68">
        <f t="shared" si="243"/>
        <v>-893047.54262857162</v>
      </c>
      <c r="AM324" s="68">
        <f t="shared" si="243"/>
        <v>-893047.54262857162</v>
      </c>
      <c r="AN324" s="68">
        <f t="shared" si="243"/>
        <v>-893047.54262857162</v>
      </c>
      <c r="AO324" s="68">
        <f t="shared" si="243"/>
        <v>-893047.54262857162</v>
      </c>
      <c r="AP324" s="68">
        <f t="shared" si="243"/>
        <v>-893047.54262857162</v>
      </c>
      <c r="AQ324" s="68">
        <f t="shared" si="243"/>
        <v>-893047.54262857162</v>
      </c>
      <c r="AR324" s="68">
        <f t="shared" si="243"/>
        <v>-893047.54262857162</v>
      </c>
      <c r="AS324" s="68">
        <f t="shared" si="243"/>
        <v>-966274.32786742831</v>
      </c>
      <c r="AT324" s="68">
        <f t="shared" si="243"/>
        <v>-966274.32786742831</v>
      </c>
      <c r="AU324" s="68">
        <f t="shared" si="243"/>
        <v>-966274.32786742831</v>
      </c>
      <c r="AV324" s="68">
        <f t="shared" si="243"/>
        <v>-966274.32786742831</v>
      </c>
      <c r="AW324" s="68">
        <f t="shared" si="243"/>
        <v>-966274.32786742831</v>
      </c>
      <c r="AX324" s="68">
        <f t="shared" si="243"/>
        <v>-966274.32786742831</v>
      </c>
      <c r="AY324" s="68">
        <f t="shared" si="243"/>
        <v>-966274.32786742831</v>
      </c>
      <c r="AZ324" s="68">
        <f t="shared" si="243"/>
        <v>-966274.32786742831</v>
      </c>
      <c r="BA324" s="68">
        <f t="shared" si="243"/>
        <v>-966274.32786742831</v>
      </c>
      <c r="BB324" s="68">
        <f t="shared" si="243"/>
        <v>-966274.32786742831</v>
      </c>
      <c r="BC324" s="68">
        <f t="shared" si="243"/>
        <v>-966274.32786742831</v>
      </c>
      <c r="BD324" s="68">
        <f t="shared" si="243"/>
        <v>-966274.32786742831</v>
      </c>
      <c r="BE324" s="68"/>
    </row>
    <row r="325" spans="1:57" ht="14.25" customHeight="1" x14ac:dyDescent="0.3">
      <c r="A325" s="46"/>
      <c r="B325" s="37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  <c r="AC325" s="46"/>
      <c r="AD325" s="46"/>
      <c r="AE325" s="46"/>
      <c r="AF325" s="46"/>
      <c r="AG325" s="46"/>
      <c r="AH325" s="46"/>
      <c r="AI325" s="46"/>
      <c r="AJ325" s="46"/>
      <c r="AK325" s="46"/>
      <c r="AL325" s="46"/>
      <c r="AM325" s="46"/>
      <c r="AN325" s="46"/>
      <c r="AO325" s="46"/>
      <c r="AP325" s="46"/>
      <c r="AQ325" s="46"/>
      <c r="AR325" s="46"/>
      <c r="AS325" s="46"/>
      <c r="AT325" s="46"/>
      <c r="AU325" s="46"/>
      <c r="AV325" s="46"/>
      <c r="AW325" s="46"/>
      <c r="AX325" s="46"/>
      <c r="AY325" s="46"/>
      <c r="AZ325" s="46"/>
      <c r="BA325" s="46"/>
      <c r="BB325" s="46"/>
      <c r="BC325" s="46"/>
      <c r="BD325" s="46"/>
      <c r="BE325" s="46"/>
    </row>
    <row r="326" spans="1:57" ht="14.25" customHeight="1" x14ac:dyDescent="0.3">
      <c r="A326" s="37"/>
      <c r="B326" s="37"/>
      <c r="C326" s="37" t="s">
        <v>177</v>
      </c>
      <c r="D326" s="68">
        <f>SUMIF($2:$2,D$250,326:326)</f>
        <v>-21989806.185571428</v>
      </c>
      <c r="E326" s="68">
        <f>SUMIF($2:$2,E$250,326:326)</f>
        <v>-24784286.876091424</v>
      </c>
      <c r="F326" s="68">
        <f>SUMIF($2:$2,F$250,326:326)</f>
        <v>-26285609.68446447</v>
      </c>
      <c r="G326" s="68">
        <f>SUMIF($2:$2,G$250,326:326)</f>
        <v>-27798455.751282871</v>
      </c>
      <c r="H326" s="68"/>
      <c r="I326" s="68">
        <f t="shared" ref="I326:BD326" si="244">SUM(I298,I324)</f>
        <v>-1882547.0919999999</v>
      </c>
      <c r="J326" s="68">
        <f t="shared" si="244"/>
        <v>-1694876.3289999999</v>
      </c>
      <c r="K326" s="68">
        <f t="shared" si="244"/>
        <v>-1807828.129</v>
      </c>
      <c r="L326" s="68">
        <f t="shared" si="244"/>
        <v>-1952630.673</v>
      </c>
      <c r="M326" s="68">
        <f t="shared" si="244"/>
        <v>-1308962.973</v>
      </c>
      <c r="N326" s="68">
        <f t="shared" si="244"/>
        <v>-2082239.128</v>
      </c>
      <c r="O326" s="68">
        <f t="shared" si="244"/>
        <v>-2303014.9980000001</v>
      </c>
      <c r="P326" s="68">
        <f t="shared" si="244"/>
        <v>-1376992.1727142858</v>
      </c>
      <c r="Q326" s="68">
        <f t="shared" si="244"/>
        <v>-1895178.6727142858</v>
      </c>
      <c r="R326" s="68">
        <f t="shared" si="244"/>
        <v>-1895178.6727142858</v>
      </c>
      <c r="S326" s="68">
        <f t="shared" si="244"/>
        <v>-1895178.6727142858</v>
      </c>
      <c r="T326" s="68">
        <f t="shared" si="244"/>
        <v>-1895178.6727142858</v>
      </c>
      <c r="U326" s="68">
        <f t="shared" si="244"/>
        <v>-2065357.239674286</v>
      </c>
      <c r="V326" s="68">
        <f t="shared" si="244"/>
        <v>-2065357.239674286</v>
      </c>
      <c r="W326" s="68">
        <f t="shared" si="244"/>
        <v>-2065357.239674286</v>
      </c>
      <c r="X326" s="68">
        <f t="shared" si="244"/>
        <v>-2065357.239674286</v>
      </c>
      <c r="Y326" s="68">
        <f t="shared" si="244"/>
        <v>-2065357.239674286</v>
      </c>
      <c r="Z326" s="68">
        <f t="shared" si="244"/>
        <v>-2065357.239674286</v>
      </c>
      <c r="AA326" s="68">
        <f t="shared" si="244"/>
        <v>-2065357.239674286</v>
      </c>
      <c r="AB326" s="68">
        <f t="shared" si="244"/>
        <v>-2065357.239674286</v>
      </c>
      <c r="AC326" s="68">
        <f t="shared" si="244"/>
        <v>-2065357.239674286</v>
      </c>
      <c r="AD326" s="68">
        <f t="shared" si="244"/>
        <v>-2065357.239674286</v>
      </c>
      <c r="AE326" s="68">
        <f t="shared" si="244"/>
        <v>-2065357.239674286</v>
      </c>
      <c r="AF326" s="68">
        <f t="shared" si="244"/>
        <v>-2065357.239674286</v>
      </c>
      <c r="AG326" s="68">
        <f t="shared" si="244"/>
        <v>-2190467.4737053718</v>
      </c>
      <c r="AH326" s="68">
        <f t="shared" si="244"/>
        <v>-2190467.4737053718</v>
      </c>
      <c r="AI326" s="68">
        <f t="shared" si="244"/>
        <v>-2190467.4737053718</v>
      </c>
      <c r="AJ326" s="68">
        <f t="shared" si="244"/>
        <v>-2190467.4737053718</v>
      </c>
      <c r="AK326" s="68">
        <f t="shared" si="244"/>
        <v>-2190467.4737053718</v>
      </c>
      <c r="AL326" s="68">
        <f t="shared" si="244"/>
        <v>-2190467.4737053718</v>
      </c>
      <c r="AM326" s="68">
        <f t="shared" si="244"/>
        <v>-2190467.4737053718</v>
      </c>
      <c r="AN326" s="68">
        <f t="shared" si="244"/>
        <v>-2190467.4737053718</v>
      </c>
      <c r="AO326" s="68">
        <f t="shared" si="244"/>
        <v>-2190467.4737053718</v>
      </c>
      <c r="AP326" s="68">
        <f t="shared" si="244"/>
        <v>-2190467.4737053718</v>
      </c>
      <c r="AQ326" s="68">
        <f t="shared" si="244"/>
        <v>-2190467.4737053718</v>
      </c>
      <c r="AR326" s="68">
        <f t="shared" si="244"/>
        <v>-2190467.4737053718</v>
      </c>
      <c r="AS326" s="68">
        <f t="shared" si="244"/>
        <v>-2316537.9792735726</v>
      </c>
      <c r="AT326" s="68">
        <f t="shared" si="244"/>
        <v>-2316537.9792735726</v>
      </c>
      <c r="AU326" s="68">
        <f t="shared" si="244"/>
        <v>-2316537.9792735726</v>
      </c>
      <c r="AV326" s="68">
        <f t="shared" si="244"/>
        <v>-2316537.9792735726</v>
      </c>
      <c r="AW326" s="68">
        <f t="shared" si="244"/>
        <v>-2316537.9792735726</v>
      </c>
      <c r="AX326" s="68">
        <f t="shared" si="244"/>
        <v>-2316537.9792735726</v>
      </c>
      <c r="AY326" s="68">
        <f t="shared" si="244"/>
        <v>-2316537.9792735726</v>
      </c>
      <c r="AZ326" s="68">
        <f t="shared" si="244"/>
        <v>-2316537.9792735726</v>
      </c>
      <c r="BA326" s="68">
        <f t="shared" si="244"/>
        <v>-2316537.9792735726</v>
      </c>
      <c r="BB326" s="68">
        <f t="shared" si="244"/>
        <v>-2316537.9792735726</v>
      </c>
      <c r="BC326" s="68">
        <f t="shared" si="244"/>
        <v>-2316537.9792735726</v>
      </c>
      <c r="BD326" s="68">
        <f t="shared" si="244"/>
        <v>-2316537.9792735726</v>
      </c>
      <c r="BE326" s="68"/>
    </row>
    <row r="327" spans="1:57" ht="14.25" customHeight="1" x14ac:dyDescent="0.3">
      <c r="A327" s="46"/>
      <c r="B327" s="37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  <c r="AC327" s="46"/>
      <c r="AD327" s="46"/>
      <c r="AE327" s="46"/>
      <c r="AF327" s="46"/>
      <c r="AG327" s="46"/>
      <c r="AH327" s="46"/>
      <c r="AI327" s="46"/>
      <c r="AJ327" s="46"/>
      <c r="AK327" s="46"/>
      <c r="AL327" s="46"/>
      <c r="AM327" s="46"/>
      <c r="AN327" s="46"/>
      <c r="AO327" s="46"/>
      <c r="AP327" s="46"/>
      <c r="AQ327" s="46"/>
      <c r="AR327" s="46"/>
      <c r="AS327" s="46"/>
      <c r="AT327" s="46"/>
      <c r="AU327" s="46"/>
      <c r="AV327" s="46"/>
      <c r="AW327" s="46"/>
      <c r="AX327" s="46"/>
      <c r="AY327" s="46"/>
      <c r="AZ327" s="46"/>
      <c r="BA327" s="46"/>
      <c r="BB327" s="46"/>
      <c r="BC327" s="46"/>
      <c r="BD327" s="46"/>
      <c r="BE327" s="46"/>
    </row>
    <row r="328" spans="1:57" ht="14.25" customHeight="1" x14ac:dyDescent="0.3">
      <c r="A328" s="37"/>
      <c r="B328" s="37" t="s">
        <v>178</v>
      </c>
      <c r="C328" s="37"/>
      <c r="D328" s="68">
        <f>SUMIF($2:$2,D$250,328:328)</f>
        <v>-4963075.2388265301</v>
      </c>
      <c r="E328" s="68">
        <f>SUMIF($2:$2,E$250,328:328)</f>
        <v>609920.13714343403</v>
      </c>
      <c r="F328" s="68">
        <f>SUMIF($2:$2,F$250,328:328)</f>
        <v>7778966.3900827812</v>
      </c>
      <c r="G328" s="68">
        <f>SUMIF($2:$2,G$250,328:328)</f>
        <v>17434177.861668058</v>
      </c>
      <c r="H328" s="68"/>
      <c r="I328" s="68">
        <f t="shared" ref="I328:BD328" si="245">SUM(I288,I326)</f>
        <v>212299.69713043072</v>
      </c>
      <c r="J328" s="68">
        <f t="shared" si="245"/>
        <v>-782602.43199999956</v>
      </c>
      <c r="K328" s="68">
        <f t="shared" si="245"/>
        <v>-76794.07900000154</v>
      </c>
      <c r="L328" s="68">
        <f t="shared" si="245"/>
        <v>-309767.32300000009</v>
      </c>
      <c r="M328" s="68">
        <f t="shared" si="245"/>
        <v>-169624.01300000027</v>
      </c>
      <c r="N328" s="68">
        <f t="shared" si="245"/>
        <v>-1345543.878</v>
      </c>
      <c r="O328" s="68">
        <f>SUM(O288,O326)</f>
        <v>-1083179.7879999999</v>
      </c>
      <c r="P328" s="68">
        <f t="shared" si="245"/>
        <v>-41343.615646428661</v>
      </c>
      <c r="Q328" s="68">
        <f t="shared" si="245"/>
        <v>-516258.97167408979</v>
      </c>
      <c r="R328" s="68">
        <f t="shared" si="245"/>
        <v>-359244.96843398619</v>
      </c>
      <c r="S328" s="68">
        <f t="shared" si="245"/>
        <v>-294168.81406274671</v>
      </c>
      <c r="T328" s="68">
        <f t="shared" si="245"/>
        <v>-196847.05313970917</v>
      </c>
      <c r="U328" s="68">
        <f t="shared" si="245"/>
        <v>-307247.33310191613</v>
      </c>
      <c r="V328" s="68">
        <f t="shared" si="245"/>
        <v>-244890.16116227396</v>
      </c>
      <c r="W328" s="68">
        <f t="shared" si="245"/>
        <v>-184265.51767136995</v>
      </c>
      <c r="X328" s="68">
        <f t="shared" si="245"/>
        <v>-122646.77858316433</v>
      </c>
      <c r="Y328" s="68">
        <f t="shared" si="245"/>
        <v>-58320.685218542116</v>
      </c>
      <c r="Z328" s="68">
        <f t="shared" si="245"/>
        <v>8856.0406506869476</v>
      </c>
      <c r="AA328" s="68">
        <f t="shared" si="245"/>
        <v>79035.574843348004</v>
      </c>
      <c r="AB328" s="68">
        <f t="shared" si="245"/>
        <v>152379.62524725636</v>
      </c>
      <c r="AC328" s="68">
        <f t="shared" si="245"/>
        <v>229060.11712347716</v>
      </c>
      <c r="AD328" s="68">
        <f t="shared" si="245"/>
        <v>305289.97669488937</v>
      </c>
      <c r="AE328" s="68">
        <f t="shared" si="245"/>
        <v>352108.51882466581</v>
      </c>
      <c r="AF328" s="68">
        <f t="shared" si="245"/>
        <v>400560.75949637685</v>
      </c>
      <c r="AG328" s="68">
        <f t="shared" si="245"/>
        <v>325602.40154510178</v>
      </c>
      <c r="AH328" s="68">
        <f t="shared" si="245"/>
        <v>377522.80276510352</v>
      </c>
      <c r="AI328" s="68">
        <f t="shared" si="245"/>
        <v>431283.71187510761</v>
      </c>
      <c r="AJ328" s="68">
        <f t="shared" si="245"/>
        <v>486960.35163807264</v>
      </c>
      <c r="AK328" s="68">
        <f t="shared" si="245"/>
        <v>544631.33900776459</v>
      </c>
      <c r="AL328" s="68">
        <f t="shared" si="245"/>
        <v>604378.84684402402</v>
      </c>
      <c r="AM328" s="68">
        <f t="shared" si="245"/>
        <v>666288.77353877807</v>
      </c>
      <c r="AN328" s="68">
        <f t="shared" si="245"/>
        <v>730450.92094441969</v>
      </c>
      <c r="AO328" s="68">
        <f t="shared" si="245"/>
        <v>796959.18101577414</v>
      </c>
      <c r="AP328" s="68">
        <f t="shared" si="245"/>
        <v>865911.73159725312</v>
      </c>
      <c r="AQ328" s="68">
        <f t="shared" si="245"/>
        <v>937411.24180833017</v>
      </c>
      <c r="AR328" s="68">
        <f t="shared" si="245"/>
        <v>1011565.0875030523</v>
      </c>
      <c r="AS328" s="68">
        <f t="shared" si="245"/>
        <v>962415.07173474506</v>
      </c>
      <c r="AT328" s="68">
        <f t="shared" si="245"/>
        <v>1042219.6841593855</v>
      </c>
      <c r="AU328" s="68">
        <f t="shared" si="245"/>
        <v>1125031.3164049932</v>
      </c>
      <c r="AV328" s="68">
        <f t="shared" si="245"/>
        <v>1210978.5453488561</v>
      </c>
      <c r="AW328" s="68">
        <f t="shared" si="245"/>
        <v>1300195.9013861432</v>
      </c>
      <c r="AX328" s="68">
        <f t="shared" si="245"/>
        <v>1392824.1557358941</v>
      </c>
      <c r="AY328" s="68">
        <f t="shared" si="245"/>
        <v>1489010.6218847595</v>
      </c>
      <c r="AZ328" s="68">
        <f t="shared" si="245"/>
        <v>1588909.4718702636</v>
      </c>
      <c r="BA328" s="68">
        <f t="shared" si="245"/>
        <v>1682492.1859985651</v>
      </c>
      <c r="BB328" s="68">
        <f t="shared" si="245"/>
        <v>1778615.1825682307</v>
      </c>
      <c r="BC328" s="68">
        <f t="shared" si="245"/>
        <v>1878665.3253746331</v>
      </c>
      <c r="BD328" s="68">
        <f t="shared" si="245"/>
        <v>1982820.3992015924</v>
      </c>
      <c r="BE328" s="68"/>
    </row>
    <row r="329" spans="1:57" ht="14.25" customHeight="1" x14ac:dyDescent="0.3">
      <c r="A329" s="46"/>
      <c r="B329" s="37"/>
      <c r="C329" s="37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  <c r="AE329" s="46"/>
      <c r="AF329" s="46"/>
      <c r="AG329" s="46"/>
      <c r="AH329" s="46"/>
      <c r="AI329" s="46"/>
      <c r="AJ329" s="46"/>
      <c r="AK329" s="46"/>
      <c r="AL329" s="46"/>
      <c r="AM329" s="46"/>
      <c r="AN329" s="46"/>
      <c r="AO329" s="46"/>
      <c r="AP329" s="46"/>
      <c r="AQ329" s="46"/>
      <c r="AR329" s="46"/>
      <c r="AS329" s="46"/>
      <c r="AT329" s="46"/>
      <c r="AU329" s="46"/>
      <c r="AV329" s="46"/>
      <c r="AW329" s="46"/>
      <c r="AX329" s="46"/>
      <c r="AY329" s="46"/>
      <c r="AZ329" s="46"/>
      <c r="BA329" s="46"/>
      <c r="BB329" s="46"/>
      <c r="BC329" s="46"/>
      <c r="BD329" s="46"/>
      <c r="BE329" s="46"/>
    </row>
    <row r="330" spans="1:57" ht="14.25" customHeight="1" x14ac:dyDescent="0.3">
      <c r="A330" s="37"/>
      <c r="B330" s="37" t="str">
        <f>B$227</f>
        <v>CapexExpenses</v>
      </c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  <c r="AE330" s="37"/>
      <c r="AF330" s="37"/>
      <c r="AG330" s="37"/>
      <c r="AH330" s="37"/>
      <c r="AI330" s="37"/>
      <c r="AJ330" s="37"/>
      <c r="AK330" s="37"/>
      <c r="AL330" s="37"/>
      <c r="AM330" s="37"/>
      <c r="AN330" s="37"/>
      <c r="AO330" s="37"/>
      <c r="AP330" s="37"/>
      <c r="AQ330" s="37"/>
      <c r="AR330" s="37"/>
      <c r="AS330" s="37"/>
      <c r="AT330" s="37"/>
      <c r="AU330" s="37"/>
      <c r="AV330" s="37"/>
      <c r="AW330" s="37"/>
      <c r="AX330" s="37"/>
      <c r="AY330" s="37"/>
      <c r="AZ330" s="37"/>
      <c r="BA330" s="37"/>
      <c r="BB330" s="37"/>
      <c r="BC330" s="37"/>
      <c r="BD330" s="37"/>
      <c r="BE330" s="37"/>
    </row>
    <row r="331" spans="1:57" ht="14.25" customHeight="1" x14ac:dyDescent="0.3">
      <c r="A331" s="37"/>
      <c r="B331" s="37"/>
      <c r="C331" s="46" t="str">
        <f t="shared" ref="C331:C338" si="246">$C228</f>
        <v>HBOT Machine 1</v>
      </c>
      <c r="D331" s="46">
        <f t="shared" ref="D331:G341" si="247">SUMIF($2:$2,D$250,331:331)</f>
        <v>-855000</v>
      </c>
      <c r="E331" s="46">
        <f t="shared" si="247"/>
        <v>0</v>
      </c>
      <c r="F331" s="46">
        <f t="shared" si="247"/>
        <v>0</v>
      </c>
      <c r="G331" s="46">
        <f t="shared" si="247"/>
        <v>0</v>
      </c>
      <c r="H331" s="37"/>
      <c r="I331" s="46">
        <f>-I$228</f>
        <v>0</v>
      </c>
      <c r="J331" s="46">
        <f t="shared" ref="J331:BD331" si="248">-J$228</f>
        <v>0</v>
      </c>
      <c r="K331" s="46">
        <f t="shared" si="248"/>
        <v>0</v>
      </c>
      <c r="L331" s="46">
        <f t="shared" si="248"/>
        <v>0</v>
      </c>
      <c r="M331" s="46">
        <f t="shared" si="248"/>
        <v>0</v>
      </c>
      <c r="N331" s="46">
        <f t="shared" si="248"/>
        <v>0</v>
      </c>
      <c r="O331" s="46">
        <f t="shared" si="248"/>
        <v>0</v>
      </c>
      <c r="P331" s="46">
        <f t="shared" si="248"/>
        <v>0</v>
      </c>
      <c r="Q331" s="46">
        <f t="shared" si="248"/>
        <v>-855000</v>
      </c>
      <c r="R331" s="46">
        <f t="shared" si="248"/>
        <v>0</v>
      </c>
      <c r="S331" s="46">
        <f t="shared" si="248"/>
        <v>0</v>
      </c>
      <c r="T331" s="46">
        <f t="shared" si="248"/>
        <v>0</v>
      </c>
      <c r="U331" s="46">
        <f t="shared" si="248"/>
        <v>0</v>
      </c>
      <c r="V331" s="46">
        <f t="shared" si="248"/>
        <v>0</v>
      </c>
      <c r="W331" s="46">
        <f t="shared" si="248"/>
        <v>0</v>
      </c>
      <c r="X331" s="46">
        <f t="shared" si="248"/>
        <v>0</v>
      </c>
      <c r="Y331" s="46">
        <f t="shared" si="248"/>
        <v>0</v>
      </c>
      <c r="Z331" s="46">
        <f t="shared" si="248"/>
        <v>0</v>
      </c>
      <c r="AA331" s="46">
        <f t="shared" si="248"/>
        <v>0</v>
      </c>
      <c r="AB331" s="46">
        <f t="shared" si="248"/>
        <v>0</v>
      </c>
      <c r="AC331" s="46">
        <f t="shared" si="248"/>
        <v>0</v>
      </c>
      <c r="AD331" s="46">
        <f t="shared" si="248"/>
        <v>0</v>
      </c>
      <c r="AE331" s="46">
        <f t="shared" si="248"/>
        <v>0</v>
      </c>
      <c r="AF331" s="46">
        <f t="shared" si="248"/>
        <v>0</v>
      </c>
      <c r="AG331" s="46">
        <f t="shared" si="248"/>
        <v>0</v>
      </c>
      <c r="AH331" s="46">
        <f t="shared" si="248"/>
        <v>0</v>
      </c>
      <c r="AI331" s="46">
        <f t="shared" si="248"/>
        <v>0</v>
      </c>
      <c r="AJ331" s="46">
        <f t="shared" si="248"/>
        <v>0</v>
      </c>
      <c r="AK331" s="46">
        <f t="shared" si="248"/>
        <v>0</v>
      </c>
      <c r="AL331" s="46">
        <f t="shared" si="248"/>
        <v>0</v>
      </c>
      <c r="AM331" s="46">
        <f t="shared" si="248"/>
        <v>0</v>
      </c>
      <c r="AN331" s="46">
        <f t="shared" si="248"/>
        <v>0</v>
      </c>
      <c r="AO331" s="46">
        <f t="shared" si="248"/>
        <v>0</v>
      </c>
      <c r="AP331" s="46">
        <f t="shared" si="248"/>
        <v>0</v>
      </c>
      <c r="AQ331" s="46">
        <f t="shared" si="248"/>
        <v>0</v>
      </c>
      <c r="AR331" s="46">
        <f t="shared" si="248"/>
        <v>0</v>
      </c>
      <c r="AS331" s="46">
        <f t="shared" si="248"/>
        <v>0</v>
      </c>
      <c r="AT331" s="46">
        <f t="shared" si="248"/>
        <v>0</v>
      </c>
      <c r="AU331" s="46">
        <f t="shared" si="248"/>
        <v>0</v>
      </c>
      <c r="AV331" s="46">
        <f t="shared" si="248"/>
        <v>0</v>
      </c>
      <c r="AW331" s="46">
        <f t="shared" si="248"/>
        <v>0</v>
      </c>
      <c r="AX331" s="46">
        <f t="shared" si="248"/>
        <v>0</v>
      </c>
      <c r="AY331" s="46">
        <f t="shared" si="248"/>
        <v>0</v>
      </c>
      <c r="AZ331" s="46">
        <f t="shared" si="248"/>
        <v>0</v>
      </c>
      <c r="BA331" s="46">
        <f t="shared" si="248"/>
        <v>0</v>
      </c>
      <c r="BB331" s="46">
        <f t="shared" si="248"/>
        <v>0</v>
      </c>
      <c r="BC331" s="46">
        <f t="shared" si="248"/>
        <v>0</v>
      </c>
      <c r="BD331" s="46">
        <f t="shared" si="248"/>
        <v>0</v>
      </c>
      <c r="BE331" s="37"/>
    </row>
    <row r="332" spans="1:57" ht="14.25" customHeight="1" x14ac:dyDescent="0.3">
      <c r="A332" s="46"/>
      <c r="B332" s="37"/>
      <c r="C332" s="46" t="str">
        <f t="shared" si="246"/>
        <v>Laser Bed 2</v>
      </c>
      <c r="D332" s="46">
        <f t="shared" si="247"/>
        <v>0</v>
      </c>
      <c r="E332" s="46">
        <f t="shared" si="247"/>
        <v>0</v>
      </c>
      <c r="F332" s="46">
        <f t="shared" si="247"/>
        <v>-1150000</v>
      </c>
      <c r="G332" s="46">
        <f t="shared" si="247"/>
        <v>0</v>
      </c>
      <c r="H332" s="46"/>
      <c r="I332" s="46">
        <f>-I$229</f>
        <v>0</v>
      </c>
      <c r="J332" s="46">
        <f t="shared" ref="J332:BD332" si="249">-J$229</f>
        <v>0</v>
      </c>
      <c r="K332" s="46">
        <f t="shared" si="249"/>
        <v>0</v>
      </c>
      <c r="L332" s="46">
        <f t="shared" si="249"/>
        <v>0</v>
      </c>
      <c r="M332" s="46">
        <f t="shared" si="249"/>
        <v>0</v>
      </c>
      <c r="N332" s="46">
        <f t="shared" si="249"/>
        <v>0</v>
      </c>
      <c r="O332" s="46">
        <f t="shared" si="249"/>
        <v>0</v>
      </c>
      <c r="P332" s="46">
        <f t="shared" si="249"/>
        <v>0</v>
      </c>
      <c r="Q332" s="46">
        <f t="shared" si="249"/>
        <v>0</v>
      </c>
      <c r="R332" s="46">
        <f t="shared" si="249"/>
        <v>0</v>
      </c>
      <c r="S332" s="46">
        <f t="shared" si="249"/>
        <v>0</v>
      </c>
      <c r="T332" s="46">
        <f t="shared" si="249"/>
        <v>0</v>
      </c>
      <c r="U332" s="46">
        <f t="shared" si="249"/>
        <v>0</v>
      </c>
      <c r="V332" s="46">
        <f t="shared" si="249"/>
        <v>0</v>
      </c>
      <c r="W332" s="46">
        <f t="shared" si="249"/>
        <v>0</v>
      </c>
      <c r="X332" s="46">
        <f t="shared" si="249"/>
        <v>0</v>
      </c>
      <c r="Y332" s="46">
        <f t="shared" si="249"/>
        <v>0</v>
      </c>
      <c r="Z332" s="46">
        <f t="shared" si="249"/>
        <v>0</v>
      </c>
      <c r="AA332" s="46">
        <f t="shared" si="249"/>
        <v>0</v>
      </c>
      <c r="AB332" s="46">
        <f t="shared" si="249"/>
        <v>0</v>
      </c>
      <c r="AC332" s="46">
        <f t="shared" si="249"/>
        <v>0</v>
      </c>
      <c r="AD332" s="46">
        <f t="shared" si="249"/>
        <v>0</v>
      </c>
      <c r="AE332" s="46">
        <f t="shared" si="249"/>
        <v>0</v>
      </c>
      <c r="AF332" s="46">
        <f t="shared" si="249"/>
        <v>0</v>
      </c>
      <c r="AG332" s="46">
        <f t="shared" si="249"/>
        <v>-1150000</v>
      </c>
      <c r="AH332" s="46">
        <f t="shared" si="249"/>
        <v>0</v>
      </c>
      <c r="AI332" s="46">
        <f t="shared" si="249"/>
        <v>0</v>
      </c>
      <c r="AJ332" s="46">
        <f t="shared" si="249"/>
        <v>0</v>
      </c>
      <c r="AK332" s="46">
        <f t="shared" si="249"/>
        <v>0</v>
      </c>
      <c r="AL332" s="46">
        <f t="shared" si="249"/>
        <v>0</v>
      </c>
      <c r="AM332" s="46">
        <f t="shared" si="249"/>
        <v>0</v>
      </c>
      <c r="AN332" s="46">
        <f t="shared" si="249"/>
        <v>0</v>
      </c>
      <c r="AO332" s="46">
        <f t="shared" si="249"/>
        <v>0</v>
      </c>
      <c r="AP332" s="46">
        <f t="shared" si="249"/>
        <v>0</v>
      </c>
      <c r="AQ332" s="46">
        <f t="shared" si="249"/>
        <v>0</v>
      </c>
      <c r="AR332" s="46">
        <f t="shared" si="249"/>
        <v>0</v>
      </c>
      <c r="AS332" s="46">
        <f t="shared" si="249"/>
        <v>0</v>
      </c>
      <c r="AT332" s="46">
        <f t="shared" si="249"/>
        <v>0</v>
      </c>
      <c r="AU332" s="46">
        <f t="shared" si="249"/>
        <v>0</v>
      </c>
      <c r="AV332" s="46">
        <f t="shared" si="249"/>
        <v>0</v>
      </c>
      <c r="AW332" s="46">
        <f t="shared" si="249"/>
        <v>0</v>
      </c>
      <c r="AX332" s="46">
        <f t="shared" si="249"/>
        <v>0</v>
      </c>
      <c r="AY332" s="46">
        <f t="shared" si="249"/>
        <v>0</v>
      </c>
      <c r="AZ332" s="46">
        <f t="shared" si="249"/>
        <v>0</v>
      </c>
      <c r="BA332" s="46">
        <f t="shared" si="249"/>
        <v>0</v>
      </c>
      <c r="BB332" s="46">
        <f t="shared" si="249"/>
        <v>0</v>
      </c>
      <c r="BC332" s="46">
        <f t="shared" si="249"/>
        <v>0</v>
      </c>
      <c r="BD332" s="46">
        <f t="shared" si="249"/>
        <v>0</v>
      </c>
      <c r="BE332" s="37"/>
    </row>
    <row r="333" spans="1:57" ht="14.25" customHeight="1" x14ac:dyDescent="0.3">
      <c r="A333" s="46"/>
      <c r="B333" s="37"/>
      <c r="C333" s="46" t="str">
        <f t="shared" si="246"/>
        <v>Laser Helmet</v>
      </c>
      <c r="D333" s="46">
        <f t="shared" si="247"/>
        <v>-65000</v>
      </c>
      <c r="E333" s="46">
        <f t="shared" si="247"/>
        <v>0</v>
      </c>
      <c r="F333" s="46">
        <f t="shared" si="247"/>
        <v>0</v>
      </c>
      <c r="G333" s="46">
        <f t="shared" si="247"/>
        <v>0</v>
      </c>
      <c r="H333" s="46"/>
      <c r="I333" s="46">
        <f>-I$230</f>
        <v>-65000</v>
      </c>
      <c r="J333" s="46">
        <f t="shared" ref="J333:BD333" si="250">-J$230</f>
        <v>0</v>
      </c>
      <c r="K333" s="46">
        <f t="shared" si="250"/>
        <v>0</v>
      </c>
      <c r="L333" s="46">
        <f t="shared" si="250"/>
        <v>0</v>
      </c>
      <c r="M333" s="46">
        <f t="shared" si="250"/>
        <v>0</v>
      </c>
      <c r="N333" s="46">
        <f t="shared" si="250"/>
        <v>0</v>
      </c>
      <c r="O333" s="46">
        <f t="shared" si="250"/>
        <v>0</v>
      </c>
      <c r="P333" s="46">
        <f t="shared" si="250"/>
        <v>0</v>
      </c>
      <c r="Q333" s="46">
        <f t="shared" si="250"/>
        <v>0</v>
      </c>
      <c r="R333" s="46">
        <f t="shared" si="250"/>
        <v>0</v>
      </c>
      <c r="S333" s="46">
        <f t="shared" si="250"/>
        <v>0</v>
      </c>
      <c r="T333" s="46">
        <f t="shared" si="250"/>
        <v>0</v>
      </c>
      <c r="U333" s="46">
        <f t="shared" si="250"/>
        <v>0</v>
      </c>
      <c r="V333" s="46">
        <f t="shared" si="250"/>
        <v>0</v>
      </c>
      <c r="W333" s="46">
        <f t="shared" si="250"/>
        <v>0</v>
      </c>
      <c r="X333" s="46">
        <f t="shared" si="250"/>
        <v>0</v>
      </c>
      <c r="Y333" s="46">
        <f t="shared" si="250"/>
        <v>0</v>
      </c>
      <c r="Z333" s="46">
        <f t="shared" si="250"/>
        <v>0</v>
      </c>
      <c r="AA333" s="46">
        <f t="shared" si="250"/>
        <v>0</v>
      </c>
      <c r="AB333" s="46">
        <f t="shared" si="250"/>
        <v>0</v>
      </c>
      <c r="AC333" s="46">
        <f t="shared" si="250"/>
        <v>0</v>
      </c>
      <c r="AD333" s="46">
        <f t="shared" si="250"/>
        <v>0</v>
      </c>
      <c r="AE333" s="46">
        <f t="shared" si="250"/>
        <v>0</v>
      </c>
      <c r="AF333" s="46">
        <f t="shared" si="250"/>
        <v>0</v>
      </c>
      <c r="AG333" s="46">
        <f t="shared" si="250"/>
        <v>0</v>
      </c>
      <c r="AH333" s="46">
        <f t="shared" si="250"/>
        <v>0</v>
      </c>
      <c r="AI333" s="46">
        <f t="shared" si="250"/>
        <v>0</v>
      </c>
      <c r="AJ333" s="46">
        <f t="shared" si="250"/>
        <v>0</v>
      </c>
      <c r="AK333" s="46">
        <f t="shared" si="250"/>
        <v>0</v>
      </c>
      <c r="AL333" s="46">
        <f t="shared" si="250"/>
        <v>0</v>
      </c>
      <c r="AM333" s="46">
        <f t="shared" si="250"/>
        <v>0</v>
      </c>
      <c r="AN333" s="46">
        <f t="shared" si="250"/>
        <v>0</v>
      </c>
      <c r="AO333" s="46">
        <f t="shared" si="250"/>
        <v>0</v>
      </c>
      <c r="AP333" s="46">
        <f t="shared" si="250"/>
        <v>0</v>
      </c>
      <c r="AQ333" s="46">
        <f t="shared" si="250"/>
        <v>0</v>
      </c>
      <c r="AR333" s="46">
        <f t="shared" si="250"/>
        <v>0</v>
      </c>
      <c r="AS333" s="46">
        <f t="shared" si="250"/>
        <v>0</v>
      </c>
      <c r="AT333" s="46">
        <f t="shared" si="250"/>
        <v>0</v>
      </c>
      <c r="AU333" s="46">
        <f t="shared" si="250"/>
        <v>0</v>
      </c>
      <c r="AV333" s="46">
        <f t="shared" si="250"/>
        <v>0</v>
      </c>
      <c r="AW333" s="46">
        <f t="shared" si="250"/>
        <v>0</v>
      </c>
      <c r="AX333" s="46">
        <f t="shared" si="250"/>
        <v>0</v>
      </c>
      <c r="AY333" s="46">
        <f t="shared" si="250"/>
        <v>0</v>
      </c>
      <c r="AZ333" s="46">
        <f t="shared" si="250"/>
        <v>0</v>
      </c>
      <c r="BA333" s="46">
        <f t="shared" si="250"/>
        <v>0</v>
      </c>
      <c r="BB333" s="46">
        <f t="shared" si="250"/>
        <v>0</v>
      </c>
      <c r="BC333" s="46">
        <f t="shared" si="250"/>
        <v>0</v>
      </c>
      <c r="BD333" s="46">
        <f t="shared" si="250"/>
        <v>0</v>
      </c>
      <c r="BE333" s="37"/>
    </row>
    <row r="334" spans="1:57" ht="14.25" customHeight="1" x14ac:dyDescent="0.3">
      <c r="A334" s="46"/>
      <c r="B334" s="37"/>
      <c r="C334" s="46" t="str">
        <f t="shared" si="246"/>
        <v>HBOT Machine 2</v>
      </c>
      <c r="D334" s="46">
        <f t="shared" si="247"/>
        <v>0</v>
      </c>
      <c r="E334" s="46">
        <f t="shared" si="247"/>
        <v>0</v>
      </c>
      <c r="F334" s="46">
        <f t="shared" si="247"/>
        <v>-2520000</v>
      </c>
      <c r="G334" s="46">
        <f t="shared" si="247"/>
        <v>0</v>
      </c>
      <c r="H334" s="46"/>
      <c r="I334" s="46">
        <f>-I$231</f>
        <v>0</v>
      </c>
      <c r="J334" s="46">
        <f t="shared" ref="J334:BD334" si="251">-J$231</f>
        <v>0</v>
      </c>
      <c r="K334" s="46">
        <f t="shared" si="251"/>
        <v>0</v>
      </c>
      <c r="L334" s="46">
        <f t="shared" si="251"/>
        <v>0</v>
      </c>
      <c r="M334" s="46">
        <f t="shared" si="251"/>
        <v>0</v>
      </c>
      <c r="N334" s="46">
        <f t="shared" si="251"/>
        <v>0</v>
      </c>
      <c r="O334" s="46">
        <f t="shared" si="251"/>
        <v>0</v>
      </c>
      <c r="P334" s="46">
        <f t="shared" si="251"/>
        <v>0</v>
      </c>
      <c r="Q334" s="46">
        <f t="shared" si="251"/>
        <v>0</v>
      </c>
      <c r="R334" s="46">
        <f t="shared" si="251"/>
        <v>0</v>
      </c>
      <c r="S334" s="46">
        <f t="shared" si="251"/>
        <v>0</v>
      </c>
      <c r="T334" s="46">
        <f t="shared" si="251"/>
        <v>0</v>
      </c>
      <c r="U334" s="46">
        <f t="shared" si="251"/>
        <v>0</v>
      </c>
      <c r="V334" s="46">
        <f t="shared" si="251"/>
        <v>0</v>
      </c>
      <c r="W334" s="46">
        <f t="shared" si="251"/>
        <v>0</v>
      </c>
      <c r="X334" s="46">
        <f t="shared" si="251"/>
        <v>0</v>
      </c>
      <c r="Y334" s="46">
        <f t="shared" si="251"/>
        <v>0</v>
      </c>
      <c r="Z334" s="46">
        <f t="shared" si="251"/>
        <v>0</v>
      </c>
      <c r="AA334" s="46">
        <f t="shared" si="251"/>
        <v>0</v>
      </c>
      <c r="AB334" s="46">
        <f t="shared" si="251"/>
        <v>0</v>
      </c>
      <c r="AC334" s="46">
        <f t="shared" si="251"/>
        <v>0</v>
      </c>
      <c r="AD334" s="46">
        <f t="shared" si="251"/>
        <v>0</v>
      </c>
      <c r="AE334" s="46">
        <f t="shared" si="251"/>
        <v>0</v>
      </c>
      <c r="AF334" s="46">
        <f t="shared" si="251"/>
        <v>0</v>
      </c>
      <c r="AG334" s="46">
        <f t="shared" si="251"/>
        <v>-2520000</v>
      </c>
      <c r="AH334" s="46">
        <f t="shared" si="251"/>
        <v>0</v>
      </c>
      <c r="AI334" s="46">
        <f t="shared" si="251"/>
        <v>0</v>
      </c>
      <c r="AJ334" s="46">
        <f t="shared" si="251"/>
        <v>0</v>
      </c>
      <c r="AK334" s="46">
        <f t="shared" si="251"/>
        <v>0</v>
      </c>
      <c r="AL334" s="46">
        <f t="shared" si="251"/>
        <v>0</v>
      </c>
      <c r="AM334" s="46">
        <f t="shared" si="251"/>
        <v>0</v>
      </c>
      <c r="AN334" s="46">
        <f t="shared" si="251"/>
        <v>0</v>
      </c>
      <c r="AO334" s="46">
        <f t="shared" si="251"/>
        <v>0</v>
      </c>
      <c r="AP334" s="46">
        <f t="shared" si="251"/>
        <v>0</v>
      </c>
      <c r="AQ334" s="46">
        <f t="shared" si="251"/>
        <v>0</v>
      </c>
      <c r="AR334" s="46">
        <f t="shared" si="251"/>
        <v>0</v>
      </c>
      <c r="AS334" s="46">
        <f t="shared" si="251"/>
        <v>0</v>
      </c>
      <c r="AT334" s="46">
        <f t="shared" si="251"/>
        <v>0</v>
      </c>
      <c r="AU334" s="46">
        <f t="shared" si="251"/>
        <v>0</v>
      </c>
      <c r="AV334" s="46">
        <f t="shared" si="251"/>
        <v>0</v>
      </c>
      <c r="AW334" s="46">
        <f t="shared" si="251"/>
        <v>0</v>
      </c>
      <c r="AX334" s="46">
        <f t="shared" si="251"/>
        <v>0</v>
      </c>
      <c r="AY334" s="46">
        <f t="shared" si="251"/>
        <v>0</v>
      </c>
      <c r="AZ334" s="46">
        <f t="shared" si="251"/>
        <v>0</v>
      </c>
      <c r="BA334" s="46">
        <f t="shared" si="251"/>
        <v>0</v>
      </c>
      <c r="BB334" s="46">
        <f t="shared" si="251"/>
        <v>0</v>
      </c>
      <c r="BC334" s="46">
        <f t="shared" si="251"/>
        <v>0</v>
      </c>
      <c r="BD334" s="46">
        <f t="shared" si="251"/>
        <v>0</v>
      </c>
      <c r="BE334" s="37"/>
    </row>
    <row r="335" spans="1:57" ht="14.25" customHeight="1" x14ac:dyDescent="0.3">
      <c r="A335" s="46"/>
      <c r="B335" s="37"/>
      <c r="C335" s="46" t="str">
        <f t="shared" si="246"/>
        <v>RSA Stockpile</v>
      </c>
      <c r="D335" s="46">
        <f t="shared" si="247"/>
        <v>-1150000</v>
      </c>
      <c r="E335" s="46">
        <f t="shared" si="247"/>
        <v>0</v>
      </c>
      <c r="F335" s="46">
        <f t="shared" si="247"/>
        <v>0</v>
      </c>
      <c r="G335" s="46">
        <f t="shared" si="247"/>
        <v>0</v>
      </c>
      <c r="H335" s="46"/>
      <c r="I335" s="46">
        <f>-I$232</f>
        <v>-575000</v>
      </c>
      <c r="J335" s="46">
        <f t="shared" ref="J335:BD335" si="252">-J$232</f>
        <v>0</v>
      </c>
      <c r="K335" s="46">
        <f t="shared" si="252"/>
        <v>0</v>
      </c>
      <c r="L335" s="46">
        <f t="shared" si="252"/>
        <v>0</v>
      </c>
      <c r="M335" s="46">
        <f t="shared" si="252"/>
        <v>0</v>
      </c>
      <c r="N335" s="46">
        <f t="shared" si="252"/>
        <v>0</v>
      </c>
      <c r="O335" s="46">
        <f t="shared" si="252"/>
        <v>-575000</v>
      </c>
      <c r="P335" s="46">
        <f t="shared" si="252"/>
        <v>0</v>
      </c>
      <c r="Q335" s="46">
        <f t="shared" si="252"/>
        <v>0</v>
      </c>
      <c r="R335" s="46">
        <f t="shared" si="252"/>
        <v>0</v>
      </c>
      <c r="S335" s="46">
        <f t="shared" si="252"/>
        <v>0</v>
      </c>
      <c r="T335" s="46">
        <f t="shared" si="252"/>
        <v>0</v>
      </c>
      <c r="U335" s="46">
        <f t="shared" si="252"/>
        <v>0</v>
      </c>
      <c r="V335" s="46">
        <f t="shared" si="252"/>
        <v>0</v>
      </c>
      <c r="W335" s="46">
        <f t="shared" si="252"/>
        <v>0</v>
      </c>
      <c r="X335" s="46">
        <f t="shared" si="252"/>
        <v>0</v>
      </c>
      <c r="Y335" s="46">
        <f t="shared" si="252"/>
        <v>0</v>
      </c>
      <c r="Z335" s="46">
        <f t="shared" si="252"/>
        <v>0</v>
      </c>
      <c r="AA335" s="46">
        <f t="shared" si="252"/>
        <v>0</v>
      </c>
      <c r="AB335" s="46">
        <f t="shared" si="252"/>
        <v>0</v>
      </c>
      <c r="AC335" s="46">
        <f t="shared" si="252"/>
        <v>0</v>
      </c>
      <c r="AD335" s="46">
        <f t="shared" si="252"/>
        <v>0</v>
      </c>
      <c r="AE335" s="46">
        <f t="shared" si="252"/>
        <v>0</v>
      </c>
      <c r="AF335" s="46">
        <f t="shared" si="252"/>
        <v>0</v>
      </c>
      <c r="AG335" s="46">
        <f t="shared" si="252"/>
        <v>0</v>
      </c>
      <c r="AH335" s="46">
        <f t="shared" si="252"/>
        <v>0</v>
      </c>
      <c r="AI335" s="46">
        <f t="shared" si="252"/>
        <v>0</v>
      </c>
      <c r="AJ335" s="46">
        <f t="shared" si="252"/>
        <v>0</v>
      </c>
      <c r="AK335" s="46">
        <f t="shared" si="252"/>
        <v>0</v>
      </c>
      <c r="AL335" s="46">
        <f t="shared" si="252"/>
        <v>0</v>
      </c>
      <c r="AM335" s="46">
        <f t="shared" si="252"/>
        <v>0</v>
      </c>
      <c r="AN335" s="46">
        <f t="shared" si="252"/>
        <v>0</v>
      </c>
      <c r="AO335" s="46">
        <f t="shared" si="252"/>
        <v>0</v>
      </c>
      <c r="AP335" s="46">
        <f t="shared" si="252"/>
        <v>0</v>
      </c>
      <c r="AQ335" s="46">
        <f t="shared" si="252"/>
        <v>0</v>
      </c>
      <c r="AR335" s="46">
        <f t="shared" si="252"/>
        <v>0</v>
      </c>
      <c r="AS335" s="46">
        <f t="shared" si="252"/>
        <v>0</v>
      </c>
      <c r="AT335" s="46">
        <f t="shared" si="252"/>
        <v>0</v>
      </c>
      <c r="AU335" s="46">
        <f t="shared" si="252"/>
        <v>0</v>
      </c>
      <c r="AV335" s="46">
        <f t="shared" si="252"/>
        <v>0</v>
      </c>
      <c r="AW335" s="46">
        <f t="shared" si="252"/>
        <v>0</v>
      </c>
      <c r="AX335" s="46">
        <f t="shared" si="252"/>
        <v>0</v>
      </c>
      <c r="AY335" s="46">
        <f t="shared" si="252"/>
        <v>0</v>
      </c>
      <c r="AZ335" s="46">
        <f t="shared" si="252"/>
        <v>0</v>
      </c>
      <c r="BA335" s="46">
        <f t="shared" si="252"/>
        <v>0</v>
      </c>
      <c r="BB335" s="46">
        <f t="shared" si="252"/>
        <v>0</v>
      </c>
      <c r="BC335" s="46">
        <f t="shared" si="252"/>
        <v>0</v>
      </c>
      <c r="BD335" s="46">
        <f t="shared" si="252"/>
        <v>0</v>
      </c>
      <c r="BE335" s="37"/>
    </row>
    <row r="336" spans="1:57" ht="14.25" customHeight="1" x14ac:dyDescent="0.3">
      <c r="A336" s="46"/>
      <c r="B336" s="37"/>
      <c r="C336" s="46" t="str">
        <f t="shared" si="246"/>
        <v>RSA Fit Out</v>
      </c>
      <c r="D336" s="46">
        <f t="shared" si="247"/>
        <v>-385952</v>
      </c>
      <c r="E336" s="46">
        <f t="shared" si="247"/>
        <v>0</v>
      </c>
      <c r="F336" s="46">
        <f t="shared" si="247"/>
        <v>0</v>
      </c>
      <c r="G336" s="46">
        <f t="shared" si="247"/>
        <v>0</v>
      </c>
      <c r="H336" s="46"/>
      <c r="I336" s="46">
        <f>-I$233</f>
        <v>-65059</v>
      </c>
      <c r="J336" s="46">
        <f t="shared" ref="J336:BD336" si="253">-J$233</f>
        <v>-31650</v>
      </c>
      <c r="K336" s="46">
        <f t="shared" si="253"/>
        <v>-60858</v>
      </c>
      <c r="L336" s="46">
        <f t="shared" si="253"/>
        <v>-23385</v>
      </c>
      <c r="M336" s="46">
        <f t="shared" si="253"/>
        <v>0</v>
      </c>
      <c r="N336" s="46">
        <f t="shared" si="253"/>
        <v>0</v>
      </c>
      <c r="O336" s="46">
        <f t="shared" si="253"/>
        <v>0</v>
      </c>
      <c r="P336" s="46">
        <f t="shared" si="253"/>
        <v>-205000</v>
      </c>
      <c r="Q336" s="46">
        <f t="shared" si="253"/>
        <v>0</v>
      </c>
      <c r="R336" s="46">
        <f t="shared" si="253"/>
        <v>0</v>
      </c>
      <c r="S336" s="46">
        <f t="shared" si="253"/>
        <v>0</v>
      </c>
      <c r="T336" s="46">
        <f t="shared" si="253"/>
        <v>0</v>
      </c>
      <c r="U336" s="46">
        <f t="shared" si="253"/>
        <v>0</v>
      </c>
      <c r="V336" s="46">
        <f t="shared" si="253"/>
        <v>0</v>
      </c>
      <c r="W336" s="46">
        <f t="shared" si="253"/>
        <v>0</v>
      </c>
      <c r="X336" s="46">
        <f t="shared" si="253"/>
        <v>0</v>
      </c>
      <c r="Y336" s="46">
        <f t="shared" si="253"/>
        <v>0</v>
      </c>
      <c r="Z336" s="46">
        <f t="shared" si="253"/>
        <v>0</v>
      </c>
      <c r="AA336" s="46">
        <f t="shared" si="253"/>
        <v>0</v>
      </c>
      <c r="AB336" s="46">
        <f t="shared" si="253"/>
        <v>0</v>
      </c>
      <c r="AC336" s="46">
        <f t="shared" si="253"/>
        <v>0</v>
      </c>
      <c r="AD336" s="46">
        <f t="shared" si="253"/>
        <v>0</v>
      </c>
      <c r="AE336" s="46">
        <f t="shared" si="253"/>
        <v>0</v>
      </c>
      <c r="AF336" s="46">
        <f t="shared" si="253"/>
        <v>0</v>
      </c>
      <c r="AG336" s="46">
        <f t="shared" si="253"/>
        <v>0</v>
      </c>
      <c r="AH336" s="46">
        <f t="shared" si="253"/>
        <v>0</v>
      </c>
      <c r="AI336" s="46">
        <f t="shared" si="253"/>
        <v>0</v>
      </c>
      <c r="AJ336" s="46">
        <f t="shared" si="253"/>
        <v>0</v>
      </c>
      <c r="AK336" s="46">
        <f t="shared" si="253"/>
        <v>0</v>
      </c>
      <c r="AL336" s="46">
        <f t="shared" si="253"/>
        <v>0</v>
      </c>
      <c r="AM336" s="46">
        <f t="shared" si="253"/>
        <v>0</v>
      </c>
      <c r="AN336" s="46">
        <f t="shared" si="253"/>
        <v>0</v>
      </c>
      <c r="AO336" s="46">
        <f t="shared" si="253"/>
        <v>0</v>
      </c>
      <c r="AP336" s="46">
        <f t="shared" si="253"/>
        <v>0</v>
      </c>
      <c r="AQ336" s="46">
        <f t="shared" si="253"/>
        <v>0</v>
      </c>
      <c r="AR336" s="46">
        <f t="shared" si="253"/>
        <v>0</v>
      </c>
      <c r="AS336" s="46">
        <f t="shared" si="253"/>
        <v>0</v>
      </c>
      <c r="AT336" s="46">
        <f t="shared" si="253"/>
        <v>0</v>
      </c>
      <c r="AU336" s="46">
        <f t="shared" si="253"/>
        <v>0</v>
      </c>
      <c r="AV336" s="46">
        <f t="shared" si="253"/>
        <v>0</v>
      </c>
      <c r="AW336" s="46">
        <f t="shared" si="253"/>
        <v>0</v>
      </c>
      <c r="AX336" s="46">
        <f t="shared" si="253"/>
        <v>0</v>
      </c>
      <c r="AY336" s="46">
        <f t="shared" si="253"/>
        <v>0</v>
      </c>
      <c r="AZ336" s="46">
        <f t="shared" si="253"/>
        <v>0</v>
      </c>
      <c r="BA336" s="46">
        <f t="shared" si="253"/>
        <v>0</v>
      </c>
      <c r="BB336" s="46">
        <f t="shared" si="253"/>
        <v>0</v>
      </c>
      <c r="BC336" s="46">
        <f t="shared" si="253"/>
        <v>0</v>
      </c>
      <c r="BD336" s="46">
        <f t="shared" si="253"/>
        <v>0</v>
      </c>
      <c r="BE336" s="37"/>
    </row>
    <row r="337" spans="1:57" ht="14.25" customHeight="1" x14ac:dyDescent="0.3">
      <c r="A337" s="46"/>
      <c r="B337" s="37"/>
      <c r="C337" s="46" t="str">
        <f t="shared" si="246"/>
        <v>Inc loan account</v>
      </c>
      <c r="D337" s="46">
        <f t="shared" si="247"/>
        <v>-2140000</v>
      </c>
      <c r="E337" s="46">
        <f t="shared" si="247"/>
        <v>0</v>
      </c>
      <c r="F337" s="46">
        <f t="shared" si="247"/>
        <v>0</v>
      </c>
      <c r="G337" s="46">
        <f t="shared" si="247"/>
        <v>0</v>
      </c>
      <c r="H337" s="46"/>
      <c r="I337" s="46">
        <f>-I$234</f>
        <v>-2140000</v>
      </c>
      <c r="J337" s="46">
        <f t="shared" ref="J337:BD337" si="254">-J$234</f>
        <v>0</v>
      </c>
      <c r="K337" s="46">
        <f t="shared" si="254"/>
        <v>0</v>
      </c>
      <c r="L337" s="46">
        <f t="shared" si="254"/>
        <v>0</v>
      </c>
      <c r="M337" s="46">
        <f t="shared" si="254"/>
        <v>0</v>
      </c>
      <c r="N337" s="46">
        <f t="shared" si="254"/>
        <v>0</v>
      </c>
      <c r="O337" s="46">
        <f t="shared" si="254"/>
        <v>0</v>
      </c>
      <c r="P337" s="46">
        <f t="shared" si="254"/>
        <v>0</v>
      </c>
      <c r="Q337" s="46">
        <f t="shared" si="254"/>
        <v>0</v>
      </c>
      <c r="R337" s="46">
        <f t="shared" si="254"/>
        <v>0</v>
      </c>
      <c r="S337" s="46">
        <f t="shared" si="254"/>
        <v>0</v>
      </c>
      <c r="T337" s="46">
        <f t="shared" si="254"/>
        <v>0</v>
      </c>
      <c r="U337" s="46">
        <f t="shared" si="254"/>
        <v>0</v>
      </c>
      <c r="V337" s="46">
        <f t="shared" si="254"/>
        <v>0</v>
      </c>
      <c r="W337" s="46">
        <f t="shared" si="254"/>
        <v>0</v>
      </c>
      <c r="X337" s="46">
        <f t="shared" si="254"/>
        <v>0</v>
      </c>
      <c r="Y337" s="46">
        <f t="shared" si="254"/>
        <v>0</v>
      </c>
      <c r="Z337" s="46">
        <f t="shared" si="254"/>
        <v>0</v>
      </c>
      <c r="AA337" s="46">
        <f t="shared" si="254"/>
        <v>0</v>
      </c>
      <c r="AB337" s="46">
        <f t="shared" si="254"/>
        <v>0</v>
      </c>
      <c r="AC337" s="46">
        <f t="shared" si="254"/>
        <v>0</v>
      </c>
      <c r="AD337" s="46">
        <f t="shared" si="254"/>
        <v>0</v>
      </c>
      <c r="AE337" s="46">
        <f t="shared" si="254"/>
        <v>0</v>
      </c>
      <c r="AF337" s="46">
        <f t="shared" si="254"/>
        <v>0</v>
      </c>
      <c r="AG337" s="46">
        <f t="shared" si="254"/>
        <v>0</v>
      </c>
      <c r="AH337" s="46">
        <f t="shared" si="254"/>
        <v>0</v>
      </c>
      <c r="AI337" s="46">
        <f t="shared" si="254"/>
        <v>0</v>
      </c>
      <c r="AJ337" s="46">
        <f t="shared" si="254"/>
        <v>0</v>
      </c>
      <c r="AK337" s="46">
        <f t="shared" si="254"/>
        <v>0</v>
      </c>
      <c r="AL337" s="46">
        <f t="shared" si="254"/>
        <v>0</v>
      </c>
      <c r="AM337" s="46">
        <f t="shared" si="254"/>
        <v>0</v>
      </c>
      <c r="AN337" s="46">
        <f t="shared" si="254"/>
        <v>0</v>
      </c>
      <c r="AO337" s="46">
        <f t="shared" si="254"/>
        <v>0</v>
      </c>
      <c r="AP337" s="46">
        <f t="shared" si="254"/>
        <v>0</v>
      </c>
      <c r="AQ337" s="46">
        <f t="shared" si="254"/>
        <v>0</v>
      </c>
      <c r="AR337" s="46">
        <f t="shared" si="254"/>
        <v>0</v>
      </c>
      <c r="AS337" s="46">
        <f t="shared" si="254"/>
        <v>0</v>
      </c>
      <c r="AT337" s="46">
        <f t="shared" si="254"/>
        <v>0</v>
      </c>
      <c r="AU337" s="46">
        <f t="shared" si="254"/>
        <v>0</v>
      </c>
      <c r="AV337" s="46">
        <f t="shared" si="254"/>
        <v>0</v>
      </c>
      <c r="AW337" s="46">
        <f t="shared" si="254"/>
        <v>0</v>
      </c>
      <c r="AX337" s="46">
        <f t="shared" si="254"/>
        <v>0</v>
      </c>
      <c r="AY337" s="46">
        <f t="shared" si="254"/>
        <v>0</v>
      </c>
      <c r="AZ337" s="46">
        <f t="shared" si="254"/>
        <v>0</v>
      </c>
      <c r="BA337" s="46">
        <f t="shared" si="254"/>
        <v>0</v>
      </c>
      <c r="BB337" s="46">
        <f t="shared" si="254"/>
        <v>0</v>
      </c>
      <c r="BC337" s="46">
        <f t="shared" si="254"/>
        <v>0</v>
      </c>
      <c r="BD337" s="46">
        <f t="shared" si="254"/>
        <v>0</v>
      </c>
      <c r="BE337" s="37"/>
    </row>
    <row r="338" spans="1:57" ht="14.25" customHeight="1" x14ac:dyDescent="0.3">
      <c r="A338" s="46"/>
      <c r="B338" s="37"/>
      <c r="C338" s="46" t="str">
        <f t="shared" si="246"/>
        <v>Day 1 asset purchase</v>
      </c>
      <c r="D338" s="46">
        <f t="shared" si="247"/>
        <v>-1353663</v>
      </c>
      <c r="E338" s="46">
        <f t="shared" si="247"/>
        <v>0</v>
      </c>
      <c r="F338" s="46">
        <f t="shared" si="247"/>
        <v>0</v>
      </c>
      <c r="G338" s="46">
        <f t="shared" si="247"/>
        <v>0</v>
      </c>
      <c r="H338" s="46"/>
      <c r="I338" s="46">
        <f t="shared" ref="I338:BD338" si="255">-I$235</f>
        <v>-1353663</v>
      </c>
      <c r="J338" s="46">
        <f t="shared" si="255"/>
        <v>0</v>
      </c>
      <c r="K338" s="46">
        <f t="shared" si="255"/>
        <v>0</v>
      </c>
      <c r="L338" s="46">
        <f t="shared" si="255"/>
        <v>0</v>
      </c>
      <c r="M338" s="46">
        <f t="shared" si="255"/>
        <v>0</v>
      </c>
      <c r="N338" s="46">
        <f t="shared" si="255"/>
        <v>0</v>
      </c>
      <c r="O338" s="46">
        <f t="shared" si="255"/>
        <v>0</v>
      </c>
      <c r="P338" s="46">
        <f t="shared" si="255"/>
        <v>0</v>
      </c>
      <c r="Q338" s="46">
        <f t="shared" si="255"/>
        <v>0</v>
      </c>
      <c r="R338" s="46">
        <f t="shared" si="255"/>
        <v>0</v>
      </c>
      <c r="S338" s="46">
        <f t="shared" si="255"/>
        <v>0</v>
      </c>
      <c r="T338" s="46">
        <f t="shared" si="255"/>
        <v>0</v>
      </c>
      <c r="U338" s="46">
        <f t="shared" si="255"/>
        <v>0</v>
      </c>
      <c r="V338" s="46">
        <f t="shared" si="255"/>
        <v>0</v>
      </c>
      <c r="W338" s="46">
        <f t="shared" si="255"/>
        <v>0</v>
      </c>
      <c r="X338" s="46">
        <f t="shared" si="255"/>
        <v>0</v>
      </c>
      <c r="Y338" s="46">
        <f t="shared" si="255"/>
        <v>0</v>
      </c>
      <c r="Z338" s="46">
        <f t="shared" si="255"/>
        <v>0</v>
      </c>
      <c r="AA338" s="46">
        <f t="shared" si="255"/>
        <v>0</v>
      </c>
      <c r="AB338" s="46">
        <f t="shared" si="255"/>
        <v>0</v>
      </c>
      <c r="AC338" s="46">
        <f t="shared" si="255"/>
        <v>0</v>
      </c>
      <c r="AD338" s="46">
        <f t="shared" si="255"/>
        <v>0</v>
      </c>
      <c r="AE338" s="46">
        <f t="shared" si="255"/>
        <v>0</v>
      </c>
      <c r="AF338" s="46">
        <f t="shared" si="255"/>
        <v>0</v>
      </c>
      <c r="AG338" s="46">
        <f t="shared" si="255"/>
        <v>0</v>
      </c>
      <c r="AH338" s="46">
        <f t="shared" si="255"/>
        <v>0</v>
      </c>
      <c r="AI338" s="46">
        <f t="shared" si="255"/>
        <v>0</v>
      </c>
      <c r="AJ338" s="46">
        <f t="shared" si="255"/>
        <v>0</v>
      </c>
      <c r="AK338" s="46">
        <f t="shared" si="255"/>
        <v>0</v>
      </c>
      <c r="AL338" s="46">
        <f t="shared" si="255"/>
        <v>0</v>
      </c>
      <c r="AM338" s="46">
        <f t="shared" si="255"/>
        <v>0</v>
      </c>
      <c r="AN338" s="46">
        <f t="shared" si="255"/>
        <v>0</v>
      </c>
      <c r="AO338" s="46">
        <f t="shared" si="255"/>
        <v>0</v>
      </c>
      <c r="AP338" s="46">
        <f t="shared" si="255"/>
        <v>0</v>
      </c>
      <c r="AQ338" s="46">
        <f t="shared" si="255"/>
        <v>0</v>
      </c>
      <c r="AR338" s="46">
        <f t="shared" si="255"/>
        <v>0</v>
      </c>
      <c r="AS338" s="46">
        <f t="shared" si="255"/>
        <v>0</v>
      </c>
      <c r="AT338" s="46">
        <f t="shared" si="255"/>
        <v>0</v>
      </c>
      <c r="AU338" s="46">
        <f t="shared" si="255"/>
        <v>0</v>
      </c>
      <c r="AV338" s="46">
        <f t="shared" si="255"/>
        <v>0</v>
      </c>
      <c r="AW338" s="46">
        <f t="shared" si="255"/>
        <v>0</v>
      </c>
      <c r="AX338" s="46">
        <f t="shared" si="255"/>
        <v>0</v>
      </c>
      <c r="AY338" s="46">
        <f t="shared" si="255"/>
        <v>0</v>
      </c>
      <c r="AZ338" s="46">
        <f t="shared" si="255"/>
        <v>0</v>
      </c>
      <c r="BA338" s="46">
        <f t="shared" si="255"/>
        <v>0</v>
      </c>
      <c r="BB338" s="46">
        <f t="shared" si="255"/>
        <v>0</v>
      </c>
      <c r="BC338" s="46">
        <f t="shared" si="255"/>
        <v>0</v>
      </c>
      <c r="BD338" s="46">
        <f t="shared" si="255"/>
        <v>0</v>
      </c>
      <c r="BE338" s="37"/>
    </row>
    <row r="339" spans="1:57" ht="14.25" customHeight="1" x14ac:dyDescent="0.3">
      <c r="A339" s="46"/>
      <c r="B339" s="37"/>
      <c r="C339" s="46" t="str">
        <f>C$236</f>
        <v>Medical Equipment</v>
      </c>
      <c r="D339" s="46">
        <f t="shared" si="247"/>
        <v>-54523</v>
      </c>
      <c r="E339" s="46">
        <f t="shared" si="247"/>
        <v>0</v>
      </c>
      <c r="F339" s="46">
        <f t="shared" si="247"/>
        <v>0</v>
      </c>
      <c r="G339" s="46">
        <f t="shared" si="247"/>
        <v>0</v>
      </c>
      <c r="H339" s="46"/>
      <c r="I339" s="46">
        <f>-I$236</f>
        <v>0</v>
      </c>
      <c r="J339" s="46">
        <f t="shared" ref="J339:BD339" si="256">-J$236</f>
        <v>0</v>
      </c>
      <c r="K339" s="46">
        <f t="shared" si="256"/>
        <v>0</v>
      </c>
      <c r="L339" s="46">
        <f t="shared" si="256"/>
        <v>0</v>
      </c>
      <c r="M339" s="46">
        <f t="shared" si="256"/>
        <v>-54523</v>
      </c>
      <c r="N339" s="46">
        <f t="shared" si="256"/>
        <v>0</v>
      </c>
      <c r="O339" s="46">
        <f t="shared" si="256"/>
        <v>0</v>
      </c>
      <c r="P339" s="46">
        <f t="shared" si="256"/>
        <v>0</v>
      </c>
      <c r="Q339" s="46">
        <f t="shared" si="256"/>
        <v>0</v>
      </c>
      <c r="R339" s="46">
        <f t="shared" si="256"/>
        <v>0</v>
      </c>
      <c r="S339" s="46">
        <f t="shared" si="256"/>
        <v>0</v>
      </c>
      <c r="T339" s="46">
        <f t="shared" si="256"/>
        <v>0</v>
      </c>
      <c r="U339" s="46">
        <f t="shared" si="256"/>
        <v>0</v>
      </c>
      <c r="V339" s="46">
        <f t="shared" si="256"/>
        <v>0</v>
      </c>
      <c r="W339" s="46">
        <f t="shared" si="256"/>
        <v>0</v>
      </c>
      <c r="X339" s="46">
        <f t="shared" si="256"/>
        <v>0</v>
      </c>
      <c r="Y339" s="46">
        <f t="shared" si="256"/>
        <v>0</v>
      </c>
      <c r="Z339" s="46">
        <f t="shared" si="256"/>
        <v>0</v>
      </c>
      <c r="AA339" s="46">
        <f t="shared" si="256"/>
        <v>0</v>
      </c>
      <c r="AB339" s="46">
        <f t="shared" si="256"/>
        <v>0</v>
      </c>
      <c r="AC339" s="46">
        <f t="shared" si="256"/>
        <v>0</v>
      </c>
      <c r="AD339" s="46">
        <f t="shared" si="256"/>
        <v>0</v>
      </c>
      <c r="AE339" s="46">
        <f t="shared" si="256"/>
        <v>0</v>
      </c>
      <c r="AF339" s="46">
        <f t="shared" si="256"/>
        <v>0</v>
      </c>
      <c r="AG339" s="46">
        <f t="shared" si="256"/>
        <v>0</v>
      </c>
      <c r="AH339" s="46">
        <f t="shared" si="256"/>
        <v>0</v>
      </c>
      <c r="AI339" s="46">
        <f t="shared" si="256"/>
        <v>0</v>
      </c>
      <c r="AJ339" s="46">
        <f t="shared" si="256"/>
        <v>0</v>
      </c>
      <c r="AK339" s="46">
        <f t="shared" si="256"/>
        <v>0</v>
      </c>
      <c r="AL339" s="46">
        <f t="shared" si="256"/>
        <v>0</v>
      </c>
      <c r="AM339" s="46">
        <f t="shared" si="256"/>
        <v>0</v>
      </c>
      <c r="AN339" s="46">
        <f t="shared" si="256"/>
        <v>0</v>
      </c>
      <c r="AO339" s="46">
        <f t="shared" si="256"/>
        <v>0</v>
      </c>
      <c r="AP339" s="46">
        <f t="shared" si="256"/>
        <v>0</v>
      </c>
      <c r="AQ339" s="46">
        <f t="shared" si="256"/>
        <v>0</v>
      </c>
      <c r="AR339" s="46">
        <f t="shared" si="256"/>
        <v>0</v>
      </c>
      <c r="AS339" s="46">
        <f t="shared" si="256"/>
        <v>0</v>
      </c>
      <c r="AT339" s="46">
        <f t="shared" si="256"/>
        <v>0</v>
      </c>
      <c r="AU339" s="46">
        <f t="shared" si="256"/>
        <v>0</v>
      </c>
      <c r="AV339" s="46">
        <f t="shared" si="256"/>
        <v>0</v>
      </c>
      <c r="AW339" s="46">
        <f t="shared" si="256"/>
        <v>0</v>
      </c>
      <c r="AX339" s="46">
        <f t="shared" si="256"/>
        <v>0</v>
      </c>
      <c r="AY339" s="46">
        <f t="shared" si="256"/>
        <v>0</v>
      </c>
      <c r="AZ339" s="46">
        <f t="shared" si="256"/>
        <v>0</v>
      </c>
      <c r="BA339" s="46">
        <f t="shared" si="256"/>
        <v>0</v>
      </c>
      <c r="BB339" s="46">
        <f t="shared" si="256"/>
        <v>0</v>
      </c>
      <c r="BC339" s="46">
        <f t="shared" si="256"/>
        <v>0</v>
      </c>
      <c r="BD339" s="46">
        <f t="shared" si="256"/>
        <v>0</v>
      </c>
      <c r="BE339" s="37"/>
    </row>
    <row r="340" spans="1:57" ht="14.25" customHeight="1" x14ac:dyDescent="0.3">
      <c r="A340" s="46"/>
      <c r="B340" s="37"/>
      <c r="C340" s="46" t="str">
        <f>C$237</f>
        <v>Furniture &amp; Computer Equipment</v>
      </c>
      <c r="D340" s="46">
        <f t="shared" si="247"/>
        <v>-94175</v>
      </c>
      <c r="E340" s="46">
        <f t="shared" si="247"/>
        <v>0</v>
      </c>
      <c r="F340" s="46">
        <f t="shared" si="247"/>
        <v>0</v>
      </c>
      <c r="G340" s="46">
        <f t="shared" si="247"/>
        <v>0</v>
      </c>
      <c r="H340" s="46"/>
      <c r="I340" s="46">
        <f>-I$237</f>
        <v>0</v>
      </c>
      <c r="J340" s="46">
        <f t="shared" ref="J340:BD340" si="257">-J$237</f>
        <v>0</v>
      </c>
      <c r="K340" s="46">
        <f t="shared" si="257"/>
        <v>0</v>
      </c>
      <c r="L340" s="46">
        <f t="shared" si="257"/>
        <v>0</v>
      </c>
      <c r="M340" s="46">
        <f t="shared" si="257"/>
        <v>-94175</v>
      </c>
      <c r="N340" s="46">
        <f t="shared" si="257"/>
        <v>0</v>
      </c>
      <c r="O340" s="46">
        <f t="shared" si="257"/>
        <v>0</v>
      </c>
      <c r="P340" s="46">
        <f t="shared" si="257"/>
        <v>0</v>
      </c>
      <c r="Q340" s="46">
        <f t="shared" si="257"/>
        <v>0</v>
      </c>
      <c r="R340" s="46">
        <f t="shared" si="257"/>
        <v>0</v>
      </c>
      <c r="S340" s="46">
        <f t="shared" si="257"/>
        <v>0</v>
      </c>
      <c r="T340" s="46">
        <f t="shared" si="257"/>
        <v>0</v>
      </c>
      <c r="U340" s="46">
        <f t="shared" si="257"/>
        <v>0</v>
      </c>
      <c r="V340" s="46">
        <f t="shared" si="257"/>
        <v>0</v>
      </c>
      <c r="W340" s="46">
        <f t="shared" si="257"/>
        <v>0</v>
      </c>
      <c r="X340" s="46">
        <f t="shared" si="257"/>
        <v>0</v>
      </c>
      <c r="Y340" s="46">
        <f t="shared" si="257"/>
        <v>0</v>
      </c>
      <c r="Z340" s="46">
        <f t="shared" si="257"/>
        <v>0</v>
      </c>
      <c r="AA340" s="46">
        <f t="shared" si="257"/>
        <v>0</v>
      </c>
      <c r="AB340" s="46">
        <f t="shared" si="257"/>
        <v>0</v>
      </c>
      <c r="AC340" s="46">
        <f t="shared" si="257"/>
        <v>0</v>
      </c>
      <c r="AD340" s="46">
        <f t="shared" si="257"/>
        <v>0</v>
      </c>
      <c r="AE340" s="46">
        <f t="shared" si="257"/>
        <v>0</v>
      </c>
      <c r="AF340" s="46">
        <f t="shared" si="257"/>
        <v>0</v>
      </c>
      <c r="AG340" s="46">
        <f t="shared" si="257"/>
        <v>0</v>
      </c>
      <c r="AH340" s="46">
        <f t="shared" si="257"/>
        <v>0</v>
      </c>
      <c r="AI340" s="46">
        <f t="shared" si="257"/>
        <v>0</v>
      </c>
      <c r="AJ340" s="46">
        <f t="shared" si="257"/>
        <v>0</v>
      </c>
      <c r="AK340" s="46">
        <f t="shared" si="257"/>
        <v>0</v>
      </c>
      <c r="AL340" s="46">
        <f t="shared" si="257"/>
        <v>0</v>
      </c>
      <c r="AM340" s="46">
        <f t="shared" si="257"/>
        <v>0</v>
      </c>
      <c r="AN340" s="46">
        <f t="shared" si="257"/>
        <v>0</v>
      </c>
      <c r="AO340" s="46">
        <f t="shared" si="257"/>
        <v>0</v>
      </c>
      <c r="AP340" s="46">
        <f t="shared" si="257"/>
        <v>0</v>
      </c>
      <c r="AQ340" s="46">
        <f t="shared" si="257"/>
        <v>0</v>
      </c>
      <c r="AR340" s="46">
        <f t="shared" si="257"/>
        <v>0</v>
      </c>
      <c r="AS340" s="46">
        <f t="shared" si="257"/>
        <v>0</v>
      </c>
      <c r="AT340" s="46">
        <f t="shared" si="257"/>
        <v>0</v>
      </c>
      <c r="AU340" s="46">
        <f t="shared" si="257"/>
        <v>0</v>
      </c>
      <c r="AV340" s="46">
        <f t="shared" si="257"/>
        <v>0</v>
      </c>
      <c r="AW340" s="46">
        <f t="shared" si="257"/>
        <v>0</v>
      </c>
      <c r="AX340" s="46">
        <f t="shared" si="257"/>
        <v>0</v>
      </c>
      <c r="AY340" s="46">
        <f t="shared" si="257"/>
        <v>0</v>
      </c>
      <c r="AZ340" s="46">
        <f t="shared" si="257"/>
        <v>0</v>
      </c>
      <c r="BA340" s="46">
        <f t="shared" si="257"/>
        <v>0</v>
      </c>
      <c r="BB340" s="46">
        <f t="shared" si="257"/>
        <v>0</v>
      </c>
      <c r="BC340" s="46">
        <f t="shared" si="257"/>
        <v>0</v>
      </c>
      <c r="BD340" s="46">
        <f t="shared" si="257"/>
        <v>0</v>
      </c>
      <c r="BE340" s="37"/>
    </row>
    <row r="341" spans="1:57" ht="14.25" customHeight="1" x14ac:dyDescent="0.3">
      <c r="A341" s="46"/>
      <c r="B341" s="37"/>
      <c r="C341" s="46" t="str">
        <f>C$238</f>
        <v xml:space="preserve">Additional Medical Equipment </v>
      </c>
      <c r="D341" s="46">
        <f t="shared" si="247"/>
        <v>-45000</v>
      </c>
      <c r="E341" s="46">
        <f t="shared" si="247"/>
        <v>0</v>
      </c>
      <c r="F341" s="46">
        <f t="shared" si="247"/>
        <v>0</v>
      </c>
      <c r="G341" s="46">
        <f t="shared" si="247"/>
        <v>0</v>
      </c>
      <c r="H341" s="46"/>
      <c r="I341" s="46">
        <f>-I$238</f>
        <v>0</v>
      </c>
      <c r="J341" s="46">
        <f t="shared" ref="J341:BD341" si="258">-J$238</f>
        <v>0</v>
      </c>
      <c r="K341" s="46">
        <f t="shared" si="258"/>
        <v>0</v>
      </c>
      <c r="L341" s="46">
        <f t="shared" si="258"/>
        <v>0</v>
      </c>
      <c r="M341" s="46">
        <f t="shared" si="258"/>
        <v>0</v>
      </c>
      <c r="N341" s="46">
        <f t="shared" si="258"/>
        <v>0</v>
      </c>
      <c r="O341" s="46">
        <f t="shared" si="258"/>
        <v>0</v>
      </c>
      <c r="P341" s="46">
        <f t="shared" si="258"/>
        <v>0</v>
      </c>
      <c r="Q341" s="46">
        <f t="shared" si="258"/>
        <v>0</v>
      </c>
      <c r="R341" s="46">
        <f t="shared" si="258"/>
        <v>0</v>
      </c>
      <c r="S341" s="46">
        <f t="shared" si="258"/>
        <v>-45000</v>
      </c>
      <c r="T341" s="46">
        <f t="shared" si="258"/>
        <v>0</v>
      </c>
      <c r="U341" s="46">
        <f t="shared" si="258"/>
        <v>0</v>
      </c>
      <c r="V341" s="46">
        <f t="shared" si="258"/>
        <v>0</v>
      </c>
      <c r="W341" s="46">
        <f t="shared" si="258"/>
        <v>0</v>
      </c>
      <c r="X341" s="46">
        <f t="shared" si="258"/>
        <v>0</v>
      </c>
      <c r="Y341" s="46">
        <f t="shared" si="258"/>
        <v>0</v>
      </c>
      <c r="Z341" s="46">
        <f t="shared" si="258"/>
        <v>0</v>
      </c>
      <c r="AA341" s="46">
        <f t="shared" si="258"/>
        <v>0</v>
      </c>
      <c r="AB341" s="46">
        <f t="shared" si="258"/>
        <v>0</v>
      </c>
      <c r="AC341" s="46">
        <f t="shared" si="258"/>
        <v>0</v>
      </c>
      <c r="AD341" s="46">
        <f t="shared" si="258"/>
        <v>0</v>
      </c>
      <c r="AE341" s="46">
        <f t="shared" si="258"/>
        <v>0</v>
      </c>
      <c r="AF341" s="46">
        <f t="shared" si="258"/>
        <v>0</v>
      </c>
      <c r="AG341" s="46">
        <f t="shared" si="258"/>
        <v>0</v>
      </c>
      <c r="AH341" s="46">
        <f t="shared" si="258"/>
        <v>0</v>
      </c>
      <c r="AI341" s="46">
        <f t="shared" si="258"/>
        <v>0</v>
      </c>
      <c r="AJ341" s="46">
        <f t="shared" si="258"/>
        <v>0</v>
      </c>
      <c r="AK341" s="46">
        <f t="shared" si="258"/>
        <v>0</v>
      </c>
      <c r="AL341" s="46">
        <f t="shared" si="258"/>
        <v>0</v>
      </c>
      <c r="AM341" s="46">
        <f t="shared" si="258"/>
        <v>0</v>
      </c>
      <c r="AN341" s="46">
        <f t="shared" si="258"/>
        <v>0</v>
      </c>
      <c r="AO341" s="46">
        <f t="shared" si="258"/>
        <v>0</v>
      </c>
      <c r="AP341" s="46">
        <f t="shared" si="258"/>
        <v>0</v>
      </c>
      <c r="AQ341" s="46">
        <f t="shared" si="258"/>
        <v>0</v>
      </c>
      <c r="AR341" s="46">
        <f t="shared" si="258"/>
        <v>0</v>
      </c>
      <c r="AS341" s="46">
        <f t="shared" si="258"/>
        <v>0</v>
      </c>
      <c r="AT341" s="46">
        <f t="shared" si="258"/>
        <v>0</v>
      </c>
      <c r="AU341" s="46">
        <f t="shared" si="258"/>
        <v>0</v>
      </c>
      <c r="AV341" s="46">
        <f t="shared" si="258"/>
        <v>0</v>
      </c>
      <c r="AW341" s="46">
        <f t="shared" si="258"/>
        <v>0</v>
      </c>
      <c r="AX341" s="46">
        <f t="shared" si="258"/>
        <v>0</v>
      </c>
      <c r="AY341" s="46">
        <f t="shared" si="258"/>
        <v>0</v>
      </c>
      <c r="AZ341" s="46">
        <f t="shared" si="258"/>
        <v>0</v>
      </c>
      <c r="BA341" s="46">
        <f t="shared" si="258"/>
        <v>0</v>
      </c>
      <c r="BB341" s="46">
        <f t="shared" si="258"/>
        <v>0</v>
      </c>
      <c r="BC341" s="46">
        <f t="shared" si="258"/>
        <v>0</v>
      </c>
      <c r="BD341" s="46">
        <f t="shared" si="258"/>
        <v>0</v>
      </c>
      <c r="BE341" s="46"/>
    </row>
    <row r="342" spans="1:57" ht="14.25" customHeight="1" x14ac:dyDescent="0.3">
      <c r="A342" s="46"/>
      <c r="B342" s="37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  <c r="AC342" s="46"/>
      <c r="AD342" s="46"/>
      <c r="AE342" s="46"/>
      <c r="AF342" s="46"/>
      <c r="AG342" s="46"/>
      <c r="AH342" s="46"/>
      <c r="AI342" s="46"/>
      <c r="AJ342" s="46"/>
      <c r="AK342" s="46"/>
      <c r="AL342" s="46"/>
      <c r="AM342" s="46"/>
      <c r="AN342" s="46"/>
      <c r="AO342" s="46"/>
      <c r="AP342" s="46"/>
      <c r="AQ342" s="46"/>
      <c r="AR342" s="46"/>
      <c r="AS342" s="46"/>
      <c r="AT342" s="46"/>
      <c r="AU342" s="46"/>
      <c r="AV342" s="46"/>
      <c r="AW342" s="46"/>
      <c r="AX342" s="46"/>
      <c r="AY342" s="46"/>
      <c r="AZ342" s="46"/>
      <c r="BA342" s="46"/>
      <c r="BB342" s="46"/>
      <c r="BC342" s="46"/>
      <c r="BD342" s="46"/>
      <c r="BE342" s="46"/>
    </row>
    <row r="343" spans="1:57" ht="14.25" customHeight="1" x14ac:dyDescent="0.3">
      <c r="A343" s="46"/>
      <c r="B343" s="37" t="str">
        <f>B241</f>
        <v>Once Off Expenses</v>
      </c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  <c r="AC343" s="46"/>
      <c r="AD343" s="46"/>
      <c r="AE343" s="46"/>
      <c r="AF343" s="46"/>
      <c r="AG343" s="46"/>
      <c r="AH343" s="46"/>
      <c r="AI343" s="46"/>
      <c r="AJ343" s="46"/>
      <c r="AK343" s="46"/>
      <c r="AL343" s="46"/>
      <c r="AM343" s="46"/>
      <c r="AN343" s="46"/>
      <c r="AO343" s="46"/>
      <c r="AP343" s="46"/>
      <c r="AQ343" s="46"/>
      <c r="AR343" s="46"/>
      <c r="AS343" s="46"/>
      <c r="AT343" s="46"/>
      <c r="AU343" s="46"/>
      <c r="AV343" s="46"/>
      <c r="AW343" s="46"/>
      <c r="AX343" s="46"/>
      <c r="AY343" s="46"/>
      <c r="AZ343" s="46"/>
      <c r="BA343" s="46"/>
      <c r="BB343" s="46"/>
      <c r="BC343" s="46"/>
      <c r="BD343" s="46"/>
      <c r="BE343" s="46"/>
    </row>
    <row r="344" spans="1:57" ht="14.25" customHeight="1" x14ac:dyDescent="0.3">
      <c r="A344" s="46"/>
      <c r="B344" s="37"/>
      <c r="C344" s="46" t="str">
        <f>C$242</f>
        <v>mEHT 2 Maintenance Deposit 1</v>
      </c>
      <c r="D344" s="46">
        <f t="shared" ref="D344:G348" si="259">SUMIF($2:$2,D$250,344:344)</f>
        <v>-430000</v>
      </c>
      <c r="E344" s="46">
        <f t="shared" si="259"/>
        <v>0</v>
      </c>
      <c r="F344" s="46">
        <f t="shared" si="259"/>
        <v>0</v>
      </c>
      <c r="G344" s="46">
        <f t="shared" si="259"/>
        <v>0</v>
      </c>
      <c r="H344" s="46"/>
      <c r="I344" s="46">
        <f>-I$242</f>
        <v>0</v>
      </c>
      <c r="J344" s="46">
        <f t="shared" ref="J344:BD344" si="260">-J$242</f>
        <v>0</v>
      </c>
      <c r="K344" s="46">
        <f t="shared" si="260"/>
        <v>0</v>
      </c>
      <c r="L344" s="46">
        <f t="shared" si="260"/>
        <v>0</v>
      </c>
      <c r="M344" s="46">
        <f t="shared" si="260"/>
        <v>0</v>
      </c>
      <c r="N344" s="46">
        <f t="shared" si="260"/>
        <v>0</v>
      </c>
      <c r="O344" s="46">
        <f t="shared" si="260"/>
        <v>0</v>
      </c>
      <c r="P344" s="46">
        <f t="shared" si="260"/>
        <v>0</v>
      </c>
      <c r="Q344" s="46">
        <f t="shared" si="260"/>
        <v>0</v>
      </c>
      <c r="R344" s="46">
        <f t="shared" si="260"/>
        <v>0</v>
      </c>
      <c r="S344" s="46">
        <f t="shared" si="260"/>
        <v>0</v>
      </c>
      <c r="T344" s="46">
        <f t="shared" si="260"/>
        <v>-430000</v>
      </c>
      <c r="U344" s="46">
        <f t="shared" si="260"/>
        <v>0</v>
      </c>
      <c r="V344" s="46">
        <f t="shared" si="260"/>
        <v>0</v>
      </c>
      <c r="W344" s="46">
        <f t="shared" si="260"/>
        <v>0</v>
      </c>
      <c r="X344" s="46">
        <f t="shared" si="260"/>
        <v>0</v>
      </c>
      <c r="Y344" s="46">
        <f t="shared" si="260"/>
        <v>0</v>
      </c>
      <c r="Z344" s="46">
        <f t="shared" si="260"/>
        <v>0</v>
      </c>
      <c r="AA344" s="46">
        <f t="shared" si="260"/>
        <v>0</v>
      </c>
      <c r="AB344" s="46">
        <f t="shared" si="260"/>
        <v>0</v>
      </c>
      <c r="AC344" s="46">
        <f t="shared" si="260"/>
        <v>0</v>
      </c>
      <c r="AD344" s="46">
        <f t="shared" si="260"/>
        <v>0</v>
      </c>
      <c r="AE344" s="46">
        <f t="shared" si="260"/>
        <v>0</v>
      </c>
      <c r="AF344" s="46">
        <f t="shared" si="260"/>
        <v>0</v>
      </c>
      <c r="AG344" s="46">
        <f t="shared" si="260"/>
        <v>0</v>
      </c>
      <c r="AH344" s="46">
        <f t="shared" si="260"/>
        <v>0</v>
      </c>
      <c r="AI344" s="46">
        <f t="shared" si="260"/>
        <v>0</v>
      </c>
      <c r="AJ344" s="46">
        <f t="shared" si="260"/>
        <v>0</v>
      </c>
      <c r="AK344" s="46">
        <f t="shared" si="260"/>
        <v>0</v>
      </c>
      <c r="AL344" s="46">
        <f t="shared" si="260"/>
        <v>0</v>
      </c>
      <c r="AM344" s="46">
        <f t="shared" si="260"/>
        <v>0</v>
      </c>
      <c r="AN344" s="46">
        <f t="shared" si="260"/>
        <v>0</v>
      </c>
      <c r="AO344" s="46">
        <f t="shared" si="260"/>
        <v>0</v>
      </c>
      <c r="AP344" s="46">
        <f t="shared" si="260"/>
        <v>0</v>
      </c>
      <c r="AQ344" s="46">
        <f t="shared" si="260"/>
        <v>0</v>
      </c>
      <c r="AR344" s="46">
        <f t="shared" si="260"/>
        <v>0</v>
      </c>
      <c r="AS344" s="46">
        <f t="shared" si="260"/>
        <v>0</v>
      </c>
      <c r="AT344" s="46">
        <f t="shared" si="260"/>
        <v>0</v>
      </c>
      <c r="AU344" s="46">
        <f t="shared" si="260"/>
        <v>0</v>
      </c>
      <c r="AV344" s="46">
        <f t="shared" si="260"/>
        <v>0</v>
      </c>
      <c r="AW344" s="46">
        <f t="shared" si="260"/>
        <v>0</v>
      </c>
      <c r="AX344" s="46">
        <f t="shared" si="260"/>
        <v>0</v>
      </c>
      <c r="AY344" s="46">
        <f t="shared" si="260"/>
        <v>0</v>
      </c>
      <c r="AZ344" s="46">
        <f t="shared" si="260"/>
        <v>0</v>
      </c>
      <c r="BA344" s="46">
        <f t="shared" si="260"/>
        <v>0</v>
      </c>
      <c r="BB344" s="46">
        <f t="shared" si="260"/>
        <v>0</v>
      </c>
      <c r="BC344" s="46">
        <f t="shared" si="260"/>
        <v>0</v>
      </c>
      <c r="BD344" s="46">
        <f t="shared" si="260"/>
        <v>0</v>
      </c>
      <c r="BE344" s="46"/>
    </row>
    <row r="345" spans="1:57" s="69" customFormat="1" ht="14.25" customHeight="1" x14ac:dyDescent="0.3">
      <c r="A345" s="46"/>
      <c r="B345" s="37"/>
      <c r="C345" s="46" t="str">
        <f>C$243</f>
        <v>mEHT 2 Maintenance Deposit 2</v>
      </c>
      <c r="D345" s="46">
        <f t="shared" si="259"/>
        <v>0</v>
      </c>
      <c r="E345" s="46">
        <f t="shared" si="259"/>
        <v>-430000</v>
      </c>
      <c r="F345" s="46">
        <f t="shared" si="259"/>
        <v>0</v>
      </c>
      <c r="G345" s="46">
        <f t="shared" si="259"/>
        <v>0</v>
      </c>
      <c r="H345" s="57"/>
      <c r="I345" s="46">
        <f>-I$243</f>
        <v>0</v>
      </c>
      <c r="J345" s="46">
        <f t="shared" ref="J345:BD345" si="261">-J$243</f>
        <v>0</v>
      </c>
      <c r="K345" s="46">
        <f t="shared" si="261"/>
        <v>0</v>
      </c>
      <c r="L345" s="46">
        <f t="shared" si="261"/>
        <v>0</v>
      </c>
      <c r="M345" s="46">
        <f t="shared" si="261"/>
        <v>0</v>
      </c>
      <c r="N345" s="46">
        <f t="shared" si="261"/>
        <v>0</v>
      </c>
      <c r="O345" s="46">
        <f t="shared" si="261"/>
        <v>0</v>
      </c>
      <c r="P345" s="46">
        <f t="shared" si="261"/>
        <v>0</v>
      </c>
      <c r="Q345" s="46">
        <f t="shared" si="261"/>
        <v>0</v>
      </c>
      <c r="R345" s="46">
        <f t="shared" si="261"/>
        <v>0</v>
      </c>
      <c r="S345" s="46">
        <f t="shared" si="261"/>
        <v>0</v>
      </c>
      <c r="T345" s="46">
        <f t="shared" si="261"/>
        <v>0</v>
      </c>
      <c r="U345" s="46">
        <f t="shared" si="261"/>
        <v>0</v>
      </c>
      <c r="V345" s="46">
        <f t="shared" si="261"/>
        <v>-430000</v>
      </c>
      <c r="W345" s="46">
        <f t="shared" si="261"/>
        <v>0</v>
      </c>
      <c r="X345" s="46">
        <f t="shared" si="261"/>
        <v>0</v>
      </c>
      <c r="Y345" s="46">
        <f t="shared" si="261"/>
        <v>0</v>
      </c>
      <c r="Z345" s="46">
        <f t="shared" si="261"/>
        <v>0</v>
      </c>
      <c r="AA345" s="46">
        <f t="shared" si="261"/>
        <v>0</v>
      </c>
      <c r="AB345" s="46">
        <f t="shared" si="261"/>
        <v>0</v>
      </c>
      <c r="AC345" s="46">
        <f t="shared" si="261"/>
        <v>0</v>
      </c>
      <c r="AD345" s="46">
        <f t="shared" si="261"/>
        <v>0</v>
      </c>
      <c r="AE345" s="46">
        <f t="shared" si="261"/>
        <v>0</v>
      </c>
      <c r="AF345" s="46">
        <f t="shared" si="261"/>
        <v>0</v>
      </c>
      <c r="AG345" s="46">
        <f t="shared" si="261"/>
        <v>0</v>
      </c>
      <c r="AH345" s="46">
        <f t="shared" si="261"/>
        <v>0</v>
      </c>
      <c r="AI345" s="46">
        <f t="shared" si="261"/>
        <v>0</v>
      </c>
      <c r="AJ345" s="46">
        <f t="shared" si="261"/>
        <v>0</v>
      </c>
      <c r="AK345" s="46">
        <f t="shared" si="261"/>
        <v>0</v>
      </c>
      <c r="AL345" s="46">
        <f t="shared" si="261"/>
        <v>0</v>
      </c>
      <c r="AM345" s="46">
        <f t="shared" si="261"/>
        <v>0</v>
      </c>
      <c r="AN345" s="46">
        <f t="shared" si="261"/>
        <v>0</v>
      </c>
      <c r="AO345" s="46">
        <f t="shared" si="261"/>
        <v>0</v>
      </c>
      <c r="AP345" s="46">
        <f t="shared" si="261"/>
        <v>0</v>
      </c>
      <c r="AQ345" s="46">
        <f t="shared" si="261"/>
        <v>0</v>
      </c>
      <c r="AR345" s="46">
        <f t="shared" si="261"/>
        <v>0</v>
      </c>
      <c r="AS345" s="46">
        <f t="shared" si="261"/>
        <v>0</v>
      </c>
      <c r="AT345" s="46">
        <f t="shared" si="261"/>
        <v>0</v>
      </c>
      <c r="AU345" s="46">
        <f t="shared" si="261"/>
        <v>0</v>
      </c>
      <c r="AV345" s="46">
        <f t="shared" si="261"/>
        <v>0</v>
      </c>
      <c r="AW345" s="46">
        <f t="shared" si="261"/>
        <v>0</v>
      </c>
      <c r="AX345" s="46">
        <f t="shared" si="261"/>
        <v>0</v>
      </c>
      <c r="AY345" s="46">
        <f t="shared" si="261"/>
        <v>0</v>
      </c>
      <c r="AZ345" s="46">
        <f t="shared" si="261"/>
        <v>0</v>
      </c>
      <c r="BA345" s="46">
        <f t="shared" si="261"/>
        <v>0</v>
      </c>
      <c r="BB345" s="46">
        <f t="shared" si="261"/>
        <v>0</v>
      </c>
      <c r="BC345" s="46">
        <f t="shared" si="261"/>
        <v>0</v>
      </c>
      <c r="BD345" s="46">
        <f t="shared" si="261"/>
        <v>0</v>
      </c>
      <c r="BE345" s="46"/>
    </row>
    <row r="346" spans="1:57" ht="14.25" customHeight="1" x14ac:dyDescent="0.3">
      <c r="A346" s="46"/>
      <c r="B346" s="37"/>
      <c r="C346" s="46" t="str">
        <f>C$244</f>
        <v>Settlement</v>
      </c>
      <c r="D346" s="46">
        <f t="shared" si="259"/>
        <v>-95000</v>
      </c>
      <c r="E346" s="46">
        <f t="shared" si="259"/>
        <v>0</v>
      </c>
      <c r="F346" s="46">
        <f t="shared" si="259"/>
        <v>0</v>
      </c>
      <c r="G346" s="46">
        <f t="shared" si="259"/>
        <v>0</v>
      </c>
      <c r="H346" s="46"/>
      <c r="I346" s="46">
        <f>-I$244</f>
        <v>0</v>
      </c>
      <c r="J346" s="46">
        <f t="shared" ref="J346:BD346" si="262">-J$244</f>
        <v>0</v>
      </c>
      <c r="K346" s="46">
        <f t="shared" si="262"/>
        <v>0</v>
      </c>
      <c r="L346" s="46">
        <f t="shared" si="262"/>
        <v>0</v>
      </c>
      <c r="M346" s="46">
        <f t="shared" si="262"/>
        <v>0</v>
      </c>
      <c r="N346" s="46">
        <f t="shared" si="262"/>
        <v>0</v>
      </c>
      <c r="O346" s="46">
        <f t="shared" si="262"/>
        <v>0</v>
      </c>
      <c r="P346" s="46">
        <f t="shared" si="262"/>
        <v>-95000</v>
      </c>
      <c r="Q346" s="46">
        <f t="shared" si="262"/>
        <v>0</v>
      </c>
      <c r="R346" s="46">
        <f t="shared" si="262"/>
        <v>0</v>
      </c>
      <c r="S346" s="46">
        <f t="shared" si="262"/>
        <v>0</v>
      </c>
      <c r="T346" s="46">
        <f t="shared" si="262"/>
        <v>0</v>
      </c>
      <c r="U346" s="46">
        <f t="shared" si="262"/>
        <v>0</v>
      </c>
      <c r="V346" s="46">
        <f t="shared" si="262"/>
        <v>0</v>
      </c>
      <c r="W346" s="46">
        <f t="shared" si="262"/>
        <v>0</v>
      </c>
      <c r="X346" s="46">
        <f t="shared" si="262"/>
        <v>0</v>
      </c>
      <c r="Y346" s="46">
        <f t="shared" si="262"/>
        <v>0</v>
      </c>
      <c r="Z346" s="46">
        <f t="shared" si="262"/>
        <v>0</v>
      </c>
      <c r="AA346" s="46">
        <f t="shared" si="262"/>
        <v>0</v>
      </c>
      <c r="AB346" s="46">
        <f t="shared" si="262"/>
        <v>0</v>
      </c>
      <c r="AC346" s="46">
        <f t="shared" si="262"/>
        <v>0</v>
      </c>
      <c r="AD346" s="46">
        <f t="shared" si="262"/>
        <v>0</v>
      </c>
      <c r="AE346" s="46">
        <f t="shared" si="262"/>
        <v>0</v>
      </c>
      <c r="AF346" s="46">
        <f t="shared" si="262"/>
        <v>0</v>
      </c>
      <c r="AG346" s="46">
        <f t="shared" si="262"/>
        <v>0</v>
      </c>
      <c r="AH346" s="46">
        <f t="shared" si="262"/>
        <v>0</v>
      </c>
      <c r="AI346" s="46">
        <f t="shared" si="262"/>
        <v>0</v>
      </c>
      <c r="AJ346" s="46">
        <f t="shared" si="262"/>
        <v>0</v>
      </c>
      <c r="AK346" s="46">
        <f t="shared" si="262"/>
        <v>0</v>
      </c>
      <c r="AL346" s="46">
        <f t="shared" si="262"/>
        <v>0</v>
      </c>
      <c r="AM346" s="46">
        <f t="shared" si="262"/>
        <v>0</v>
      </c>
      <c r="AN346" s="46">
        <f t="shared" si="262"/>
        <v>0</v>
      </c>
      <c r="AO346" s="46">
        <f t="shared" si="262"/>
        <v>0</v>
      </c>
      <c r="AP346" s="46">
        <f t="shared" si="262"/>
        <v>0</v>
      </c>
      <c r="AQ346" s="46">
        <f t="shared" si="262"/>
        <v>0</v>
      </c>
      <c r="AR346" s="46">
        <f t="shared" si="262"/>
        <v>0</v>
      </c>
      <c r="AS346" s="46">
        <f t="shared" si="262"/>
        <v>0</v>
      </c>
      <c r="AT346" s="46">
        <f t="shared" si="262"/>
        <v>0</v>
      </c>
      <c r="AU346" s="46">
        <f t="shared" si="262"/>
        <v>0</v>
      </c>
      <c r="AV346" s="46">
        <f t="shared" si="262"/>
        <v>0</v>
      </c>
      <c r="AW346" s="46">
        <f t="shared" si="262"/>
        <v>0</v>
      </c>
      <c r="AX346" s="46">
        <f t="shared" si="262"/>
        <v>0</v>
      </c>
      <c r="AY346" s="46">
        <f t="shared" si="262"/>
        <v>0</v>
      </c>
      <c r="AZ346" s="46">
        <f t="shared" si="262"/>
        <v>0</v>
      </c>
      <c r="BA346" s="46">
        <f t="shared" si="262"/>
        <v>0</v>
      </c>
      <c r="BB346" s="46">
        <f t="shared" si="262"/>
        <v>0</v>
      </c>
      <c r="BC346" s="46">
        <f t="shared" si="262"/>
        <v>0</v>
      </c>
      <c r="BD346" s="46">
        <f t="shared" si="262"/>
        <v>0</v>
      </c>
      <c r="BE346" s="46"/>
    </row>
    <row r="347" spans="1:57" ht="14.25" customHeight="1" x14ac:dyDescent="0.3">
      <c r="A347" s="46"/>
      <c r="B347" s="37"/>
      <c r="C347" s="46" t="str">
        <f>C$245</f>
        <v>Marketing and launch event</v>
      </c>
      <c r="D347" s="46">
        <f t="shared" si="259"/>
        <v>-135000</v>
      </c>
      <c r="E347" s="46">
        <f t="shared" si="259"/>
        <v>0</v>
      </c>
      <c r="F347" s="46">
        <f t="shared" si="259"/>
        <v>0</v>
      </c>
      <c r="G347" s="46">
        <f t="shared" si="259"/>
        <v>0</v>
      </c>
      <c r="H347" s="46"/>
      <c r="I347" s="46">
        <f>-I$245</f>
        <v>0</v>
      </c>
      <c r="J347" s="46">
        <f t="shared" ref="J347:BD347" si="263">-J$245</f>
        <v>0</v>
      </c>
      <c r="K347" s="46">
        <f t="shared" si="263"/>
        <v>0</v>
      </c>
      <c r="L347" s="46">
        <f t="shared" si="263"/>
        <v>0</v>
      </c>
      <c r="M347" s="46">
        <f t="shared" si="263"/>
        <v>0</v>
      </c>
      <c r="N347" s="46">
        <f t="shared" si="263"/>
        <v>0</v>
      </c>
      <c r="O347" s="46">
        <f t="shared" si="263"/>
        <v>0</v>
      </c>
      <c r="P347" s="46">
        <f t="shared" si="263"/>
        <v>-115000</v>
      </c>
      <c r="Q347" s="46">
        <f t="shared" si="263"/>
        <v>0</v>
      </c>
      <c r="R347" s="46">
        <f t="shared" si="263"/>
        <v>0</v>
      </c>
      <c r="S347" s="46">
        <f t="shared" si="263"/>
        <v>-20000</v>
      </c>
      <c r="T347" s="46">
        <f t="shared" si="263"/>
        <v>0</v>
      </c>
      <c r="U347" s="46">
        <f t="shared" si="263"/>
        <v>0</v>
      </c>
      <c r="V347" s="46">
        <f t="shared" si="263"/>
        <v>0</v>
      </c>
      <c r="W347" s="46">
        <f t="shared" si="263"/>
        <v>0</v>
      </c>
      <c r="X347" s="46">
        <f t="shared" si="263"/>
        <v>0</v>
      </c>
      <c r="Y347" s="46">
        <f t="shared" si="263"/>
        <v>0</v>
      </c>
      <c r="Z347" s="46">
        <f t="shared" si="263"/>
        <v>0</v>
      </c>
      <c r="AA347" s="46">
        <f t="shared" si="263"/>
        <v>0</v>
      </c>
      <c r="AB347" s="46">
        <f t="shared" si="263"/>
        <v>0</v>
      </c>
      <c r="AC347" s="46">
        <f t="shared" si="263"/>
        <v>0</v>
      </c>
      <c r="AD347" s="46">
        <f t="shared" si="263"/>
        <v>0</v>
      </c>
      <c r="AE347" s="46">
        <f t="shared" si="263"/>
        <v>0</v>
      </c>
      <c r="AF347" s="46">
        <f t="shared" si="263"/>
        <v>0</v>
      </c>
      <c r="AG347" s="46">
        <f t="shared" si="263"/>
        <v>0</v>
      </c>
      <c r="AH347" s="46">
        <f t="shared" si="263"/>
        <v>0</v>
      </c>
      <c r="AI347" s="46">
        <f t="shared" si="263"/>
        <v>0</v>
      </c>
      <c r="AJ347" s="46">
        <f t="shared" si="263"/>
        <v>0</v>
      </c>
      <c r="AK347" s="46">
        <f t="shared" si="263"/>
        <v>0</v>
      </c>
      <c r="AL347" s="46">
        <f t="shared" si="263"/>
        <v>0</v>
      </c>
      <c r="AM347" s="46">
        <f t="shared" si="263"/>
        <v>0</v>
      </c>
      <c r="AN347" s="46">
        <f t="shared" si="263"/>
        <v>0</v>
      </c>
      <c r="AO347" s="46">
        <f t="shared" si="263"/>
        <v>0</v>
      </c>
      <c r="AP347" s="46">
        <f t="shared" si="263"/>
        <v>0</v>
      </c>
      <c r="AQ347" s="46">
        <f t="shared" si="263"/>
        <v>0</v>
      </c>
      <c r="AR347" s="46">
        <f t="shared" si="263"/>
        <v>0</v>
      </c>
      <c r="AS347" s="46">
        <f t="shared" si="263"/>
        <v>0</v>
      </c>
      <c r="AT347" s="46">
        <f t="shared" si="263"/>
        <v>0</v>
      </c>
      <c r="AU347" s="46">
        <f t="shared" si="263"/>
        <v>0</v>
      </c>
      <c r="AV347" s="46">
        <f t="shared" si="263"/>
        <v>0</v>
      </c>
      <c r="AW347" s="46">
        <f t="shared" si="263"/>
        <v>0</v>
      </c>
      <c r="AX347" s="46">
        <f t="shared" si="263"/>
        <v>0</v>
      </c>
      <c r="AY347" s="46">
        <f t="shared" si="263"/>
        <v>0</v>
      </c>
      <c r="AZ347" s="46">
        <f t="shared" si="263"/>
        <v>0</v>
      </c>
      <c r="BA347" s="46">
        <f t="shared" si="263"/>
        <v>0</v>
      </c>
      <c r="BB347" s="46">
        <f t="shared" si="263"/>
        <v>0</v>
      </c>
      <c r="BC347" s="46">
        <f t="shared" si="263"/>
        <v>0</v>
      </c>
      <c r="BD347" s="46">
        <f t="shared" si="263"/>
        <v>0</v>
      </c>
      <c r="BE347" s="46"/>
    </row>
    <row r="348" spans="1:57" ht="14.25" customHeight="1" x14ac:dyDescent="0.3">
      <c r="A348" s="46"/>
      <c r="B348" s="37"/>
      <c r="C348" s="37">
        <f>$C246</f>
        <v>0</v>
      </c>
      <c r="D348" s="46">
        <f t="shared" si="259"/>
        <v>0</v>
      </c>
      <c r="E348" s="46">
        <f t="shared" si="259"/>
        <v>0</v>
      </c>
      <c r="F348" s="46">
        <f t="shared" si="259"/>
        <v>0</v>
      </c>
      <c r="G348" s="46">
        <f t="shared" si="259"/>
        <v>0</v>
      </c>
      <c r="H348" s="46"/>
      <c r="I348" s="46">
        <f>-I$246</f>
        <v>0</v>
      </c>
      <c r="J348" s="46">
        <f t="shared" ref="J348:BD348" si="264">-J$246</f>
        <v>0</v>
      </c>
      <c r="K348" s="46">
        <f t="shared" si="264"/>
        <v>0</v>
      </c>
      <c r="L348" s="46">
        <f t="shared" si="264"/>
        <v>0</v>
      </c>
      <c r="M348" s="46">
        <f t="shared" si="264"/>
        <v>0</v>
      </c>
      <c r="N348" s="46">
        <f t="shared" si="264"/>
        <v>0</v>
      </c>
      <c r="O348" s="46">
        <f t="shared" si="264"/>
        <v>0</v>
      </c>
      <c r="P348" s="46">
        <f t="shared" si="264"/>
        <v>0</v>
      </c>
      <c r="Q348" s="46">
        <f t="shared" si="264"/>
        <v>0</v>
      </c>
      <c r="R348" s="46">
        <f t="shared" si="264"/>
        <v>0</v>
      </c>
      <c r="S348" s="46">
        <f t="shared" si="264"/>
        <v>0</v>
      </c>
      <c r="T348" s="46">
        <f t="shared" si="264"/>
        <v>0</v>
      </c>
      <c r="U348" s="46">
        <f t="shared" si="264"/>
        <v>0</v>
      </c>
      <c r="V348" s="46">
        <f t="shared" si="264"/>
        <v>0</v>
      </c>
      <c r="W348" s="46">
        <f t="shared" si="264"/>
        <v>0</v>
      </c>
      <c r="X348" s="46">
        <f t="shared" si="264"/>
        <v>0</v>
      </c>
      <c r="Y348" s="46">
        <f t="shared" si="264"/>
        <v>0</v>
      </c>
      <c r="Z348" s="46">
        <f t="shared" si="264"/>
        <v>0</v>
      </c>
      <c r="AA348" s="46">
        <f t="shared" si="264"/>
        <v>0</v>
      </c>
      <c r="AB348" s="46">
        <f t="shared" si="264"/>
        <v>0</v>
      </c>
      <c r="AC348" s="46">
        <f t="shared" si="264"/>
        <v>0</v>
      </c>
      <c r="AD348" s="46">
        <f t="shared" si="264"/>
        <v>0</v>
      </c>
      <c r="AE348" s="46">
        <f t="shared" si="264"/>
        <v>0</v>
      </c>
      <c r="AF348" s="46">
        <f t="shared" si="264"/>
        <v>0</v>
      </c>
      <c r="AG348" s="46">
        <f t="shared" si="264"/>
        <v>0</v>
      </c>
      <c r="AH348" s="46">
        <f t="shared" si="264"/>
        <v>0</v>
      </c>
      <c r="AI348" s="46">
        <f t="shared" si="264"/>
        <v>0</v>
      </c>
      <c r="AJ348" s="46">
        <f t="shared" si="264"/>
        <v>0</v>
      </c>
      <c r="AK348" s="46">
        <f t="shared" si="264"/>
        <v>0</v>
      </c>
      <c r="AL348" s="46">
        <f t="shared" si="264"/>
        <v>0</v>
      </c>
      <c r="AM348" s="46">
        <f t="shared" si="264"/>
        <v>0</v>
      </c>
      <c r="AN348" s="46">
        <f t="shared" si="264"/>
        <v>0</v>
      </c>
      <c r="AO348" s="46">
        <f t="shared" si="264"/>
        <v>0</v>
      </c>
      <c r="AP348" s="46">
        <f t="shared" si="264"/>
        <v>0</v>
      </c>
      <c r="AQ348" s="46">
        <f t="shared" si="264"/>
        <v>0</v>
      </c>
      <c r="AR348" s="46">
        <f t="shared" si="264"/>
        <v>0</v>
      </c>
      <c r="AS348" s="46">
        <f t="shared" si="264"/>
        <v>0</v>
      </c>
      <c r="AT348" s="46">
        <f t="shared" si="264"/>
        <v>0</v>
      </c>
      <c r="AU348" s="46">
        <f t="shared" si="264"/>
        <v>0</v>
      </c>
      <c r="AV348" s="46">
        <f t="shared" si="264"/>
        <v>0</v>
      </c>
      <c r="AW348" s="46">
        <f t="shared" si="264"/>
        <v>0</v>
      </c>
      <c r="AX348" s="46">
        <f t="shared" si="264"/>
        <v>0</v>
      </c>
      <c r="AY348" s="46">
        <f t="shared" si="264"/>
        <v>0</v>
      </c>
      <c r="AZ348" s="46">
        <f t="shared" si="264"/>
        <v>0</v>
      </c>
      <c r="BA348" s="46">
        <f t="shared" si="264"/>
        <v>0</v>
      </c>
      <c r="BB348" s="46">
        <f t="shared" si="264"/>
        <v>0</v>
      </c>
      <c r="BC348" s="46">
        <f t="shared" si="264"/>
        <v>0</v>
      </c>
      <c r="BD348" s="46">
        <f t="shared" si="264"/>
        <v>0</v>
      </c>
      <c r="BE348" s="46"/>
    </row>
    <row r="349" spans="1:57" ht="14.25" customHeight="1" x14ac:dyDescent="0.3">
      <c r="A349" s="46"/>
      <c r="B349" s="37"/>
      <c r="C349" s="37" t="s">
        <v>179</v>
      </c>
      <c r="D349" s="51">
        <f>SUM(D331:D348)</f>
        <v>-6803313</v>
      </c>
      <c r="E349" s="51">
        <f t="shared" ref="E349:BD349" si="265">SUM(E331:E348)</f>
        <v>-430000</v>
      </c>
      <c r="F349" s="51">
        <f t="shared" si="265"/>
        <v>-3670000</v>
      </c>
      <c r="G349" s="51">
        <f t="shared" si="265"/>
        <v>0</v>
      </c>
      <c r="H349" s="51">
        <f t="shared" si="265"/>
        <v>0</v>
      </c>
      <c r="I349" s="51">
        <f>SUM(I331:I348)</f>
        <v>-4198722</v>
      </c>
      <c r="J349" s="51">
        <f t="shared" si="265"/>
        <v>-31650</v>
      </c>
      <c r="K349" s="51">
        <f t="shared" si="265"/>
        <v>-60858</v>
      </c>
      <c r="L349" s="51">
        <f t="shared" si="265"/>
        <v>-23385</v>
      </c>
      <c r="M349" s="51">
        <f>SUM(M331:M348)</f>
        <v>-148698</v>
      </c>
      <c r="N349" s="51">
        <f t="shared" si="265"/>
        <v>0</v>
      </c>
      <c r="O349" s="51">
        <f t="shared" si="265"/>
        <v>-575000</v>
      </c>
      <c r="P349" s="51">
        <f t="shared" si="265"/>
        <v>-415000</v>
      </c>
      <c r="Q349" s="51">
        <f t="shared" si="265"/>
        <v>-855000</v>
      </c>
      <c r="R349" s="51">
        <f t="shared" si="265"/>
        <v>0</v>
      </c>
      <c r="S349" s="51">
        <f t="shared" si="265"/>
        <v>-65000</v>
      </c>
      <c r="T349" s="51">
        <f t="shared" si="265"/>
        <v>-430000</v>
      </c>
      <c r="U349" s="51">
        <f t="shared" si="265"/>
        <v>0</v>
      </c>
      <c r="V349" s="51">
        <f t="shared" si="265"/>
        <v>-430000</v>
      </c>
      <c r="W349" s="51">
        <f t="shared" si="265"/>
        <v>0</v>
      </c>
      <c r="X349" s="51">
        <f t="shared" si="265"/>
        <v>0</v>
      </c>
      <c r="Y349" s="51">
        <f t="shared" si="265"/>
        <v>0</v>
      </c>
      <c r="Z349" s="51">
        <f t="shared" si="265"/>
        <v>0</v>
      </c>
      <c r="AA349" s="51">
        <f t="shared" si="265"/>
        <v>0</v>
      </c>
      <c r="AB349" s="51">
        <f t="shared" si="265"/>
        <v>0</v>
      </c>
      <c r="AC349" s="51">
        <f t="shared" si="265"/>
        <v>0</v>
      </c>
      <c r="AD349" s="51">
        <f t="shared" si="265"/>
        <v>0</v>
      </c>
      <c r="AE349" s="51">
        <f t="shared" si="265"/>
        <v>0</v>
      </c>
      <c r="AF349" s="51">
        <f t="shared" si="265"/>
        <v>0</v>
      </c>
      <c r="AG349" s="51">
        <f t="shared" si="265"/>
        <v>-3670000</v>
      </c>
      <c r="AH349" s="51">
        <f t="shared" si="265"/>
        <v>0</v>
      </c>
      <c r="AI349" s="51">
        <f t="shared" si="265"/>
        <v>0</v>
      </c>
      <c r="AJ349" s="51">
        <f t="shared" si="265"/>
        <v>0</v>
      </c>
      <c r="AK349" s="51">
        <f t="shared" si="265"/>
        <v>0</v>
      </c>
      <c r="AL349" s="51">
        <f t="shared" si="265"/>
        <v>0</v>
      </c>
      <c r="AM349" s="51">
        <f t="shared" si="265"/>
        <v>0</v>
      </c>
      <c r="AN349" s="51">
        <f t="shared" si="265"/>
        <v>0</v>
      </c>
      <c r="AO349" s="51">
        <f t="shared" si="265"/>
        <v>0</v>
      </c>
      <c r="AP349" s="51">
        <f t="shared" si="265"/>
        <v>0</v>
      </c>
      <c r="AQ349" s="51">
        <f t="shared" si="265"/>
        <v>0</v>
      </c>
      <c r="AR349" s="51">
        <f t="shared" si="265"/>
        <v>0</v>
      </c>
      <c r="AS349" s="51">
        <f t="shared" si="265"/>
        <v>0</v>
      </c>
      <c r="AT349" s="51">
        <f t="shared" si="265"/>
        <v>0</v>
      </c>
      <c r="AU349" s="51">
        <f t="shared" si="265"/>
        <v>0</v>
      </c>
      <c r="AV349" s="51">
        <f t="shared" si="265"/>
        <v>0</v>
      </c>
      <c r="AW349" s="51">
        <f t="shared" si="265"/>
        <v>0</v>
      </c>
      <c r="AX349" s="51">
        <f t="shared" si="265"/>
        <v>0</v>
      </c>
      <c r="AY349" s="51">
        <f t="shared" si="265"/>
        <v>0</v>
      </c>
      <c r="AZ349" s="51">
        <f t="shared" si="265"/>
        <v>0</v>
      </c>
      <c r="BA349" s="51">
        <f t="shared" si="265"/>
        <v>0</v>
      </c>
      <c r="BB349" s="51">
        <f t="shared" si="265"/>
        <v>0</v>
      </c>
      <c r="BC349" s="51">
        <f t="shared" si="265"/>
        <v>0</v>
      </c>
      <c r="BD349" s="51">
        <f t="shared" si="265"/>
        <v>0</v>
      </c>
      <c r="BE349" s="51"/>
    </row>
    <row r="350" spans="1:57" ht="14.25" customHeight="1" x14ac:dyDescent="0.3">
      <c r="A350" s="46"/>
      <c r="B350" s="37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  <c r="AC350" s="46"/>
      <c r="AD350" s="46"/>
      <c r="AE350" s="46"/>
      <c r="AF350" s="46"/>
      <c r="AG350" s="46"/>
      <c r="AH350" s="46"/>
      <c r="AI350" s="46"/>
      <c r="AJ350" s="46"/>
      <c r="AK350" s="46"/>
      <c r="AL350" s="46"/>
      <c r="AM350" s="46"/>
      <c r="AN350" s="46"/>
      <c r="AO350" s="46"/>
      <c r="AP350" s="46"/>
      <c r="AQ350" s="46"/>
      <c r="AR350" s="46"/>
      <c r="AS350" s="46"/>
      <c r="AT350" s="46"/>
      <c r="AU350" s="46"/>
      <c r="AV350" s="46"/>
      <c r="AW350" s="46"/>
      <c r="AX350" s="46"/>
      <c r="AY350" s="46"/>
      <c r="AZ350" s="46"/>
      <c r="BA350" s="46"/>
      <c r="BB350" s="46"/>
      <c r="BC350" s="46"/>
      <c r="BD350" s="46"/>
      <c r="BE350" s="46"/>
    </row>
    <row r="351" spans="1:57" ht="14.25" customHeight="1" x14ac:dyDescent="0.3">
      <c r="A351" s="46"/>
      <c r="B351" s="37" t="s">
        <v>180</v>
      </c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  <c r="AC351" s="46"/>
      <c r="AD351" s="46"/>
      <c r="AE351" s="46"/>
      <c r="AF351" s="46"/>
      <c r="AG351" s="46"/>
      <c r="AH351" s="46"/>
      <c r="AI351" s="46"/>
      <c r="AJ351" s="46"/>
      <c r="AK351" s="46"/>
      <c r="AL351" s="46"/>
      <c r="AM351" s="46"/>
      <c r="AN351" s="46"/>
      <c r="AO351" s="46"/>
      <c r="AP351" s="46"/>
      <c r="AQ351" s="46"/>
      <c r="AR351" s="46"/>
      <c r="AS351" s="46"/>
      <c r="AT351" s="46"/>
      <c r="AU351" s="46"/>
      <c r="AV351" s="46"/>
      <c r="AW351" s="46"/>
      <c r="AX351" s="46"/>
      <c r="AY351" s="46"/>
      <c r="AZ351" s="46"/>
      <c r="BA351" s="46"/>
      <c r="BB351" s="46"/>
      <c r="BC351" s="46"/>
      <c r="BD351" s="46"/>
      <c r="BE351" s="46"/>
    </row>
    <row r="352" spans="1:57" ht="14.25" customHeight="1" x14ac:dyDescent="0.3">
      <c r="A352" s="46"/>
      <c r="B352" s="37"/>
      <c r="C352" s="46" t="str">
        <f>C305</f>
        <v>Depreciation</v>
      </c>
      <c r="D352" s="46">
        <f>SUMIF($2:$2,D$250,352:352)</f>
        <v>3667596</v>
      </c>
      <c r="E352" s="46">
        <f>SUMIF($2:$2,E$250,352:352)</f>
        <v>3667596</v>
      </c>
      <c r="F352" s="46">
        <f>SUMIF($2:$2,F$250,352:352)</f>
        <v>3667596</v>
      </c>
      <c r="G352" s="46">
        <f>SUMIF($2:$2,G$250,352:352)</f>
        <v>3667596</v>
      </c>
      <c r="H352" s="46"/>
      <c r="I352" s="70">
        <f t="shared" ref="I352:BD352" si="266">(I305)*-1</f>
        <v>305633</v>
      </c>
      <c r="J352" s="70">
        <f t="shared" si="266"/>
        <v>305633</v>
      </c>
      <c r="K352" s="70">
        <f t="shared" si="266"/>
        <v>305633</v>
      </c>
      <c r="L352" s="70">
        <f t="shared" si="266"/>
        <v>305633</v>
      </c>
      <c r="M352" s="70">
        <f t="shared" si="266"/>
        <v>305633</v>
      </c>
      <c r="N352" s="70">
        <f t="shared" si="266"/>
        <v>305633</v>
      </c>
      <c r="O352" s="70">
        <f t="shared" si="266"/>
        <v>305633</v>
      </c>
      <c r="P352" s="70">
        <f t="shared" si="266"/>
        <v>305633</v>
      </c>
      <c r="Q352" s="70">
        <f t="shared" si="266"/>
        <v>305633</v>
      </c>
      <c r="R352" s="70">
        <f t="shared" si="266"/>
        <v>305633</v>
      </c>
      <c r="S352" s="70">
        <f t="shared" si="266"/>
        <v>305633</v>
      </c>
      <c r="T352" s="70">
        <f t="shared" si="266"/>
        <v>305633</v>
      </c>
      <c r="U352" s="70">
        <f t="shared" si="266"/>
        <v>305633</v>
      </c>
      <c r="V352" s="70">
        <f t="shared" si="266"/>
        <v>305633</v>
      </c>
      <c r="W352" s="70">
        <f t="shared" si="266"/>
        <v>305633</v>
      </c>
      <c r="X352" s="70">
        <f t="shared" si="266"/>
        <v>305633</v>
      </c>
      <c r="Y352" s="70">
        <f t="shared" si="266"/>
        <v>305633</v>
      </c>
      <c r="Z352" s="70">
        <f t="shared" si="266"/>
        <v>305633</v>
      </c>
      <c r="AA352" s="70">
        <f t="shared" si="266"/>
        <v>305633</v>
      </c>
      <c r="AB352" s="70">
        <f t="shared" si="266"/>
        <v>305633</v>
      </c>
      <c r="AC352" s="70">
        <f t="shared" si="266"/>
        <v>305633</v>
      </c>
      <c r="AD352" s="70">
        <f t="shared" si="266"/>
        <v>305633</v>
      </c>
      <c r="AE352" s="70">
        <f t="shared" si="266"/>
        <v>305633</v>
      </c>
      <c r="AF352" s="70">
        <f t="shared" si="266"/>
        <v>305633</v>
      </c>
      <c r="AG352" s="70">
        <f t="shared" si="266"/>
        <v>305633</v>
      </c>
      <c r="AH352" s="70">
        <f t="shared" si="266"/>
        <v>305633</v>
      </c>
      <c r="AI352" s="70">
        <f t="shared" si="266"/>
        <v>305633</v>
      </c>
      <c r="AJ352" s="70">
        <f t="shared" si="266"/>
        <v>305633</v>
      </c>
      <c r="AK352" s="70">
        <f t="shared" si="266"/>
        <v>305633</v>
      </c>
      <c r="AL352" s="70">
        <f t="shared" si="266"/>
        <v>305633</v>
      </c>
      <c r="AM352" s="70">
        <f t="shared" si="266"/>
        <v>305633</v>
      </c>
      <c r="AN352" s="70">
        <f t="shared" si="266"/>
        <v>305633</v>
      </c>
      <c r="AO352" s="70">
        <f t="shared" si="266"/>
        <v>305633</v>
      </c>
      <c r="AP352" s="70">
        <f t="shared" si="266"/>
        <v>305633</v>
      </c>
      <c r="AQ352" s="70">
        <f t="shared" si="266"/>
        <v>305633</v>
      </c>
      <c r="AR352" s="70">
        <f t="shared" si="266"/>
        <v>305633</v>
      </c>
      <c r="AS352" s="70">
        <f t="shared" si="266"/>
        <v>305633</v>
      </c>
      <c r="AT352" s="70">
        <f t="shared" si="266"/>
        <v>305633</v>
      </c>
      <c r="AU352" s="70">
        <f t="shared" si="266"/>
        <v>305633</v>
      </c>
      <c r="AV352" s="70">
        <f t="shared" si="266"/>
        <v>305633</v>
      </c>
      <c r="AW352" s="70">
        <f t="shared" si="266"/>
        <v>305633</v>
      </c>
      <c r="AX352" s="70">
        <f t="shared" si="266"/>
        <v>305633</v>
      </c>
      <c r="AY352" s="70">
        <f t="shared" si="266"/>
        <v>305633</v>
      </c>
      <c r="AZ352" s="70">
        <f t="shared" si="266"/>
        <v>305633</v>
      </c>
      <c r="BA352" s="70">
        <f t="shared" si="266"/>
        <v>305633</v>
      </c>
      <c r="BB352" s="70">
        <f t="shared" si="266"/>
        <v>305633</v>
      </c>
      <c r="BC352" s="70">
        <f t="shared" si="266"/>
        <v>305633</v>
      </c>
      <c r="BD352" s="70">
        <f t="shared" si="266"/>
        <v>305633</v>
      </c>
      <c r="BE352" s="46"/>
    </row>
    <row r="353" spans="1:57" ht="14.25" customHeight="1" x14ac:dyDescent="0.3">
      <c r="A353" s="46"/>
      <c r="B353" s="37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  <c r="AC353" s="46"/>
      <c r="AD353" s="46"/>
      <c r="AE353" s="46"/>
      <c r="AF353" s="46"/>
      <c r="AG353" s="46"/>
      <c r="AH353" s="46"/>
      <c r="AI353" s="46"/>
      <c r="AJ353" s="46"/>
      <c r="AK353" s="46"/>
      <c r="AL353" s="46"/>
      <c r="AM353" s="46"/>
      <c r="AN353" s="46"/>
      <c r="AO353" s="46"/>
      <c r="AP353" s="46"/>
      <c r="AQ353" s="46"/>
      <c r="AR353" s="46"/>
      <c r="AS353" s="46"/>
      <c r="AT353" s="46"/>
      <c r="AU353" s="46"/>
      <c r="AV353" s="46"/>
      <c r="AW353" s="46"/>
      <c r="AX353" s="46"/>
      <c r="AY353" s="46"/>
      <c r="AZ353" s="46"/>
      <c r="BA353" s="46"/>
      <c r="BB353" s="46"/>
      <c r="BC353" s="46"/>
      <c r="BD353" s="46"/>
      <c r="BE353" s="46"/>
    </row>
    <row r="354" spans="1:57" ht="14.25" customHeight="1" x14ac:dyDescent="0.3">
      <c r="A354" s="37"/>
      <c r="B354" s="37" t="s">
        <v>181</v>
      </c>
      <c r="C354" s="46"/>
      <c r="D354" s="68">
        <f>SUMIF($2:$2,D$250,354:354)</f>
        <v>-8098792.2388265319</v>
      </c>
      <c r="E354" s="68">
        <f>SUMIF($2:$2,E$250,354:354)</f>
        <v>3847516.137143434</v>
      </c>
      <c r="F354" s="68">
        <f>SUMIF($2:$2,F$250,354:354)</f>
        <v>7776562.3900827812</v>
      </c>
      <c r="G354" s="68">
        <f>SUMIF($2:$2,G$250,354:354)</f>
        <v>21101773.861668058</v>
      </c>
      <c r="H354" s="37"/>
      <c r="I354" s="68">
        <f>SUM(I328,I349,I352)</f>
        <v>-3680789.3028695695</v>
      </c>
      <c r="J354" s="68">
        <f t="shared" ref="J354:BD354" si="267">SUM(J328,J349,J352)</f>
        <v>-508619.43199999956</v>
      </c>
      <c r="K354" s="68">
        <f t="shared" si="267"/>
        <v>167980.92099999846</v>
      </c>
      <c r="L354" s="68">
        <f t="shared" si="267"/>
        <v>-27519.323000000091</v>
      </c>
      <c r="M354" s="68">
        <f t="shared" si="267"/>
        <v>-12689.013000000268</v>
      </c>
      <c r="N354" s="68">
        <f t="shared" si="267"/>
        <v>-1039910.878</v>
      </c>
      <c r="O354" s="68">
        <f t="shared" si="267"/>
        <v>-1352546.7879999999</v>
      </c>
      <c r="P354" s="68">
        <f t="shared" si="267"/>
        <v>-150710.61564642866</v>
      </c>
      <c r="Q354" s="68">
        <f t="shared" si="267"/>
        <v>-1065625.9716740898</v>
      </c>
      <c r="R354" s="68">
        <f t="shared" si="267"/>
        <v>-53611.968433986185</v>
      </c>
      <c r="S354" s="68">
        <f t="shared" si="267"/>
        <v>-53535.814062746707</v>
      </c>
      <c r="T354" s="68">
        <f t="shared" si="267"/>
        <v>-321214.05313970917</v>
      </c>
      <c r="U354" s="68">
        <f t="shared" si="267"/>
        <v>-1614.3331019161269</v>
      </c>
      <c r="V354" s="68">
        <f t="shared" si="267"/>
        <v>-369257.16116227396</v>
      </c>
      <c r="W354" s="68">
        <f t="shared" si="267"/>
        <v>121367.48232863005</v>
      </c>
      <c r="X354" s="68">
        <f t="shared" si="267"/>
        <v>182986.22141683567</v>
      </c>
      <c r="Y354" s="68">
        <f t="shared" si="267"/>
        <v>247312.31478145788</v>
      </c>
      <c r="Z354" s="68">
        <f t="shared" si="267"/>
        <v>314489.04065068695</v>
      </c>
      <c r="AA354" s="68">
        <f t="shared" si="267"/>
        <v>384668.574843348</v>
      </c>
      <c r="AB354" s="68">
        <f t="shared" si="267"/>
        <v>458012.62524725636</v>
      </c>
      <c r="AC354" s="68">
        <f t="shared" si="267"/>
        <v>534693.11712347716</v>
      </c>
      <c r="AD354" s="68">
        <f t="shared" si="267"/>
        <v>610922.97669488937</v>
      </c>
      <c r="AE354" s="68">
        <f t="shared" si="267"/>
        <v>657741.51882466581</v>
      </c>
      <c r="AF354" s="68">
        <f t="shared" si="267"/>
        <v>706193.75949637685</v>
      </c>
      <c r="AG354" s="68">
        <f t="shared" si="267"/>
        <v>-3038764.5984548982</v>
      </c>
      <c r="AH354" s="68">
        <f t="shared" si="267"/>
        <v>683155.80276510352</v>
      </c>
      <c r="AI354" s="68">
        <f t="shared" si="267"/>
        <v>736916.71187510761</v>
      </c>
      <c r="AJ354" s="68">
        <f t="shared" si="267"/>
        <v>792593.35163807264</v>
      </c>
      <c r="AK354" s="68">
        <f t="shared" si="267"/>
        <v>850264.33900776459</v>
      </c>
      <c r="AL354" s="68">
        <f t="shared" si="267"/>
        <v>910011.84684402402</v>
      </c>
      <c r="AM354" s="68">
        <f t="shared" si="267"/>
        <v>971921.77353877807</v>
      </c>
      <c r="AN354" s="68">
        <f t="shared" si="267"/>
        <v>1036083.9209444197</v>
      </c>
      <c r="AO354" s="68">
        <f t="shared" si="267"/>
        <v>1102592.1810157741</v>
      </c>
      <c r="AP354" s="68">
        <f t="shared" si="267"/>
        <v>1171544.7315972531</v>
      </c>
      <c r="AQ354" s="68">
        <f t="shared" si="267"/>
        <v>1243044.2418083302</v>
      </c>
      <c r="AR354" s="68">
        <f t="shared" si="267"/>
        <v>1317198.0875030523</v>
      </c>
      <c r="AS354" s="68">
        <f t="shared" si="267"/>
        <v>1268048.0717347451</v>
      </c>
      <c r="AT354" s="68">
        <f t="shared" si="267"/>
        <v>1347852.6841593855</v>
      </c>
      <c r="AU354" s="68">
        <f t="shared" si="267"/>
        <v>1430664.3164049932</v>
      </c>
      <c r="AV354" s="68">
        <f t="shared" si="267"/>
        <v>1516611.5453488561</v>
      </c>
      <c r="AW354" s="68">
        <f t="shared" si="267"/>
        <v>1605828.9013861432</v>
      </c>
      <c r="AX354" s="68">
        <f t="shared" si="267"/>
        <v>1698457.1557358941</v>
      </c>
      <c r="AY354" s="68">
        <f t="shared" si="267"/>
        <v>1794643.6218847595</v>
      </c>
      <c r="AZ354" s="68">
        <f t="shared" si="267"/>
        <v>1894542.4718702636</v>
      </c>
      <c r="BA354" s="68">
        <f t="shared" si="267"/>
        <v>1988125.1859985651</v>
      </c>
      <c r="BB354" s="68">
        <f t="shared" si="267"/>
        <v>2084248.1825682307</v>
      </c>
      <c r="BC354" s="68">
        <f t="shared" si="267"/>
        <v>2184298.3253746331</v>
      </c>
      <c r="BD354" s="68">
        <f t="shared" si="267"/>
        <v>2288453.3992015924</v>
      </c>
      <c r="BE354" s="68"/>
    </row>
    <row r="355" spans="1:57" ht="14.25" customHeight="1" x14ac:dyDescent="0.3">
      <c r="A355" s="46"/>
      <c r="B355" s="37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  <c r="AC355" s="46"/>
      <c r="AD355" s="46"/>
      <c r="AE355" s="46"/>
      <c r="AF355" s="46"/>
      <c r="AG355" s="46"/>
      <c r="AH355" s="46"/>
      <c r="AI355" s="46"/>
      <c r="AJ355" s="46"/>
      <c r="AK355" s="46"/>
      <c r="AL355" s="46"/>
      <c r="AM355" s="46"/>
      <c r="AN355" s="46"/>
      <c r="AO355" s="46"/>
      <c r="AP355" s="46"/>
      <c r="AQ355" s="46"/>
      <c r="AR355" s="46"/>
      <c r="AS355" s="46"/>
      <c r="AT355" s="46"/>
      <c r="AU355" s="46"/>
      <c r="AV355" s="46"/>
      <c r="AW355" s="46"/>
      <c r="AX355" s="46"/>
      <c r="AY355" s="46"/>
      <c r="AZ355" s="46"/>
      <c r="BA355" s="46"/>
      <c r="BB355" s="46"/>
      <c r="BC355" s="46"/>
      <c r="BD355" s="46"/>
      <c r="BE355" s="46"/>
    </row>
    <row r="356" spans="1:57" ht="14.25" customHeight="1" x14ac:dyDescent="0.3">
      <c r="A356" s="46"/>
      <c r="B356" s="37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  <c r="AC356" s="46"/>
      <c r="AD356" s="46"/>
      <c r="AE356" s="46"/>
      <c r="AF356" s="46"/>
      <c r="AG356" s="46"/>
      <c r="AH356" s="46"/>
      <c r="AI356" s="46"/>
      <c r="AJ356" s="46"/>
      <c r="AK356" s="46"/>
      <c r="AL356" s="46"/>
      <c r="AM356" s="46"/>
      <c r="AN356" s="46"/>
      <c r="AO356" s="46"/>
      <c r="AP356" s="46"/>
      <c r="AQ356" s="46"/>
      <c r="AR356" s="46"/>
      <c r="AS356" s="46"/>
      <c r="AT356" s="46"/>
      <c r="AU356" s="46"/>
      <c r="AV356" s="46"/>
      <c r="AW356" s="46"/>
      <c r="AX356" s="46"/>
      <c r="AY356" s="46"/>
      <c r="AZ356" s="46"/>
      <c r="BA356" s="46"/>
      <c r="BB356" s="46"/>
      <c r="BC356" s="46"/>
      <c r="BD356" s="46"/>
      <c r="BE356" s="46"/>
    </row>
    <row r="357" spans="1:57" ht="14.25" customHeight="1" x14ac:dyDescent="0.3">
      <c r="A357" s="46"/>
      <c r="B357" s="37" t="s">
        <v>183</v>
      </c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  <c r="AC357" s="46"/>
      <c r="AD357" s="46"/>
      <c r="AE357" s="46"/>
      <c r="AF357" s="46"/>
      <c r="AG357" s="46"/>
      <c r="AH357" s="46"/>
      <c r="AI357" s="46"/>
      <c r="AJ357" s="46"/>
      <c r="AK357" s="46"/>
      <c r="AL357" s="46"/>
      <c r="AM357" s="46"/>
      <c r="AN357" s="46"/>
      <c r="AO357" s="46"/>
      <c r="AP357" s="46"/>
      <c r="AQ357" s="46"/>
      <c r="AR357" s="46"/>
      <c r="AS357" s="46"/>
      <c r="AT357" s="46"/>
      <c r="AU357" s="46"/>
      <c r="AV357" s="46"/>
      <c r="AW357" s="46"/>
      <c r="AX357" s="46"/>
      <c r="AY357" s="46"/>
      <c r="AZ357" s="46"/>
      <c r="BA357" s="46"/>
      <c r="BB357" s="46"/>
      <c r="BC357" s="46"/>
      <c r="BD357" s="46"/>
      <c r="BE357" s="46"/>
    </row>
    <row r="358" spans="1:57" ht="14.25" customHeight="1" x14ac:dyDescent="0.3">
      <c r="A358" s="46"/>
      <c r="B358" s="37"/>
      <c r="C358" s="46" t="s">
        <v>184</v>
      </c>
      <c r="D358" s="46">
        <f>H358</f>
        <v>0</v>
      </c>
      <c r="E358" s="46">
        <f>D361</f>
        <v>-642974.72882653214</v>
      </c>
      <c r="F358" s="46">
        <f t="shared" ref="F358:G358" si="268">E361</f>
        <v>3204541.4083169019</v>
      </c>
      <c r="G358" s="46">
        <f t="shared" si="268"/>
        <v>10981103.798399683</v>
      </c>
      <c r="H358" s="46"/>
      <c r="I358" s="46">
        <f>H361</f>
        <v>0</v>
      </c>
      <c r="J358" s="46">
        <f t="shared" ref="J358:BD358" si="269">I361</f>
        <v>2603565.6971304305</v>
      </c>
      <c r="K358" s="46">
        <f t="shared" si="269"/>
        <v>2094946.2651304309</v>
      </c>
      <c r="L358" s="46">
        <f t="shared" si="269"/>
        <v>2262927.1861304296</v>
      </c>
      <c r="M358" s="46">
        <f t="shared" si="269"/>
        <v>2235407.8631304298</v>
      </c>
      <c r="N358" s="46">
        <f t="shared" si="269"/>
        <v>2222718.8501304295</v>
      </c>
      <c r="O358" s="46">
        <f t="shared" si="269"/>
        <v>1182807.9721304295</v>
      </c>
      <c r="P358" s="46">
        <f t="shared" si="269"/>
        <v>-169738.81586957048</v>
      </c>
      <c r="Q358" s="46">
        <f t="shared" si="269"/>
        <v>-320449.43151599914</v>
      </c>
      <c r="R358" s="46">
        <f t="shared" si="269"/>
        <v>-214612.89319008891</v>
      </c>
      <c r="S358" s="46">
        <f t="shared" si="269"/>
        <v>-268224.8616240751</v>
      </c>
      <c r="T358" s="46">
        <f t="shared" si="269"/>
        <v>-321760.67568682181</v>
      </c>
      <c r="U358" s="46">
        <f t="shared" si="269"/>
        <v>-642974.72882653098</v>
      </c>
      <c r="V358" s="46">
        <f t="shared" si="269"/>
        <v>-644589.0619284471</v>
      </c>
      <c r="W358" s="46">
        <f t="shared" si="269"/>
        <v>-1013846.2230907211</v>
      </c>
      <c r="X358" s="46">
        <f t="shared" si="269"/>
        <v>-892478.74076209101</v>
      </c>
      <c r="Y358" s="46">
        <f t="shared" si="269"/>
        <v>-709492.51934525534</v>
      </c>
      <c r="Z358" s="46">
        <f t="shared" si="269"/>
        <v>-462180.20456379745</v>
      </c>
      <c r="AA358" s="46">
        <f t="shared" si="269"/>
        <v>-147691.1639131105</v>
      </c>
      <c r="AB358" s="46">
        <f t="shared" si="269"/>
        <v>236977.4109302375</v>
      </c>
      <c r="AC358" s="46">
        <f t="shared" si="269"/>
        <v>694990.03617749386</v>
      </c>
      <c r="AD358" s="46">
        <f t="shared" si="269"/>
        <v>1229683.153300971</v>
      </c>
      <c r="AE358" s="46">
        <f t="shared" si="269"/>
        <v>1840606.1299958604</v>
      </c>
      <c r="AF358" s="46">
        <f t="shared" si="269"/>
        <v>2498347.648820526</v>
      </c>
      <c r="AG358" s="46">
        <f t="shared" si="269"/>
        <v>3204541.4083169028</v>
      </c>
      <c r="AH358" s="46">
        <f t="shared" si="269"/>
        <v>165776.80986200459</v>
      </c>
      <c r="AI358" s="46">
        <f t="shared" si="269"/>
        <v>848932.61262710812</v>
      </c>
      <c r="AJ358" s="46">
        <f t="shared" si="269"/>
        <v>1585849.3245022157</v>
      </c>
      <c r="AK358" s="46">
        <f t="shared" si="269"/>
        <v>2378442.6761402884</v>
      </c>
      <c r="AL358" s="46">
        <f t="shared" si="269"/>
        <v>3228707.0151480529</v>
      </c>
      <c r="AM358" s="46">
        <f t="shared" si="269"/>
        <v>4138718.861992077</v>
      </c>
      <c r="AN358" s="46">
        <f t="shared" si="269"/>
        <v>5110640.6355308555</v>
      </c>
      <c r="AO358" s="46">
        <f t="shared" si="269"/>
        <v>6146724.5564752752</v>
      </c>
      <c r="AP358" s="46">
        <f t="shared" si="269"/>
        <v>7249316.7374910489</v>
      </c>
      <c r="AQ358" s="46">
        <f t="shared" si="269"/>
        <v>8420861.4690883011</v>
      </c>
      <c r="AR358" s="46">
        <f t="shared" si="269"/>
        <v>9663905.7108966317</v>
      </c>
      <c r="AS358" s="46">
        <f t="shared" si="269"/>
        <v>10981103.798399683</v>
      </c>
      <c r="AT358" s="46">
        <f t="shared" si="269"/>
        <v>12249151.870134428</v>
      </c>
      <c r="AU358" s="46">
        <f t="shared" si="269"/>
        <v>13597004.554293813</v>
      </c>
      <c r="AV358" s="46">
        <f t="shared" si="269"/>
        <v>15027668.870698806</v>
      </c>
      <c r="AW358" s="46">
        <f t="shared" si="269"/>
        <v>16544280.416047662</v>
      </c>
      <c r="AX358" s="46">
        <f t="shared" si="269"/>
        <v>18150109.317433804</v>
      </c>
      <c r="AY358" s="46">
        <f t="shared" si="269"/>
        <v>19848566.473169699</v>
      </c>
      <c r="AZ358" s="46">
        <f t="shared" si="269"/>
        <v>21643210.095054459</v>
      </c>
      <c r="BA358" s="46">
        <f t="shared" si="269"/>
        <v>23537752.566924721</v>
      </c>
      <c r="BB358" s="46">
        <f t="shared" si="269"/>
        <v>25525877.752923287</v>
      </c>
      <c r="BC358" s="46">
        <f t="shared" si="269"/>
        <v>27610125.935491517</v>
      </c>
      <c r="BD358" s="46">
        <f t="shared" si="269"/>
        <v>29794424.26086615</v>
      </c>
      <c r="BE358" s="46"/>
    </row>
    <row r="359" spans="1:57" ht="14.25" customHeight="1" x14ac:dyDescent="0.3">
      <c r="A359" s="46"/>
      <c r="B359" s="37"/>
      <c r="C359" s="46" t="s">
        <v>182</v>
      </c>
      <c r="D359" s="46">
        <f t="shared" ref="D359:G360" si="270">SUMIF($2:$2,D$250,359:359)</f>
        <v>7455817.5099999998</v>
      </c>
      <c r="E359" s="46">
        <f t="shared" si="270"/>
        <v>0</v>
      </c>
      <c r="F359" s="46">
        <f t="shared" si="270"/>
        <v>0</v>
      </c>
      <c r="G359" s="46">
        <f t="shared" si="270"/>
        <v>0</v>
      </c>
      <c r="H359" s="46"/>
      <c r="I359" s="59">
        <f>'[1]UK V4'!E336*22.8522</f>
        <v>6284355</v>
      </c>
      <c r="J359" s="71"/>
      <c r="K359" s="71"/>
      <c r="L359" s="71"/>
      <c r="M359" s="71"/>
      <c r="N359" s="71"/>
      <c r="O359" s="71"/>
      <c r="P359" s="71"/>
      <c r="Q359" s="59">
        <v>1171462.51</v>
      </c>
      <c r="R359" s="71"/>
      <c r="S359" s="71"/>
      <c r="T359" s="71"/>
      <c r="U359" s="71"/>
      <c r="V359" s="71"/>
      <c r="W359" s="71"/>
      <c r="X359" s="71"/>
      <c r="Y359" s="71"/>
      <c r="Z359" s="71"/>
      <c r="AA359" s="71"/>
      <c r="AB359" s="71"/>
      <c r="AC359" s="71"/>
      <c r="AD359" s="71"/>
      <c r="AE359" s="71"/>
      <c r="AF359" s="71"/>
      <c r="AG359" s="71"/>
      <c r="AH359" s="71"/>
      <c r="AI359" s="71"/>
      <c r="AJ359" s="71"/>
      <c r="AK359" s="71"/>
      <c r="AL359" s="71"/>
      <c r="AM359" s="71"/>
      <c r="AN359" s="71"/>
      <c r="AO359" s="71"/>
      <c r="AP359" s="71"/>
      <c r="AQ359" s="71"/>
      <c r="AR359" s="71"/>
      <c r="AS359" s="71"/>
      <c r="AT359" s="71"/>
      <c r="AU359" s="71"/>
      <c r="AV359" s="71"/>
      <c r="AW359" s="71"/>
      <c r="AX359" s="71"/>
      <c r="AY359" s="71"/>
      <c r="AZ359" s="71"/>
      <c r="BA359" s="71"/>
      <c r="BB359" s="71"/>
      <c r="BC359" s="71"/>
      <c r="BD359" s="71"/>
      <c r="BE359" s="46"/>
    </row>
    <row r="360" spans="1:57" ht="14.25" customHeight="1" x14ac:dyDescent="0.3">
      <c r="A360" s="46"/>
      <c r="B360" s="37"/>
      <c r="C360" s="46" t="s">
        <v>185</v>
      </c>
      <c r="D360" s="46">
        <f t="shared" si="270"/>
        <v>-8098792.2388265319</v>
      </c>
      <c r="E360" s="46">
        <f t="shared" si="270"/>
        <v>3847516.137143434</v>
      </c>
      <c r="F360" s="46">
        <f t="shared" si="270"/>
        <v>7776562.3900827812</v>
      </c>
      <c r="G360" s="46">
        <f t="shared" si="270"/>
        <v>21101773.861668058</v>
      </c>
      <c r="H360" s="46"/>
      <c r="I360" s="46">
        <f t="shared" ref="I360:BD360" si="271">I354</f>
        <v>-3680789.3028695695</v>
      </c>
      <c r="J360" s="46">
        <f t="shared" si="271"/>
        <v>-508619.43199999956</v>
      </c>
      <c r="K360" s="46">
        <f t="shared" si="271"/>
        <v>167980.92099999846</v>
      </c>
      <c r="L360" s="46">
        <f t="shared" si="271"/>
        <v>-27519.323000000091</v>
      </c>
      <c r="M360" s="46">
        <f t="shared" si="271"/>
        <v>-12689.013000000268</v>
      </c>
      <c r="N360" s="46">
        <f t="shared" si="271"/>
        <v>-1039910.878</v>
      </c>
      <c r="O360" s="46">
        <f t="shared" si="271"/>
        <v>-1352546.7879999999</v>
      </c>
      <c r="P360" s="46">
        <f t="shared" si="271"/>
        <v>-150710.61564642866</v>
      </c>
      <c r="Q360" s="46">
        <f t="shared" si="271"/>
        <v>-1065625.9716740898</v>
      </c>
      <c r="R360" s="46">
        <f t="shared" si="271"/>
        <v>-53611.968433986185</v>
      </c>
      <c r="S360" s="46">
        <f t="shared" si="271"/>
        <v>-53535.814062746707</v>
      </c>
      <c r="T360" s="46">
        <f t="shared" si="271"/>
        <v>-321214.05313970917</v>
      </c>
      <c r="U360" s="46">
        <f t="shared" si="271"/>
        <v>-1614.3331019161269</v>
      </c>
      <c r="V360" s="46">
        <f t="shared" si="271"/>
        <v>-369257.16116227396</v>
      </c>
      <c r="W360" s="46">
        <f t="shared" si="271"/>
        <v>121367.48232863005</v>
      </c>
      <c r="X360" s="46">
        <f t="shared" si="271"/>
        <v>182986.22141683567</v>
      </c>
      <c r="Y360" s="46">
        <f t="shared" si="271"/>
        <v>247312.31478145788</v>
      </c>
      <c r="Z360" s="46">
        <f t="shared" si="271"/>
        <v>314489.04065068695</v>
      </c>
      <c r="AA360" s="46">
        <f t="shared" si="271"/>
        <v>384668.574843348</v>
      </c>
      <c r="AB360" s="46">
        <f t="shared" si="271"/>
        <v>458012.62524725636</v>
      </c>
      <c r="AC360" s="46">
        <f t="shared" si="271"/>
        <v>534693.11712347716</v>
      </c>
      <c r="AD360" s="46">
        <f t="shared" si="271"/>
        <v>610922.97669488937</v>
      </c>
      <c r="AE360" s="46">
        <f t="shared" si="271"/>
        <v>657741.51882466581</v>
      </c>
      <c r="AF360" s="46">
        <f t="shared" si="271"/>
        <v>706193.75949637685</v>
      </c>
      <c r="AG360" s="46">
        <f t="shared" si="271"/>
        <v>-3038764.5984548982</v>
      </c>
      <c r="AH360" s="46">
        <f t="shared" si="271"/>
        <v>683155.80276510352</v>
      </c>
      <c r="AI360" s="46">
        <f t="shared" si="271"/>
        <v>736916.71187510761</v>
      </c>
      <c r="AJ360" s="46">
        <f t="shared" si="271"/>
        <v>792593.35163807264</v>
      </c>
      <c r="AK360" s="46">
        <f t="shared" si="271"/>
        <v>850264.33900776459</v>
      </c>
      <c r="AL360" s="46">
        <f t="shared" si="271"/>
        <v>910011.84684402402</v>
      </c>
      <c r="AM360" s="46">
        <f t="shared" si="271"/>
        <v>971921.77353877807</v>
      </c>
      <c r="AN360" s="46">
        <f t="shared" si="271"/>
        <v>1036083.9209444197</v>
      </c>
      <c r="AO360" s="46">
        <f t="shared" si="271"/>
        <v>1102592.1810157741</v>
      </c>
      <c r="AP360" s="46">
        <f t="shared" si="271"/>
        <v>1171544.7315972531</v>
      </c>
      <c r="AQ360" s="46">
        <f t="shared" si="271"/>
        <v>1243044.2418083302</v>
      </c>
      <c r="AR360" s="46">
        <f t="shared" si="271"/>
        <v>1317198.0875030523</v>
      </c>
      <c r="AS360" s="46">
        <f t="shared" si="271"/>
        <v>1268048.0717347451</v>
      </c>
      <c r="AT360" s="46">
        <f t="shared" si="271"/>
        <v>1347852.6841593855</v>
      </c>
      <c r="AU360" s="46">
        <f t="shared" si="271"/>
        <v>1430664.3164049932</v>
      </c>
      <c r="AV360" s="46">
        <f t="shared" si="271"/>
        <v>1516611.5453488561</v>
      </c>
      <c r="AW360" s="46">
        <f t="shared" si="271"/>
        <v>1605828.9013861432</v>
      </c>
      <c r="AX360" s="46">
        <f t="shared" si="271"/>
        <v>1698457.1557358941</v>
      </c>
      <c r="AY360" s="46">
        <f t="shared" si="271"/>
        <v>1794643.6218847595</v>
      </c>
      <c r="AZ360" s="46">
        <f t="shared" si="271"/>
        <v>1894542.4718702636</v>
      </c>
      <c r="BA360" s="46">
        <f t="shared" si="271"/>
        <v>1988125.1859985651</v>
      </c>
      <c r="BB360" s="46">
        <f t="shared" si="271"/>
        <v>2084248.1825682307</v>
      </c>
      <c r="BC360" s="46">
        <f t="shared" si="271"/>
        <v>2184298.3253746331</v>
      </c>
      <c r="BD360" s="46">
        <f t="shared" si="271"/>
        <v>2288453.3992015924</v>
      </c>
      <c r="BE360" s="46"/>
    </row>
    <row r="361" spans="1:57" ht="14.25" customHeight="1" x14ac:dyDescent="0.3">
      <c r="A361" s="46"/>
      <c r="B361" s="37"/>
      <c r="C361" s="46" t="s">
        <v>186</v>
      </c>
      <c r="D361" s="63">
        <f>SUM(D358:D360)</f>
        <v>-642974.72882653214</v>
      </c>
      <c r="E361" s="63">
        <f t="shared" ref="E361:G361" si="272">SUM(E358:E360)</f>
        <v>3204541.4083169019</v>
      </c>
      <c r="F361" s="63">
        <f t="shared" si="272"/>
        <v>10981103.798399683</v>
      </c>
      <c r="G361" s="63">
        <f t="shared" si="272"/>
        <v>32082877.660067741</v>
      </c>
      <c r="H361" s="46"/>
      <c r="I361" s="63">
        <f>SUM(I358:I360)</f>
        <v>2603565.6971304305</v>
      </c>
      <c r="J361" s="63">
        <f t="shared" ref="J361:BD361" si="273">SUM(J358:J360)</f>
        <v>2094946.2651304309</v>
      </c>
      <c r="K361" s="63">
        <f t="shared" si="273"/>
        <v>2262927.1861304296</v>
      </c>
      <c r="L361" s="63">
        <f t="shared" si="273"/>
        <v>2235407.8631304298</v>
      </c>
      <c r="M361" s="63">
        <f t="shared" si="273"/>
        <v>2222718.8501304295</v>
      </c>
      <c r="N361" s="63">
        <f t="shared" si="273"/>
        <v>1182807.9721304295</v>
      </c>
      <c r="O361" s="63">
        <f t="shared" si="273"/>
        <v>-169738.81586957048</v>
      </c>
      <c r="P361" s="63">
        <f t="shared" si="273"/>
        <v>-320449.43151599914</v>
      </c>
      <c r="Q361" s="63">
        <f t="shared" si="273"/>
        <v>-214612.89319008891</v>
      </c>
      <c r="R361" s="63">
        <f t="shared" si="273"/>
        <v>-268224.8616240751</v>
      </c>
      <c r="S361" s="63">
        <f t="shared" si="273"/>
        <v>-321760.67568682181</v>
      </c>
      <c r="T361" s="63">
        <f t="shared" si="273"/>
        <v>-642974.72882653098</v>
      </c>
      <c r="U361" s="63">
        <f t="shared" si="273"/>
        <v>-644589.0619284471</v>
      </c>
      <c r="V361" s="63">
        <f t="shared" si="273"/>
        <v>-1013846.2230907211</v>
      </c>
      <c r="W361" s="63">
        <f t="shared" si="273"/>
        <v>-892478.74076209101</v>
      </c>
      <c r="X361" s="63">
        <f t="shared" si="273"/>
        <v>-709492.51934525534</v>
      </c>
      <c r="Y361" s="63">
        <f t="shared" si="273"/>
        <v>-462180.20456379745</v>
      </c>
      <c r="Z361" s="63">
        <f t="shared" si="273"/>
        <v>-147691.1639131105</v>
      </c>
      <c r="AA361" s="63">
        <f t="shared" si="273"/>
        <v>236977.4109302375</v>
      </c>
      <c r="AB361" s="63">
        <f t="shared" si="273"/>
        <v>694990.03617749386</v>
      </c>
      <c r="AC361" s="63">
        <f t="shared" si="273"/>
        <v>1229683.153300971</v>
      </c>
      <c r="AD361" s="63">
        <f t="shared" si="273"/>
        <v>1840606.1299958604</v>
      </c>
      <c r="AE361" s="63">
        <f t="shared" si="273"/>
        <v>2498347.648820526</v>
      </c>
      <c r="AF361" s="63">
        <f t="shared" si="273"/>
        <v>3204541.4083169028</v>
      </c>
      <c r="AG361" s="63">
        <f t="shared" si="273"/>
        <v>165776.80986200459</v>
      </c>
      <c r="AH361" s="63">
        <f t="shared" si="273"/>
        <v>848932.61262710812</v>
      </c>
      <c r="AI361" s="63">
        <f t="shared" si="273"/>
        <v>1585849.3245022157</v>
      </c>
      <c r="AJ361" s="63">
        <f t="shared" si="273"/>
        <v>2378442.6761402884</v>
      </c>
      <c r="AK361" s="63">
        <f t="shared" si="273"/>
        <v>3228707.0151480529</v>
      </c>
      <c r="AL361" s="63">
        <f t="shared" si="273"/>
        <v>4138718.861992077</v>
      </c>
      <c r="AM361" s="63">
        <f t="shared" si="273"/>
        <v>5110640.6355308555</v>
      </c>
      <c r="AN361" s="63">
        <f t="shared" si="273"/>
        <v>6146724.5564752752</v>
      </c>
      <c r="AO361" s="63">
        <f t="shared" si="273"/>
        <v>7249316.7374910489</v>
      </c>
      <c r="AP361" s="63">
        <f t="shared" si="273"/>
        <v>8420861.4690883011</v>
      </c>
      <c r="AQ361" s="63">
        <f t="shared" si="273"/>
        <v>9663905.7108966317</v>
      </c>
      <c r="AR361" s="63">
        <f t="shared" si="273"/>
        <v>10981103.798399683</v>
      </c>
      <c r="AS361" s="63">
        <f t="shared" si="273"/>
        <v>12249151.870134428</v>
      </c>
      <c r="AT361" s="63">
        <f t="shared" si="273"/>
        <v>13597004.554293813</v>
      </c>
      <c r="AU361" s="63">
        <f t="shared" si="273"/>
        <v>15027668.870698806</v>
      </c>
      <c r="AV361" s="63">
        <f t="shared" si="273"/>
        <v>16544280.416047662</v>
      </c>
      <c r="AW361" s="63">
        <f t="shared" si="273"/>
        <v>18150109.317433804</v>
      </c>
      <c r="AX361" s="63">
        <f t="shared" si="273"/>
        <v>19848566.473169699</v>
      </c>
      <c r="AY361" s="63">
        <f t="shared" si="273"/>
        <v>21643210.095054459</v>
      </c>
      <c r="AZ361" s="63">
        <f t="shared" si="273"/>
        <v>23537752.566924721</v>
      </c>
      <c r="BA361" s="63">
        <f t="shared" si="273"/>
        <v>25525877.752923287</v>
      </c>
      <c r="BB361" s="63">
        <f t="shared" si="273"/>
        <v>27610125.935491517</v>
      </c>
      <c r="BC361" s="63">
        <f t="shared" si="273"/>
        <v>29794424.26086615</v>
      </c>
      <c r="BD361" s="63">
        <f t="shared" si="273"/>
        <v>32082877.660067745</v>
      </c>
      <c r="BE361" s="46"/>
    </row>
    <row r="362" spans="1:57" ht="14.25" customHeight="1" x14ac:dyDescent="0.3">
      <c r="A362" s="46"/>
      <c r="B362" s="37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  <c r="AC362" s="46"/>
      <c r="AD362" s="46"/>
      <c r="AE362" s="46"/>
      <c r="AF362" s="46"/>
      <c r="AG362" s="46"/>
      <c r="AH362" s="46"/>
      <c r="AI362" s="46"/>
      <c r="AJ362" s="46"/>
      <c r="AK362" s="46"/>
      <c r="AL362" s="46"/>
      <c r="AM362" s="46"/>
      <c r="AN362" s="46"/>
      <c r="AO362" s="46"/>
      <c r="AP362" s="46"/>
      <c r="AQ362" s="46"/>
      <c r="AR362" s="46"/>
      <c r="AS362" s="46"/>
      <c r="AT362" s="46"/>
      <c r="AU362" s="46"/>
      <c r="AV362" s="46"/>
      <c r="AW362" s="46"/>
      <c r="AX362" s="46"/>
      <c r="AY362" s="46"/>
      <c r="AZ362" s="46"/>
      <c r="BA362" s="46"/>
      <c r="BB362" s="46"/>
      <c r="BC362" s="46"/>
      <c r="BD362" s="46"/>
      <c r="BE362" s="46"/>
    </row>
    <row r="363" spans="1:57" ht="14.25" customHeight="1" x14ac:dyDescent="0.3">
      <c r="A363" s="46"/>
      <c r="B363" s="37" t="s">
        <v>246</v>
      </c>
      <c r="C363" s="37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  <c r="AC363" s="46"/>
      <c r="AD363" s="46"/>
      <c r="AE363" s="46"/>
      <c r="AF363" s="46"/>
      <c r="AG363" s="46"/>
      <c r="AH363" s="46"/>
      <c r="AI363" s="46"/>
      <c r="AJ363" s="46"/>
      <c r="AK363" s="46"/>
      <c r="AL363" s="46"/>
      <c r="AM363" s="46"/>
      <c r="AN363" s="46"/>
      <c r="AO363" s="46"/>
      <c r="AP363" s="46"/>
      <c r="AQ363" s="46"/>
      <c r="AR363" s="46"/>
      <c r="AS363" s="46"/>
      <c r="AT363" s="46"/>
      <c r="AU363" s="46"/>
      <c r="AV363" s="46"/>
      <c r="AW363" s="46"/>
      <c r="AX363" s="46"/>
      <c r="AY363" s="46"/>
      <c r="AZ363" s="46"/>
      <c r="BA363" s="46"/>
      <c r="BB363" s="46"/>
      <c r="BC363" s="46"/>
      <c r="BD363" s="46"/>
      <c r="BE363" s="46"/>
    </row>
    <row r="364" spans="1:57" ht="14.25" customHeight="1" x14ac:dyDescent="0.3">
      <c r="A364" s="46"/>
      <c r="B364" s="37"/>
      <c r="C364" s="46" t="s">
        <v>247</v>
      </c>
      <c r="D364" s="46" t="s">
        <v>248</v>
      </c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  <c r="AC364" s="46"/>
      <c r="AD364" s="46"/>
      <c r="AE364" s="46"/>
      <c r="AF364" s="46"/>
      <c r="AG364" s="46"/>
      <c r="AH364" s="46"/>
      <c r="AI364" s="46"/>
      <c r="AJ364" s="46"/>
      <c r="AK364" s="46"/>
      <c r="AL364" s="46"/>
      <c r="AM364" s="46"/>
      <c r="AN364" s="46"/>
      <c r="AO364" s="46"/>
      <c r="AP364" s="46"/>
      <c r="AQ364" s="46"/>
      <c r="AR364" s="46"/>
      <c r="AS364" s="46"/>
      <c r="AT364" s="46"/>
      <c r="AU364" s="46"/>
      <c r="AV364" s="46"/>
      <c r="AW364" s="46"/>
      <c r="AX364" s="46"/>
      <c r="AY364" s="46"/>
      <c r="AZ364" s="46"/>
      <c r="BA364" s="46"/>
      <c r="BB364" s="46"/>
      <c r="BC364" s="46"/>
      <c r="BD364" s="46"/>
      <c r="BE364" s="46"/>
    </row>
    <row r="365" spans="1:57" ht="14.25" customHeight="1" x14ac:dyDescent="0.3">
      <c r="A365" s="46"/>
      <c r="B365" s="37"/>
      <c r="C365" s="46" t="s">
        <v>216</v>
      </c>
      <c r="D365" s="46" t="s">
        <v>249</v>
      </c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  <c r="AC365" s="46"/>
      <c r="AD365" s="46"/>
      <c r="AE365" s="46"/>
      <c r="AF365" s="46"/>
      <c r="AG365" s="46"/>
      <c r="AH365" s="46"/>
      <c r="AI365" s="46"/>
      <c r="AJ365" s="46"/>
      <c r="AK365" s="46"/>
      <c r="AL365" s="46"/>
      <c r="AM365" s="46"/>
      <c r="AN365" s="46"/>
      <c r="AO365" s="46"/>
      <c r="AP365" s="46"/>
      <c r="AQ365" s="46"/>
      <c r="AR365" s="46"/>
      <c r="AS365" s="46"/>
      <c r="AT365" s="46"/>
      <c r="AU365" s="46"/>
      <c r="AV365" s="46"/>
      <c r="AW365" s="46"/>
      <c r="AX365" s="46"/>
      <c r="AY365" s="46"/>
      <c r="AZ365" s="46"/>
      <c r="BA365" s="46"/>
      <c r="BB365" s="46"/>
      <c r="BC365" s="46"/>
      <c r="BD365" s="46"/>
      <c r="BE365" s="46"/>
    </row>
    <row r="366" spans="1:57" ht="14.25" customHeight="1" x14ac:dyDescent="0.3">
      <c r="A366" s="46"/>
      <c r="B366" s="37"/>
      <c r="C366" s="46" t="s">
        <v>216</v>
      </c>
      <c r="D366" s="46" t="s">
        <v>250</v>
      </c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46"/>
      <c r="AD366" s="46"/>
      <c r="AE366" s="46"/>
      <c r="AF366" s="46"/>
      <c r="AG366" s="46"/>
      <c r="AH366" s="46"/>
      <c r="AI366" s="46"/>
      <c r="AJ366" s="46"/>
      <c r="AK366" s="46"/>
      <c r="AL366" s="46"/>
      <c r="AM366" s="46"/>
      <c r="AN366" s="46"/>
      <c r="AO366" s="46"/>
      <c r="AP366" s="46"/>
      <c r="AQ366" s="46"/>
      <c r="AR366" s="46"/>
      <c r="AS366" s="46"/>
      <c r="AT366" s="46"/>
      <c r="AU366" s="46"/>
      <c r="AV366" s="46"/>
      <c r="AW366" s="46"/>
      <c r="AX366" s="46"/>
      <c r="AY366" s="46"/>
      <c r="AZ366" s="46"/>
      <c r="BA366" s="46"/>
      <c r="BB366" s="46"/>
      <c r="BC366" s="46"/>
      <c r="BD366" s="46"/>
      <c r="BE366" s="46"/>
    </row>
    <row r="367" spans="1:57" ht="14.25" customHeight="1" x14ac:dyDescent="0.3">
      <c r="A367" s="46"/>
      <c r="B367" s="37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  <c r="AE367" s="46"/>
      <c r="AF367" s="46"/>
      <c r="AG367" s="46"/>
      <c r="AH367" s="46"/>
      <c r="AI367" s="46"/>
      <c r="AJ367" s="46"/>
      <c r="AK367" s="46"/>
      <c r="AL367" s="46"/>
      <c r="AM367" s="46"/>
      <c r="AN367" s="46"/>
      <c r="AO367" s="46"/>
      <c r="AP367" s="46"/>
      <c r="AQ367" s="46"/>
      <c r="AR367" s="46"/>
      <c r="AS367" s="46"/>
      <c r="AT367" s="46"/>
      <c r="AU367" s="46"/>
      <c r="AV367" s="46"/>
      <c r="AW367" s="46"/>
      <c r="AX367" s="46"/>
      <c r="AY367" s="46"/>
      <c r="AZ367" s="46"/>
      <c r="BA367" s="46"/>
      <c r="BB367" s="46"/>
      <c r="BC367" s="46"/>
      <c r="BD367" s="46"/>
      <c r="BE367" s="46"/>
    </row>
    <row r="368" spans="1:57" ht="14.25" customHeight="1" x14ac:dyDescent="0.3">
      <c r="A368" s="46"/>
      <c r="B368" s="37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  <c r="AC368" s="46"/>
      <c r="AD368" s="46"/>
      <c r="AE368" s="46"/>
      <c r="AF368" s="46"/>
      <c r="AG368" s="46"/>
      <c r="AH368" s="46"/>
      <c r="AI368" s="46"/>
      <c r="AJ368" s="46"/>
      <c r="AK368" s="46"/>
      <c r="AL368" s="46"/>
      <c r="AM368" s="46"/>
      <c r="AN368" s="46"/>
      <c r="AO368" s="46"/>
      <c r="AP368" s="46"/>
      <c r="AQ368" s="46"/>
      <c r="AR368" s="46"/>
      <c r="AS368" s="46"/>
      <c r="AT368" s="46"/>
      <c r="AU368" s="46"/>
      <c r="AV368" s="46"/>
      <c r="AW368" s="46"/>
      <c r="AX368" s="46"/>
      <c r="AY368" s="46"/>
      <c r="AZ368" s="46"/>
      <c r="BA368" s="46"/>
      <c r="BB368" s="46"/>
      <c r="BC368" s="46"/>
      <c r="BD368" s="46"/>
      <c r="BE368" s="46"/>
    </row>
    <row r="369" spans="1:57" ht="14.25" customHeight="1" x14ac:dyDescent="0.3">
      <c r="A369" s="46"/>
      <c r="B369" s="37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  <c r="AC369" s="46"/>
      <c r="AD369" s="46"/>
      <c r="AE369" s="46"/>
      <c r="AF369" s="46"/>
      <c r="AG369" s="46"/>
      <c r="AH369" s="46"/>
      <c r="AI369" s="46"/>
      <c r="AJ369" s="46"/>
      <c r="AK369" s="46"/>
      <c r="AL369" s="46"/>
      <c r="AM369" s="46"/>
      <c r="AN369" s="46"/>
      <c r="AO369" s="46"/>
      <c r="AP369" s="46"/>
      <c r="AQ369" s="46"/>
      <c r="AR369" s="46"/>
      <c r="AS369" s="46"/>
      <c r="AT369" s="46"/>
      <c r="AU369" s="46"/>
      <c r="AV369" s="46"/>
      <c r="AW369" s="46"/>
      <c r="AX369" s="46"/>
      <c r="AY369" s="46"/>
      <c r="AZ369" s="46"/>
      <c r="BA369" s="46"/>
      <c r="BB369" s="46"/>
      <c r="BC369" s="46"/>
      <c r="BD369" s="46"/>
      <c r="BE369" s="46"/>
    </row>
    <row r="370" spans="1:57" ht="14.25" customHeight="1" x14ac:dyDescent="0.3">
      <c r="A370" s="46"/>
      <c r="B370" s="37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  <c r="AE370" s="46"/>
      <c r="AF370" s="46"/>
      <c r="AG370" s="46"/>
      <c r="AH370" s="46"/>
      <c r="AI370" s="46"/>
      <c r="AJ370" s="46"/>
      <c r="AK370" s="46"/>
      <c r="AL370" s="46"/>
      <c r="AM370" s="46"/>
      <c r="AN370" s="46"/>
      <c r="AO370" s="46"/>
      <c r="AP370" s="46"/>
      <c r="AQ370" s="46"/>
      <c r="AR370" s="46"/>
      <c r="AS370" s="46"/>
      <c r="AT370" s="46"/>
      <c r="AU370" s="46"/>
      <c r="AV370" s="46"/>
      <c r="AW370" s="46"/>
      <c r="AX370" s="46"/>
      <c r="AY370" s="46"/>
      <c r="AZ370" s="46"/>
      <c r="BA370" s="46"/>
      <c r="BB370" s="46"/>
      <c r="BC370" s="46"/>
      <c r="BD370" s="46"/>
      <c r="BE370" s="46"/>
    </row>
    <row r="371" spans="1:57" ht="14.25" customHeight="1" x14ac:dyDescent="0.3">
      <c r="A371" s="46"/>
      <c r="B371" s="37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  <c r="AC371" s="46"/>
      <c r="AD371" s="46"/>
      <c r="AE371" s="46"/>
      <c r="AF371" s="46"/>
      <c r="AG371" s="46"/>
      <c r="AH371" s="46"/>
      <c r="AI371" s="46"/>
      <c r="AJ371" s="46"/>
      <c r="AK371" s="46"/>
      <c r="AL371" s="46"/>
      <c r="AM371" s="46"/>
      <c r="AN371" s="46"/>
      <c r="AO371" s="46"/>
      <c r="AP371" s="46"/>
      <c r="AQ371" s="46"/>
      <c r="AR371" s="46"/>
      <c r="AS371" s="46"/>
      <c r="AT371" s="46"/>
      <c r="AU371" s="46"/>
      <c r="AV371" s="46"/>
      <c r="AW371" s="46"/>
      <c r="AX371" s="46"/>
      <c r="AY371" s="46"/>
      <c r="AZ371" s="46"/>
      <c r="BA371" s="46"/>
      <c r="BB371" s="46"/>
      <c r="BC371" s="46"/>
      <c r="BD371" s="46"/>
      <c r="BE371" s="46"/>
    </row>
    <row r="372" spans="1:57" ht="14.25" customHeight="1" x14ac:dyDescent="0.3">
      <c r="A372" s="46"/>
      <c r="B372" s="37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  <c r="AC372" s="46"/>
      <c r="AD372" s="46"/>
      <c r="AE372" s="46"/>
      <c r="AF372" s="46"/>
      <c r="AG372" s="46"/>
      <c r="AH372" s="46"/>
      <c r="AI372" s="46"/>
      <c r="AJ372" s="46"/>
      <c r="AK372" s="46"/>
      <c r="AL372" s="46"/>
      <c r="AM372" s="46"/>
      <c r="AN372" s="46"/>
      <c r="AO372" s="46"/>
      <c r="AP372" s="46"/>
      <c r="AQ372" s="46"/>
      <c r="AR372" s="46"/>
      <c r="AS372" s="46"/>
      <c r="AT372" s="46"/>
      <c r="AU372" s="46"/>
      <c r="AV372" s="46"/>
      <c r="AW372" s="46"/>
      <c r="AX372" s="46"/>
      <c r="AY372" s="46"/>
      <c r="AZ372" s="46"/>
      <c r="BA372" s="46"/>
      <c r="BB372" s="46"/>
      <c r="BC372" s="46"/>
      <c r="BD372" s="46"/>
      <c r="BE372" s="46"/>
    </row>
    <row r="373" spans="1:57" ht="14.25" customHeight="1" x14ac:dyDescent="0.3">
      <c r="A373" s="46"/>
      <c r="B373" s="37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  <c r="AE373" s="46"/>
      <c r="AF373" s="46"/>
      <c r="AG373" s="46"/>
      <c r="AH373" s="46"/>
      <c r="AI373" s="46"/>
      <c r="AJ373" s="46"/>
      <c r="AK373" s="46"/>
      <c r="AL373" s="46"/>
      <c r="AM373" s="46"/>
      <c r="AN373" s="46"/>
      <c r="AO373" s="46"/>
      <c r="AP373" s="46"/>
      <c r="AQ373" s="46"/>
      <c r="AR373" s="46"/>
      <c r="AS373" s="46"/>
      <c r="AT373" s="46"/>
      <c r="AU373" s="46"/>
      <c r="AV373" s="46"/>
      <c r="AW373" s="46"/>
      <c r="AX373" s="46"/>
      <c r="AY373" s="46"/>
      <c r="AZ373" s="46"/>
      <c r="BA373" s="46"/>
      <c r="BB373" s="46"/>
      <c r="BC373" s="46"/>
      <c r="BD373" s="46"/>
      <c r="BE373" s="46"/>
    </row>
    <row r="374" spans="1:57" ht="14.25" customHeight="1" x14ac:dyDescent="0.3">
      <c r="A374" s="46"/>
      <c r="B374" s="37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  <c r="AD374" s="46"/>
      <c r="AE374" s="46"/>
      <c r="AF374" s="46"/>
      <c r="AG374" s="46"/>
      <c r="AH374" s="46"/>
      <c r="AI374" s="46"/>
      <c r="AJ374" s="46"/>
      <c r="AK374" s="46"/>
      <c r="AL374" s="46"/>
      <c r="AM374" s="46"/>
      <c r="AN374" s="46"/>
      <c r="AO374" s="46"/>
      <c r="AP374" s="46"/>
      <c r="AQ374" s="46"/>
      <c r="AR374" s="46"/>
      <c r="AS374" s="46"/>
      <c r="AT374" s="46"/>
      <c r="AU374" s="46"/>
      <c r="AV374" s="46"/>
      <c r="AW374" s="46"/>
      <c r="AX374" s="46"/>
      <c r="AY374" s="46"/>
      <c r="AZ374" s="46"/>
      <c r="BA374" s="46"/>
      <c r="BB374" s="46"/>
      <c r="BC374" s="46"/>
      <c r="BD374" s="46"/>
      <c r="BE374" s="46"/>
    </row>
    <row r="375" spans="1:57" ht="14.25" customHeight="1" x14ac:dyDescent="0.3">
      <c r="A375" s="46"/>
      <c r="B375" s="37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  <c r="AC375" s="46"/>
      <c r="AD375" s="46"/>
      <c r="AE375" s="46"/>
      <c r="AF375" s="46"/>
      <c r="AG375" s="46"/>
      <c r="AH375" s="46"/>
      <c r="AI375" s="46"/>
      <c r="AJ375" s="46"/>
      <c r="AK375" s="46"/>
      <c r="AL375" s="46"/>
      <c r="AM375" s="46"/>
      <c r="AN375" s="46"/>
      <c r="AO375" s="46"/>
      <c r="AP375" s="46"/>
      <c r="AQ375" s="46"/>
      <c r="AR375" s="46"/>
      <c r="AS375" s="46"/>
      <c r="AT375" s="46"/>
      <c r="AU375" s="46"/>
      <c r="AV375" s="46"/>
      <c r="AW375" s="46"/>
      <c r="AX375" s="46"/>
      <c r="AY375" s="46"/>
      <c r="AZ375" s="46"/>
      <c r="BA375" s="46"/>
      <c r="BB375" s="46"/>
      <c r="BC375" s="46"/>
      <c r="BD375" s="46"/>
      <c r="BE375" s="46"/>
    </row>
    <row r="376" spans="1:57" ht="14.25" customHeight="1" x14ac:dyDescent="0.3">
      <c r="A376" s="46"/>
      <c r="B376" s="37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  <c r="AC376" s="46"/>
      <c r="AD376" s="46"/>
      <c r="AE376" s="46"/>
      <c r="AF376" s="46"/>
      <c r="AG376" s="46"/>
      <c r="AH376" s="46"/>
      <c r="AI376" s="46"/>
      <c r="AJ376" s="46"/>
      <c r="AK376" s="46"/>
      <c r="AL376" s="46"/>
      <c r="AM376" s="46"/>
      <c r="AN376" s="46"/>
      <c r="AO376" s="46"/>
      <c r="AP376" s="46"/>
      <c r="AQ376" s="46"/>
      <c r="AR376" s="46"/>
      <c r="AS376" s="46"/>
      <c r="AT376" s="46"/>
      <c r="AU376" s="46"/>
      <c r="AV376" s="46"/>
      <c r="AW376" s="46"/>
      <c r="AX376" s="46"/>
      <c r="AY376" s="46"/>
      <c r="AZ376" s="46"/>
      <c r="BA376" s="46"/>
      <c r="BB376" s="46"/>
      <c r="BC376" s="46"/>
      <c r="BD376" s="46"/>
      <c r="BE376" s="46"/>
    </row>
    <row r="377" spans="1:57" ht="14.25" customHeight="1" x14ac:dyDescent="0.3">
      <c r="A377" s="46"/>
      <c r="B377" s="37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  <c r="AD377" s="46"/>
      <c r="AE377" s="46"/>
      <c r="AF377" s="46"/>
      <c r="AG377" s="46"/>
      <c r="AH377" s="46"/>
      <c r="AI377" s="46"/>
      <c r="AJ377" s="46"/>
      <c r="AK377" s="46"/>
      <c r="AL377" s="46"/>
      <c r="AM377" s="46"/>
      <c r="AN377" s="46"/>
      <c r="AO377" s="46"/>
      <c r="AP377" s="46"/>
      <c r="AQ377" s="46"/>
      <c r="AR377" s="46"/>
      <c r="AS377" s="46"/>
      <c r="AT377" s="46"/>
      <c r="AU377" s="46"/>
      <c r="AV377" s="46"/>
      <c r="AW377" s="46"/>
      <c r="AX377" s="46"/>
      <c r="AY377" s="46"/>
      <c r="AZ377" s="46"/>
      <c r="BA377" s="46"/>
      <c r="BB377" s="46"/>
      <c r="BC377" s="46"/>
      <c r="BD377" s="46"/>
      <c r="BE377" s="46"/>
    </row>
    <row r="378" spans="1:57" ht="14.25" customHeight="1" x14ac:dyDescent="0.3">
      <c r="A378" s="46"/>
      <c r="B378" s="37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46"/>
      <c r="AD378" s="46"/>
      <c r="AE378" s="46"/>
      <c r="AF378" s="46"/>
      <c r="AG378" s="46"/>
      <c r="AH378" s="46"/>
      <c r="AI378" s="46"/>
      <c r="AJ378" s="46"/>
      <c r="AK378" s="46"/>
      <c r="AL378" s="46"/>
      <c r="AM378" s="46"/>
      <c r="AN378" s="46"/>
      <c r="AO378" s="46"/>
      <c r="AP378" s="46"/>
      <c r="AQ378" s="46"/>
      <c r="AR378" s="46"/>
      <c r="AS378" s="46"/>
      <c r="AT378" s="46"/>
      <c r="AU378" s="46"/>
      <c r="AV378" s="46"/>
      <c r="AW378" s="46"/>
      <c r="AX378" s="46"/>
      <c r="AY378" s="46"/>
      <c r="AZ378" s="46"/>
      <c r="BA378" s="46"/>
      <c r="BB378" s="46"/>
      <c r="BC378" s="46"/>
      <c r="BD378" s="46"/>
      <c r="BE378" s="46"/>
    </row>
    <row r="379" spans="1:57" ht="14.25" customHeight="1" x14ac:dyDescent="0.3">
      <c r="A379" s="46"/>
      <c r="B379" s="37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  <c r="AC379" s="46"/>
      <c r="AD379" s="46"/>
      <c r="AE379" s="46"/>
      <c r="AF379" s="46"/>
      <c r="AG379" s="46"/>
      <c r="AH379" s="46"/>
      <c r="AI379" s="46"/>
      <c r="AJ379" s="46"/>
      <c r="AK379" s="46"/>
      <c r="AL379" s="46"/>
      <c r="AM379" s="46"/>
      <c r="AN379" s="46"/>
      <c r="AO379" s="46"/>
      <c r="AP379" s="46"/>
      <c r="AQ379" s="46"/>
      <c r="AR379" s="46"/>
      <c r="AS379" s="46"/>
      <c r="AT379" s="46"/>
      <c r="AU379" s="46"/>
      <c r="AV379" s="46"/>
      <c r="AW379" s="46"/>
      <c r="AX379" s="46"/>
      <c r="AY379" s="46"/>
      <c r="AZ379" s="46"/>
      <c r="BA379" s="46"/>
      <c r="BB379" s="46"/>
      <c r="BC379" s="46"/>
      <c r="BD379" s="46"/>
      <c r="BE379" s="46"/>
    </row>
    <row r="380" spans="1:57" ht="14.25" customHeight="1" x14ac:dyDescent="0.3">
      <c r="A380" s="46"/>
      <c r="B380" s="37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  <c r="AC380" s="46"/>
      <c r="AD380" s="46"/>
      <c r="AE380" s="46"/>
      <c r="AF380" s="46"/>
      <c r="AG380" s="46"/>
      <c r="AH380" s="46"/>
      <c r="AI380" s="46"/>
      <c r="AJ380" s="46"/>
      <c r="AK380" s="46"/>
      <c r="AL380" s="46"/>
      <c r="AM380" s="46"/>
      <c r="AN380" s="46"/>
      <c r="AO380" s="46"/>
      <c r="AP380" s="46"/>
      <c r="AQ380" s="46"/>
      <c r="AR380" s="46"/>
      <c r="AS380" s="46"/>
      <c r="AT380" s="46"/>
      <c r="AU380" s="46"/>
      <c r="AV380" s="46"/>
      <c r="AW380" s="46"/>
      <c r="AX380" s="46"/>
      <c r="AY380" s="46"/>
      <c r="AZ380" s="46"/>
      <c r="BA380" s="46"/>
      <c r="BB380" s="46"/>
      <c r="BC380" s="46"/>
      <c r="BD380" s="46"/>
      <c r="BE380" s="46"/>
    </row>
    <row r="381" spans="1:57" ht="14.25" customHeight="1" x14ac:dyDescent="0.3">
      <c r="A381" s="46"/>
      <c r="B381" s="37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  <c r="AB381" s="46"/>
      <c r="AC381" s="46"/>
      <c r="AD381" s="46"/>
      <c r="AE381" s="46"/>
      <c r="AF381" s="46"/>
      <c r="AG381" s="46"/>
      <c r="AH381" s="46"/>
      <c r="AI381" s="46"/>
      <c r="AJ381" s="46"/>
      <c r="AK381" s="46"/>
      <c r="AL381" s="46"/>
      <c r="AM381" s="46"/>
      <c r="AN381" s="46"/>
      <c r="AO381" s="46"/>
      <c r="AP381" s="46"/>
      <c r="AQ381" s="46"/>
      <c r="AR381" s="46"/>
      <c r="AS381" s="46"/>
      <c r="AT381" s="46"/>
      <c r="AU381" s="46"/>
      <c r="AV381" s="46"/>
      <c r="AW381" s="46"/>
      <c r="AX381" s="46"/>
      <c r="AY381" s="46"/>
      <c r="AZ381" s="46"/>
      <c r="BA381" s="46"/>
      <c r="BB381" s="46"/>
      <c r="BC381" s="46"/>
      <c r="BD381" s="46"/>
      <c r="BE381" s="46"/>
    </row>
    <row r="382" spans="1:57" ht="14.25" customHeight="1" x14ac:dyDescent="0.3">
      <c r="A382" s="46"/>
      <c r="B382" s="37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  <c r="AB382" s="46"/>
      <c r="AC382" s="46"/>
      <c r="AD382" s="46"/>
      <c r="AE382" s="46"/>
      <c r="AF382" s="46"/>
      <c r="AG382" s="46"/>
      <c r="AH382" s="46"/>
      <c r="AI382" s="46"/>
      <c r="AJ382" s="46"/>
      <c r="AK382" s="46"/>
      <c r="AL382" s="46"/>
      <c r="AM382" s="46"/>
      <c r="AN382" s="46"/>
      <c r="AO382" s="46"/>
      <c r="AP382" s="46"/>
      <c r="AQ382" s="46"/>
      <c r="AR382" s="46"/>
      <c r="AS382" s="46"/>
      <c r="AT382" s="46"/>
      <c r="AU382" s="46"/>
      <c r="AV382" s="46"/>
      <c r="AW382" s="46"/>
      <c r="AX382" s="46"/>
      <c r="AY382" s="46"/>
      <c r="AZ382" s="46"/>
      <c r="BA382" s="46"/>
      <c r="BB382" s="46"/>
      <c r="BC382" s="46"/>
      <c r="BD382" s="46"/>
      <c r="BE382" s="46"/>
    </row>
    <row r="383" spans="1:57" ht="14.25" customHeight="1" x14ac:dyDescent="0.3">
      <c r="A383" s="46"/>
      <c r="B383" s="37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  <c r="AB383" s="46"/>
      <c r="AC383" s="46"/>
      <c r="AD383" s="46"/>
      <c r="AE383" s="46"/>
      <c r="AF383" s="46"/>
      <c r="AG383" s="46"/>
      <c r="AH383" s="46"/>
      <c r="AI383" s="46"/>
      <c r="AJ383" s="46"/>
      <c r="AK383" s="46"/>
      <c r="AL383" s="46"/>
      <c r="AM383" s="46"/>
      <c r="AN383" s="46"/>
      <c r="AO383" s="46"/>
      <c r="AP383" s="46"/>
      <c r="AQ383" s="46"/>
      <c r="AR383" s="46"/>
      <c r="AS383" s="46"/>
      <c r="AT383" s="46"/>
      <c r="AU383" s="46"/>
      <c r="AV383" s="46"/>
      <c r="AW383" s="46"/>
      <c r="AX383" s="46"/>
      <c r="AY383" s="46"/>
      <c r="AZ383" s="46"/>
      <c r="BA383" s="46"/>
      <c r="BB383" s="46"/>
      <c r="BC383" s="46"/>
      <c r="BD383" s="46"/>
      <c r="BE383" s="46"/>
    </row>
    <row r="384" spans="1:57" ht="14.25" customHeight="1" x14ac:dyDescent="0.3">
      <c r="A384" s="46"/>
      <c r="B384" s="37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  <c r="AC384" s="46"/>
      <c r="AD384" s="46"/>
      <c r="AE384" s="46"/>
      <c r="AF384" s="46"/>
      <c r="AG384" s="46"/>
      <c r="AH384" s="46"/>
      <c r="AI384" s="46"/>
      <c r="AJ384" s="46"/>
      <c r="AK384" s="46"/>
      <c r="AL384" s="46"/>
      <c r="AM384" s="46"/>
      <c r="AN384" s="46"/>
      <c r="AO384" s="46"/>
      <c r="AP384" s="46"/>
      <c r="AQ384" s="46"/>
      <c r="AR384" s="46"/>
      <c r="AS384" s="46"/>
      <c r="AT384" s="46"/>
      <c r="AU384" s="46"/>
      <c r="AV384" s="46"/>
      <c r="AW384" s="46"/>
      <c r="AX384" s="46"/>
      <c r="AY384" s="46"/>
      <c r="AZ384" s="46"/>
      <c r="BA384" s="46"/>
      <c r="BB384" s="46"/>
      <c r="BC384" s="46"/>
      <c r="BD384" s="46"/>
      <c r="BE384" s="46"/>
    </row>
    <row r="385" spans="1:57" ht="14.25" customHeight="1" x14ac:dyDescent="0.3">
      <c r="A385" s="46"/>
      <c r="B385" s="37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  <c r="AC385" s="46"/>
      <c r="AD385" s="46"/>
      <c r="AE385" s="46"/>
      <c r="AF385" s="46"/>
      <c r="AG385" s="46"/>
      <c r="AH385" s="46"/>
      <c r="AI385" s="46"/>
      <c r="AJ385" s="46"/>
      <c r="AK385" s="46"/>
      <c r="AL385" s="46"/>
      <c r="AM385" s="46"/>
      <c r="AN385" s="46"/>
      <c r="AO385" s="46"/>
      <c r="AP385" s="46"/>
      <c r="AQ385" s="46"/>
      <c r="AR385" s="46"/>
      <c r="AS385" s="46"/>
      <c r="AT385" s="46"/>
      <c r="AU385" s="46"/>
      <c r="AV385" s="46"/>
      <c r="AW385" s="46"/>
      <c r="AX385" s="46"/>
      <c r="AY385" s="46"/>
      <c r="AZ385" s="46"/>
      <c r="BA385" s="46"/>
      <c r="BB385" s="46"/>
      <c r="BC385" s="46"/>
      <c r="BD385" s="46"/>
      <c r="BE385" s="46"/>
    </row>
    <row r="386" spans="1:57" ht="14.25" customHeight="1" x14ac:dyDescent="0.3">
      <c r="A386" s="46"/>
      <c r="B386" s="37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  <c r="AB386" s="46"/>
      <c r="AC386" s="46"/>
      <c r="AD386" s="46"/>
      <c r="AE386" s="46"/>
      <c r="AF386" s="46"/>
      <c r="AG386" s="46"/>
      <c r="AH386" s="46"/>
      <c r="AI386" s="46"/>
      <c r="AJ386" s="46"/>
      <c r="AK386" s="46"/>
      <c r="AL386" s="46"/>
      <c r="AM386" s="46"/>
      <c r="AN386" s="46"/>
      <c r="AO386" s="46"/>
      <c r="AP386" s="46"/>
      <c r="AQ386" s="46"/>
      <c r="AR386" s="46"/>
      <c r="AS386" s="46"/>
      <c r="AT386" s="46"/>
      <c r="AU386" s="46"/>
      <c r="AV386" s="46"/>
      <c r="AW386" s="46"/>
      <c r="AX386" s="46"/>
      <c r="AY386" s="46"/>
      <c r="AZ386" s="46"/>
      <c r="BA386" s="46"/>
      <c r="BB386" s="46"/>
      <c r="BC386" s="46"/>
      <c r="BD386" s="46"/>
      <c r="BE386" s="46"/>
    </row>
    <row r="387" spans="1:57" ht="14.25" customHeight="1" x14ac:dyDescent="0.3">
      <c r="A387" s="46"/>
      <c r="B387" s="37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  <c r="AB387" s="46"/>
      <c r="AC387" s="46"/>
      <c r="AD387" s="46"/>
      <c r="AE387" s="46"/>
      <c r="AF387" s="46"/>
      <c r="AG387" s="46"/>
      <c r="AH387" s="46"/>
      <c r="AI387" s="46"/>
      <c r="AJ387" s="46"/>
      <c r="AK387" s="46"/>
      <c r="AL387" s="46"/>
      <c r="AM387" s="46"/>
      <c r="AN387" s="46"/>
      <c r="AO387" s="46"/>
      <c r="AP387" s="46"/>
      <c r="AQ387" s="46"/>
      <c r="AR387" s="46"/>
      <c r="AS387" s="46"/>
      <c r="AT387" s="46"/>
      <c r="AU387" s="46"/>
      <c r="AV387" s="46"/>
      <c r="AW387" s="46"/>
      <c r="AX387" s="46"/>
      <c r="AY387" s="46"/>
      <c r="AZ387" s="46"/>
      <c r="BA387" s="46"/>
      <c r="BB387" s="46"/>
      <c r="BC387" s="46"/>
      <c r="BD387" s="46"/>
      <c r="BE387" s="46"/>
    </row>
    <row r="388" spans="1:57" ht="14.25" customHeight="1" x14ac:dyDescent="0.3">
      <c r="A388" s="46"/>
      <c r="B388" s="37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  <c r="AB388" s="46"/>
      <c r="AC388" s="46"/>
      <c r="AD388" s="46"/>
      <c r="AE388" s="46"/>
      <c r="AF388" s="46"/>
      <c r="AG388" s="46"/>
      <c r="AH388" s="46"/>
      <c r="AI388" s="46"/>
      <c r="AJ388" s="46"/>
      <c r="AK388" s="46"/>
      <c r="AL388" s="46"/>
      <c r="AM388" s="46"/>
      <c r="AN388" s="46"/>
      <c r="AO388" s="46"/>
      <c r="AP388" s="46"/>
      <c r="AQ388" s="46"/>
      <c r="AR388" s="46"/>
      <c r="AS388" s="46"/>
      <c r="AT388" s="46"/>
      <c r="AU388" s="46"/>
      <c r="AV388" s="46"/>
      <c r="AW388" s="46"/>
      <c r="AX388" s="46"/>
      <c r="AY388" s="46"/>
      <c r="AZ388" s="46"/>
      <c r="BA388" s="46"/>
      <c r="BB388" s="46"/>
      <c r="BC388" s="46"/>
      <c r="BD388" s="46"/>
      <c r="BE388" s="46"/>
    </row>
    <row r="389" spans="1:57" ht="14.25" customHeight="1" x14ac:dyDescent="0.3">
      <c r="A389" s="46"/>
      <c r="B389" s="37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  <c r="AB389" s="46"/>
      <c r="AC389" s="46"/>
      <c r="AD389" s="46"/>
      <c r="AE389" s="46"/>
      <c r="AF389" s="46"/>
      <c r="AG389" s="46"/>
      <c r="AH389" s="46"/>
      <c r="AI389" s="46"/>
      <c r="AJ389" s="46"/>
      <c r="AK389" s="46"/>
      <c r="AL389" s="46"/>
      <c r="AM389" s="46"/>
      <c r="AN389" s="46"/>
      <c r="AO389" s="46"/>
      <c r="AP389" s="46"/>
      <c r="AQ389" s="46"/>
      <c r="AR389" s="46"/>
      <c r="AS389" s="46"/>
      <c r="AT389" s="46"/>
      <c r="AU389" s="46"/>
      <c r="AV389" s="46"/>
      <c r="AW389" s="46"/>
      <c r="AX389" s="46"/>
      <c r="AY389" s="46"/>
      <c r="AZ389" s="46"/>
      <c r="BA389" s="46"/>
      <c r="BB389" s="46"/>
      <c r="BC389" s="46"/>
      <c r="BD389" s="46"/>
      <c r="BE389" s="46"/>
    </row>
    <row r="390" spans="1:57" ht="14.25" customHeight="1" x14ac:dyDescent="0.3">
      <c r="A390" s="46"/>
      <c r="B390" s="37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  <c r="AB390" s="46"/>
      <c r="AC390" s="46"/>
      <c r="AD390" s="46"/>
      <c r="AE390" s="46"/>
      <c r="AF390" s="46"/>
      <c r="AG390" s="46"/>
      <c r="AH390" s="46"/>
      <c r="AI390" s="46"/>
      <c r="AJ390" s="46"/>
      <c r="AK390" s="46"/>
      <c r="AL390" s="46"/>
      <c r="AM390" s="46"/>
      <c r="AN390" s="46"/>
      <c r="AO390" s="46"/>
      <c r="AP390" s="46"/>
      <c r="AQ390" s="46"/>
      <c r="AR390" s="46"/>
      <c r="AS390" s="46"/>
      <c r="AT390" s="46"/>
      <c r="AU390" s="46"/>
      <c r="AV390" s="46"/>
      <c r="AW390" s="46"/>
      <c r="AX390" s="46"/>
      <c r="AY390" s="46"/>
      <c r="AZ390" s="46"/>
      <c r="BA390" s="46"/>
      <c r="BB390" s="46"/>
      <c r="BC390" s="46"/>
      <c r="BD390" s="46"/>
      <c r="BE390" s="46"/>
    </row>
    <row r="391" spans="1:57" ht="14.25" customHeight="1" x14ac:dyDescent="0.3">
      <c r="A391" s="46"/>
      <c r="B391" s="37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  <c r="AB391" s="46"/>
      <c r="AC391" s="46"/>
      <c r="AD391" s="46"/>
      <c r="AE391" s="46"/>
      <c r="AF391" s="46"/>
      <c r="AG391" s="46"/>
      <c r="AH391" s="46"/>
      <c r="AI391" s="46"/>
      <c r="AJ391" s="46"/>
      <c r="AK391" s="46"/>
      <c r="AL391" s="46"/>
      <c r="AM391" s="46"/>
      <c r="AN391" s="46"/>
      <c r="AO391" s="46"/>
      <c r="AP391" s="46"/>
      <c r="AQ391" s="46"/>
      <c r="AR391" s="46"/>
      <c r="AS391" s="46"/>
      <c r="AT391" s="46"/>
      <c r="AU391" s="46"/>
      <c r="AV391" s="46"/>
      <c r="AW391" s="46"/>
      <c r="AX391" s="46"/>
      <c r="AY391" s="46"/>
      <c r="AZ391" s="46"/>
      <c r="BA391" s="46"/>
      <c r="BB391" s="46"/>
      <c r="BC391" s="46"/>
      <c r="BD391" s="46"/>
      <c r="BE391" s="46"/>
    </row>
    <row r="392" spans="1:57" ht="14.25" customHeight="1" x14ac:dyDescent="0.3">
      <c r="A392" s="46"/>
      <c r="B392" s="37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  <c r="AB392" s="46"/>
      <c r="AC392" s="46"/>
      <c r="AD392" s="46"/>
      <c r="AE392" s="46"/>
      <c r="AF392" s="46"/>
      <c r="AG392" s="46"/>
      <c r="AH392" s="46"/>
      <c r="AI392" s="46"/>
      <c r="AJ392" s="46"/>
      <c r="AK392" s="46"/>
      <c r="AL392" s="46"/>
      <c r="AM392" s="46"/>
      <c r="AN392" s="46"/>
      <c r="AO392" s="46"/>
      <c r="AP392" s="46"/>
      <c r="AQ392" s="46"/>
      <c r="AR392" s="46"/>
      <c r="AS392" s="46"/>
      <c r="AT392" s="46"/>
      <c r="AU392" s="46"/>
      <c r="AV392" s="46"/>
      <c r="AW392" s="46"/>
      <c r="AX392" s="46"/>
      <c r="AY392" s="46"/>
      <c r="AZ392" s="46"/>
      <c r="BA392" s="46"/>
      <c r="BB392" s="46"/>
      <c r="BC392" s="46"/>
      <c r="BD392" s="46"/>
      <c r="BE392" s="46"/>
    </row>
    <row r="393" spans="1:57" ht="14.25" customHeight="1" x14ac:dyDescent="0.3">
      <c r="A393" s="46"/>
      <c r="B393" s="37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  <c r="AB393" s="46"/>
      <c r="AC393" s="46"/>
      <c r="AD393" s="46"/>
      <c r="AE393" s="46"/>
      <c r="AF393" s="46"/>
      <c r="AG393" s="46"/>
      <c r="AH393" s="46"/>
      <c r="AI393" s="46"/>
      <c r="AJ393" s="46"/>
      <c r="AK393" s="46"/>
      <c r="AL393" s="46"/>
      <c r="AM393" s="46"/>
      <c r="AN393" s="46"/>
      <c r="AO393" s="46"/>
      <c r="AP393" s="46"/>
      <c r="AQ393" s="46"/>
      <c r="AR393" s="46"/>
      <c r="AS393" s="46"/>
      <c r="AT393" s="46"/>
      <c r="AU393" s="46"/>
      <c r="AV393" s="46"/>
      <c r="AW393" s="46"/>
      <c r="AX393" s="46"/>
      <c r="AY393" s="46"/>
      <c r="AZ393" s="46"/>
      <c r="BA393" s="46"/>
      <c r="BB393" s="46"/>
      <c r="BC393" s="46"/>
      <c r="BD393" s="46"/>
      <c r="BE393" s="46"/>
    </row>
    <row r="394" spans="1:57" ht="14.25" customHeight="1" x14ac:dyDescent="0.3">
      <c r="A394" s="46"/>
      <c r="B394" s="37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  <c r="AB394" s="46"/>
      <c r="AC394" s="46"/>
      <c r="AD394" s="46"/>
      <c r="AE394" s="46"/>
      <c r="AF394" s="46"/>
      <c r="AG394" s="46"/>
      <c r="AH394" s="46"/>
      <c r="AI394" s="46"/>
      <c r="AJ394" s="46"/>
      <c r="AK394" s="46"/>
      <c r="AL394" s="46"/>
      <c r="AM394" s="46"/>
      <c r="AN394" s="46"/>
      <c r="AO394" s="46"/>
      <c r="AP394" s="46"/>
      <c r="AQ394" s="46"/>
      <c r="AR394" s="46"/>
      <c r="AS394" s="46"/>
      <c r="AT394" s="46"/>
      <c r="AU394" s="46"/>
      <c r="AV394" s="46"/>
      <c r="AW394" s="46"/>
      <c r="AX394" s="46"/>
      <c r="AY394" s="46"/>
      <c r="AZ394" s="46"/>
      <c r="BA394" s="46"/>
      <c r="BB394" s="46"/>
      <c r="BC394" s="46"/>
      <c r="BD394" s="46"/>
      <c r="BE394" s="46"/>
    </row>
    <row r="395" spans="1:57" ht="14.25" customHeight="1" x14ac:dyDescent="0.3">
      <c r="A395" s="46"/>
      <c r="B395" s="37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  <c r="AB395" s="46"/>
      <c r="AC395" s="46"/>
      <c r="AD395" s="46"/>
      <c r="AE395" s="46"/>
      <c r="AF395" s="46"/>
      <c r="AG395" s="46"/>
      <c r="AH395" s="46"/>
      <c r="AI395" s="46"/>
      <c r="AJ395" s="46"/>
      <c r="AK395" s="46"/>
      <c r="AL395" s="46"/>
      <c r="AM395" s="46"/>
      <c r="AN395" s="46"/>
      <c r="AO395" s="46"/>
      <c r="AP395" s="46"/>
      <c r="AQ395" s="46"/>
      <c r="AR395" s="46"/>
      <c r="AS395" s="46"/>
      <c r="AT395" s="46"/>
      <c r="AU395" s="46"/>
      <c r="AV395" s="46"/>
      <c r="AW395" s="46"/>
      <c r="AX395" s="46"/>
      <c r="AY395" s="46"/>
      <c r="AZ395" s="46"/>
      <c r="BA395" s="46"/>
      <c r="BB395" s="46"/>
      <c r="BC395" s="46"/>
      <c r="BD395" s="46"/>
      <c r="BE395" s="46"/>
    </row>
    <row r="396" spans="1:57" ht="14.25" customHeight="1" x14ac:dyDescent="0.3">
      <c r="A396" s="46"/>
      <c r="B396" s="37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  <c r="AC396" s="46"/>
      <c r="AD396" s="46"/>
      <c r="AE396" s="46"/>
      <c r="AF396" s="46"/>
      <c r="AG396" s="46"/>
      <c r="AH396" s="46"/>
      <c r="AI396" s="46"/>
      <c r="AJ396" s="46"/>
      <c r="AK396" s="46"/>
      <c r="AL396" s="46"/>
      <c r="AM396" s="46"/>
      <c r="AN396" s="46"/>
      <c r="AO396" s="46"/>
      <c r="AP396" s="46"/>
      <c r="AQ396" s="46"/>
      <c r="AR396" s="46"/>
      <c r="AS396" s="46"/>
      <c r="AT396" s="46"/>
      <c r="AU396" s="46"/>
      <c r="AV396" s="46"/>
      <c r="AW396" s="46"/>
      <c r="AX396" s="46"/>
      <c r="AY396" s="46"/>
      <c r="AZ396" s="46"/>
      <c r="BA396" s="46"/>
      <c r="BB396" s="46"/>
      <c r="BC396" s="46"/>
      <c r="BD396" s="46"/>
      <c r="BE396" s="46"/>
    </row>
    <row r="397" spans="1:57" ht="14.25" customHeight="1" x14ac:dyDescent="0.3">
      <c r="A397" s="46"/>
      <c r="B397" s="37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  <c r="AB397" s="46"/>
      <c r="AC397" s="46"/>
      <c r="AD397" s="46"/>
      <c r="AE397" s="46"/>
      <c r="AF397" s="46"/>
      <c r="AG397" s="46"/>
      <c r="AH397" s="46"/>
      <c r="AI397" s="46"/>
      <c r="AJ397" s="46"/>
      <c r="AK397" s="46"/>
      <c r="AL397" s="46"/>
      <c r="AM397" s="46"/>
      <c r="AN397" s="46"/>
      <c r="AO397" s="46"/>
      <c r="AP397" s="46"/>
      <c r="AQ397" s="46"/>
      <c r="AR397" s="46"/>
      <c r="AS397" s="46"/>
      <c r="AT397" s="46"/>
      <c r="AU397" s="46"/>
      <c r="AV397" s="46"/>
      <c r="AW397" s="46"/>
      <c r="AX397" s="46"/>
      <c r="AY397" s="46"/>
      <c r="AZ397" s="46"/>
      <c r="BA397" s="46"/>
      <c r="BB397" s="46"/>
      <c r="BC397" s="46"/>
      <c r="BD397" s="46"/>
      <c r="BE397" s="46"/>
    </row>
    <row r="398" spans="1:57" ht="14.25" customHeight="1" x14ac:dyDescent="0.3">
      <c r="A398" s="46"/>
      <c r="B398" s="37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  <c r="AB398" s="46"/>
      <c r="AC398" s="46"/>
      <c r="AD398" s="46"/>
      <c r="AE398" s="46"/>
      <c r="AF398" s="46"/>
      <c r="AG398" s="46"/>
      <c r="AH398" s="46"/>
      <c r="AI398" s="46"/>
      <c r="AJ398" s="46"/>
      <c r="AK398" s="46"/>
      <c r="AL398" s="46"/>
      <c r="AM398" s="46"/>
      <c r="AN398" s="46"/>
      <c r="AO398" s="46"/>
      <c r="AP398" s="46"/>
      <c r="AQ398" s="46"/>
      <c r="AR398" s="46"/>
      <c r="AS398" s="46"/>
      <c r="AT398" s="46"/>
      <c r="AU398" s="46"/>
      <c r="AV398" s="46"/>
      <c r="AW398" s="46"/>
      <c r="AX398" s="46"/>
      <c r="AY398" s="46"/>
      <c r="AZ398" s="46"/>
      <c r="BA398" s="46"/>
      <c r="BB398" s="46"/>
      <c r="BC398" s="46"/>
      <c r="BD398" s="46"/>
      <c r="BE398" s="46"/>
    </row>
    <row r="399" spans="1:57" ht="14.25" customHeight="1" x14ac:dyDescent="0.3">
      <c r="A399" s="46"/>
      <c r="B399" s="37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  <c r="AB399" s="46"/>
      <c r="AC399" s="46"/>
      <c r="AD399" s="46"/>
      <c r="AE399" s="46"/>
      <c r="AF399" s="46"/>
      <c r="AG399" s="46"/>
      <c r="AH399" s="46"/>
      <c r="AI399" s="46"/>
      <c r="AJ399" s="46"/>
      <c r="AK399" s="46"/>
      <c r="AL399" s="46"/>
      <c r="AM399" s="46"/>
      <c r="AN399" s="46"/>
      <c r="AO399" s="46"/>
      <c r="AP399" s="46"/>
      <c r="AQ399" s="46"/>
      <c r="AR399" s="46"/>
      <c r="AS399" s="46"/>
      <c r="AT399" s="46"/>
      <c r="AU399" s="46"/>
      <c r="AV399" s="46"/>
      <c r="AW399" s="46"/>
      <c r="AX399" s="46"/>
      <c r="AY399" s="46"/>
      <c r="AZ399" s="46"/>
      <c r="BA399" s="46"/>
      <c r="BB399" s="46"/>
      <c r="BC399" s="46"/>
      <c r="BD399" s="46"/>
      <c r="BE399" s="46"/>
    </row>
    <row r="400" spans="1:57" ht="14.25" customHeight="1" x14ac:dyDescent="0.3">
      <c r="A400" s="46"/>
      <c r="B400" s="37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  <c r="AC400" s="46"/>
      <c r="AD400" s="46"/>
      <c r="AE400" s="46"/>
      <c r="AF400" s="46"/>
      <c r="AG400" s="46"/>
      <c r="AH400" s="46"/>
      <c r="AI400" s="46"/>
      <c r="AJ400" s="46"/>
      <c r="AK400" s="46"/>
      <c r="AL400" s="46"/>
      <c r="AM400" s="46"/>
      <c r="AN400" s="46"/>
      <c r="AO400" s="46"/>
      <c r="AP400" s="46"/>
      <c r="AQ400" s="46"/>
      <c r="AR400" s="46"/>
      <c r="AS400" s="46"/>
      <c r="AT400" s="46"/>
      <c r="AU400" s="46"/>
      <c r="AV400" s="46"/>
      <c r="AW400" s="46"/>
      <c r="AX400" s="46"/>
      <c r="AY400" s="46"/>
      <c r="AZ400" s="46"/>
      <c r="BA400" s="46"/>
      <c r="BB400" s="46"/>
      <c r="BC400" s="46"/>
      <c r="BD400" s="46"/>
      <c r="BE400" s="46"/>
    </row>
    <row r="401" spans="1:57" ht="14.25" customHeight="1" x14ac:dyDescent="0.3">
      <c r="A401" s="46"/>
      <c r="B401" s="37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  <c r="AB401" s="46"/>
      <c r="AC401" s="46"/>
      <c r="AD401" s="46"/>
      <c r="AE401" s="46"/>
      <c r="AF401" s="46"/>
      <c r="AG401" s="46"/>
      <c r="AH401" s="46"/>
      <c r="AI401" s="46"/>
      <c r="AJ401" s="46"/>
      <c r="AK401" s="46"/>
      <c r="AL401" s="46"/>
      <c r="AM401" s="46"/>
      <c r="AN401" s="46"/>
      <c r="AO401" s="46"/>
      <c r="AP401" s="46"/>
      <c r="AQ401" s="46"/>
      <c r="AR401" s="46"/>
      <c r="AS401" s="46"/>
      <c r="AT401" s="46"/>
      <c r="AU401" s="46"/>
      <c r="AV401" s="46"/>
      <c r="AW401" s="46"/>
      <c r="AX401" s="46"/>
      <c r="AY401" s="46"/>
      <c r="AZ401" s="46"/>
      <c r="BA401" s="46"/>
      <c r="BB401" s="46"/>
      <c r="BC401" s="46"/>
      <c r="BD401" s="46"/>
      <c r="BE401" s="46"/>
    </row>
    <row r="402" spans="1:57" ht="14.25" customHeight="1" x14ac:dyDescent="0.3">
      <c r="A402" s="46"/>
      <c r="B402" s="37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  <c r="AB402" s="46"/>
      <c r="AC402" s="46"/>
      <c r="AD402" s="46"/>
      <c r="AE402" s="46"/>
      <c r="AF402" s="46"/>
      <c r="AG402" s="46"/>
      <c r="AH402" s="46"/>
      <c r="AI402" s="46"/>
      <c r="AJ402" s="46"/>
      <c r="AK402" s="46"/>
      <c r="AL402" s="46"/>
      <c r="AM402" s="46"/>
      <c r="AN402" s="46"/>
      <c r="AO402" s="46"/>
      <c r="AP402" s="46"/>
      <c r="AQ402" s="46"/>
      <c r="AR402" s="46"/>
      <c r="AS402" s="46"/>
      <c r="AT402" s="46"/>
      <c r="AU402" s="46"/>
      <c r="AV402" s="46"/>
      <c r="AW402" s="46"/>
      <c r="AX402" s="46"/>
      <c r="AY402" s="46"/>
      <c r="AZ402" s="46"/>
      <c r="BA402" s="46"/>
      <c r="BB402" s="46"/>
      <c r="BC402" s="46"/>
      <c r="BD402" s="46"/>
      <c r="BE402" s="46"/>
    </row>
    <row r="403" spans="1:57" ht="14.25" customHeight="1" x14ac:dyDescent="0.3">
      <c r="A403" s="46"/>
      <c r="B403" s="37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  <c r="AB403" s="46"/>
      <c r="AC403" s="46"/>
      <c r="AD403" s="46"/>
      <c r="AE403" s="46"/>
      <c r="AF403" s="46"/>
      <c r="AG403" s="46"/>
      <c r="AH403" s="46"/>
      <c r="AI403" s="46"/>
      <c r="AJ403" s="46"/>
      <c r="AK403" s="46"/>
      <c r="AL403" s="46"/>
      <c r="AM403" s="46"/>
      <c r="AN403" s="46"/>
      <c r="AO403" s="46"/>
      <c r="AP403" s="46"/>
      <c r="AQ403" s="46"/>
      <c r="AR403" s="46"/>
      <c r="AS403" s="46"/>
      <c r="AT403" s="46"/>
      <c r="AU403" s="46"/>
      <c r="AV403" s="46"/>
      <c r="AW403" s="46"/>
      <c r="AX403" s="46"/>
      <c r="AY403" s="46"/>
      <c r="AZ403" s="46"/>
      <c r="BA403" s="46"/>
      <c r="BB403" s="46"/>
      <c r="BC403" s="46"/>
      <c r="BD403" s="46"/>
      <c r="BE403" s="46"/>
    </row>
    <row r="404" spans="1:57" ht="14.25" customHeight="1" x14ac:dyDescent="0.3">
      <c r="A404" s="46"/>
      <c r="B404" s="37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  <c r="AB404" s="46"/>
      <c r="AC404" s="46"/>
      <c r="AD404" s="46"/>
      <c r="AE404" s="46"/>
      <c r="AF404" s="46"/>
      <c r="AG404" s="46"/>
      <c r="AH404" s="46"/>
      <c r="AI404" s="46"/>
      <c r="AJ404" s="46"/>
      <c r="AK404" s="46"/>
      <c r="AL404" s="46"/>
      <c r="AM404" s="46"/>
      <c r="AN404" s="46"/>
      <c r="AO404" s="46"/>
      <c r="AP404" s="46"/>
      <c r="AQ404" s="46"/>
      <c r="AR404" s="46"/>
      <c r="AS404" s="46"/>
      <c r="AT404" s="46"/>
      <c r="AU404" s="46"/>
      <c r="AV404" s="46"/>
      <c r="AW404" s="46"/>
      <c r="AX404" s="46"/>
      <c r="AY404" s="46"/>
      <c r="AZ404" s="46"/>
      <c r="BA404" s="46"/>
      <c r="BB404" s="46"/>
      <c r="BC404" s="46"/>
      <c r="BD404" s="46"/>
      <c r="BE404" s="46"/>
    </row>
    <row r="405" spans="1:57" ht="14.25" customHeight="1" x14ac:dyDescent="0.3">
      <c r="A405" s="46"/>
      <c r="B405" s="37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  <c r="AD405" s="46"/>
      <c r="AE405" s="46"/>
      <c r="AF405" s="46"/>
      <c r="AG405" s="46"/>
      <c r="AH405" s="46"/>
      <c r="AI405" s="46"/>
      <c r="AJ405" s="46"/>
      <c r="AK405" s="46"/>
      <c r="AL405" s="46"/>
      <c r="AM405" s="46"/>
      <c r="AN405" s="46"/>
      <c r="AO405" s="46"/>
      <c r="AP405" s="46"/>
      <c r="AQ405" s="46"/>
      <c r="AR405" s="46"/>
      <c r="AS405" s="46"/>
      <c r="AT405" s="46"/>
      <c r="AU405" s="46"/>
      <c r="AV405" s="46"/>
      <c r="AW405" s="46"/>
      <c r="AX405" s="46"/>
      <c r="AY405" s="46"/>
      <c r="AZ405" s="46"/>
      <c r="BA405" s="46"/>
      <c r="BB405" s="46"/>
      <c r="BC405" s="46"/>
      <c r="BD405" s="46"/>
      <c r="BE405" s="46"/>
    </row>
    <row r="406" spans="1:57" ht="14.25" customHeight="1" x14ac:dyDescent="0.3">
      <c r="A406" s="46"/>
      <c r="B406" s="37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  <c r="AC406" s="46"/>
      <c r="AD406" s="46"/>
      <c r="AE406" s="46"/>
      <c r="AF406" s="46"/>
      <c r="AG406" s="46"/>
      <c r="AH406" s="46"/>
      <c r="AI406" s="46"/>
      <c r="AJ406" s="46"/>
      <c r="AK406" s="46"/>
      <c r="AL406" s="46"/>
      <c r="AM406" s="46"/>
      <c r="AN406" s="46"/>
      <c r="AO406" s="46"/>
      <c r="AP406" s="46"/>
      <c r="AQ406" s="46"/>
      <c r="AR406" s="46"/>
      <c r="AS406" s="46"/>
      <c r="AT406" s="46"/>
      <c r="AU406" s="46"/>
      <c r="AV406" s="46"/>
      <c r="AW406" s="46"/>
      <c r="AX406" s="46"/>
      <c r="AY406" s="46"/>
      <c r="AZ406" s="46"/>
      <c r="BA406" s="46"/>
      <c r="BB406" s="46"/>
      <c r="BC406" s="46"/>
      <c r="BD406" s="46"/>
      <c r="BE406" s="46"/>
    </row>
    <row r="407" spans="1:57" ht="14.25" customHeight="1" x14ac:dyDescent="0.3">
      <c r="A407" s="46"/>
      <c r="B407" s="37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  <c r="AC407" s="46"/>
      <c r="AD407" s="46"/>
      <c r="AE407" s="46"/>
      <c r="AF407" s="46"/>
      <c r="AG407" s="46"/>
      <c r="AH407" s="46"/>
      <c r="AI407" s="46"/>
      <c r="AJ407" s="46"/>
      <c r="AK407" s="46"/>
      <c r="AL407" s="46"/>
      <c r="AM407" s="46"/>
      <c r="AN407" s="46"/>
      <c r="AO407" s="46"/>
      <c r="AP407" s="46"/>
      <c r="AQ407" s="46"/>
      <c r="AR407" s="46"/>
      <c r="AS407" s="46"/>
      <c r="AT407" s="46"/>
      <c r="AU407" s="46"/>
      <c r="AV407" s="46"/>
      <c r="AW407" s="46"/>
      <c r="AX407" s="46"/>
      <c r="AY407" s="46"/>
      <c r="AZ407" s="46"/>
      <c r="BA407" s="46"/>
      <c r="BB407" s="46"/>
      <c r="BC407" s="46"/>
      <c r="BD407" s="46"/>
      <c r="BE407" s="46"/>
    </row>
    <row r="408" spans="1:57" ht="14.25" customHeight="1" x14ac:dyDescent="0.3">
      <c r="A408" s="46"/>
      <c r="B408" s="37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  <c r="AC408" s="46"/>
      <c r="AD408" s="46"/>
      <c r="AE408" s="46"/>
      <c r="AF408" s="46"/>
      <c r="AG408" s="46"/>
      <c r="AH408" s="46"/>
      <c r="AI408" s="46"/>
      <c r="AJ408" s="46"/>
      <c r="AK408" s="46"/>
      <c r="AL408" s="46"/>
      <c r="AM408" s="46"/>
      <c r="AN408" s="46"/>
      <c r="AO408" s="46"/>
      <c r="AP408" s="46"/>
      <c r="AQ408" s="46"/>
      <c r="AR408" s="46"/>
      <c r="AS408" s="46"/>
      <c r="AT408" s="46"/>
      <c r="AU408" s="46"/>
      <c r="AV408" s="46"/>
      <c r="AW408" s="46"/>
      <c r="AX408" s="46"/>
      <c r="AY408" s="46"/>
      <c r="AZ408" s="46"/>
      <c r="BA408" s="46"/>
      <c r="BB408" s="46"/>
      <c r="BC408" s="46"/>
      <c r="BD408" s="46"/>
      <c r="BE408" s="46"/>
    </row>
    <row r="409" spans="1:57" ht="14.25" customHeight="1" x14ac:dyDescent="0.3">
      <c r="A409" s="46"/>
      <c r="B409" s="37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  <c r="AC409" s="46"/>
      <c r="AD409" s="46"/>
      <c r="AE409" s="46"/>
      <c r="AF409" s="46"/>
      <c r="AG409" s="46"/>
      <c r="AH409" s="46"/>
      <c r="AI409" s="46"/>
      <c r="AJ409" s="46"/>
      <c r="AK409" s="46"/>
      <c r="AL409" s="46"/>
      <c r="AM409" s="46"/>
      <c r="AN409" s="46"/>
      <c r="AO409" s="46"/>
      <c r="AP409" s="46"/>
      <c r="AQ409" s="46"/>
      <c r="AR409" s="46"/>
      <c r="AS409" s="46"/>
      <c r="AT409" s="46"/>
      <c r="AU409" s="46"/>
      <c r="AV409" s="46"/>
      <c r="AW409" s="46"/>
      <c r="AX409" s="46"/>
      <c r="AY409" s="46"/>
      <c r="AZ409" s="46"/>
      <c r="BA409" s="46"/>
      <c r="BB409" s="46"/>
      <c r="BC409" s="46"/>
      <c r="BD409" s="46"/>
      <c r="BE409" s="46"/>
    </row>
    <row r="410" spans="1:57" ht="14.25" customHeight="1" x14ac:dyDescent="0.3">
      <c r="A410" s="46"/>
      <c r="B410" s="37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  <c r="AC410" s="46"/>
      <c r="AD410" s="46"/>
      <c r="AE410" s="46"/>
      <c r="AF410" s="46"/>
      <c r="AG410" s="46"/>
      <c r="AH410" s="46"/>
      <c r="AI410" s="46"/>
      <c r="AJ410" s="46"/>
      <c r="AK410" s="46"/>
      <c r="AL410" s="46"/>
      <c r="AM410" s="46"/>
      <c r="AN410" s="46"/>
      <c r="AO410" s="46"/>
      <c r="AP410" s="46"/>
      <c r="AQ410" s="46"/>
      <c r="AR410" s="46"/>
      <c r="AS410" s="46"/>
      <c r="AT410" s="46"/>
      <c r="AU410" s="46"/>
      <c r="AV410" s="46"/>
      <c r="AW410" s="46"/>
      <c r="AX410" s="46"/>
      <c r="AY410" s="46"/>
      <c r="AZ410" s="46"/>
      <c r="BA410" s="46"/>
      <c r="BB410" s="46"/>
      <c r="BC410" s="46"/>
      <c r="BD410" s="46"/>
      <c r="BE410" s="46"/>
    </row>
    <row r="411" spans="1:57" ht="14.25" customHeight="1" x14ac:dyDescent="0.3">
      <c r="A411" s="46"/>
      <c r="B411" s="37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  <c r="AD411" s="46"/>
      <c r="AE411" s="46"/>
      <c r="AF411" s="46"/>
      <c r="AG411" s="46"/>
      <c r="AH411" s="46"/>
      <c r="AI411" s="46"/>
      <c r="AJ411" s="46"/>
      <c r="AK411" s="46"/>
      <c r="AL411" s="46"/>
      <c r="AM411" s="46"/>
      <c r="AN411" s="46"/>
      <c r="AO411" s="46"/>
      <c r="AP411" s="46"/>
      <c r="AQ411" s="46"/>
      <c r="AR411" s="46"/>
      <c r="AS411" s="46"/>
      <c r="AT411" s="46"/>
      <c r="AU411" s="46"/>
      <c r="AV411" s="46"/>
      <c r="AW411" s="46"/>
      <c r="AX411" s="46"/>
      <c r="AY411" s="46"/>
      <c r="AZ411" s="46"/>
      <c r="BA411" s="46"/>
      <c r="BB411" s="46"/>
      <c r="BC411" s="46"/>
      <c r="BD411" s="46"/>
      <c r="BE411" s="46"/>
    </row>
    <row r="412" spans="1:57" ht="14.25" customHeight="1" x14ac:dyDescent="0.3">
      <c r="A412" s="46"/>
      <c r="B412" s="37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  <c r="AC412" s="46"/>
      <c r="AD412" s="46"/>
      <c r="AE412" s="46"/>
      <c r="AF412" s="46"/>
      <c r="AG412" s="46"/>
      <c r="AH412" s="46"/>
      <c r="AI412" s="46"/>
      <c r="AJ412" s="46"/>
      <c r="AK412" s="46"/>
      <c r="AL412" s="46"/>
      <c r="AM412" s="46"/>
      <c r="AN412" s="46"/>
      <c r="AO412" s="46"/>
      <c r="AP412" s="46"/>
      <c r="AQ412" s="46"/>
      <c r="AR412" s="46"/>
      <c r="AS412" s="46"/>
      <c r="AT412" s="46"/>
      <c r="AU412" s="46"/>
      <c r="AV412" s="46"/>
      <c r="AW412" s="46"/>
      <c r="AX412" s="46"/>
      <c r="AY412" s="46"/>
      <c r="AZ412" s="46"/>
      <c r="BA412" s="46"/>
      <c r="BB412" s="46"/>
      <c r="BC412" s="46"/>
      <c r="BD412" s="46"/>
      <c r="BE412" s="46"/>
    </row>
    <row r="413" spans="1:57" ht="14.25" customHeight="1" x14ac:dyDescent="0.3">
      <c r="A413" s="46"/>
      <c r="B413" s="37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  <c r="AC413" s="46"/>
      <c r="AD413" s="46"/>
      <c r="AE413" s="46"/>
      <c r="AF413" s="46"/>
      <c r="AG413" s="46"/>
      <c r="AH413" s="46"/>
      <c r="AI413" s="46"/>
      <c r="AJ413" s="46"/>
      <c r="AK413" s="46"/>
      <c r="AL413" s="46"/>
      <c r="AM413" s="46"/>
      <c r="AN413" s="46"/>
      <c r="AO413" s="46"/>
      <c r="AP413" s="46"/>
      <c r="AQ413" s="46"/>
      <c r="AR413" s="46"/>
      <c r="AS413" s="46"/>
      <c r="AT413" s="46"/>
      <c r="AU413" s="46"/>
      <c r="AV413" s="46"/>
      <c r="AW413" s="46"/>
      <c r="AX413" s="46"/>
      <c r="AY413" s="46"/>
      <c r="AZ413" s="46"/>
      <c r="BA413" s="46"/>
      <c r="BB413" s="46"/>
      <c r="BC413" s="46"/>
      <c r="BD413" s="46"/>
      <c r="BE413" s="46"/>
    </row>
    <row r="414" spans="1:57" ht="14.25" customHeight="1" x14ac:dyDescent="0.3">
      <c r="A414" s="46"/>
      <c r="B414" s="37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  <c r="AC414" s="46"/>
      <c r="AD414" s="46"/>
      <c r="AE414" s="46"/>
      <c r="AF414" s="46"/>
      <c r="AG414" s="46"/>
      <c r="AH414" s="46"/>
      <c r="AI414" s="46"/>
      <c r="AJ414" s="46"/>
      <c r="AK414" s="46"/>
      <c r="AL414" s="46"/>
      <c r="AM414" s="46"/>
      <c r="AN414" s="46"/>
      <c r="AO414" s="46"/>
      <c r="AP414" s="46"/>
      <c r="AQ414" s="46"/>
      <c r="AR414" s="46"/>
      <c r="AS414" s="46"/>
      <c r="AT414" s="46"/>
      <c r="AU414" s="46"/>
      <c r="AV414" s="46"/>
      <c r="AW414" s="46"/>
      <c r="AX414" s="46"/>
      <c r="AY414" s="46"/>
      <c r="AZ414" s="46"/>
      <c r="BA414" s="46"/>
      <c r="BB414" s="46"/>
      <c r="BC414" s="46"/>
      <c r="BD414" s="46"/>
      <c r="BE414" s="46"/>
    </row>
    <row r="415" spans="1:57" ht="14.25" customHeight="1" x14ac:dyDescent="0.3">
      <c r="A415" s="46"/>
      <c r="B415" s="37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  <c r="AC415" s="46"/>
      <c r="AD415" s="46"/>
      <c r="AE415" s="46"/>
      <c r="AF415" s="46"/>
      <c r="AG415" s="46"/>
      <c r="AH415" s="46"/>
      <c r="AI415" s="46"/>
      <c r="AJ415" s="46"/>
      <c r="AK415" s="46"/>
      <c r="AL415" s="46"/>
      <c r="AM415" s="46"/>
      <c r="AN415" s="46"/>
      <c r="AO415" s="46"/>
      <c r="AP415" s="46"/>
      <c r="AQ415" s="46"/>
      <c r="AR415" s="46"/>
      <c r="AS415" s="46"/>
      <c r="AT415" s="46"/>
      <c r="AU415" s="46"/>
      <c r="AV415" s="46"/>
      <c r="AW415" s="46"/>
      <c r="AX415" s="46"/>
      <c r="AY415" s="46"/>
      <c r="AZ415" s="46"/>
      <c r="BA415" s="46"/>
      <c r="BB415" s="46"/>
      <c r="BC415" s="46"/>
      <c r="BD415" s="46"/>
      <c r="BE415" s="46"/>
    </row>
    <row r="416" spans="1:57" ht="14.25" customHeight="1" x14ac:dyDescent="0.3">
      <c r="A416" s="46"/>
      <c r="B416" s="37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  <c r="AC416" s="46"/>
      <c r="AD416" s="46"/>
      <c r="AE416" s="46"/>
      <c r="AF416" s="46"/>
      <c r="AG416" s="46"/>
      <c r="AH416" s="46"/>
      <c r="AI416" s="46"/>
      <c r="AJ416" s="46"/>
      <c r="AK416" s="46"/>
      <c r="AL416" s="46"/>
      <c r="AM416" s="46"/>
      <c r="AN416" s="46"/>
      <c r="AO416" s="46"/>
      <c r="AP416" s="46"/>
      <c r="AQ416" s="46"/>
      <c r="AR416" s="46"/>
      <c r="AS416" s="46"/>
      <c r="AT416" s="46"/>
      <c r="AU416" s="46"/>
      <c r="AV416" s="46"/>
      <c r="AW416" s="46"/>
      <c r="AX416" s="46"/>
      <c r="AY416" s="46"/>
      <c r="AZ416" s="46"/>
      <c r="BA416" s="46"/>
      <c r="BB416" s="46"/>
      <c r="BC416" s="46"/>
      <c r="BD416" s="46"/>
      <c r="BE416" s="46"/>
    </row>
    <row r="417" spans="1:57" ht="14.25" customHeight="1" x14ac:dyDescent="0.3">
      <c r="A417" s="46"/>
      <c r="B417" s="37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  <c r="AC417" s="46"/>
      <c r="AD417" s="46"/>
      <c r="AE417" s="46"/>
      <c r="AF417" s="46"/>
      <c r="AG417" s="46"/>
      <c r="AH417" s="46"/>
      <c r="AI417" s="46"/>
      <c r="AJ417" s="46"/>
      <c r="AK417" s="46"/>
      <c r="AL417" s="46"/>
      <c r="AM417" s="46"/>
      <c r="AN417" s="46"/>
      <c r="AO417" s="46"/>
      <c r="AP417" s="46"/>
      <c r="AQ417" s="46"/>
      <c r="AR417" s="46"/>
      <c r="AS417" s="46"/>
      <c r="AT417" s="46"/>
      <c r="AU417" s="46"/>
      <c r="AV417" s="46"/>
      <c r="AW417" s="46"/>
      <c r="AX417" s="46"/>
      <c r="AY417" s="46"/>
      <c r="AZ417" s="46"/>
      <c r="BA417" s="46"/>
      <c r="BB417" s="46"/>
      <c r="BC417" s="46"/>
      <c r="BD417" s="46"/>
      <c r="BE417" s="46"/>
    </row>
    <row r="418" spans="1:57" ht="14.25" customHeight="1" x14ac:dyDescent="0.3">
      <c r="A418" s="46"/>
      <c r="B418" s="37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  <c r="AC418" s="46"/>
      <c r="AD418" s="46"/>
      <c r="AE418" s="46"/>
      <c r="AF418" s="46"/>
      <c r="AG418" s="46"/>
      <c r="AH418" s="46"/>
      <c r="AI418" s="46"/>
      <c r="AJ418" s="46"/>
      <c r="AK418" s="46"/>
      <c r="AL418" s="46"/>
      <c r="AM418" s="46"/>
      <c r="AN418" s="46"/>
      <c r="AO418" s="46"/>
      <c r="AP418" s="46"/>
      <c r="AQ418" s="46"/>
      <c r="AR418" s="46"/>
      <c r="AS418" s="46"/>
      <c r="AT418" s="46"/>
      <c r="AU418" s="46"/>
      <c r="AV418" s="46"/>
      <c r="AW418" s="46"/>
      <c r="AX418" s="46"/>
      <c r="AY418" s="46"/>
      <c r="AZ418" s="46"/>
      <c r="BA418" s="46"/>
      <c r="BB418" s="46"/>
      <c r="BC418" s="46"/>
      <c r="BD418" s="46"/>
      <c r="BE418" s="46"/>
    </row>
    <row r="419" spans="1:57" ht="14.25" customHeight="1" x14ac:dyDescent="0.3">
      <c r="A419" s="46"/>
      <c r="B419" s="37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  <c r="AC419" s="46"/>
      <c r="AD419" s="46"/>
      <c r="AE419" s="46"/>
      <c r="AF419" s="46"/>
      <c r="AG419" s="46"/>
      <c r="AH419" s="46"/>
      <c r="AI419" s="46"/>
      <c r="AJ419" s="46"/>
      <c r="AK419" s="46"/>
      <c r="AL419" s="46"/>
      <c r="AM419" s="46"/>
      <c r="AN419" s="46"/>
      <c r="AO419" s="46"/>
      <c r="AP419" s="46"/>
      <c r="AQ419" s="46"/>
      <c r="AR419" s="46"/>
      <c r="AS419" s="46"/>
      <c r="AT419" s="46"/>
      <c r="AU419" s="46"/>
      <c r="AV419" s="46"/>
      <c r="AW419" s="46"/>
      <c r="AX419" s="46"/>
      <c r="AY419" s="46"/>
      <c r="AZ419" s="46"/>
      <c r="BA419" s="46"/>
      <c r="BB419" s="46"/>
      <c r="BC419" s="46"/>
      <c r="BD419" s="46"/>
      <c r="BE419" s="46"/>
    </row>
    <row r="420" spans="1:57" ht="14.25" customHeight="1" x14ac:dyDescent="0.3">
      <c r="A420" s="46"/>
      <c r="B420" s="37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  <c r="AB420" s="46"/>
      <c r="AC420" s="46"/>
      <c r="AD420" s="46"/>
      <c r="AE420" s="46"/>
      <c r="AF420" s="46"/>
      <c r="AG420" s="46"/>
      <c r="AH420" s="46"/>
      <c r="AI420" s="46"/>
      <c r="AJ420" s="46"/>
      <c r="AK420" s="46"/>
      <c r="AL420" s="46"/>
      <c r="AM420" s="46"/>
      <c r="AN420" s="46"/>
      <c r="AO420" s="46"/>
      <c r="AP420" s="46"/>
      <c r="AQ420" s="46"/>
      <c r="AR420" s="46"/>
      <c r="AS420" s="46"/>
      <c r="AT420" s="46"/>
      <c r="AU420" s="46"/>
      <c r="AV420" s="46"/>
      <c r="AW420" s="46"/>
      <c r="AX420" s="46"/>
      <c r="AY420" s="46"/>
      <c r="AZ420" s="46"/>
      <c r="BA420" s="46"/>
      <c r="BB420" s="46"/>
      <c r="BC420" s="46"/>
      <c r="BD420" s="46"/>
      <c r="BE420" s="46"/>
    </row>
    <row r="421" spans="1:57" ht="14.25" customHeight="1" x14ac:dyDescent="0.3">
      <c r="A421" s="46"/>
      <c r="B421" s="37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  <c r="AB421" s="46"/>
      <c r="AC421" s="46"/>
      <c r="AD421" s="46"/>
      <c r="AE421" s="46"/>
      <c r="AF421" s="46"/>
      <c r="AG421" s="46"/>
      <c r="AH421" s="46"/>
      <c r="AI421" s="46"/>
      <c r="AJ421" s="46"/>
      <c r="AK421" s="46"/>
      <c r="AL421" s="46"/>
      <c r="AM421" s="46"/>
      <c r="AN421" s="46"/>
      <c r="AO421" s="46"/>
      <c r="AP421" s="46"/>
      <c r="AQ421" s="46"/>
      <c r="AR421" s="46"/>
      <c r="AS421" s="46"/>
      <c r="AT421" s="46"/>
      <c r="AU421" s="46"/>
      <c r="AV421" s="46"/>
      <c r="AW421" s="46"/>
      <c r="AX421" s="46"/>
      <c r="AY421" s="46"/>
      <c r="AZ421" s="46"/>
      <c r="BA421" s="46"/>
      <c r="BB421" s="46"/>
      <c r="BC421" s="46"/>
      <c r="BD421" s="46"/>
      <c r="BE421" s="46"/>
    </row>
    <row r="422" spans="1:57" ht="14.25" customHeight="1" x14ac:dyDescent="0.3">
      <c r="A422" s="46"/>
      <c r="B422" s="37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  <c r="AB422" s="46"/>
      <c r="AC422" s="46"/>
      <c r="AD422" s="46"/>
      <c r="AE422" s="46"/>
      <c r="AF422" s="46"/>
      <c r="AG422" s="46"/>
      <c r="AH422" s="46"/>
      <c r="AI422" s="46"/>
      <c r="AJ422" s="46"/>
      <c r="AK422" s="46"/>
      <c r="AL422" s="46"/>
      <c r="AM422" s="46"/>
      <c r="AN422" s="46"/>
      <c r="AO422" s="46"/>
      <c r="AP422" s="46"/>
      <c r="AQ422" s="46"/>
      <c r="AR422" s="46"/>
      <c r="AS422" s="46"/>
      <c r="AT422" s="46"/>
      <c r="AU422" s="46"/>
      <c r="AV422" s="46"/>
      <c r="AW422" s="46"/>
      <c r="AX422" s="46"/>
      <c r="AY422" s="46"/>
      <c r="AZ422" s="46"/>
      <c r="BA422" s="46"/>
      <c r="BB422" s="46"/>
      <c r="BC422" s="46"/>
      <c r="BD422" s="46"/>
      <c r="BE422" s="46"/>
    </row>
    <row r="423" spans="1:57" ht="14.25" customHeight="1" x14ac:dyDescent="0.3">
      <c r="A423" s="46"/>
      <c r="B423" s="37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  <c r="AB423" s="46"/>
      <c r="AC423" s="46"/>
      <c r="AD423" s="46"/>
      <c r="AE423" s="46"/>
      <c r="AF423" s="46"/>
      <c r="AG423" s="46"/>
      <c r="AH423" s="46"/>
      <c r="AI423" s="46"/>
      <c r="AJ423" s="46"/>
      <c r="AK423" s="46"/>
      <c r="AL423" s="46"/>
      <c r="AM423" s="46"/>
      <c r="AN423" s="46"/>
      <c r="AO423" s="46"/>
      <c r="AP423" s="46"/>
      <c r="AQ423" s="46"/>
      <c r="AR423" s="46"/>
      <c r="AS423" s="46"/>
      <c r="AT423" s="46"/>
      <c r="AU423" s="46"/>
      <c r="AV423" s="46"/>
      <c r="AW423" s="46"/>
      <c r="AX423" s="46"/>
      <c r="AY423" s="46"/>
      <c r="AZ423" s="46"/>
      <c r="BA423" s="46"/>
      <c r="BB423" s="46"/>
      <c r="BC423" s="46"/>
      <c r="BD423" s="46"/>
      <c r="BE423" s="46"/>
    </row>
    <row r="424" spans="1:57" ht="14.25" customHeight="1" x14ac:dyDescent="0.3">
      <c r="A424" s="46"/>
      <c r="B424" s="37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  <c r="AB424" s="46"/>
      <c r="AC424" s="46"/>
      <c r="AD424" s="46"/>
      <c r="AE424" s="46"/>
      <c r="AF424" s="46"/>
      <c r="AG424" s="46"/>
      <c r="AH424" s="46"/>
      <c r="AI424" s="46"/>
      <c r="AJ424" s="46"/>
      <c r="AK424" s="46"/>
      <c r="AL424" s="46"/>
      <c r="AM424" s="46"/>
      <c r="AN424" s="46"/>
      <c r="AO424" s="46"/>
      <c r="AP424" s="46"/>
      <c r="AQ424" s="46"/>
      <c r="AR424" s="46"/>
      <c r="AS424" s="46"/>
      <c r="AT424" s="46"/>
      <c r="AU424" s="46"/>
      <c r="AV424" s="46"/>
      <c r="AW424" s="46"/>
      <c r="AX424" s="46"/>
      <c r="AY424" s="46"/>
      <c r="AZ424" s="46"/>
      <c r="BA424" s="46"/>
      <c r="BB424" s="46"/>
      <c r="BC424" s="46"/>
      <c r="BD424" s="46"/>
      <c r="BE424" s="46"/>
    </row>
    <row r="425" spans="1:57" ht="14.25" customHeight="1" x14ac:dyDescent="0.3">
      <c r="A425" s="46"/>
      <c r="B425" s="37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  <c r="AB425" s="46"/>
      <c r="AC425" s="46"/>
      <c r="AD425" s="46"/>
      <c r="AE425" s="46"/>
      <c r="AF425" s="46"/>
      <c r="AG425" s="46"/>
      <c r="AH425" s="46"/>
      <c r="AI425" s="46"/>
      <c r="AJ425" s="46"/>
      <c r="AK425" s="46"/>
      <c r="AL425" s="46"/>
      <c r="AM425" s="46"/>
      <c r="AN425" s="46"/>
      <c r="AO425" s="46"/>
      <c r="AP425" s="46"/>
      <c r="AQ425" s="46"/>
      <c r="AR425" s="46"/>
      <c r="AS425" s="46"/>
      <c r="AT425" s="46"/>
      <c r="AU425" s="46"/>
      <c r="AV425" s="46"/>
      <c r="AW425" s="46"/>
      <c r="AX425" s="46"/>
      <c r="AY425" s="46"/>
      <c r="AZ425" s="46"/>
      <c r="BA425" s="46"/>
      <c r="BB425" s="46"/>
      <c r="BC425" s="46"/>
      <c r="BD425" s="46"/>
      <c r="BE425" s="46"/>
    </row>
    <row r="426" spans="1:57" ht="14.25" customHeight="1" x14ac:dyDescent="0.3">
      <c r="A426" s="46"/>
      <c r="B426" s="37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  <c r="AB426" s="46"/>
      <c r="AC426" s="46"/>
      <c r="AD426" s="46"/>
      <c r="AE426" s="46"/>
      <c r="AF426" s="46"/>
      <c r="AG426" s="46"/>
      <c r="AH426" s="46"/>
      <c r="AI426" s="46"/>
      <c r="AJ426" s="46"/>
      <c r="AK426" s="46"/>
      <c r="AL426" s="46"/>
      <c r="AM426" s="46"/>
      <c r="AN426" s="46"/>
      <c r="AO426" s="46"/>
      <c r="AP426" s="46"/>
      <c r="AQ426" s="46"/>
      <c r="AR426" s="46"/>
      <c r="AS426" s="46"/>
      <c r="AT426" s="46"/>
      <c r="AU426" s="46"/>
      <c r="AV426" s="46"/>
      <c r="AW426" s="46"/>
      <c r="AX426" s="46"/>
      <c r="AY426" s="46"/>
      <c r="AZ426" s="46"/>
      <c r="BA426" s="46"/>
      <c r="BB426" s="46"/>
      <c r="BC426" s="46"/>
      <c r="BD426" s="46"/>
      <c r="BE426" s="46"/>
    </row>
    <row r="427" spans="1:57" ht="14.25" customHeight="1" x14ac:dyDescent="0.3">
      <c r="A427" s="46"/>
      <c r="B427" s="37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  <c r="AB427" s="46"/>
      <c r="AC427" s="46"/>
      <c r="AD427" s="46"/>
      <c r="AE427" s="46"/>
      <c r="AF427" s="46"/>
      <c r="AG427" s="46"/>
      <c r="AH427" s="46"/>
      <c r="AI427" s="46"/>
      <c r="AJ427" s="46"/>
      <c r="AK427" s="46"/>
      <c r="AL427" s="46"/>
      <c r="AM427" s="46"/>
      <c r="AN427" s="46"/>
      <c r="AO427" s="46"/>
      <c r="AP427" s="46"/>
      <c r="AQ427" s="46"/>
      <c r="AR427" s="46"/>
      <c r="AS427" s="46"/>
      <c r="AT427" s="46"/>
      <c r="AU427" s="46"/>
      <c r="AV427" s="46"/>
      <c r="AW427" s="46"/>
      <c r="AX427" s="46"/>
      <c r="AY427" s="46"/>
      <c r="AZ427" s="46"/>
      <c r="BA427" s="46"/>
      <c r="BB427" s="46"/>
      <c r="BC427" s="46"/>
      <c r="BD427" s="46"/>
      <c r="BE427" s="46"/>
    </row>
    <row r="428" spans="1:57" ht="14.25" customHeight="1" x14ac:dyDescent="0.3">
      <c r="A428" s="46"/>
      <c r="B428" s="37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  <c r="AB428" s="46"/>
      <c r="AC428" s="46"/>
      <c r="AD428" s="46"/>
      <c r="AE428" s="46"/>
      <c r="AF428" s="46"/>
      <c r="AG428" s="46"/>
      <c r="AH428" s="46"/>
      <c r="AI428" s="46"/>
      <c r="AJ428" s="46"/>
      <c r="AK428" s="46"/>
      <c r="AL428" s="46"/>
      <c r="AM428" s="46"/>
      <c r="AN428" s="46"/>
      <c r="AO428" s="46"/>
      <c r="AP428" s="46"/>
      <c r="AQ428" s="46"/>
      <c r="AR428" s="46"/>
      <c r="AS428" s="46"/>
      <c r="AT428" s="46"/>
      <c r="AU428" s="46"/>
      <c r="AV428" s="46"/>
      <c r="AW428" s="46"/>
      <c r="AX428" s="46"/>
      <c r="AY428" s="46"/>
      <c r="AZ428" s="46"/>
      <c r="BA428" s="46"/>
      <c r="BB428" s="46"/>
      <c r="BC428" s="46"/>
      <c r="BD428" s="46"/>
      <c r="BE428" s="46"/>
    </row>
    <row r="429" spans="1:57" ht="14.25" customHeight="1" x14ac:dyDescent="0.3">
      <c r="A429" s="46"/>
      <c r="B429" s="37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  <c r="AB429" s="46"/>
      <c r="AC429" s="46"/>
      <c r="AD429" s="46"/>
      <c r="AE429" s="46"/>
      <c r="AF429" s="46"/>
      <c r="AG429" s="46"/>
      <c r="AH429" s="46"/>
      <c r="AI429" s="46"/>
      <c r="AJ429" s="46"/>
      <c r="AK429" s="46"/>
      <c r="AL429" s="46"/>
      <c r="AM429" s="46"/>
      <c r="AN429" s="46"/>
      <c r="AO429" s="46"/>
      <c r="AP429" s="46"/>
      <c r="AQ429" s="46"/>
      <c r="AR429" s="46"/>
      <c r="AS429" s="46"/>
      <c r="AT429" s="46"/>
      <c r="AU429" s="46"/>
      <c r="AV429" s="46"/>
      <c r="AW429" s="46"/>
      <c r="AX429" s="46"/>
      <c r="AY429" s="46"/>
      <c r="AZ429" s="46"/>
      <c r="BA429" s="46"/>
      <c r="BB429" s="46"/>
      <c r="BC429" s="46"/>
      <c r="BD429" s="46"/>
      <c r="BE429" s="46"/>
    </row>
    <row r="430" spans="1:57" ht="14.25" customHeight="1" x14ac:dyDescent="0.3">
      <c r="A430" s="46"/>
      <c r="B430" s="37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  <c r="AB430" s="46"/>
      <c r="AC430" s="46"/>
      <c r="AD430" s="46"/>
      <c r="AE430" s="46"/>
      <c r="AF430" s="46"/>
      <c r="AG430" s="46"/>
      <c r="AH430" s="46"/>
      <c r="AI430" s="46"/>
      <c r="AJ430" s="46"/>
      <c r="AK430" s="46"/>
      <c r="AL430" s="46"/>
      <c r="AM430" s="46"/>
      <c r="AN430" s="46"/>
      <c r="AO430" s="46"/>
      <c r="AP430" s="46"/>
      <c r="AQ430" s="46"/>
      <c r="AR430" s="46"/>
      <c r="AS430" s="46"/>
      <c r="AT430" s="46"/>
      <c r="AU430" s="46"/>
      <c r="AV430" s="46"/>
      <c r="AW430" s="46"/>
      <c r="AX430" s="46"/>
      <c r="AY430" s="46"/>
      <c r="AZ430" s="46"/>
      <c r="BA430" s="46"/>
      <c r="BB430" s="46"/>
      <c r="BC430" s="46"/>
      <c r="BD430" s="46"/>
      <c r="BE430" s="46"/>
    </row>
    <row r="431" spans="1:57" ht="14.25" customHeight="1" x14ac:dyDescent="0.3">
      <c r="A431" s="46"/>
      <c r="B431" s="37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  <c r="AB431" s="46"/>
      <c r="AC431" s="46"/>
      <c r="AD431" s="46"/>
      <c r="AE431" s="46"/>
      <c r="AF431" s="46"/>
      <c r="AG431" s="46"/>
      <c r="AH431" s="46"/>
      <c r="AI431" s="46"/>
      <c r="AJ431" s="46"/>
      <c r="AK431" s="46"/>
      <c r="AL431" s="46"/>
      <c r="AM431" s="46"/>
      <c r="AN431" s="46"/>
      <c r="AO431" s="46"/>
      <c r="AP431" s="46"/>
      <c r="AQ431" s="46"/>
      <c r="AR431" s="46"/>
      <c r="AS431" s="46"/>
      <c r="AT431" s="46"/>
      <c r="AU431" s="46"/>
      <c r="AV431" s="46"/>
      <c r="AW431" s="46"/>
      <c r="AX431" s="46"/>
      <c r="AY431" s="46"/>
      <c r="AZ431" s="46"/>
      <c r="BA431" s="46"/>
      <c r="BB431" s="46"/>
      <c r="BC431" s="46"/>
      <c r="BD431" s="46"/>
      <c r="BE431" s="46"/>
    </row>
    <row r="432" spans="1:57" ht="14.25" customHeight="1" x14ac:dyDescent="0.3">
      <c r="A432" s="46"/>
      <c r="B432" s="37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  <c r="AB432" s="46"/>
      <c r="AC432" s="46"/>
      <c r="AD432" s="46"/>
      <c r="AE432" s="46"/>
      <c r="AF432" s="46"/>
      <c r="AG432" s="46"/>
      <c r="AH432" s="46"/>
      <c r="AI432" s="46"/>
      <c r="AJ432" s="46"/>
      <c r="AK432" s="46"/>
      <c r="AL432" s="46"/>
      <c r="AM432" s="46"/>
      <c r="AN432" s="46"/>
      <c r="AO432" s="46"/>
      <c r="AP432" s="46"/>
      <c r="AQ432" s="46"/>
      <c r="AR432" s="46"/>
      <c r="AS432" s="46"/>
      <c r="AT432" s="46"/>
      <c r="AU432" s="46"/>
      <c r="AV432" s="46"/>
      <c r="AW432" s="46"/>
      <c r="AX432" s="46"/>
      <c r="AY432" s="46"/>
      <c r="AZ432" s="46"/>
      <c r="BA432" s="46"/>
      <c r="BB432" s="46"/>
      <c r="BC432" s="46"/>
      <c r="BD432" s="46"/>
      <c r="BE432" s="46"/>
    </row>
    <row r="433" spans="1:57" ht="14.25" customHeight="1" x14ac:dyDescent="0.3">
      <c r="A433" s="46"/>
      <c r="B433" s="37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  <c r="AB433" s="46"/>
      <c r="AC433" s="46"/>
      <c r="AD433" s="46"/>
      <c r="AE433" s="46"/>
      <c r="AF433" s="46"/>
      <c r="AG433" s="46"/>
      <c r="AH433" s="46"/>
      <c r="AI433" s="46"/>
      <c r="AJ433" s="46"/>
      <c r="AK433" s="46"/>
      <c r="AL433" s="46"/>
      <c r="AM433" s="46"/>
      <c r="AN433" s="46"/>
      <c r="AO433" s="46"/>
      <c r="AP433" s="46"/>
      <c r="AQ433" s="46"/>
      <c r="AR433" s="46"/>
      <c r="AS433" s="46"/>
      <c r="AT433" s="46"/>
      <c r="AU433" s="46"/>
      <c r="AV433" s="46"/>
      <c r="AW433" s="46"/>
      <c r="AX433" s="46"/>
      <c r="AY433" s="46"/>
      <c r="AZ433" s="46"/>
      <c r="BA433" s="46"/>
      <c r="BB433" s="46"/>
      <c r="BC433" s="46"/>
      <c r="BD433" s="46"/>
      <c r="BE433" s="46"/>
    </row>
    <row r="434" spans="1:57" ht="14.25" customHeight="1" x14ac:dyDescent="0.3">
      <c r="A434" s="46"/>
      <c r="B434" s="37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  <c r="AB434" s="46"/>
      <c r="AC434" s="46"/>
      <c r="AD434" s="46"/>
      <c r="AE434" s="46"/>
      <c r="AF434" s="46"/>
      <c r="AG434" s="46"/>
      <c r="AH434" s="46"/>
      <c r="AI434" s="46"/>
      <c r="AJ434" s="46"/>
      <c r="AK434" s="46"/>
      <c r="AL434" s="46"/>
      <c r="AM434" s="46"/>
      <c r="AN434" s="46"/>
      <c r="AO434" s="46"/>
      <c r="AP434" s="46"/>
      <c r="AQ434" s="46"/>
      <c r="AR434" s="46"/>
      <c r="AS434" s="46"/>
      <c r="AT434" s="46"/>
      <c r="AU434" s="46"/>
      <c r="AV434" s="46"/>
      <c r="AW434" s="46"/>
      <c r="AX434" s="46"/>
      <c r="AY434" s="46"/>
      <c r="AZ434" s="46"/>
      <c r="BA434" s="46"/>
      <c r="BB434" s="46"/>
      <c r="BC434" s="46"/>
      <c r="BD434" s="46"/>
      <c r="BE434" s="46"/>
    </row>
    <row r="435" spans="1:57" ht="14.25" customHeight="1" x14ac:dyDescent="0.3">
      <c r="A435" s="46"/>
      <c r="B435" s="37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  <c r="AB435" s="46"/>
      <c r="AC435" s="46"/>
      <c r="AD435" s="46"/>
      <c r="AE435" s="46"/>
      <c r="AF435" s="46"/>
      <c r="AG435" s="46"/>
      <c r="AH435" s="46"/>
      <c r="AI435" s="46"/>
      <c r="AJ435" s="46"/>
      <c r="AK435" s="46"/>
      <c r="AL435" s="46"/>
      <c r="AM435" s="46"/>
      <c r="AN435" s="46"/>
      <c r="AO435" s="46"/>
      <c r="AP435" s="46"/>
      <c r="AQ435" s="46"/>
      <c r="AR435" s="46"/>
      <c r="AS435" s="46"/>
      <c r="AT435" s="46"/>
      <c r="AU435" s="46"/>
      <c r="AV435" s="46"/>
      <c r="AW435" s="46"/>
      <c r="AX435" s="46"/>
      <c r="AY435" s="46"/>
      <c r="AZ435" s="46"/>
      <c r="BA435" s="46"/>
      <c r="BB435" s="46"/>
      <c r="BC435" s="46"/>
      <c r="BD435" s="46"/>
      <c r="BE435" s="46"/>
    </row>
    <row r="436" spans="1:57" ht="14.25" customHeight="1" x14ac:dyDescent="0.3">
      <c r="A436" s="46"/>
      <c r="B436" s="37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  <c r="AB436" s="46"/>
      <c r="AC436" s="46"/>
      <c r="AD436" s="46"/>
      <c r="AE436" s="46"/>
      <c r="AF436" s="46"/>
      <c r="AG436" s="46"/>
      <c r="AH436" s="46"/>
      <c r="AI436" s="46"/>
      <c r="AJ436" s="46"/>
      <c r="AK436" s="46"/>
      <c r="AL436" s="46"/>
      <c r="AM436" s="46"/>
      <c r="AN436" s="46"/>
      <c r="AO436" s="46"/>
      <c r="AP436" s="46"/>
      <c r="AQ436" s="46"/>
      <c r="AR436" s="46"/>
      <c r="AS436" s="46"/>
      <c r="AT436" s="46"/>
      <c r="AU436" s="46"/>
      <c r="AV436" s="46"/>
      <c r="AW436" s="46"/>
      <c r="AX436" s="46"/>
      <c r="AY436" s="46"/>
      <c r="AZ436" s="46"/>
      <c r="BA436" s="46"/>
      <c r="BB436" s="46"/>
      <c r="BC436" s="46"/>
      <c r="BD436" s="46"/>
      <c r="BE436" s="46"/>
    </row>
    <row r="437" spans="1:57" ht="14.25" customHeight="1" x14ac:dyDescent="0.3">
      <c r="A437" s="46"/>
      <c r="B437" s="37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  <c r="AB437" s="46"/>
      <c r="AC437" s="46"/>
      <c r="AD437" s="46"/>
      <c r="AE437" s="46"/>
      <c r="AF437" s="46"/>
      <c r="AG437" s="46"/>
      <c r="AH437" s="46"/>
      <c r="AI437" s="46"/>
      <c r="AJ437" s="46"/>
      <c r="AK437" s="46"/>
      <c r="AL437" s="46"/>
      <c r="AM437" s="46"/>
      <c r="AN437" s="46"/>
      <c r="AO437" s="46"/>
      <c r="AP437" s="46"/>
      <c r="AQ437" s="46"/>
      <c r="AR437" s="46"/>
      <c r="AS437" s="46"/>
      <c r="AT437" s="46"/>
      <c r="AU437" s="46"/>
      <c r="AV437" s="46"/>
      <c r="AW437" s="46"/>
      <c r="AX437" s="46"/>
      <c r="AY437" s="46"/>
      <c r="AZ437" s="46"/>
      <c r="BA437" s="46"/>
      <c r="BB437" s="46"/>
      <c r="BC437" s="46"/>
      <c r="BD437" s="46"/>
      <c r="BE437" s="46"/>
    </row>
    <row r="438" spans="1:57" ht="14.25" customHeight="1" x14ac:dyDescent="0.3">
      <c r="A438" s="46"/>
      <c r="B438" s="37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  <c r="AB438" s="46"/>
      <c r="AC438" s="46"/>
      <c r="AD438" s="46"/>
      <c r="AE438" s="46"/>
      <c r="AF438" s="46"/>
      <c r="AG438" s="46"/>
      <c r="AH438" s="46"/>
      <c r="AI438" s="46"/>
      <c r="AJ438" s="46"/>
      <c r="AK438" s="46"/>
      <c r="AL438" s="46"/>
      <c r="AM438" s="46"/>
      <c r="AN438" s="46"/>
      <c r="AO438" s="46"/>
      <c r="AP438" s="46"/>
      <c r="AQ438" s="46"/>
      <c r="AR438" s="46"/>
      <c r="AS438" s="46"/>
      <c r="AT438" s="46"/>
      <c r="AU438" s="46"/>
      <c r="AV438" s="46"/>
      <c r="AW438" s="46"/>
      <c r="AX438" s="46"/>
      <c r="AY438" s="46"/>
      <c r="AZ438" s="46"/>
      <c r="BA438" s="46"/>
      <c r="BB438" s="46"/>
      <c r="BC438" s="46"/>
      <c r="BD438" s="46"/>
      <c r="BE438" s="46"/>
    </row>
    <row r="439" spans="1:57" ht="14.25" customHeight="1" x14ac:dyDescent="0.3">
      <c r="A439" s="46"/>
      <c r="B439" s="37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  <c r="AB439" s="46"/>
      <c r="AC439" s="46"/>
      <c r="AD439" s="46"/>
      <c r="AE439" s="46"/>
      <c r="AF439" s="46"/>
      <c r="AG439" s="46"/>
      <c r="AH439" s="46"/>
      <c r="AI439" s="46"/>
      <c r="AJ439" s="46"/>
      <c r="AK439" s="46"/>
      <c r="AL439" s="46"/>
      <c r="AM439" s="46"/>
      <c r="AN439" s="46"/>
      <c r="AO439" s="46"/>
      <c r="AP439" s="46"/>
      <c r="AQ439" s="46"/>
      <c r="AR439" s="46"/>
      <c r="AS439" s="46"/>
      <c r="AT439" s="46"/>
      <c r="AU439" s="46"/>
      <c r="AV439" s="46"/>
      <c r="AW439" s="46"/>
      <c r="AX439" s="46"/>
      <c r="AY439" s="46"/>
      <c r="AZ439" s="46"/>
      <c r="BA439" s="46"/>
      <c r="BB439" s="46"/>
      <c r="BC439" s="46"/>
      <c r="BD439" s="46"/>
      <c r="BE439" s="46"/>
    </row>
    <row r="440" spans="1:57" ht="14.25" customHeight="1" x14ac:dyDescent="0.3">
      <c r="A440" s="46"/>
      <c r="B440" s="37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  <c r="AB440" s="46"/>
      <c r="AC440" s="46"/>
      <c r="AD440" s="46"/>
      <c r="AE440" s="46"/>
      <c r="AF440" s="46"/>
      <c r="AG440" s="46"/>
      <c r="AH440" s="46"/>
      <c r="AI440" s="46"/>
      <c r="AJ440" s="46"/>
      <c r="AK440" s="46"/>
      <c r="AL440" s="46"/>
      <c r="AM440" s="46"/>
      <c r="AN440" s="46"/>
      <c r="AO440" s="46"/>
      <c r="AP440" s="46"/>
      <c r="AQ440" s="46"/>
      <c r="AR440" s="46"/>
      <c r="AS440" s="46"/>
      <c r="AT440" s="46"/>
      <c r="AU440" s="46"/>
      <c r="AV440" s="46"/>
      <c r="AW440" s="46"/>
      <c r="AX440" s="46"/>
      <c r="AY440" s="46"/>
      <c r="AZ440" s="46"/>
      <c r="BA440" s="46"/>
      <c r="BB440" s="46"/>
      <c r="BC440" s="46"/>
      <c r="BD440" s="46"/>
      <c r="BE440" s="46"/>
    </row>
    <row r="441" spans="1:57" ht="14.25" customHeight="1" x14ac:dyDescent="0.3">
      <c r="A441" s="46"/>
      <c r="B441" s="37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  <c r="AB441" s="46"/>
      <c r="AC441" s="46"/>
      <c r="AD441" s="46"/>
      <c r="AE441" s="46"/>
      <c r="AF441" s="46"/>
      <c r="AG441" s="46"/>
      <c r="AH441" s="46"/>
      <c r="AI441" s="46"/>
      <c r="AJ441" s="46"/>
      <c r="AK441" s="46"/>
      <c r="AL441" s="46"/>
      <c r="AM441" s="46"/>
      <c r="AN441" s="46"/>
      <c r="AO441" s="46"/>
      <c r="AP441" s="46"/>
      <c r="AQ441" s="46"/>
      <c r="AR441" s="46"/>
      <c r="AS441" s="46"/>
      <c r="AT441" s="46"/>
      <c r="AU441" s="46"/>
      <c r="AV441" s="46"/>
      <c r="AW441" s="46"/>
      <c r="AX441" s="46"/>
      <c r="AY441" s="46"/>
      <c r="AZ441" s="46"/>
      <c r="BA441" s="46"/>
      <c r="BB441" s="46"/>
      <c r="BC441" s="46"/>
      <c r="BD441" s="46"/>
      <c r="BE441" s="46"/>
    </row>
    <row r="442" spans="1:57" ht="14.25" customHeight="1" x14ac:dyDescent="0.3">
      <c r="A442" s="46"/>
      <c r="B442" s="37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  <c r="AB442" s="46"/>
      <c r="AC442" s="46"/>
      <c r="AD442" s="46"/>
      <c r="AE442" s="46"/>
      <c r="AF442" s="46"/>
      <c r="AG442" s="46"/>
      <c r="AH442" s="46"/>
      <c r="AI442" s="46"/>
      <c r="AJ442" s="46"/>
      <c r="AK442" s="46"/>
      <c r="AL442" s="46"/>
      <c r="AM442" s="46"/>
      <c r="AN442" s="46"/>
      <c r="AO442" s="46"/>
      <c r="AP442" s="46"/>
      <c r="AQ442" s="46"/>
      <c r="AR442" s="46"/>
      <c r="AS442" s="46"/>
      <c r="AT442" s="46"/>
      <c r="AU442" s="46"/>
      <c r="AV442" s="46"/>
      <c r="AW442" s="46"/>
      <c r="AX442" s="46"/>
      <c r="AY442" s="46"/>
      <c r="AZ442" s="46"/>
      <c r="BA442" s="46"/>
      <c r="BB442" s="46"/>
      <c r="BC442" s="46"/>
      <c r="BD442" s="46"/>
      <c r="BE442" s="46"/>
    </row>
    <row r="443" spans="1:57" ht="14.25" customHeight="1" x14ac:dyDescent="0.3">
      <c r="A443" s="46"/>
      <c r="B443" s="37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  <c r="AC443" s="46"/>
      <c r="AD443" s="46"/>
      <c r="AE443" s="46"/>
      <c r="AF443" s="46"/>
      <c r="AG443" s="46"/>
      <c r="AH443" s="46"/>
      <c r="AI443" s="46"/>
      <c r="AJ443" s="46"/>
      <c r="AK443" s="46"/>
      <c r="AL443" s="46"/>
      <c r="AM443" s="46"/>
      <c r="AN443" s="46"/>
      <c r="AO443" s="46"/>
      <c r="AP443" s="46"/>
      <c r="AQ443" s="46"/>
      <c r="AR443" s="46"/>
      <c r="AS443" s="46"/>
      <c r="AT443" s="46"/>
      <c r="AU443" s="46"/>
      <c r="AV443" s="46"/>
      <c r="AW443" s="46"/>
      <c r="AX443" s="46"/>
      <c r="AY443" s="46"/>
      <c r="AZ443" s="46"/>
      <c r="BA443" s="46"/>
      <c r="BB443" s="46"/>
      <c r="BC443" s="46"/>
      <c r="BD443" s="46"/>
      <c r="BE443" s="46"/>
    </row>
    <row r="444" spans="1:57" ht="14.25" customHeight="1" x14ac:dyDescent="0.3">
      <c r="A444" s="46"/>
      <c r="B444" s="37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  <c r="AB444" s="46"/>
      <c r="AC444" s="46"/>
      <c r="AD444" s="46"/>
      <c r="AE444" s="46"/>
      <c r="AF444" s="46"/>
      <c r="AG444" s="46"/>
      <c r="AH444" s="46"/>
      <c r="AI444" s="46"/>
      <c r="AJ444" s="46"/>
      <c r="AK444" s="46"/>
      <c r="AL444" s="46"/>
      <c r="AM444" s="46"/>
      <c r="AN444" s="46"/>
      <c r="AO444" s="46"/>
      <c r="AP444" s="46"/>
      <c r="AQ444" s="46"/>
      <c r="AR444" s="46"/>
      <c r="AS444" s="46"/>
      <c r="AT444" s="46"/>
      <c r="AU444" s="46"/>
      <c r="AV444" s="46"/>
      <c r="AW444" s="46"/>
      <c r="AX444" s="46"/>
      <c r="AY444" s="46"/>
      <c r="AZ444" s="46"/>
      <c r="BA444" s="46"/>
      <c r="BB444" s="46"/>
      <c r="BC444" s="46"/>
      <c r="BD444" s="46"/>
      <c r="BE444" s="46"/>
    </row>
    <row r="445" spans="1:57" ht="14.25" customHeight="1" x14ac:dyDescent="0.3">
      <c r="A445" s="46"/>
      <c r="B445" s="37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  <c r="AB445" s="46"/>
      <c r="AC445" s="46"/>
      <c r="AD445" s="46"/>
      <c r="AE445" s="46"/>
      <c r="AF445" s="46"/>
      <c r="AG445" s="46"/>
      <c r="AH445" s="46"/>
      <c r="AI445" s="46"/>
      <c r="AJ445" s="46"/>
      <c r="AK445" s="46"/>
      <c r="AL445" s="46"/>
      <c r="AM445" s="46"/>
      <c r="AN445" s="46"/>
      <c r="AO445" s="46"/>
      <c r="AP445" s="46"/>
      <c r="AQ445" s="46"/>
      <c r="AR445" s="46"/>
      <c r="AS445" s="46"/>
      <c r="AT445" s="46"/>
      <c r="AU445" s="46"/>
      <c r="AV445" s="46"/>
      <c r="AW445" s="46"/>
      <c r="AX445" s="46"/>
      <c r="AY445" s="46"/>
      <c r="AZ445" s="46"/>
      <c r="BA445" s="46"/>
      <c r="BB445" s="46"/>
      <c r="BC445" s="46"/>
      <c r="BD445" s="46"/>
      <c r="BE445" s="46"/>
    </row>
    <row r="446" spans="1:57" ht="14.25" customHeight="1" x14ac:dyDescent="0.3">
      <c r="A446" s="46"/>
      <c r="B446" s="37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  <c r="AD446" s="46"/>
      <c r="AE446" s="46"/>
      <c r="AF446" s="46"/>
      <c r="AG446" s="46"/>
      <c r="AH446" s="46"/>
      <c r="AI446" s="46"/>
      <c r="AJ446" s="46"/>
      <c r="AK446" s="46"/>
      <c r="AL446" s="46"/>
      <c r="AM446" s="46"/>
      <c r="AN446" s="46"/>
      <c r="AO446" s="46"/>
      <c r="AP446" s="46"/>
      <c r="AQ446" s="46"/>
      <c r="AR446" s="46"/>
      <c r="AS446" s="46"/>
      <c r="AT446" s="46"/>
      <c r="AU446" s="46"/>
      <c r="AV446" s="46"/>
      <c r="AW446" s="46"/>
      <c r="AX446" s="46"/>
      <c r="AY446" s="46"/>
      <c r="AZ446" s="46"/>
      <c r="BA446" s="46"/>
      <c r="BB446" s="46"/>
      <c r="BC446" s="46"/>
      <c r="BD446" s="46"/>
      <c r="BE446" s="46"/>
    </row>
    <row r="447" spans="1:57" ht="14.25" customHeight="1" x14ac:dyDescent="0.3">
      <c r="A447" s="46"/>
      <c r="B447" s="37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  <c r="AC447" s="46"/>
      <c r="AD447" s="46"/>
      <c r="AE447" s="46"/>
      <c r="AF447" s="46"/>
      <c r="AG447" s="46"/>
      <c r="AH447" s="46"/>
      <c r="AI447" s="46"/>
      <c r="AJ447" s="46"/>
      <c r="AK447" s="46"/>
      <c r="AL447" s="46"/>
      <c r="AM447" s="46"/>
      <c r="AN447" s="46"/>
      <c r="AO447" s="46"/>
      <c r="AP447" s="46"/>
      <c r="AQ447" s="46"/>
      <c r="AR447" s="46"/>
      <c r="AS447" s="46"/>
      <c r="AT447" s="46"/>
      <c r="AU447" s="46"/>
      <c r="AV447" s="46"/>
      <c r="AW447" s="46"/>
      <c r="AX447" s="46"/>
      <c r="AY447" s="46"/>
      <c r="AZ447" s="46"/>
      <c r="BA447" s="46"/>
      <c r="BB447" s="46"/>
      <c r="BC447" s="46"/>
      <c r="BD447" s="46"/>
      <c r="BE447" s="46"/>
    </row>
    <row r="448" spans="1:57" ht="14.25" customHeight="1" x14ac:dyDescent="0.3">
      <c r="A448" s="46"/>
      <c r="B448" s="37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  <c r="AB448" s="46"/>
      <c r="AC448" s="46"/>
      <c r="AD448" s="46"/>
      <c r="AE448" s="46"/>
      <c r="AF448" s="46"/>
      <c r="AG448" s="46"/>
      <c r="AH448" s="46"/>
      <c r="AI448" s="46"/>
      <c r="AJ448" s="46"/>
      <c r="AK448" s="46"/>
      <c r="AL448" s="46"/>
      <c r="AM448" s="46"/>
      <c r="AN448" s="46"/>
      <c r="AO448" s="46"/>
      <c r="AP448" s="46"/>
      <c r="AQ448" s="46"/>
      <c r="AR448" s="46"/>
      <c r="AS448" s="46"/>
      <c r="AT448" s="46"/>
      <c r="AU448" s="46"/>
      <c r="AV448" s="46"/>
      <c r="AW448" s="46"/>
      <c r="AX448" s="46"/>
      <c r="AY448" s="46"/>
      <c r="AZ448" s="46"/>
      <c r="BA448" s="46"/>
      <c r="BB448" s="46"/>
      <c r="BC448" s="46"/>
      <c r="BD448" s="46"/>
      <c r="BE448" s="46"/>
    </row>
    <row r="449" spans="1:57" ht="14.25" customHeight="1" x14ac:dyDescent="0.3">
      <c r="A449" s="46"/>
      <c r="B449" s="37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  <c r="AD449" s="46"/>
      <c r="AE449" s="46"/>
      <c r="AF449" s="46"/>
      <c r="AG449" s="46"/>
      <c r="AH449" s="46"/>
      <c r="AI449" s="46"/>
      <c r="AJ449" s="46"/>
      <c r="AK449" s="46"/>
      <c r="AL449" s="46"/>
      <c r="AM449" s="46"/>
      <c r="AN449" s="46"/>
      <c r="AO449" s="46"/>
      <c r="AP449" s="46"/>
      <c r="AQ449" s="46"/>
      <c r="AR449" s="46"/>
      <c r="AS449" s="46"/>
      <c r="AT449" s="46"/>
      <c r="AU449" s="46"/>
      <c r="AV449" s="46"/>
      <c r="AW449" s="46"/>
      <c r="AX449" s="46"/>
      <c r="AY449" s="46"/>
      <c r="AZ449" s="46"/>
      <c r="BA449" s="46"/>
      <c r="BB449" s="46"/>
      <c r="BC449" s="46"/>
      <c r="BD449" s="46"/>
      <c r="BE449" s="46"/>
    </row>
    <row r="450" spans="1:57" ht="14.25" customHeight="1" x14ac:dyDescent="0.3">
      <c r="A450" s="46"/>
      <c r="B450" s="37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  <c r="AC450" s="46"/>
      <c r="AD450" s="46"/>
      <c r="AE450" s="46"/>
      <c r="AF450" s="46"/>
      <c r="AG450" s="46"/>
      <c r="AH450" s="46"/>
      <c r="AI450" s="46"/>
      <c r="AJ450" s="46"/>
      <c r="AK450" s="46"/>
      <c r="AL450" s="46"/>
      <c r="AM450" s="46"/>
      <c r="AN450" s="46"/>
      <c r="AO450" s="46"/>
      <c r="AP450" s="46"/>
      <c r="AQ450" s="46"/>
      <c r="AR450" s="46"/>
      <c r="AS450" s="46"/>
      <c r="AT450" s="46"/>
      <c r="AU450" s="46"/>
      <c r="AV450" s="46"/>
      <c r="AW450" s="46"/>
      <c r="AX450" s="46"/>
      <c r="AY450" s="46"/>
      <c r="AZ450" s="46"/>
      <c r="BA450" s="46"/>
      <c r="BB450" s="46"/>
      <c r="BC450" s="46"/>
      <c r="BD450" s="46"/>
      <c r="BE450" s="46"/>
    </row>
    <row r="451" spans="1:57" ht="14.25" customHeight="1" x14ac:dyDescent="0.3">
      <c r="A451" s="46"/>
      <c r="B451" s="37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  <c r="AC451" s="46"/>
      <c r="AD451" s="46"/>
      <c r="AE451" s="46"/>
      <c r="AF451" s="46"/>
      <c r="AG451" s="46"/>
      <c r="AH451" s="46"/>
      <c r="AI451" s="46"/>
      <c r="AJ451" s="46"/>
      <c r="AK451" s="46"/>
      <c r="AL451" s="46"/>
      <c r="AM451" s="46"/>
      <c r="AN451" s="46"/>
      <c r="AO451" s="46"/>
      <c r="AP451" s="46"/>
      <c r="AQ451" s="46"/>
      <c r="AR451" s="46"/>
      <c r="AS451" s="46"/>
      <c r="AT451" s="46"/>
      <c r="AU451" s="46"/>
      <c r="AV451" s="46"/>
      <c r="AW451" s="46"/>
      <c r="AX451" s="46"/>
      <c r="AY451" s="46"/>
      <c r="AZ451" s="46"/>
      <c r="BA451" s="46"/>
      <c r="BB451" s="46"/>
      <c r="BC451" s="46"/>
      <c r="BD451" s="46"/>
      <c r="BE451" s="46"/>
    </row>
    <row r="452" spans="1:57" ht="14.25" customHeight="1" x14ac:dyDescent="0.3">
      <c r="A452" s="46"/>
      <c r="B452" s="37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  <c r="AC452" s="46"/>
      <c r="AD452" s="46"/>
      <c r="AE452" s="46"/>
      <c r="AF452" s="46"/>
      <c r="AG452" s="46"/>
      <c r="AH452" s="46"/>
      <c r="AI452" s="46"/>
      <c r="AJ452" s="46"/>
      <c r="AK452" s="46"/>
      <c r="AL452" s="46"/>
      <c r="AM452" s="46"/>
      <c r="AN452" s="46"/>
      <c r="AO452" s="46"/>
      <c r="AP452" s="46"/>
      <c r="AQ452" s="46"/>
      <c r="AR452" s="46"/>
      <c r="AS452" s="46"/>
      <c r="AT452" s="46"/>
      <c r="AU452" s="46"/>
      <c r="AV452" s="46"/>
      <c r="AW452" s="46"/>
      <c r="AX452" s="46"/>
      <c r="AY452" s="46"/>
      <c r="AZ452" s="46"/>
      <c r="BA452" s="46"/>
      <c r="BB452" s="46"/>
      <c r="BC452" s="46"/>
      <c r="BD452" s="46"/>
      <c r="BE452" s="46"/>
    </row>
    <row r="453" spans="1:57" ht="14.25" customHeight="1" x14ac:dyDescent="0.3">
      <c r="A453" s="46"/>
      <c r="B453" s="37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  <c r="AC453" s="46"/>
      <c r="AD453" s="46"/>
      <c r="AE453" s="46"/>
      <c r="AF453" s="46"/>
      <c r="AG453" s="46"/>
      <c r="AH453" s="46"/>
      <c r="AI453" s="46"/>
      <c r="AJ453" s="46"/>
      <c r="AK453" s="46"/>
      <c r="AL453" s="46"/>
      <c r="AM453" s="46"/>
      <c r="AN453" s="46"/>
      <c r="AO453" s="46"/>
      <c r="AP453" s="46"/>
      <c r="AQ453" s="46"/>
      <c r="AR453" s="46"/>
      <c r="AS453" s="46"/>
      <c r="AT453" s="46"/>
      <c r="AU453" s="46"/>
      <c r="AV453" s="46"/>
      <c r="AW453" s="46"/>
      <c r="AX453" s="46"/>
      <c r="AY453" s="46"/>
      <c r="AZ453" s="46"/>
      <c r="BA453" s="46"/>
      <c r="BB453" s="46"/>
      <c r="BC453" s="46"/>
      <c r="BD453" s="46"/>
      <c r="BE453" s="46"/>
    </row>
    <row r="454" spans="1:57" ht="14.25" customHeight="1" x14ac:dyDescent="0.3">
      <c r="A454" s="46"/>
      <c r="B454" s="37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  <c r="AC454" s="46"/>
      <c r="AD454" s="46"/>
      <c r="AE454" s="46"/>
      <c r="AF454" s="46"/>
      <c r="AG454" s="46"/>
      <c r="AH454" s="46"/>
      <c r="AI454" s="46"/>
      <c r="AJ454" s="46"/>
      <c r="AK454" s="46"/>
      <c r="AL454" s="46"/>
      <c r="AM454" s="46"/>
      <c r="AN454" s="46"/>
      <c r="AO454" s="46"/>
      <c r="AP454" s="46"/>
      <c r="AQ454" s="46"/>
      <c r="AR454" s="46"/>
      <c r="AS454" s="46"/>
      <c r="AT454" s="46"/>
      <c r="AU454" s="46"/>
      <c r="AV454" s="46"/>
      <c r="AW454" s="46"/>
      <c r="AX454" s="46"/>
      <c r="AY454" s="46"/>
      <c r="AZ454" s="46"/>
      <c r="BA454" s="46"/>
      <c r="BB454" s="46"/>
      <c r="BC454" s="46"/>
      <c r="BD454" s="46"/>
      <c r="BE454" s="46"/>
    </row>
    <row r="455" spans="1:57" ht="14.25" customHeight="1" x14ac:dyDescent="0.3">
      <c r="A455" s="46"/>
      <c r="B455" s="37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  <c r="AC455" s="46"/>
      <c r="AD455" s="46"/>
      <c r="AE455" s="46"/>
      <c r="AF455" s="46"/>
      <c r="AG455" s="46"/>
      <c r="AH455" s="46"/>
      <c r="AI455" s="46"/>
      <c r="AJ455" s="46"/>
      <c r="AK455" s="46"/>
      <c r="AL455" s="46"/>
      <c r="AM455" s="46"/>
      <c r="AN455" s="46"/>
      <c r="AO455" s="46"/>
      <c r="AP455" s="46"/>
      <c r="AQ455" s="46"/>
      <c r="AR455" s="46"/>
      <c r="AS455" s="46"/>
      <c r="AT455" s="46"/>
      <c r="AU455" s="46"/>
      <c r="AV455" s="46"/>
      <c r="AW455" s="46"/>
      <c r="AX455" s="46"/>
      <c r="AY455" s="46"/>
      <c r="AZ455" s="46"/>
      <c r="BA455" s="46"/>
      <c r="BB455" s="46"/>
      <c r="BC455" s="46"/>
      <c r="BD455" s="46"/>
      <c r="BE455" s="46"/>
    </row>
    <row r="456" spans="1:57" ht="14.25" customHeight="1" x14ac:dyDescent="0.3">
      <c r="A456" s="46"/>
      <c r="B456" s="37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  <c r="AC456" s="46"/>
      <c r="AD456" s="46"/>
      <c r="AE456" s="46"/>
      <c r="AF456" s="46"/>
      <c r="AG456" s="46"/>
      <c r="AH456" s="46"/>
      <c r="AI456" s="46"/>
      <c r="AJ456" s="46"/>
      <c r="AK456" s="46"/>
      <c r="AL456" s="46"/>
      <c r="AM456" s="46"/>
      <c r="AN456" s="46"/>
      <c r="AO456" s="46"/>
      <c r="AP456" s="46"/>
      <c r="AQ456" s="46"/>
      <c r="AR456" s="46"/>
      <c r="AS456" s="46"/>
      <c r="AT456" s="46"/>
      <c r="AU456" s="46"/>
      <c r="AV456" s="46"/>
      <c r="AW456" s="46"/>
      <c r="AX456" s="46"/>
      <c r="AY456" s="46"/>
      <c r="AZ456" s="46"/>
      <c r="BA456" s="46"/>
      <c r="BB456" s="46"/>
      <c r="BC456" s="46"/>
      <c r="BD456" s="46"/>
      <c r="BE456" s="46"/>
    </row>
    <row r="457" spans="1:57" ht="14.25" customHeight="1" x14ac:dyDescent="0.3">
      <c r="A457" s="46"/>
      <c r="B457" s="37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  <c r="AC457" s="46"/>
      <c r="AD457" s="46"/>
      <c r="AE457" s="46"/>
      <c r="AF457" s="46"/>
      <c r="AG457" s="46"/>
      <c r="AH457" s="46"/>
      <c r="AI457" s="46"/>
      <c r="AJ457" s="46"/>
      <c r="AK457" s="46"/>
      <c r="AL457" s="46"/>
      <c r="AM457" s="46"/>
      <c r="AN457" s="46"/>
      <c r="AO457" s="46"/>
      <c r="AP457" s="46"/>
      <c r="AQ457" s="46"/>
      <c r="AR457" s="46"/>
      <c r="AS457" s="46"/>
      <c r="AT457" s="46"/>
      <c r="AU457" s="46"/>
      <c r="AV457" s="46"/>
      <c r="AW457" s="46"/>
      <c r="AX457" s="46"/>
      <c r="AY457" s="46"/>
      <c r="AZ457" s="46"/>
      <c r="BA457" s="46"/>
      <c r="BB457" s="46"/>
      <c r="BC457" s="46"/>
      <c r="BD457" s="46"/>
      <c r="BE457" s="46"/>
    </row>
    <row r="458" spans="1:57" ht="14.25" customHeight="1" x14ac:dyDescent="0.3">
      <c r="A458" s="46"/>
      <c r="B458" s="37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  <c r="AC458" s="46"/>
      <c r="AD458" s="46"/>
      <c r="AE458" s="46"/>
      <c r="AF458" s="46"/>
      <c r="AG458" s="46"/>
      <c r="AH458" s="46"/>
      <c r="AI458" s="46"/>
      <c r="AJ458" s="46"/>
      <c r="AK458" s="46"/>
      <c r="AL458" s="46"/>
      <c r="AM458" s="46"/>
      <c r="AN458" s="46"/>
      <c r="AO458" s="46"/>
      <c r="AP458" s="46"/>
      <c r="AQ458" s="46"/>
      <c r="AR458" s="46"/>
      <c r="AS458" s="46"/>
      <c r="AT458" s="46"/>
      <c r="AU458" s="46"/>
      <c r="AV458" s="46"/>
      <c r="AW458" s="46"/>
      <c r="AX458" s="46"/>
      <c r="AY458" s="46"/>
      <c r="AZ458" s="46"/>
      <c r="BA458" s="46"/>
      <c r="BB458" s="46"/>
      <c r="BC458" s="46"/>
      <c r="BD458" s="46"/>
      <c r="BE458" s="46"/>
    </row>
    <row r="459" spans="1:57" ht="14.25" customHeight="1" x14ac:dyDescent="0.3">
      <c r="A459" s="46"/>
      <c r="B459" s="37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  <c r="AC459" s="46"/>
      <c r="AD459" s="46"/>
      <c r="AE459" s="46"/>
      <c r="AF459" s="46"/>
      <c r="AG459" s="46"/>
      <c r="AH459" s="46"/>
      <c r="AI459" s="46"/>
      <c r="AJ459" s="46"/>
      <c r="AK459" s="46"/>
      <c r="AL459" s="46"/>
      <c r="AM459" s="46"/>
      <c r="AN459" s="46"/>
      <c r="AO459" s="46"/>
      <c r="AP459" s="46"/>
      <c r="AQ459" s="46"/>
      <c r="AR459" s="46"/>
      <c r="AS459" s="46"/>
      <c r="AT459" s="46"/>
      <c r="AU459" s="46"/>
      <c r="AV459" s="46"/>
      <c r="AW459" s="46"/>
      <c r="AX459" s="46"/>
      <c r="AY459" s="46"/>
      <c r="AZ459" s="46"/>
      <c r="BA459" s="46"/>
      <c r="BB459" s="46"/>
      <c r="BC459" s="46"/>
      <c r="BD459" s="46"/>
      <c r="BE459" s="46"/>
    </row>
    <row r="460" spans="1:57" ht="14.25" customHeight="1" x14ac:dyDescent="0.3">
      <c r="A460" s="46"/>
      <c r="B460" s="37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  <c r="AB460" s="46"/>
      <c r="AC460" s="46"/>
      <c r="AD460" s="46"/>
      <c r="AE460" s="46"/>
      <c r="AF460" s="46"/>
      <c r="AG460" s="46"/>
      <c r="AH460" s="46"/>
      <c r="AI460" s="46"/>
      <c r="AJ460" s="46"/>
      <c r="AK460" s="46"/>
      <c r="AL460" s="46"/>
      <c r="AM460" s="46"/>
      <c r="AN460" s="46"/>
      <c r="AO460" s="46"/>
      <c r="AP460" s="46"/>
      <c r="AQ460" s="46"/>
      <c r="AR460" s="46"/>
      <c r="AS460" s="46"/>
      <c r="AT460" s="46"/>
      <c r="AU460" s="46"/>
      <c r="AV460" s="46"/>
      <c r="AW460" s="46"/>
      <c r="AX460" s="46"/>
      <c r="AY460" s="46"/>
      <c r="AZ460" s="46"/>
      <c r="BA460" s="46"/>
      <c r="BB460" s="46"/>
      <c r="BC460" s="46"/>
      <c r="BD460" s="46"/>
      <c r="BE460" s="46"/>
    </row>
    <row r="461" spans="1:57" ht="14.25" customHeight="1" x14ac:dyDescent="0.3">
      <c r="A461" s="46"/>
      <c r="B461" s="37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  <c r="AB461" s="46"/>
      <c r="AC461" s="46"/>
      <c r="AD461" s="46"/>
      <c r="AE461" s="46"/>
      <c r="AF461" s="46"/>
      <c r="AG461" s="46"/>
      <c r="AH461" s="46"/>
      <c r="AI461" s="46"/>
      <c r="AJ461" s="46"/>
      <c r="AK461" s="46"/>
      <c r="AL461" s="46"/>
      <c r="AM461" s="46"/>
      <c r="AN461" s="46"/>
      <c r="AO461" s="46"/>
      <c r="AP461" s="46"/>
      <c r="AQ461" s="46"/>
      <c r="AR461" s="46"/>
      <c r="AS461" s="46"/>
      <c r="AT461" s="46"/>
      <c r="AU461" s="46"/>
      <c r="AV461" s="46"/>
      <c r="AW461" s="46"/>
      <c r="AX461" s="46"/>
      <c r="AY461" s="46"/>
      <c r="AZ461" s="46"/>
      <c r="BA461" s="46"/>
      <c r="BB461" s="46"/>
      <c r="BC461" s="46"/>
      <c r="BD461" s="46"/>
      <c r="BE461" s="46"/>
    </row>
    <row r="462" spans="1:57" ht="14.25" customHeight="1" x14ac:dyDescent="0.3">
      <c r="A462" s="46"/>
      <c r="B462" s="37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  <c r="AB462" s="46"/>
      <c r="AC462" s="46"/>
      <c r="AD462" s="46"/>
      <c r="AE462" s="46"/>
      <c r="AF462" s="46"/>
      <c r="AG462" s="46"/>
      <c r="AH462" s="46"/>
      <c r="AI462" s="46"/>
      <c r="AJ462" s="46"/>
      <c r="AK462" s="46"/>
      <c r="AL462" s="46"/>
      <c r="AM462" s="46"/>
      <c r="AN462" s="46"/>
      <c r="AO462" s="46"/>
      <c r="AP462" s="46"/>
      <c r="AQ462" s="46"/>
      <c r="AR462" s="46"/>
      <c r="AS462" s="46"/>
      <c r="AT462" s="46"/>
      <c r="AU462" s="46"/>
      <c r="AV462" s="46"/>
      <c r="AW462" s="46"/>
      <c r="AX462" s="46"/>
      <c r="AY462" s="46"/>
      <c r="AZ462" s="46"/>
      <c r="BA462" s="46"/>
      <c r="BB462" s="46"/>
      <c r="BC462" s="46"/>
      <c r="BD462" s="46"/>
      <c r="BE462" s="46"/>
    </row>
    <row r="463" spans="1:57" ht="14.25" customHeight="1" x14ac:dyDescent="0.3">
      <c r="A463" s="46"/>
      <c r="B463" s="37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  <c r="AB463" s="46"/>
      <c r="AC463" s="46"/>
      <c r="AD463" s="46"/>
      <c r="AE463" s="46"/>
      <c r="AF463" s="46"/>
      <c r="AG463" s="46"/>
      <c r="AH463" s="46"/>
      <c r="AI463" s="46"/>
      <c r="AJ463" s="46"/>
      <c r="AK463" s="46"/>
      <c r="AL463" s="46"/>
      <c r="AM463" s="46"/>
      <c r="AN463" s="46"/>
      <c r="AO463" s="46"/>
      <c r="AP463" s="46"/>
      <c r="AQ463" s="46"/>
      <c r="AR463" s="46"/>
      <c r="AS463" s="46"/>
      <c r="AT463" s="46"/>
      <c r="AU463" s="46"/>
      <c r="AV463" s="46"/>
      <c r="AW463" s="46"/>
      <c r="AX463" s="46"/>
      <c r="AY463" s="46"/>
      <c r="AZ463" s="46"/>
      <c r="BA463" s="46"/>
      <c r="BB463" s="46"/>
      <c r="BC463" s="46"/>
      <c r="BD463" s="46"/>
      <c r="BE463" s="46"/>
    </row>
    <row r="464" spans="1:57" ht="14.25" customHeight="1" x14ac:dyDescent="0.3">
      <c r="A464" s="46"/>
      <c r="B464" s="37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  <c r="AB464" s="46"/>
      <c r="AC464" s="46"/>
      <c r="AD464" s="46"/>
      <c r="AE464" s="46"/>
      <c r="AF464" s="46"/>
      <c r="AG464" s="46"/>
      <c r="AH464" s="46"/>
      <c r="AI464" s="46"/>
      <c r="AJ464" s="46"/>
      <c r="AK464" s="46"/>
      <c r="AL464" s="46"/>
      <c r="AM464" s="46"/>
      <c r="AN464" s="46"/>
      <c r="AO464" s="46"/>
      <c r="AP464" s="46"/>
      <c r="AQ464" s="46"/>
      <c r="AR464" s="46"/>
      <c r="AS464" s="46"/>
      <c r="AT464" s="46"/>
      <c r="AU464" s="46"/>
      <c r="AV464" s="46"/>
      <c r="AW464" s="46"/>
      <c r="AX464" s="46"/>
      <c r="AY464" s="46"/>
      <c r="AZ464" s="46"/>
      <c r="BA464" s="46"/>
      <c r="BB464" s="46"/>
      <c r="BC464" s="46"/>
      <c r="BD464" s="46"/>
      <c r="BE464" s="46"/>
    </row>
    <row r="465" spans="1:57" ht="14.25" customHeight="1" x14ac:dyDescent="0.3">
      <c r="A465" s="46"/>
      <c r="B465" s="37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  <c r="AB465" s="46"/>
      <c r="AC465" s="46"/>
      <c r="AD465" s="46"/>
      <c r="AE465" s="46"/>
      <c r="AF465" s="46"/>
      <c r="AG465" s="46"/>
      <c r="AH465" s="46"/>
      <c r="AI465" s="46"/>
      <c r="AJ465" s="46"/>
      <c r="AK465" s="46"/>
      <c r="AL465" s="46"/>
      <c r="AM465" s="46"/>
      <c r="AN465" s="46"/>
      <c r="AO465" s="46"/>
      <c r="AP465" s="46"/>
      <c r="AQ465" s="46"/>
      <c r="AR465" s="46"/>
      <c r="AS465" s="46"/>
      <c r="AT465" s="46"/>
      <c r="AU465" s="46"/>
      <c r="AV465" s="46"/>
      <c r="AW465" s="46"/>
      <c r="AX465" s="46"/>
      <c r="AY465" s="46"/>
      <c r="AZ465" s="46"/>
      <c r="BA465" s="46"/>
      <c r="BB465" s="46"/>
      <c r="BC465" s="46"/>
      <c r="BD465" s="46"/>
      <c r="BE465" s="46"/>
    </row>
    <row r="466" spans="1:57" ht="14.25" customHeight="1" x14ac:dyDescent="0.3">
      <c r="A466" s="46"/>
      <c r="B466" s="37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  <c r="AB466" s="46"/>
      <c r="AC466" s="46"/>
      <c r="AD466" s="46"/>
      <c r="AE466" s="46"/>
      <c r="AF466" s="46"/>
      <c r="AG466" s="46"/>
      <c r="AH466" s="46"/>
      <c r="AI466" s="46"/>
      <c r="AJ466" s="46"/>
      <c r="AK466" s="46"/>
      <c r="AL466" s="46"/>
      <c r="AM466" s="46"/>
      <c r="AN466" s="46"/>
      <c r="AO466" s="46"/>
      <c r="AP466" s="46"/>
      <c r="AQ466" s="46"/>
      <c r="AR466" s="46"/>
      <c r="AS466" s="46"/>
      <c r="AT466" s="46"/>
      <c r="AU466" s="46"/>
      <c r="AV466" s="46"/>
      <c r="AW466" s="46"/>
      <c r="AX466" s="46"/>
      <c r="AY466" s="46"/>
      <c r="AZ466" s="46"/>
      <c r="BA466" s="46"/>
      <c r="BB466" s="46"/>
      <c r="BC466" s="46"/>
      <c r="BD466" s="46"/>
      <c r="BE466" s="46"/>
    </row>
    <row r="467" spans="1:57" ht="14.25" customHeight="1" x14ac:dyDescent="0.3">
      <c r="A467" s="46"/>
      <c r="B467" s="37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  <c r="AB467" s="46"/>
      <c r="AC467" s="46"/>
      <c r="AD467" s="46"/>
      <c r="AE467" s="46"/>
      <c r="AF467" s="46"/>
      <c r="AG467" s="46"/>
      <c r="AH467" s="46"/>
      <c r="AI467" s="46"/>
      <c r="AJ467" s="46"/>
      <c r="AK467" s="46"/>
      <c r="AL467" s="46"/>
      <c r="AM467" s="46"/>
      <c r="AN467" s="46"/>
      <c r="AO467" s="46"/>
      <c r="AP467" s="46"/>
      <c r="AQ467" s="46"/>
      <c r="AR467" s="46"/>
      <c r="AS467" s="46"/>
      <c r="AT467" s="46"/>
      <c r="AU467" s="46"/>
      <c r="AV467" s="46"/>
      <c r="AW467" s="46"/>
      <c r="AX467" s="46"/>
      <c r="AY467" s="46"/>
      <c r="AZ467" s="46"/>
      <c r="BA467" s="46"/>
      <c r="BB467" s="46"/>
      <c r="BC467" s="46"/>
      <c r="BD467" s="46"/>
      <c r="BE467" s="46"/>
    </row>
    <row r="468" spans="1:57" ht="14.25" customHeight="1" x14ac:dyDescent="0.3">
      <c r="A468" s="46"/>
      <c r="B468" s="37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  <c r="AB468" s="46"/>
      <c r="AC468" s="46"/>
      <c r="AD468" s="46"/>
      <c r="AE468" s="46"/>
      <c r="AF468" s="46"/>
      <c r="AG468" s="46"/>
      <c r="AH468" s="46"/>
      <c r="AI468" s="46"/>
      <c r="AJ468" s="46"/>
      <c r="AK468" s="46"/>
      <c r="AL468" s="46"/>
      <c r="AM468" s="46"/>
      <c r="AN468" s="46"/>
      <c r="AO468" s="46"/>
      <c r="AP468" s="46"/>
      <c r="AQ468" s="46"/>
      <c r="AR468" s="46"/>
      <c r="AS468" s="46"/>
      <c r="AT468" s="46"/>
      <c r="AU468" s="46"/>
      <c r="AV468" s="46"/>
      <c r="AW468" s="46"/>
      <c r="AX468" s="46"/>
      <c r="AY468" s="46"/>
      <c r="AZ468" s="46"/>
      <c r="BA468" s="46"/>
      <c r="BB468" s="46"/>
      <c r="BC468" s="46"/>
      <c r="BD468" s="46"/>
      <c r="BE468" s="46"/>
    </row>
    <row r="469" spans="1:57" ht="14.25" customHeight="1" x14ac:dyDescent="0.3">
      <c r="A469" s="46"/>
      <c r="B469" s="37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  <c r="AB469" s="46"/>
      <c r="AC469" s="46"/>
      <c r="AD469" s="46"/>
      <c r="AE469" s="46"/>
      <c r="AF469" s="46"/>
      <c r="AG469" s="46"/>
      <c r="AH469" s="46"/>
      <c r="AI469" s="46"/>
      <c r="AJ469" s="46"/>
      <c r="AK469" s="46"/>
      <c r="AL469" s="46"/>
      <c r="AM469" s="46"/>
      <c r="AN469" s="46"/>
      <c r="AO469" s="46"/>
      <c r="AP469" s="46"/>
      <c r="AQ469" s="46"/>
      <c r="AR469" s="46"/>
      <c r="AS469" s="46"/>
      <c r="AT469" s="46"/>
      <c r="AU469" s="46"/>
      <c r="AV469" s="46"/>
      <c r="AW469" s="46"/>
      <c r="AX469" s="46"/>
      <c r="AY469" s="46"/>
      <c r="AZ469" s="46"/>
      <c r="BA469" s="46"/>
      <c r="BB469" s="46"/>
      <c r="BC469" s="46"/>
      <c r="BD469" s="46"/>
      <c r="BE469" s="46"/>
    </row>
    <row r="470" spans="1:57" ht="14.25" customHeight="1" x14ac:dyDescent="0.3">
      <c r="A470" s="46"/>
      <c r="B470" s="37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  <c r="AB470" s="46"/>
      <c r="AC470" s="46"/>
      <c r="AD470" s="46"/>
      <c r="AE470" s="46"/>
      <c r="AF470" s="46"/>
      <c r="AG470" s="46"/>
      <c r="AH470" s="46"/>
      <c r="AI470" s="46"/>
      <c r="AJ470" s="46"/>
      <c r="AK470" s="46"/>
      <c r="AL470" s="46"/>
      <c r="AM470" s="46"/>
      <c r="AN470" s="46"/>
      <c r="AO470" s="46"/>
      <c r="AP470" s="46"/>
      <c r="AQ470" s="46"/>
      <c r="AR470" s="46"/>
      <c r="AS470" s="46"/>
      <c r="AT470" s="46"/>
      <c r="AU470" s="46"/>
      <c r="AV470" s="46"/>
      <c r="AW470" s="46"/>
      <c r="AX470" s="46"/>
      <c r="AY470" s="46"/>
      <c r="AZ470" s="46"/>
      <c r="BA470" s="46"/>
      <c r="BB470" s="46"/>
      <c r="BC470" s="46"/>
      <c r="BD470" s="46"/>
      <c r="BE470" s="46"/>
    </row>
    <row r="471" spans="1:57" ht="14.25" customHeight="1" x14ac:dyDescent="0.3">
      <c r="A471" s="46"/>
      <c r="B471" s="37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  <c r="AB471" s="46"/>
      <c r="AC471" s="46"/>
      <c r="AD471" s="46"/>
      <c r="AE471" s="46"/>
      <c r="AF471" s="46"/>
      <c r="AG471" s="46"/>
      <c r="AH471" s="46"/>
      <c r="AI471" s="46"/>
      <c r="AJ471" s="46"/>
      <c r="AK471" s="46"/>
      <c r="AL471" s="46"/>
      <c r="AM471" s="46"/>
      <c r="AN471" s="46"/>
      <c r="AO471" s="46"/>
      <c r="AP471" s="46"/>
      <c r="AQ471" s="46"/>
      <c r="AR471" s="46"/>
      <c r="AS471" s="46"/>
      <c r="AT471" s="46"/>
      <c r="AU471" s="46"/>
      <c r="AV471" s="46"/>
      <c r="AW471" s="46"/>
      <c r="AX471" s="46"/>
      <c r="AY471" s="46"/>
      <c r="AZ471" s="46"/>
      <c r="BA471" s="46"/>
      <c r="BB471" s="46"/>
      <c r="BC471" s="46"/>
      <c r="BD471" s="46"/>
      <c r="BE471" s="46"/>
    </row>
    <row r="472" spans="1:57" ht="14.25" customHeight="1" x14ac:dyDescent="0.3">
      <c r="A472" s="46"/>
      <c r="B472" s="37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  <c r="AB472" s="46"/>
      <c r="AC472" s="46"/>
      <c r="AD472" s="46"/>
      <c r="AE472" s="46"/>
      <c r="AF472" s="46"/>
      <c r="AG472" s="46"/>
      <c r="AH472" s="46"/>
      <c r="AI472" s="46"/>
      <c r="AJ472" s="46"/>
      <c r="AK472" s="46"/>
      <c r="AL472" s="46"/>
      <c r="AM472" s="46"/>
      <c r="AN472" s="46"/>
      <c r="AO472" s="46"/>
      <c r="AP472" s="46"/>
      <c r="AQ472" s="46"/>
      <c r="AR472" s="46"/>
      <c r="AS472" s="46"/>
      <c r="AT472" s="46"/>
      <c r="AU472" s="46"/>
      <c r="AV472" s="46"/>
      <c r="AW472" s="46"/>
      <c r="AX472" s="46"/>
      <c r="AY472" s="46"/>
      <c r="AZ472" s="46"/>
      <c r="BA472" s="46"/>
      <c r="BB472" s="46"/>
      <c r="BC472" s="46"/>
      <c r="BD472" s="46"/>
      <c r="BE472" s="46"/>
    </row>
    <row r="473" spans="1:57" ht="14.25" customHeight="1" x14ac:dyDescent="0.3">
      <c r="A473" s="46"/>
      <c r="B473" s="37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  <c r="AB473" s="46"/>
      <c r="AC473" s="46"/>
      <c r="AD473" s="46"/>
      <c r="AE473" s="46"/>
      <c r="AF473" s="46"/>
      <c r="AG473" s="46"/>
      <c r="AH473" s="46"/>
      <c r="AI473" s="46"/>
      <c r="AJ473" s="46"/>
      <c r="AK473" s="46"/>
      <c r="AL473" s="46"/>
      <c r="AM473" s="46"/>
      <c r="AN473" s="46"/>
      <c r="AO473" s="46"/>
      <c r="AP473" s="46"/>
      <c r="AQ473" s="46"/>
      <c r="AR473" s="46"/>
      <c r="AS473" s="46"/>
      <c r="AT473" s="46"/>
      <c r="AU473" s="46"/>
      <c r="AV473" s="46"/>
      <c r="AW473" s="46"/>
      <c r="AX473" s="46"/>
      <c r="AY473" s="46"/>
      <c r="AZ473" s="46"/>
      <c r="BA473" s="46"/>
      <c r="BB473" s="46"/>
      <c r="BC473" s="46"/>
      <c r="BD473" s="46"/>
      <c r="BE473" s="46"/>
    </row>
    <row r="474" spans="1:57" ht="14.25" customHeight="1" x14ac:dyDescent="0.3">
      <c r="A474" s="46"/>
      <c r="B474" s="37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  <c r="AB474" s="46"/>
      <c r="AC474" s="46"/>
      <c r="AD474" s="46"/>
      <c r="AE474" s="46"/>
      <c r="AF474" s="46"/>
      <c r="AG474" s="46"/>
      <c r="AH474" s="46"/>
      <c r="AI474" s="46"/>
      <c r="AJ474" s="46"/>
      <c r="AK474" s="46"/>
      <c r="AL474" s="46"/>
      <c r="AM474" s="46"/>
      <c r="AN474" s="46"/>
      <c r="AO474" s="46"/>
      <c r="AP474" s="46"/>
      <c r="AQ474" s="46"/>
      <c r="AR474" s="46"/>
      <c r="AS474" s="46"/>
      <c r="AT474" s="46"/>
      <c r="AU474" s="46"/>
      <c r="AV474" s="46"/>
      <c r="AW474" s="46"/>
      <c r="AX474" s="46"/>
      <c r="AY474" s="46"/>
      <c r="AZ474" s="46"/>
      <c r="BA474" s="46"/>
      <c r="BB474" s="46"/>
      <c r="BC474" s="46"/>
      <c r="BD474" s="46"/>
      <c r="BE474" s="46"/>
    </row>
    <row r="475" spans="1:57" ht="14.25" customHeight="1" x14ac:dyDescent="0.3">
      <c r="A475" s="46"/>
      <c r="B475" s="37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  <c r="AB475" s="46"/>
      <c r="AC475" s="46"/>
      <c r="AD475" s="46"/>
      <c r="AE475" s="46"/>
      <c r="AF475" s="46"/>
      <c r="AG475" s="46"/>
      <c r="AH475" s="46"/>
      <c r="AI475" s="46"/>
      <c r="AJ475" s="46"/>
      <c r="AK475" s="46"/>
      <c r="AL475" s="46"/>
      <c r="AM475" s="46"/>
      <c r="AN475" s="46"/>
      <c r="AO475" s="46"/>
      <c r="AP475" s="46"/>
      <c r="AQ475" s="46"/>
      <c r="AR475" s="46"/>
      <c r="AS475" s="46"/>
      <c r="AT475" s="46"/>
      <c r="AU475" s="46"/>
      <c r="AV475" s="46"/>
      <c r="AW475" s="46"/>
      <c r="AX475" s="46"/>
      <c r="AY475" s="46"/>
      <c r="AZ475" s="46"/>
      <c r="BA475" s="46"/>
      <c r="BB475" s="46"/>
      <c r="BC475" s="46"/>
      <c r="BD475" s="46"/>
      <c r="BE475" s="46"/>
    </row>
    <row r="476" spans="1:57" ht="14.25" customHeight="1" x14ac:dyDescent="0.3">
      <c r="A476" s="46"/>
      <c r="B476" s="37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  <c r="AB476" s="46"/>
      <c r="AC476" s="46"/>
      <c r="AD476" s="46"/>
      <c r="AE476" s="46"/>
      <c r="AF476" s="46"/>
      <c r="AG476" s="46"/>
      <c r="AH476" s="46"/>
      <c r="AI476" s="46"/>
      <c r="AJ476" s="46"/>
      <c r="AK476" s="46"/>
      <c r="AL476" s="46"/>
      <c r="AM476" s="46"/>
      <c r="AN476" s="46"/>
      <c r="AO476" s="46"/>
      <c r="AP476" s="46"/>
      <c r="AQ476" s="46"/>
      <c r="AR476" s="46"/>
      <c r="AS476" s="46"/>
      <c r="AT476" s="46"/>
      <c r="AU476" s="46"/>
      <c r="AV476" s="46"/>
      <c r="AW476" s="46"/>
      <c r="AX476" s="46"/>
      <c r="AY476" s="46"/>
      <c r="AZ476" s="46"/>
      <c r="BA476" s="46"/>
      <c r="BB476" s="46"/>
      <c r="BC476" s="46"/>
      <c r="BD476" s="46"/>
      <c r="BE476" s="46"/>
    </row>
    <row r="477" spans="1:57" ht="14.25" customHeight="1" x14ac:dyDescent="0.3">
      <c r="A477" s="46"/>
      <c r="B477" s="37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  <c r="AB477" s="46"/>
      <c r="AC477" s="46"/>
      <c r="AD477" s="46"/>
      <c r="AE477" s="46"/>
      <c r="AF477" s="46"/>
      <c r="AG477" s="46"/>
      <c r="AH477" s="46"/>
      <c r="AI477" s="46"/>
      <c r="AJ477" s="46"/>
      <c r="AK477" s="46"/>
      <c r="AL477" s="46"/>
      <c r="AM477" s="46"/>
      <c r="AN477" s="46"/>
      <c r="AO477" s="46"/>
      <c r="AP477" s="46"/>
      <c r="AQ477" s="46"/>
      <c r="AR477" s="46"/>
      <c r="AS477" s="46"/>
      <c r="AT477" s="46"/>
      <c r="AU477" s="46"/>
      <c r="AV477" s="46"/>
      <c r="AW477" s="46"/>
      <c r="AX477" s="46"/>
      <c r="AY477" s="46"/>
      <c r="AZ477" s="46"/>
      <c r="BA477" s="46"/>
      <c r="BB477" s="46"/>
      <c r="BC477" s="46"/>
      <c r="BD477" s="46"/>
      <c r="BE477" s="46"/>
    </row>
    <row r="478" spans="1:57" ht="14.25" customHeight="1" x14ac:dyDescent="0.3">
      <c r="A478" s="46"/>
      <c r="B478" s="37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  <c r="AB478" s="46"/>
      <c r="AC478" s="46"/>
      <c r="AD478" s="46"/>
      <c r="AE478" s="46"/>
      <c r="AF478" s="46"/>
      <c r="AG478" s="46"/>
      <c r="AH478" s="46"/>
      <c r="AI478" s="46"/>
      <c r="AJ478" s="46"/>
      <c r="AK478" s="46"/>
      <c r="AL478" s="46"/>
      <c r="AM478" s="46"/>
      <c r="AN478" s="46"/>
      <c r="AO478" s="46"/>
      <c r="AP478" s="46"/>
      <c r="AQ478" s="46"/>
      <c r="AR478" s="46"/>
      <c r="AS478" s="46"/>
      <c r="AT478" s="46"/>
      <c r="AU478" s="46"/>
      <c r="AV478" s="46"/>
      <c r="AW478" s="46"/>
      <c r="AX478" s="46"/>
      <c r="AY478" s="46"/>
      <c r="AZ478" s="46"/>
      <c r="BA478" s="46"/>
      <c r="BB478" s="46"/>
      <c r="BC478" s="46"/>
      <c r="BD478" s="46"/>
      <c r="BE478" s="46"/>
    </row>
    <row r="479" spans="1:57" ht="14.25" customHeight="1" x14ac:dyDescent="0.3">
      <c r="A479" s="46"/>
      <c r="B479" s="37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  <c r="AB479" s="46"/>
      <c r="AC479" s="46"/>
      <c r="AD479" s="46"/>
      <c r="AE479" s="46"/>
      <c r="AF479" s="46"/>
      <c r="AG479" s="46"/>
      <c r="AH479" s="46"/>
      <c r="AI479" s="46"/>
      <c r="AJ479" s="46"/>
      <c r="AK479" s="46"/>
      <c r="AL479" s="46"/>
      <c r="AM479" s="46"/>
      <c r="AN479" s="46"/>
      <c r="AO479" s="46"/>
      <c r="AP479" s="46"/>
      <c r="AQ479" s="46"/>
      <c r="AR479" s="46"/>
      <c r="AS479" s="46"/>
      <c r="AT479" s="46"/>
      <c r="AU479" s="46"/>
      <c r="AV479" s="46"/>
      <c r="AW479" s="46"/>
      <c r="AX479" s="46"/>
      <c r="AY479" s="46"/>
      <c r="AZ479" s="46"/>
      <c r="BA479" s="46"/>
      <c r="BB479" s="46"/>
      <c r="BC479" s="46"/>
      <c r="BD479" s="46"/>
      <c r="BE479" s="46"/>
    </row>
    <row r="480" spans="1:57" ht="14.25" customHeight="1" x14ac:dyDescent="0.3">
      <c r="A480" s="46"/>
      <c r="B480" s="37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  <c r="AB480" s="46"/>
      <c r="AC480" s="46"/>
      <c r="AD480" s="46"/>
      <c r="AE480" s="46"/>
      <c r="AF480" s="46"/>
      <c r="AG480" s="46"/>
      <c r="AH480" s="46"/>
      <c r="AI480" s="46"/>
      <c r="AJ480" s="46"/>
      <c r="AK480" s="46"/>
      <c r="AL480" s="46"/>
      <c r="AM480" s="46"/>
      <c r="AN480" s="46"/>
      <c r="AO480" s="46"/>
      <c r="AP480" s="46"/>
      <c r="AQ480" s="46"/>
      <c r="AR480" s="46"/>
      <c r="AS480" s="46"/>
      <c r="AT480" s="46"/>
      <c r="AU480" s="46"/>
      <c r="AV480" s="46"/>
      <c r="AW480" s="46"/>
      <c r="AX480" s="46"/>
      <c r="AY480" s="46"/>
      <c r="AZ480" s="46"/>
      <c r="BA480" s="46"/>
      <c r="BB480" s="46"/>
      <c r="BC480" s="46"/>
      <c r="BD480" s="46"/>
      <c r="BE480" s="46"/>
    </row>
    <row r="481" spans="1:57" ht="14.25" customHeight="1" x14ac:dyDescent="0.3">
      <c r="A481" s="46"/>
      <c r="B481" s="37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  <c r="AC481" s="46"/>
      <c r="AD481" s="46"/>
      <c r="AE481" s="46"/>
      <c r="AF481" s="46"/>
      <c r="AG481" s="46"/>
      <c r="AH481" s="46"/>
      <c r="AI481" s="46"/>
      <c r="AJ481" s="46"/>
      <c r="AK481" s="46"/>
      <c r="AL481" s="46"/>
      <c r="AM481" s="46"/>
      <c r="AN481" s="46"/>
      <c r="AO481" s="46"/>
      <c r="AP481" s="46"/>
      <c r="AQ481" s="46"/>
      <c r="AR481" s="46"/>
      <c r="AS481" s="46"/>
      <c r="AT481" s="46"/>
      <c r="AU481" s="46"/>
      <c r="AV481" s="46"/>
      <c r="AW481" s="46"/>
      <c r="AX481" s="46"/>
      <c r="AY481" s="46"/>
      <c r="AZ481" s="46"/>
      <c r="BA481" s="46"/>
      <c r="BB481" s="46"/>
      <c r="BC481" s="46"/>
      <c r="BD481" s="46"/>
      <c r="BE481" s="46"/>
    </row>
    <row r="482" spans="1:57" ht="14.25" customHeight="1" x14ac:dyDescent="0.3">
      <c r="A482" s="46"/>
      <c r="B482" s="37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  <c r="AB482" s="46"/>
      <c r="AC482" s="46"/>
      <c r="AD482" s="46"/>
      <c r="AE482" s="46"/>
      <c r="AF482" s="46"/>
      <c r="AG482" s="46"/>
      <c r="AH482" s="46"/>
      <c r="AI482" s="46"/>
      <c r="AJ482" s="46"/>
      <c r="AK482" s="46"/>
      <c r="AL482" s="46"/>
      <c r="AM482" s="46"/>
      <c r="AN482" s="46"/>
      <c r="AO482" s="46"/>
      <c r="AP482" s="46"/>
      <c r="AQ482" s="46"/>
      <c r="AR482" s="46"/>
      <c r="AS482" s="46"/>
      <c r="AT482" s="46"/>
      <c r="AU482" s="46"/>
      <c r="AV482" s="46"/>
      <c r="AW482" s="46"/>
      <c r="AX482" s="46"/>
      <c r="AY482" s="46"/>
      <c r="AZ482" s="46"/>
      <c r="BA482" s="46"/>
      <c r="BB482" s="46"/>
      <c r="BC482" s="46"/>
      <c r="BD482" s="46"/>
      <c r="BE482" s="46"/>
    </row>
    <row r="483" spans="1:57" ht="14.25" customHeight="1" x14ac:dyDescent="0.3">
      <c r="A483" s="46"/>
      <c r="B483" s="37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  <c r="AB483" s="46"/>
      <c r="AC483" s="46"/>
      <c r="AD483" s="46"/>
      <c r="AE483" s="46"/>
      <c r="AF483" s="46"/>
      <c r="AG483" s="46"/>
      <c r="AH483" s="46"/>
      <c r="AI483" s="46"/>
      <c r="AJ483" s="46"/>
      <c r="AK483" s="46"/>
      <c r="AL483" s="46"/>
      <c r="AM483" s="46"/>
      <c r="AN483" s="46"/>
      <c r="AO483" s="46"/>
      <c r="AP483" s="46"/>
      <c r="AQ483" s="46"/>
      <c r="AR483" s="46"/>
      <c r="AS483" s="46"/>
      <c r="AT483" s="46"/>
      <c r="AU483" s="46"/>
      <c r="AV483" s="46"/>
      <c r="AW483" s="46"/>
      <c r="AX483" s="46"/>
      <c r="AY483" s="46"/>
      <c r="AZ483" s="46"/>
      <c r="BA483" s="46"/>
      <c r="BB483" s="46"/>
      <c r="BC483" s="46"/>
      <c r="BD483" s="46"/>
      <c r="BE483" s="46"/>
    </row>
    <row r="484" spans="1:57" ht="14.25" customHeight="1" x14ac:dyDescent="0.3">
      <c r="A484" s="46"/>
      <c r="B484" s="37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  <c r="AC484" s="46"/>
      <c r="AD484" s="46"/>
      <c r="AE484" s="46"/>
      <c r="AF484" s="46"/>
      <c r="AG484" s="46"/>
      <c r="AH484" s="46"/>
      <c r="AI484" s="46"/>
      <c r="AJ484" s="46"/>
      <c r="AK484" s="46"/>
      <c r="AL484" s="46"/>
      <c r="AM484" s="46"/>
      <c r="AN484" s="46"/>
      <c r="AO484" s="46"/>
      <c r="AP484" s="46"/>
      <c r="AQ484" s="46"/>
      <c r="AR484" s="46"/>
      <c r="AS484" s="46"/>
      <c r="AT484" s="46"/>
      <c r="AU484" s="46"/>
      <c r="AV484" s="46"/>
      <c r="AW484" s="46"/>
      <c r="AX484" s="46"/>
      <c r="AY484" s="46"/>
      <c r="AZ484" s="46"/>
      <c r="BA484" s="46"/>
      <c r="BB484" s="46"/>
      <c r="BC484" s="46"/>
      <c r="BD484" s="46"/>
      <c r="BE484" s="46"/>
    </row>
    <row r="485" spans="1:57" ht="14.25" customHeight="1" x14ac:dyDescent="0.3">
      <c r="A485" s="46"/>
      <c r="B485" s="37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  <c r="AB485" s="46"/>
      <c r="AC485" s="46"/>
      <c r="AD485" s="46"/>
      <c r="AE485" s="46"/>
      <c r="AF485" s="46"/>
      <c r="AG485" s="46"/>
      <c r="AH485" s="46"/>
      <c r="AI485" s="46"/>
      <c r="AJ485" s="46"/>
      <c r="AK485" s="46"/>
      <c r="AL485" s="46"/>
      <c r="AM485" s="46"/>
      <c r="AN485" s="46"/>
      <c r="AO485" s="46"/>
      <c r="AP485" s="46"/>
      <c r="AQ485" s="46"/>
      <c r="AR485" s="46"/>
      <c r="AS485" s="46"/>
      <c r="AT485" s="46"/>
      <c r="AU485" s="46"/>
      <c r="AV485" s="46"/>
      <c r="AW485" s="46"/>
      <c r="AX485" s="46"/>
      <c r="AY485" s="46"/>
      <c r="AZ485" s="46"/>
      <c r="BA485" s="46"/>
      <c r="BB485" s="46"/>
      <c r="BC485" s="46"/>
      <c r="BD485" s="46"/>
      <c r="BE485" s="46"/>
    </row>
    <row r="486" spans="1:57" ht="14.25" customHeight="1" x14ac:dyDescent="0.3">
      <c r="A486" s="46"/>
      <c r="B486" s="37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  <c r="AC486" s="46"/>
      <c r="AD486" s="46"/>
      <c r="AE486" s="46"/>
      <c r="AF486" s="46"/>
      <c r="AG486" s="46"/>
      <c r="AH486" s="46"/>
      <c r="AI486" s="46"/>
      <c r="AJ486" s="46"/>
      <c r="AK486" s="46"/>
      <c r="AL486" s="46"/>
      <c r="AM486" s="46"/>
      <c r="AN486" s="46"/>
      <c r="AO486" s="46"/>
      <c r="AP486" s="46"/>
      <c r="AQ486" s="46"/>
      <c r="AR486" s="46"/>
      <c r="AS486" s="46"/>
      <c r="AT486" s="46"/>
      <c r="AU486" s="46"/>
      <c r="AV486" s="46"/>
      <c r="AW486" s="46"/>
      <c r="AX486" s="46"/>
      <c r="AY486" s="46"/>
      <c r="AZ486" s="46"/>
      <c r="BA486" s="46"/>
      <c r="BB486" s="46"/>
      <c r="BC486" s="46"/>
      <c r="BD486" s="46"/>
      <c r="BE486" s="46"/>
    </row>
    <row r="487" spans="1:57" ht="14.25" customHeight="1" x14ac:dyDescent="0.3">
      <c r="A487" s="46"/>
      <c r="B487" s="37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  <c r="AD487" s="46"/>
      <c r="AE487" s="46"/>
      <c r="AF487" s="46"/>
      <c r="AG487" s="46"/>
      <c r="AH487" s="46"/>
      <c r="AI487" s="46"/>
      <c r="AJ487" s="46"/>
      <c r="AK487" s="46"/>
      <c r="AL487" s="46"/>
      <c r="AM487" s="46"/>
      <c r="AN487" s="46"/>
      <c r="AO487" s="46"/>
      <c r="AP487" s="46"/>
      <c r="AQ487" s="46"/>
      <c r="AR487" s="46"/>
      <c r="AS487" s="46"/>
      <c r="AT487" s="46"/>
      <c r="AU487" s="46"/>
      <c r="AV487" s="46"/>
      <c r="AW487" s="46"/>
      <c r="AX487" s="46"/>
      <c r="AY487" s="46"/>
      <c r="AZ487" s="46"/>
      <c r="BA487" s="46"/>
      <c r="BB487" s="46"/>
      <c r="BC487" s="46"/>
      <c r="BD487" s="46"/>
      <c r="BE487" s="46"/>
    </row>
    <row r="488" spans="1:57" ht="14.25" customHeight="1" x14ac:dyDescent="0.3">
      <c r="A488" s="46"/>
      <c r="B488" s="37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  <c r="AB488" s="46"/>
      <c r="AC488" s="46"/>
      <c r="AD488" s="46"/>
      <c r="AE488" s="46"/>
      <c r="AF488" s="46"/>
      <c r="AG488" s="46"/>
      <c r="AH488" s="46"/>
      <c r="AI488" s="46"/>
      <c r="AJ488" s="46"/>
      <c r="AK488" s="46"/>
      <c r="AL488" s="46"/>
      <c r="AM488" s="46"/>
      <c r="AN488" s="46"/>
      <c r="AO488" s="46"/>
      <c r="AP488" s="46"/>
      <c r="AQ488" s="46"/>
      <c r="AR488" s="46"/>
      <c r="AS488" s="46"/>
      <c r="AT488" s="46"/>
      <c r="AU488" s="46"/>
      <c r="AV488" s="46"/>
      <c r="AW488" s="46"/>
      <c r="AX488" s="46"/>
      <c r="AY488" s="46"/>
      <c r="AZ488" s="46"/>
      <c r="BA488" s="46"/>
      <c r="BB488" s="46"/>
      <c r="BC488" s="46"/>
      <c r="BD488" s="46"/>
      <c r="BE488" s="46"/>
    </row>
    <row r="489" spans="1:57" ht="14.25" customHeight="1" x14ac:dyDescent="0.3">
      <c r="A489" s="46"/>
      <c r="B489" s="37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  <c r="AC489" s="46"/>
      <c r="AD489" s="46"/>
      <c r="AE489" s="46"/>
      <c r="AF489" s="46"/>
      <c r="AG489" s="46"/>
      <c r="AH489" s="46"/>
      <c r="AI489" s="46"/>
      <c r="AJ489" s="46"/>
      <c r="AK489" s="46"/>
      <c r="AL489" s="46"/>
      <c r="AM489" s="46"/>
      <c r="AN489" s="46"/>
      <c r="AO489" s="46"/>
      <c r="AP489" s="46"/>
      <c r="AQ489" s="46"/>
      <c r="AR489" s="46"/>
      <c r="AS489" s="46"/>
      <c r="AT489" s="46"/>
      <c r="AU489" s="46"/>
      <c r="AV489" s="46"/>
      <c r="AW489" s="46"/>
      <c r="AX489" s="46"/>
      <c r="AY489" s="46"/>
      <c r="AZ489" s="46"/>
      <c r="BA489" s="46"/>
      <c r="BB489" s="46"/>
      <c r="BC489" s="46"/>
      <c r="BD489" s="46"/>
      <c r="BE489" s="46"/>
    </row>
    <row r="490" spans="1:57" ht="14.25" customHeight="1" x14ac:dyDescent="0.3">
      <c r="A490" s="46"/>
      <c r="B490" s="37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  <c r="AC490" s="46"/>
      <c r="AD490" s="46"/>
      <c r="AE490" s="46"/>
      <c r="AF490" s="46"/>
      <c r="AG490" s="46"/>
      <c r="AH490" s="46"/>
      <c r="AI490" s="46"/>
      <c r="AJ490" s="46"/>
      <c r="AK490" s="46"/>
      <c r="AL490" s="46"/>
      <c r="AM490" s="46"/>
      <c r="AN490" s="46"/>
      <c r="AO490" s="46"/>
      <c r="AP490" s="46"/>
      <c r="AQ490" s="46"/>
      <c r="AR490" s="46"/>
      <c r="AS490" s="46"/>
      <c r="AT490" s="46"/>
      <c r="AU490" s="46"/>
      <c r="AV490" s="46"/>
      <c r="AW490" s="46"/>
      <c r="AX490" s="46"/>
      <c r="AY490" s="46"/>
      <c r="AZ490" s="46"/>
      <c r="BA490" s="46"/>
      <c r="BB490" s="46"/>
      <c r="BC490" s="46"/>
      <c r="BD490" s="46"/>
      <c r="BE490" s="46"/>
    </row>
    <row r="491" spans="1:57" ht="14.25" customHeight="1" x14ac:dyDescent="0.3">
      <c r="A491" s="46"/>
      <c r="B491" s="37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  <c r="AC491" s="46"/>
      <c r="AD491" s="46"/>
      <c r="AE491" s="46"/>
      <c r="AF491" s="46"/>
      <c r="AG491" s="46"/>
      <c r="AH491" s="46"/>
      <c r="AI491" s="46"/>
      <c r="AJ491" s="46"/>
      <c r="AK491" s="46"/>
      <c r="AL491" s="46"/>
      <c r="AM491" s="46"/>
      <c r="AN491" s="46"/>
      <c r="AO491" s="46"/>
      <c r="AP491" s="46"/>
      <c r="AQ491" s="46"/>
      <c r="AR491" s="46"/>
      <c r="AS491" s="46"/>
      <c r="AT491" s="46"/>
      <c r="AU491" s="46"/>
      <c r="AV491" s="46"/>
      <c r="AW491" s="46"/>
      <c r="AX491" s="46"/>
      <c r="AY491" s="46"/>
      <c r="AZ491" s="46"/>
      <c r="BA491" s="46"/>
      <c r="BB491" s="46"/>
      <c r="BC491" s="46"/>
      <c r="BD491" s="46"/>
      <c r="BE491" s="46"/>
    </row>
    <row r="492" spans="1:57" ht="14.25" customHeight="1" x14ac:dyDescent="0.3">
      <c r="A492" s="46"/>
      <c r="B492" s="37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  <c r="AC492" s="46"/>
      <c r="AD492" s="46"/>
      <c r="AE492" s="46"/>
      <c r="AF492" s="46"/>
      <c r="AG492" s="46"/>
      <c r="AH492" s="46"/>
      <c r="AI492" s="46"/>
      <c r="AJ492" s="46"/>
      <c r="AK492" s="46"/>
      <c r="AL492" s="46"/>
      <c r="AM492" s="46"/>
      <c r="AN492" s="46"/>
      <c r="AO492" s="46"/>
      <c r="AP492" s="46"/>
      <c r="AQ492" s="46"/>
      <c r="AR492" s="46"/>
      <c r="AS492" s="46"/>
      <c r="AT492" s="46"/>
      <c r="AU492" s="46"/>
      <c r="AV492" s="46"/>
      <c r="AW492" s="46"/>
      <c r="AX492" s="46"/>
      <c r="AY492" s="46"/>
      <c r="AZ492" s="46"/>
      <c r="BA492" s="46"/>
      <c r="BB492" s="46"/>
      <c r="BC492" s="46"/>
      <c r="BD492" s="46"/>
      <c r="BE492" s="46"/>
    </row>
    <row r="493" spans="1:57" ht="14.25" customHeight="1" x14ac:dyDescent="0.3">
      <c r="A493" s="46"/>
      <c r="B493" s="37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  <c r="AC493" s="46"/>
      <c r="AD493" s="46"/>
      <c r="AE493" s="46"/>
      <c r="AF493" s="46"/>
      <c r="AG493" s="46"/>
      <c r="AH493" s="46"/>
      <c r="AI493" s="46"/>
      <c r="AJ493" s="46"/>
      <c r="AK493" s="46"/>
      <c r="AL493" s="46"/>
      <c r="AM493" s="46"/>
      <c r="AN493" s="46"/>
      <c r="AO493" s="46"/>
      <c r="AP493" s="46"/>
      <c r="AQ493" s="46"/>
      <c r="AR493" s="46"/>
      <c r="AS493" s="46"/>
      <c r="AT493" s="46"/>
      <c r="AU493" s="46"/>
      <c r="AV493" s="46"/>
      <c r="AW493" s="46"/>
      <c r="AX493" s="46"/>
      <c r="AY493" s="46"/>
      <c r="AZ493" s="46"/>
      <c r="BA493" s="46"/>
      <c r="BB493" s="46"/>
      <c r="BC493" s="46"/>
      <c r="BD493" s="46"/>
      <c r="BE493" s="46"/>
    </row>
    <row r="494" spans="1:57" ht="14.25" customHeight="1" x14ac:dyDescent="0.3">
      <c r="A494" s="46"/>
      <c r="B494" s="37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  <c r="AC494" s="46"/>
      <c r="AD494" s="46"/>
      <c r="AE494" s="46"/>
      <c r="AF494" s="46"/>
      <c r="AG494" s="46"/>
      <c r="AH494" s="46"/>
      <c r="AI494" s="46"/>
      <c r="AJ494" s="46"/>
      <c r="AK494" s="46"/>
      <c r="AL494" s="46"/>
      <c r="AM494" s="46"/>
      <c r="AN494" s="46"/>
      <c r="AO494" s="46"/>
      <c r="AP494" s="46"/>
      <c r="AQ494" s="46"/>
      <c r="AR494" s="46"/>
      <c r="AS494" s="46"/>
      <c r="AT494" s="46"/>
      <c r="AU494" s="46"/>
      <c r="AV494" s="46"/>
      <c r="AW494" s="46"/>
      <c r="AX494" s="46"/>
      <c r="AY494" s="46"/>
      <c r="AZ494" s="46"/>
      <c r="BA494" s="46"/>
      <c r="BB494" s="46"/>
      <c r="BC494" s="46"/>
      <c r="BD494" s="46"/>
      <c r="BE494" s="46"/>
    </row>
    <row r="495" spans="1:57" ht="14.25" customHeight="1" x14ac:dyDescent="0.3">
      <c r="A495" s="46"/>
      <c r="B495" s="37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  <c r="AC495" s="46"/>
      <c r="AD495" s="46"/>
      <c r="AE495" s="46"/>
      <c r="AF495" s="46"/>
      <c r="AG495" s="46"/>
      <c r="AH495" s="46"/>
      <c r="AI495" s="46"/>
      <c r="AJ495" s="46"/>
      <c r="AK495" s="46"/>
      <c r="AL495" s="46"/>
      <c r="AM495" s="46"/>
      <c r="AN495" s="46"/>
      <c r="AO495" s="46"/>
      <c r="AP495" s="46"/>
      <c r="AQ495" s="46"/>
      <c r="AR495" s="46"/>
      <c r="AS495" s="46"/>
      <c r="AT495" s="46"/>
      <c r="AU495" s="46"/>
      <c r="AV495" s="46"/>
      <c r="AW495" s="46"/>
      <c r="AX495" s="46"/>
      <c r="AY495" s="46"/>
      <c r="AZ495" s="46"/>
      <c r="BA495" s="46"/>
      <c r="BB495" s="46"/>
      <c r="BC495" s="46"/>
      <c r="BD495" s="46"/>
      <c r="BE495" s="46"/>
    </row>
    <row r="496" spans="1:57" ht="14.25" customHeight="1" x14ac:dyDescent="0.3">
      <c r="A496" s="46"/>
      <c r="B496" s="37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  <c r="AC496" s="46"/>
      <c r="AD496" s="46"/>
      <c r="AE496" s="46"/>
      <c r="AF496" s="46"/>
      <c r="AG496" s="46"/>
      <c r="AH496" s="46"/>
      <c r="AI496" s="46"/>
      <c r="AJ496" s="46"/>
      <c r="AK496" s="46"/>
      <c r="AL496" s="46"/>
      <c r="AM496" s="46"/>
      <c r="AN496" s="46"/>
      <c r="AO496" s="46"/>
      <c r="AP496" s="46"/>
      <c r="AQ496" s="46"/>
      <c r="AR496" s="46"/>
      <c r="AS496" s="46"/>
      <c r="AT496" s="46"/>
      <c r="AU496" s="46"/>
      <c r="AV496" s="46"/>
      <c r="AW496" s="46"/>
      <c r="AX496" s="46"/>
      <c r="AY496" s="46"/>
      <c r="AZ496" s="46"/>
      <c r="BA496" s="46"/>
      <c r="BB496" s="46"/>
      <c r="BC496" s="46"/>
      <c r="BD496" s="46"/>
      <c r="BE496" s="46"/>
    </row>
    <row r="497" spans="1:57" ht="14.25" customHeight="1" x14ac:dyDescent="0.3">
      <c r="A497" s="46"/>
      <c r="B497" s="37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  <c r="AC497" s="46"/>
      <c r="AD497" s="46"/>
      <c r="AE497" s="46"/>
      <c r="AF497" s="46"/>
      <c r="AG497" s="46"/>
      <c r="AH497" s="46"/>
      <c r="AI497" s="46"/>
      <c r="AJ497" s="46"/>
      <c r="AK497" s="46"/>
      <c r="AL497" s="46"/>
      <c r="AM497" s="46"/>
      <c r="AN497" s="46"/>
      <c r="AO497" s="46"/>
      <c r="AP497" s="46"/>
      <c r="AQ497" s="46"/>
      <c r="AR497" s="46"/>
      <c r="AS497" s="46"/>
      <c r="AT497" s="46"/>
      <c r="AU497" s="46"/>
      <c r="AV497" s="46"/>
      <c r="AW497" s="46"/>
      <c r="AX497" s="46"/>
      <c r="AY497" s="46"/>
      <c r="AZ497" s="46"/>
      <c r="BA497" s="46"/>
      <c r="BB497" s="46"/>
      <c r="BC497" s="46"/>
      <c r="BD497" s="46"/>
      <c r="BE497" s="46"/>
    </row>
    <row r="498" spans="1:57" ht="14.25" customHeight="1" x14ac:dyDescent="0.3">
      <c r="A498" s="46"/>
      <c r="B498" s="37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  <c r="AC498" s="46"/>
      <c r="AD498" s="46"/>
      <c r="AE498" s="46"/>
      <c r="AF498" s="46"/>
      <c r="AG498" s="46"/>
      <c r="AH498" s="46"/>
      <c r="AI498" s="46"/>
      <c r="AJ498" s="46"/>
      <c r="AK498" s="46"/>
      <c r="AL498" s="46"/>
      <c r="AM498" s="46"/>
      <c r="AN498" s="46"/>
      <c r="AO498" s="46"/>
      <c r="AP498" s="46"/>
      <c r="AQ498" s="46"/>
      <c r="AR498" s="46"/>
      <c r="AS498" s="46"/>
      <c r="AT498" s="46"/>
      <c r="AU498" s="46"/>
      <c r="AV498" s="46"/>
      <c r="AW498" s="46"/>
      <c r="AX498" s="46"/>
      <c r="AY498" s="46"/>
      <c r="AZ498" s="46"/>
      <c r="BA498" s="46"/>
      <c r="BB498" s="46"/>
      <c r="BC498" s="46"/>
      <c r="BD498" s="46"/>
      <c r="BE498" s="46"/>
    </row>
    <row r="499" spans="1:57" ht="14.25" customHeight="1" x14ac:dyDescent="0.3">
      <c r="A499" s="46"/>
      <c r="B499" s="37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  <c r="AC499" s="46"/>
      <c r="AD499" s="46"/>
      <c r="AE499" s="46"/>
      <c r="AF499" s="46"/>
      <c r="AG499" s="46"/>
      <c r="AH499" s="46"/>
      <c r="AI499" s="46"/>
      <c r="AJ499" s="46"/>
      <c r="AK499" s="46"/>
      <c r="AL499" s="46"/>
      <c r="AM499" s="46"/>
      <c r="AN499" s="46"/>
      <c r="AO499" s="46"/>
      <c r="AP499" s="46"/>
      <c r="AQ499" s="46"/>
      <c r="AR499" s="46"/>
      <c r="AS499" s="46"/>
      <c r="AT499" s="46"/>
      <c r="AU499" s="46"/>
      <c r="AV499" s="46"/>
      <c r="AW499" s="46"/>
      <c r="AX499" s="46"/>
      <c r="AY499" s="46"/>
      <c r="AZ499" s="46"/>
      <c r="BA499" s="46"/>
      <c r="BB499" s="46"/>
      <c r="BC499" s="46"/>
      <c r="BD499" s="46"/>
      <c r="BE499" s="46"/>
    </row>
    <row r="500" spans="1:57" ht="14.25" customHeight="1" x14ac:dyDescent="0.3">
      <c r="A500" s="46"/>
      <c r="B500" s="37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  <c r="AB500" s="46"/>
      <c r="AC500" s="46"/>
      <c r="AD500" s="46"/>
      <c r="AE500" s="46"/>
      <c r="AF500" s="46"/>
      <c r="AG500" s="46"/>
      <c r="AH500" s="46"/>
      <c r="AI500" s="46"/>
      <c r="AJ500" s="46"/>
      <c r="AK500" s="46"/>
      <c r="AL500" s="46"/>
      <c r="AM500" s="46"/>
      <c r="AN500" s="46"/>
      <c r="AO500" s="46"/>
      <c r="AP500" s="46"/>
      <c r="AQ500" s="46"/>
      <c r="AR500" s="46"/>
      <c r="AS500" s="46"/>
      <c r="AT500" s="46"/>
      <c r="AU500" s="46"/>
      <c r="AV500" s="46"/>
      <c r="AW500" s="46"/>
      <c r="AX500" s="46"/>
      <c r="AY500" s="46"/>
      <c r="AZ500" s="46"/>
      <c r="BA500" s="46"/>
      <c r="BB500" s="46"/>
      <c r="BC500" s="46"/>
      <c r="BD500" s="46"/>
      <c r="BE500" s="46"/>
    </row>
    <row r="501" spans="1:57" ht="14.25" customHeight="1" x14ac:dyDescent="0.3">
      <c r="A501" s="46"/>
      <c r="B501" s="37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  <c r="AB501" s="46"/>
      <c r="AC501" s="46"/>
      <c r="AD501" s="46"/>
      <c r="AE501" s="46"/>
      <c r="AF501" s="46"/>
      <c r="AG501" s="46"/>
      <c r="AH501" s="46"/>
      <c r="AI501" s="46"/>
      <c r="AJ501" s="46"/>
      <c r="AK501" s="46"/>
      <c r="AL501" s="46"/>
      <c r="AM501" s="46"/>
      <c r="AN501" s="46"/>
      <c r="AO501" s="46"/>
      <c r="AP501" s="46"/>
      <c r="AQ501" s="46"/>
      <c r="AR501" s="46"/>
      <c r="AS501" s="46"/>
      <c r="AT501" s="46"/>
      <c r="AU501" s="46"/>
      <c r="AV501" s="46"/>
      <c r="AW501" s="46"/>
      <c r="AX501" s="46"/>
      <c r="AY501" s="46"/>
      <c r="AZ501" s="46"/>
      <c r="BA501" s="46"/>
      <c r="BB501" s="46"/>
      <c r="BC501" s="46"/>
      <c r="BD501" s="46"/>
      <c r="BE501" s="46"/>
    </row>
    <row r="502" spans="1:57" ht="14.25" customHeight="1" x14ac:dyDescent="0.3">
      <c r="A502" s="46"/>
      <c r="B502" s="37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  <c r="AB502" s="46"/>
      <c r="AC502" s="46"/>
      <c r="AD502" s="46"/>
      <c r="AE502" s="46"/>
      <c r="AF502" s="46"/>
      <c r="AG502" s="46"/>
      <c r="AH502" s="46"/>
      <c r="AI502" s="46"/>
      <c r="AJ502" s="46"/>
      <c r="AK502" s="46"/>
      <c r="AL502" s="46"/>
      <c r="AM502" s="46"/>
      <c r="AN502" s="46"/>
      <c r="AO502" s="46"/>
      <c r="AP502" s="46"/>
      <c r="AQ502" s="46"/>
      <c r="AR502" s="46"/>
      <c r="AS502" s="46"/>
      <c r="AT502" s="46"/>
      <c r="AU502" s="46"/>
      <c r="AV502" s="46"/>
      <c r="AW502" s="46"/>
      <c r="AX502" s="46"/>
      <c r="AY502" s="46"/>
      <c r="AZ502" s="46"/>
      <c r="BA502" s="46"/>
      <c r="BB502" s="46"/>
      <c r="BC502" s="46"/>
      <c r="BD502" s="46"/>
      <c r="BE502" s="46"/>
    </row>
    <row r="503" spans="1:57" ht="14.25" customHeight="1" x14ac:dyDescent="0.3">
      <c r="A503" s="46"/>
      <c r="B503" s="37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/>
      <c r="AB503" s="46"/>
      <c r="AC503" s="46"/>
      <c r="AD503" s="46"/>
      <c r="AE503" s="46"/>
      <c r="AF503" s="46"/>
      <c r="AG503" s="46"/>
      <c r="AH503" s="46"/>
      <c r="AI503" s="46"/>
      <c r="AJ503" s="46"/>
      <c r="AK503" s="46"/>
      <c r="AL503" s="46"/>
      <c r="AM503" s="46"/>
      <c r="AN503" s="46"/>
      <c r="AO503" s="46"/>
      <c r="AP503" s="46"/>
      <c r="AQ503" s="46"/>
      <c r="AR503" s="46"/>
      <c r="AS503" s="46"/>
      <c r="AT503" s="46"/>
      <c r="AU503" s="46"/>
      <c r="AV503" s="46"/>
      <c r="AW503" s="46"/>
      <c r="AX503" s="46"/>
      <c r="AY503" s="46"/>
      <c r="AZ503" s="46"/>
      <c r="BA503" s="46"/>
      <c r="BB503" s="46"/>
      <c r="BC503" s="46"/>
      <c r="BD503" s="46"/>
      <c r="BE503" s="46"/>
    </row>
    <row r="504" spans="1:57" ht="14.25" customHeight="1" x14ac:dyDescent="0.3">
      <c r="A504" s="46"/>
      <c r="B504" s="37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  <c r="AA504" s="46"/>
      <c r="AB504" s="46"/>
      <c r="AC504" s="46"/>
      <c r="AD504" s="46"/>
      <c r="AE504" s="46"/>
      <c r="AF504" s="46"/>
      <c r="AG504" s="46"/>
      <c r="AH504" s="46"/>
      <c r="AI504" s="46"/>
      <c r="AJ504" s="46"/>
      <c r="AK504" s="46"/>
      <c r="AL504" s="46"/>
      <c r="AM504" s="46"/>
      <c r="AN504" s="46"/>
      <c r="AO504" s="46"/>
      <c r="AP504" s="46"/>
      <c r="AQ504" s="46"/>
      <c r="AR504" s="46"/>
      <c r="AS504" s="46"/>
      <c r="AT504" s="46"/>
      <c r="AU504" s="46"/>
      <c r="AV504" s="46"/>
      <c r="AW504" s="46"/>
      <c r="AX504" s="46"/>
      <c r="AY504" s="46"/>
      <c r="AZ504" s="46"/>
      <c r="BA504" s="46"/>
      <c r="BB504" s="46"/>
      <c r="BC504" s="46"/>
      <c r="BD504" s="46"/>
      <c r="BE504" s="46"/>
    </row>
    <row r="505" spans="1:57" ht="14.25" customHeight="1" x14ac:dyDescent="0.3">
      <c r="A505" s="46"/>
      <c r="B505" s="37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46"/>
      <c r="AB505" s="46"/>
      <c r="AC505" s="46"/>
      <c r="AD505" s="46"/>
      <c r="AE505" s="46"/>
      <c r="AF505" s="46"/>
      <c r="AG505" s="46"/>
      <c r="AH505" s="46"/>
      <c r="AI505" s="46"/>
      <c r="AJ505" s="46"/>
      <c r="AK505" s="46"/>
      <c r="AL505" s="46"/>
      <c r="AM505" s="46"/>
      <c r="AN505" s="46"/>
      <c r="AO505" s="46"/>
      <c r="AP505" s="46"/>
      <c r="AQ505" s="46"/>
      <c r="AR505" s="46"/>
      <c r="AS505" s="46"/>
      <c r="AT505" s="46"/>
      <c r="AU505" s="46"/>
      <c r="AV505" s="46"/>
      <c r="AW505" s="46"/>
      <c r="AX505" s="46"/>
      <c r="AY505" s="46"/>
      <c r="AZ505" s="46"/>
      <c r="BA505" s="46"/>
      <c r="BB505" s="46"/>
      <c r="BC505" s="46"/>
      <c r="BD505" s="46"/>
      <c r="BE505" s="46"/>
    </row>
    <row r="506" spans="1:57" ht="14.25" customHeight="1" x14ac:dyDescent="0.3">
      <c r="A506" s="46"/>
      <c r="B506" s="37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/>
      <c r="AB506" s="46"/>
      <c r="AC506" s="46"/>
      <c r="AD506" s="46"/>
      <c r="AE506" s="46"/>
      <c r="AF506" s="46"/>
      <c r="AG506" s="46"/>
      <c r="AH506" s="46"/>
      <c r="AI506" s="46"/>
      <c r="AJ506" s="46"/>
      <c r="AK506" s="46"/>
      <c r="AL506" s="46"/>
      <c r="AM506" s="46"/>
      <c r="AN506" s="46"/>
      <c r="AO506" s="46"/>
      <c r="AP506" s="46"/>
      <c r="AQ506" s="46"/>
      <c r="AR506" s="46"/>
      <c r="AS506" s="46"/>
      <c r="AT506" s="46"/>
      <c r="AU506" s="46"/>
      <c r="AV506" s="46"/>
      <c r="AW506" s="46"/>
      <c r="AX506" s="46"/>
      <c r="AY506" s="46"/>
      <c r="AZ506" s="46"/>
      <c r="BA506" s="46"/>
      <c r="BB506" s="46"/>
      <c r="BC506" s="46"/>
      <c r="BD506" s="46"/>
      <c r="BE506" s="46"/>
    </row>
    <row r="507" spans="1:57" ht="14.25" customHeight="1" x14ac:dyDescent="0.3">
      <c r="A507" s="46"/>
      <c r="B507" s="37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  <c r="AB507" s="46"/>
      <c r="AC507" s="46"/>
      <c r="AD507" s="46"/>
      <c r="AE507" s="46"/>
      <c r="AF507" s="46"/>
      <c r="AG507" s="46"/>
      <c r="AH507" s="46"/>
      <c r="AI507" s="46"/>
      <c r="AJ507" s="46"/>
      <c r="AK507" s="46"/>
      <c r="AL507" s="46"/>
      <c r="AM507" s="46"/>
      <c r="AN507" s="46"/>
      <c r="AO507" s="46"/>
      <c r="AP507" s="46"/>
      <c r="AQ507" s="46"/>
      <c r="AR507" s="46"/>
      <c r="AS507" s="46"/>
      <c r="AT507" s="46"/>
      <c r="AU507" s="46"/>
      <c r="AV507" s="46"/>
      <c r="AW507" s="46"/>
      <c r="AX507" s="46"/>
      <c r="AY507" s="46"/>
      <c r="AZ507" s="46"/>
      <c r="BA507" s="46"/>
      <c r="BB507" s="46"/>
      <c r="BC507" s="46"/>
      <c r="BD507" s="46"/>
      <c r="BE507" s="46"/>
    </row>
    <row r="508" spans="1:57" ht="14.25" customHeight="1" x14ac:dyDescent="0.3">
      <c r="A508" s="46"/>
      <c r="B508" s="37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  <c r="AA508" s="46"/>
      <c r="AB508" s="46"/>
      <c r="AC508" s="46"/>
      <c r="AD508" s="46"/>
      <c r="AE508" s="46"/>
      <c r="AF508" s="46"/>
      <c r="AG508" s="46"/>
      <c r="AH508" s="46"/>
      <c r="AI508" s="46"/>
      <c r="AJ508" s="46"/>
      <c r="AK508" s="46"/>
      <c r="AL508" s="46"/>
      <c r="AM508" s="46"/>
      <c r="AN508" s="46"/>
      <c r="AO508" s="46"/>
      <c r="AP508" s="46"/>
      <c r="AQ508" s="46"/>
      <c r="AR508" s="46"/>
      <c r="AS508" s="46"/>
      <c r="AT508" s="46"/>
      <c r="AU508" s="46"/>
      <c r="AV508" s="46"/>
      <c r="AW508" s="46"/>
      <c r="AX508" s="46"/>
      <c r="AY508" s="46"/>
      <c r="AZ508" s="46"/>
      <c r="BA508" s="46"/>
      <c r="BB508" s="46"/>
      <c r="BC508" s="46"/>
      <c r="BD508" s="46"/>
      <c r="BE508" s="46"/>
    </row>
    <row r="509" spans="1:57" ht="14.25" customHeight="1" x14ac:dyDescent="0.3">
      <c r="A509" s="46"/>
      <c r="B509" s="37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  <c r="AB509" s="46"/>
      <c r="AC509" s="46"/>
      <c r="AD509" s="46"/>
      <c r="AE509" s="46"/>
      <c r="AF509" s="46"/>
      <c r="AG509" s="46"/>
      <c r="AH509" s="46"/>
      <c r="AI509" s="46"/>
      <c r="AJ509" s="46"/>
      <c r="AK509" s="46"/>
      <c r="AL509" s="46"/>
      <c r="AM509" s="46"/>
      <c r="AN509" s="46"/>
      <c r="AO509" s="46"/>
      <c r="AP509" s="46"/>
      <c r="AQ509" s="46"/>
      <c r="AR509" s="46"/>
      <c r="AS509" s="46"/>
      <c r="AT509" s="46"/>
      <c r="AU509" s="46"/>
      <c r="AV509" s="46"/>
      <c r="AW509" s="46"/>
      <c r="AX509" s="46"/>
      <c r="AY509" s="46"/>
      <c r="AZ509" s="46"/>
      <c r="BA509" s="46"/>
      <c r="BB509" s="46"/>
      <c r="BC509" s="46"/>
      <c r="BD509" s="46"/>
      <c r="BE509" s="46"/>
    </row>
    <row r="510" spans="1:57" ht="14.25" customHeight="1" x14ac:dyDescent="0.3">
      <c r="A510" s="46"/>
      <c r="B510" s="37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  <c r="AB510" s="46"/>
      <c r="AC510" s="46"/>
      <c r="AD510" s="46"/>
      <c r="AE510" s="46"/>
      <c r="AF510" s="46"/>
      <c r="AG510" s="46"/>
      <c r="AH510" s="46"/>
      <c r="AI510" s="46"/>
      <c r="AJ510" s="46"/>
      <c r="AK510" s="46"/>
      <c r="AL510" s="46"/>
      <c r="AM510" s="46"/>
      <c r="AN510" s="46"/>
      <c r="AO510" s="46"/>
      <c r="AP510" s="46"/>
      <c r="AQ510" s="46"/>
      <c r="AR510" s="46"/>
      <c r="AS510" s="46"/>
      <c r="AT510" s="46"/>
      <c r="AU510" s="46"/>
      <c r="AV510" s="46"/>
      <c r="AW510" s="46"/>
      <c r="AX510" s="46"/>
      <c r="AY510" s="46"/>
      <c r="AZ510" s="46"/>
      <c r="BA510" s="46"/>
      <c r="BB510" s="46"/>
      <c r="BC510" s="46"/>
      <c r="BD510" s="46"/>
      <c r="BE510" s="46"/>
    </row>
    <row r="511" spans="1:57" ht="14.25" customHeight="1" x14ac:dyDescent="0.3">
      <c r="A511" s="46"/>
      <c r="B511" s="37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  <c r="AB511" s="46"/>
      <c r="AC511" s="46"/>
      <c r="AD511" s="46"/>
      <c r="AE511" s="46"/>
      <c r="AF511" s="46"/>
      <c r="AG511" s="46"/>
      <c r="AH511" s="46"/>
      <c r="AI511" s="46"/>
      <c r="AJ511" s="46"/>
      <c r="AK511" s="46"/>
      <c r="AL511" s="46"/>
      <c r="AM511" s="46"/>
      <c r="AN511" s="46"/>
      <c r="AO511" s="46"/>
      <c r="AP511" s="46"/>
      <c r="AQ511" s="46"/>
      <c r="AR511" s="46"/>
      <c r="AS511" s="46"/>
      <c r="AT511" s="46"/>
      <c r="AU511" s="46"/>
      <c r="AV511" s="46"/>
      <c r="AW511" s="46"/>
      <c r="AX511" s="46"/>
      <c r="AY511" s="46"/>
      <c r="AZ511" s="46"/>
      <c r="BA511" s="46"/>
      <c r="BB511" s="46"/>
      <c r="BC511" s="46"/>
      <c r="BD511" s="46"/>
      <c r="BE511" s="46"/>
    </row>
    <row r="512" spans="1:57" ht="14.25" customHeight="1" x14ac:dyDescent="0.3">
      <c r="A512" s="46"/>
      <c r="B512" s="37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46"/>
      <c r="AB512" s="46"/>
      <c r="AC512" s="46"/>
      <c r="AD512" s="46"/>
      <c r="AE512" s="46"/>
      <c r="AF512" s="46"/>
      <c r="AG512" s="46"/>
      <c r="AH512" s="46"/>
      <c r="AI512" s="46"/>
      <c r="AJ512" s="46"/>
      <c r="AK512" s="46"/>
      <c r="AL512" s="46"/>
      <c r="AM512" s="46"/>
      <c r="AN512" s="46"/>
      <c r="AO512" s="46"/>
      <c r="AP512" s="46"/>
      <c r="AQ512" s="46"/>
      <c r="AR512" s="46"/>
      <c r="AS512" s="46"/>
      <c r="AT512" s="46"/>
      <c r="AU512" s="46"/>
      <c r="AV512" s="46"/>
      <c r="AW512" s="46"/>
      <c r="AX512" s="46"/>
      <c r="AY512" s="46"/>
      <c r="AZ512" s="46"/>
      <c r="BA512" s="46"/>
      <c r="BB512" s="46"/>
      <c r="BC512" s="46"/>
      <c r="BD512" s="46"/>
      <c r="BE512" s="46"/>
    </row>
    <row r="513" spans="1:57" ht="14.25" customHeight="1" x14ac:dyDescent="0.3">
      <c r="A513" s="46"/>
      <c r="B513" s="37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  <c r="AB513" s="46"/>
      <c r="AC513" s="46"/>
      <c r="AD513" s="46"/>
      <c r="AE513" s="46"/>
      <c r="AF513" s="46"/>
      <c r="AG513" s="46"/>
      <c r="AH513" s="46"/>
      <c r="AI513" s="46"/>
      <c r="AJ513" s="46"/>
      <c r="AK513" s="46"/>
      <c r="AL513" s="46"/>
      <c r="AM513" s="46"/>
      <c r="AN513" s="46"/>
      <c r="AO513" s="46"/>
      <c r="AP513" s="46"/>
      <c r="AQ513" s="46"/>
      <c r="AR513" s="46"/>
      <c r="AS513" s="46"/>
      <c r="AT513" s="46"/>
      <c r="AU513" s="46"/>
      <c r="AV513" s="46"/>
      <c r="AW513" s="46"/>
      <c r="AX513" s="46"/>
      <c r="AY513" s="46"/>
      <c r="AZ513" s="46"/>
      <c r="BA513" s="46"/>
      <c r="BB513" s="46"/>
      <c r="BC513" s="46"/>
      <c r="BD513" s="46"/>
      <c r="BE513" s="46"/>
    </row>
    <row r="514" spans="1:57" ht="14.25" customHeight="1" x14ac:dyDescent="0.3">
      <c r="A514" s="46"/>
      <c r="B514" s="37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  <c r="AB514" s="46"/>
      <c r="AC514" s="46"/>
      <c r="AD514" s="46"/>
      <c r="AE514" s="46"/>
      <c r="AF514" s="46"/>
      <c r="AG514" s="46"/>
      <c r="AH514" s="46"/>
      <c r="AI514" s="46"/>
      <c r="AJ514" s="46"/>
      <c r="AK514" s="46"/>
      <c r="AL514" s="46"/>
      <c r="AM514" s="46"/>
      <c r="AN514" s="46"/>
      <c r="AO514" s="46"/>
      <c r="AP514" s="46"/>
      <c r="AQ514" s="46"/>
      <c r="AR514" s="46"/>
      <c r="AS514" s="46"/>
      <c r="AT514" s="46"/>
      <c r="AU514" s="46"/>
      <c r="AV514" s="46"/>
      <c r="AW514" s="46"/>
      <c r="AX514" s="46"/>
      <c r="AY514" s="46"/>
      <c r="AZ514" s="46"/>
      <c r="BA514" s="46"/>
      <c r="BB514" s="46"/>
      <c r="BC514" s="46"/>
      <c r="BD514" s="46"/>
      <c r="BE514" s="46"/>
    </row>
    <row r="515" spans="1:57" ht="14.25" customHeight="1" x14ac:dyDescent="0.3">
      <c r="A515" s="46"/>
      <c r="B515" s="37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46"/>
      <c r="AB515" s="46"/>
      <c r="AC515" s="46"/>
      <c r="AD515" s="46"/>
      <c r="AE515" s="46"/>
      <c r="AF515" s="46"/>
      <c r="AG515" s="46"/>
      <c r="AH515" s="46"/>
      <c r="AI515" s="46"/>
      <c r="AJ515" s="46"/>
      <c r="AK515" s="46"/>
      <c r="AL515" s="46"/>
      <c r="AM515" s="46"/>
      <c r="AN515" s="46"/>
      <c r="AO515" s="46"/>
      <c r="AP515" s="46"/>
      <c r="AQ515" s="46"/>
      <c r="AR515" s="46"/>
      <c r="AS515" s="46"/>
      <c r="AT515" s="46"/>
      <c r="AU515" s="46"/>
      <c r="AV515" s="46"/>
      <c r="AW515" s="46"/>
      <c r="AX515" s="46"/>
      <c r="AY515" s="46"/>
      <c r="AZ515" s="46"/>
      <c r="BA515" s="46"/>
      <c r="BB515" s="46"/>
      <c r="BC515" s="46"/>
      <c r="BD515" s="46"/>
      <c r="BE515" s="46"/>
    </row>
    <row r="516" spans="1:57" ht="14.25" customHeight="1" x14ac:dyDescent="0.3">
      <c r="A516" s="46"/>
      <c r="B516" s="37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6"/>
      <c r="AB516" s="46"/>
      <c r="AC516" s="46"/>
      <c r="AD516" s="46"/>
      <c r="AE516" s="46"/>
      <c r="AF516" s="46"/>
      <c r="AG516" s="46"/>
      <c r="AH516" s="46"/>
      <c r="AI516" s="46"/>
      <c r="AJ516" s="46"/>
      <c r="AK516" s="46"/>
      <c r="AL516" s="46"/>
      <c r="AM516" s="46"/>
      <c r="AN516" s="46"/>
      <c r="AO516" s="46"/>
      <c r="AP516" s="46"/>
      <c r="AQ516" s="46"/>
      <c r="AR516" s="46"/>
      <c r="AS516" s="46"/>
      <c r="AT516" s="46"/>
      <c r="AU516" s="46"/>
      <c r="AV516" s="46"/>
      <c r="AW516" s="46"/>
      <c r="AX516" s="46"/>
      <c r="AY516" s="46"/>
      <c r="AZ516" s="46"/>
      <c r="BA516" s="46"/>
      <c r="BB516" s="46"/>
      <c r="BC516" s="46"/>
      <c r="BD516" s="46"/>
      <c r="BE516" s="46"/>
    </row>
    <row r="517" spans="1:57" ht="14.25" customHeight="1" x14ac:dyDescent="0.3">
      <c r="A517" s="46"/>
      <c r="B517" s="37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46"/>
      <c r="AB517" s="46"/>
      <c r="AC517" s="46"/>
      <c r="AD517" s="46"/>
      <c r="AE517" s="46"/>
      <c r="AF517" s="46"/>
      <c r="AG517" s="46"/>
      <c r="AH517" s="46"/>
      <c r="AI517" s="46"/>
      <c r="AJ517" s="46"/>
      <c r="AK517" s="46"/>
      <c r="AL517" s="46"/>
      <c r="AM517" s="46"/>
      <c r="AN517" s="46"/>
      <c r="AO517" s="46"/>
      <c r="AP517" s="46"/>
      <c r="AQ517" s="46"/>
      <c r="AR517" s="46"/>
      <c r="AS517" s="46"/>
      <c r="AT517" s="46"/>
      <c r="AU517" s="46"/>
      <c r="AV517" s="46"/>
      <c r="AW517" s="46"/>
      <c r="AX517" s="46"/>
      <c r="AY517" s="46"/>
      <c r="AZ517" s="46"/>
      <c r="BA517" s="46"/>
      <c r="BB517" s="46"/>
      <c r="BC517" s="46"/>
      <c r="BD517" s="46"/>
      <c r="BE517" s="46"/>
    </row>
    <row r="518" spans="1:57" ht="14.25" customHeight="1" x14ac:dyDescent="0.3">
      <c r="A518" s="46"/>
      <c r="B518" s="37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  <c r="AA518" s="46"/>
      <c r="AB518" s="46"/>
      <c r="AC518" s="46"/>
      <c r="AD518" s="46"/>
      <c r="AE518" s="46"/>
      <c r="AF518" s="46"/>
      <c r="AG518" s="46"/>
      <c r="AH518" s="46"/>
      <c r="AI518" s="46"/>
      <c r="AJ518" s="46"/>
      <c r="AK518" s="46"/>
      <c r="AL518" s="46"/>
      <c r="AM518" s="46"/>
      <c r="AN518" s="46"/>
      <c r="AO518" s="46"/>
      <c r="AP518" s="46"/>
      <c r="AQ518" s="46"/>
      <c r="AR518" s="46"/>
      <c r="AS518" s="46"/>
      <c r="AT518" s="46"/>
      <c r="AU518" s="46"/>
      <c r="AV518" s="46"/>
      <c r="AW518" s="46"/>
      <c r="AX518" s="46"/>
      <c r="AY518" s="46"/>
      <c r="AZ518" s="46"/>
      <c r="BA518" s="46"/>
      <c r="BB518" s="46"/>
      <c r="BC518" s="46"/>
      <c r="BD518" s="46"/>
      <c r="BE518" s="46"/>
    </row>
    <row r="519" spans="1:57" ht="14.25" customHeight="1" x14ac:dyDescent="0.3">
      <c r="A519" s="46"/>
      <c r="B519" s="37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  <c r="AC519" s="46"/>
      <c r="AD519" s="46"/>
      <c r="AE519" s="46"/>
      <c r="AF519" s="46"/>
      <c r="AG519" s="46"/>
      <c r="AH519" s="46"/>
      <c r="AI519" s="46"/>
      <c r="AJ519" s="46"/>
      <c r="AK519" s="46"/>
      <c r="AL519" s="46"/>
      <c r="AM519" s="46"/>
      <c r="AN519" s="46"/>
      <c r="AO519" s="46"/>
      <c r="AP519" s="46"/>
      <c r="AQ519" s="46"/>
      <c r="AR519" s="46"/>
      <c r="AS519" s="46"/>
      <c r="AT519" s="46"/>
      <c r="AU519" s="46"/>
      <c r="AV519" s="46"/>
      <c r="AW519" s="46"/>
      <c r="AX519" s="46"/>
      <c r="AY519" s="46"/>
      <c r="AZ519" s="46"/>
      <c r="BA519" s="46"/>
      <c r="BB519" s="46"/>
      <c r="BC519" s="46"/>
      <c r="BD519" s="46"/>
      <c r="BE519" s="46"/>
    </row>
    <row r="520" spans="1:57" ht="14.25" customHeight="1" x14ac:dyDescent="0.3">
      <c r="A520" s="46"/>
      <c r="B520" s="37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  <c r="AB520" s="46"/>
      <c r="AC520" s="46"/>
      <c r="AD520" s="46"/>
      <c r="AE520" s="46"/>
      <c r="AF520" s="46"/>
      <c r="AG520" s="46"/>
      <c r="AH520" s="46"/>
      <c r="AI520" s="46"/>
      <c r="AJ520" s="46"/>
      <c r="AK520" s="46"/>
      <c r="AL520" s="46"/>
      <c r="AM520" s="46"/>
      <c r="AN520" s="46"/>
      <c r="AO520" s="46"/>
      <c r="AP520" s="46"/>
      <c r="AQ520" s="46"/>
      <c r="AR520" s="46"/>
      <c r="AS520" s="46"/>
      <c r="AT520" s="46"/>
      <c r="AU520" s="46"/>
      <c r="AV520" s="46"/>
      <c r="AW520" s="46"/>
      <c r="AX520" s="46"/>
      <c r="AY520" s="46"/>
      <c r="AZ520" s="46"/>
      <c r="BA520" s="46"/>
      <c r="BB520" s="46"/>
      <c r="BC520" s="46"/>
      <c r="BD520" s="46"/>
      <c r="BE520" s="46"/>
    </row>
    <row r="521" spans="1:57" ht="14.25" customHeight="1" x14ac:dyDescent="0.3">
      <c r="A521" s="46"/>
      <c r="B521" s="37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  <c r="AA521" s="46"/>
      <c r="AB521" s="46"/>
      <c r="AC521" s="46"/>
      <c r="AD521" s="46"/>
      <c r="AE521" s="46"/>
      <c r="AF521" s="46"/>
      <c r="AG521" s="46"/>
      <c r="AH521" s="46"/>
      <c r="AI521" s="46"/>
      <c r="AJ521" s="46"/>
      <c r="AK521" s="46"/>
      <c r="AL521" s="46"/>
      <c r="AM521" s="46"/>
      <c r="AN521" s="46"/>
      <c r="AO521" s="46"/>
      <c r="AP521" s="46"/>
      <c r="AQ521" s="46"/>
      <c r="AR521" s="46"/>
      <c r="AS521" s="46"/>
      <c r="AT521" s="46"/>
      <c r="AU521" s="46"/>
      <c r="AV521" s="46"/>
      <c r="AW521" s="46"/>
      <c r="AX521" s="46"/>
      <c r="AY521" s="46"/>
      <c r="AZ521" s="46"/>
      <c r="BA521" s="46"/>
      <c r="BB521" s="46"/>
      <c r="BC521" s="46"/>
      <c r="BD521" s="46"/>
      <c r="BE521" s="46"/>
    </row>
    <row r="522" spans="1:57" ht="14.25" customHeight="1" x14ac:dyDescent="0.3">
      <c r="A522" s="46"/>
      <c r="B522" s="37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  <c r="AC522" s="46"/>
      <c r="AD522" s="46"/>
      <c r="AE522" s="46"/>
      <c r="AF522" s="46"/>
      <c r="AG522" s="46"/>
      <c r="AH522" s="46"/>
      <c r="AI522" s="46"/>
      <c r="AJ522" s="46"/>
      <c r="AK522" s="46"/>
      <c r="AL522" s="46"/>
      <c r="AM522" s="46"/>
      <c r="AN522" s="46"/>
      <c r="AO522" s="46"/>
      <c r="AP522" s="46"/>
      <c r="AQ522" s="46"/>
      <c r="AR522" s="46"/>
      <c r="AS522" s="46"/>
      <c r="AT522" s="46"/>
      <c r="AU522" s="46"/>
      <c r="AV522" s="46"/>
      <c r="AW522" s="46"/>
      <c r="AX522" s="46"/>
      <c r="AY522" s="46"/>
      <c r="AZ522" s="46"/>
      <c r="BA522" s="46"/>
      <c r="BB522" s="46"/>
      <c r="BC522" s="46"/>
      <c r="BD522" s="46"/>
      <c r="BE522" s="46"/>
    </row>
    <row r="523" spans="1:57" ht="14.25" customHeight="1" x14ac:dyDescent="0.3">
      <c r="A523" s="46"/>
      <c r="B523" s="37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  <c r="AB523" s="46"/>
      <c r="AC523" s="46"/>
      <c r="AD523" s="46"/>
      <c r="AE523" s="46"/>
      <c r="AF523" s="46"/>
      <c r="AG523" s="46"/>
      <c r="AH523" s="46"/>
      <c r="AI523" s="46"/>
      <c r="AJ523" s="46"/>
      <c r="AK523" s="46"/>
      <c r="AL523" s="46"/>
      <c r="AM523" s="46"/>
      <c r="AN523" s="46"/>
      <c r="AO523" s="46"/>
      <c r="AP523" s="46"/>
      <c r="AQ523" s="46"/>
      <c r="AR523" s="46"/>
      <c r="AS523" s="46"/>
      <c r="AT523" s="46"/>
      <c r="AU523" s="46"/>
      <c r="AV523" s="46"/>
      <c r="AW523" s="46"/>
      <c r="AX523" s="46"/>
      <c r="AY523" s="46"/>
      <c r="AZ523" s="46"/>
      <c r="BA523" s="46"/>
      <c r="BB523" s="46"/>
      <c r="BC523" s="46"/>
      <c r="BD523" s="46"/>
      <c r="BE523" s="46"/>
    </row>
    <row r="524" spans="1:57" ht="14.25" customHeight="1" x14ac:dyDescent="0.3">
      <c r="A524" s="46"/>
      <c r="B524" s="37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  <c r="AA524" s="46"/>
      <c r="AB524" s="46"/>
      <c r="AC524" s="46"/>
      <c r="AD524" s="46"/>
      <c r="AE524" s="46"/>
      <c r="AF524" s="46"/>
      <c r="AG524" s="46"/>
      <c r="AH524" s="46"/>
      <c r="AI524" s="46"/>
      <c r="AJ524" s="46"/>
      <c r="AK524" s="46"/>
      <c r="AL524" s="46"/>
      <c r="AM524" s="46"/>
      <c r="AN524" s="46"/>
      <c r="AO524" s="46"/>
      <c r="AP524" s="46"/>
      <c r="AQ524" s="46"/>
      <c r="AR524" s="46"/>
      <c r="AS524" s="46"/>
      <c r="AT524" s="46"/>
      <c r="AU524" s="46"/>
      <c r="AV524" s="46"/>
      <c r="AW524" s="46"/>
      <c r="AX524" s="46"/>
      <c r="AY524" s="46"/>
      <c r="AZ524" s="46"/>
      <c r="BA524" s="46"/>
      <c r="BB524" s="46"/>
      <c r="BC524" s="46"/>
      <c r="BD524" s="46"/>
      <c r="BE524" s="46"/>
    </row>
    <row r="525" spans="1:57" ht="14.25" customHeight="1" x14ac:dyDescent="0.3">
      <c r="A525" s="46"/>
      <c r="B525" s="37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  <c r="AC525" s="46"/>
      <c r="AD525" s="46"/>
      <c r="AE525" s="46"/>
      <c r="AF525" s="46"/>
      <c r="AG525" s="46"/>
      <c r="AH525" s="46"/>
      <c r="AI525" s="46"/>
      <c r="AJ525" s="46"/>
      <c r="AK525" s="46"/>
      <c r="AL525" s="46"/>
      <c r="AM525" s="46"/>
      <c r="AN525" s="46"/>
      <c r="AO525" s="46"/>
      <c r="AP525" s="46"/>
      <c r="AQ525" s="46"/>
      <c r="AR525" s="46"/>
      <c r="AS525" s="46"/>
      <c r="AT525" s="46"/>
      <c r="AU525" s="46"/>
      <c r="AV525" s="46"/>
      <c r="AW525" s="46"/>
      <c r="AX525" s="46"/>
      <c r="AY525" s="46"/>
      <c r="AZ525" s="46"/>
      <c r="BA525" s="46"/>
      <c r="BB525" s="46"/>
      <c r="BC525" s="46"/>
      <c r="BD525" s="46"/>
      <c r="BE525" s="46"/>
    </row>
    <row r="526" spans="1:57" ht="14.25" customHeight="1" x14ac:dyDescent="0.3">
      <c r="A526" s="46"/>
      <c r="B526" s="37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  <c r="AB526" s="46"/>
      <c r="AC526" s="46"/>
      <c r="AD526" s="46"/>
      <c r="AE526" s="46"/>
      <c r="AF526" s="46"/>
      <c r="AG526" s="46"/>
      <c r="AH526" s="46"/>
      <c r="AI526" s="46"/>
      <c r="AJ526" s="46"/>
      <c r="AK526" s="46"/>
      <c r="AL526" s="46"/>
      <c r="AM526" s="46"/>
      <c r="AN526" s="46"/>
      <c r="AO526" s="46"/>
      <c r="AP526" s="46"/>
      <c r="AQ526" s="46"/>
      <c r="AR526" s="46"/>
      <c r="AS526" s="46"/>
      <c r="AT526" s="46"/>
      <c r="AU526" s="46"/>
      <c r="AV526" s="46"/>
      <c r="AW526" s="46"/>
      <c r="AX526" s="46"/>
      <c r="AY526" s="46"/>
      <c r="AZ526" s="46"/>
      <c r="BA526" s="46"/>
      <c r="BB526" s="46"/>
      <c r="BC526" s="46"/>
      <c r="BD526" s="46"/>
      <c r="BE526" s="46"/>
    </row>
    <row r="527" spans="1:57" ht="14.25" customHeight="1" x14ac:dyDescent="0.3">
      <c r="A527" s="46"/>
      <c r="B527" s="37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  <c r="AC527" s="46"/>
      <c r="AD527" s="46"/>
      <c r="AE527" s="46"/>
      <c r="AF527" s="46"/>
      <c r="AG527" s="46"/>
      <c r="AH527" s="46"/>
      <c r="AI527" s="46"/>
      <c r="AJ527" s="46"/>
      <c r="AK527" s="46"/>
      <c r="AL527" s="46"/>
      <c r="AM527" s="46"/>
      <c r="AN527" s="46"/>
      <c r="AO527" s="46"/>
      <c r="AP527" s="46"/>
      <c r="AQ527" s="46"/>
      <c r="AR527" s="46"/>
      <c r="AS527" s="46"/>
      <c r="AT527" s="46"/>
      <c r="AU527" s="46"/>
      <c r="AV527" s="46"/>
      <c r="AW527" s="46"/>
      <c r="AX527" s="46"/>
      <c r="AY527" s="46"/>
      <c r="AZ527" s="46"/>
      <c r="BA527" s="46"/>
      <c r="BB527" s="46"/>
      <c r="BC527" s="46"/>
      <c r="BD527" s="46"/>
      <c r="BE527" s="46"/>
    </row>
    <row r="528" spans="1:57" ht="14.25" customHeight="1" x14ac:dyDescent="0.3">
      <c r="A528" s="46"/>
      <c r="B528" s="37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46"/>
      <c r="AB528" s="46"/>
      <c r="AC528" s="46"/>
      <c r="AD528" s="46"/>
      <c r="AE528" s="46"/>
      <c r="AF528" s="46"/>
      <c r="AG528" s="46"/>
      <c r="AH528" s="46"/>
      <c r="AI528" s="46"/>
      <c r="AJ528" s="46"/>
      <c r="AK528" s="46"/>
      <c r="AL528" s="46"/>
      <c r="AM528" s="46"/>
      <c r="AN528" s="46"/>
      <c r="AO528" s="46"/>
      <c r="AP528" s="46"/>
      <c r="AQ528" s="46"/>
      <c r="AR528" s="46"/>
      <c r="AS528" s="46"/>
      <c r="AT528" s="46"/>
      <c r="AU528" s="46"/>
      <c r="AV528" s="46"/>
      <c r="AW528" s="46"/>
      <c r="AX528" s="46"/>
      <c r="AY528" s="46"/>
      <c r="AZ528" s="46"/>
      <c r="BA528" s="46"/>
      <c r="BB528" s="46"/>
      <c r="BC528" s="46"/>
      <c r="BD528" s="46"/>
      <c r="BE528" s="46"/>
    </row>
    <row r="529" spans="1:57" ht="14.25" customHeight="1" x14ac:dyDescent="0.3">
      <c r="A529" s="46"/>
      <c r="B529" s="37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  <c r="AC529" s="46"/>
      <c r="AD529" s="46"/>
      <c r="AE529" s="46"/>
      <c r="AF529" s="46"/>
      <c r="AG529" s="46"/>
      <c r="AH529" s="46"/>
      <c r="AI529" s="46"/>
      <c r="AJ529" s="46"/>
      <c r="AK529" s="46"/>
      <c r="AL529" s="46"/>
      <c r="AM529" s="46"/>
      <c r="AN529" s="46"/>
      <c r="AO529" s="46"/>
      <c r="AP529" s="46"/>
      <c r="AQ529" s="46"/>
      <c r="AR529" s="46"/>
      <c r="AS529" s="46"/>
      <c r="AT529" s="46"/>
      <c r="AU529" s="46"/>
      <c r="AV529" s="46"/>
      <c r="AW529" s="46"/>
      <c r="AX529" s="46"/>
      <c r="AY529" s="46"/>
      <c r="AZ529" s="46"/>
      <c r="BA529" s="46"/>
      <c r="BB529" s="46"/>
      <c r="BC529" s="46"/>
      <c r="BD529" s="46"/>
      <c r="BE529" s="46"/>
    </row>
    <row r="530" spans="1:57" ht="14.25" customHeight="1" x14ac:dyDescent="0.3">
      <c r="A530" s="46"/>
      <c r="B530" s="37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  <c r="AC530" s="46"/>
      <c r="AD530" s="46"/>
      <c r="AE530" s="46"/>
      <c r="AF530" s="46"/>
      <c r="AG530" s="46"/>
      <c r="AH530" s="46"/>
      <c r="AI530" s="46"/>
      <c r="AJ530" s="46"/>
      <c r="AK530" s="46"/>
      <c r="AL530" s="46"/>
      <c r="AM530" s="46"/>
      <c r="AN530" s="46"/>
      <c r="AO530" s="46"/>
      <c r="AP530" s="46"/>
      <c r="AQ530" s="46"/>
      <c r="AR530" s="46"/>
      <c r="AS530" s="46"/>
      <c r="AT530" s="46"/>
      <c r="AU530" s="46"/>
      <c r="AV530" s="46"/>
      <c r="AW530" s="46"/>
      <c r="AX530" s="46"/>
      <c r="AY530" s="46"/>
      <c r="AZ530" s="46"/>
      <c r="BA530" s="46"/>
      <c r="BB530" s="46"/>
      <c r="BC530" s="46"/>
      <c r="BD530" s="46"/>
      <c r="BE530" s="46"/>
    </row>
    <row r="531" spans="1:57" ht="14.25" customHeight="1" x14ac:dyDescent="0.3">
      <c r="A531" s="46"/>
      <c r="B531" s="37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  <c r="AB531" s="46"/>
      <c r="AC531" s="46"/>
      <c r="AD531" s="46"/>
      <c r="AE531" s="46"/>
      <c r="AF531" s="46"/>
      <c r="AG531" s="46"/>
      <c r="AH531" s="46"/>
      <c r="AI531" s="46"/>
      <c r="AJ531" s="46"/>
      <c r="AK531" s="46"/>
      <c r="AL531" s="46"/>
      <c r="AM531" s="46"/>
      <c r="AN531" s="46"/>
      <c r="AO531" s="46"/>
      <c r="AP531" s="46"/>
      <c r="AQ531" s="46"/>
      <c r="AR531" s="46"/>
      <c r="AS531" s="46"/>
      <c r="AT531" s="46"/>
      <c r="AU531" s="46"/>
      <c r="AV531" s="46"/>
      <c r="AW531" s="46"/>
      <c r="AX531" s="46"/>
      <c r="AY531" s="46"/>
      <c r="AZ531" s="46"/>
      <c r="BA531" s="46"/>
      <c r="BB531" s="46"/>
      <c r="BC531" s="46"/>
      <c r="BD531" s="46"/>
      <c r="BE531" s="46"/>
    </row>
    <row r="532" spans="1:57" ht="14.25" customHeight="1" x14ac:dyDescent="0.3">
      <c r="A532" s="46"/>
      <c r="B532" s="37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  <c r="AB532" s="46"/>
      <c r="AC532" s="46"/>
      <c r="AD532" s="46"/>
      <c r="AE532" s="46"/>
      <c r="AF532" s="46"/>
      <c r="AG532" s="46"/>
      <c r="AH532" s="46"/>
      <c r="AI532" s="46"/>
      <c r="AJ532" s="46"/>
      <c r="AK532" s="46"/>
      <c r="AL532" s="46"/>
      <c r="AM532" s="46"/>
      <c r="AN532" s="46"/>
      <c r="AO532" s="46"/>
      <c r="AP532" s="46"/>
      <c r="AQ532" s="46"/>
      <c r="AR532" s="46"/>
      <c r="AS532" s="46"/>
      <c r="AT532" s="46"/>
      <c r="AU532" s="46"/>
      <c r="AV532" s="46"/>
      <c r="AW532" s="46"/>
      <c r="AX532" s="46"/>
      <c r="AY532" s="46"/>
      <c r="AZ532" s="46"/>
      <c r="BA532" s="46"/>
      <c r="BB532" s="46"/>
      <c r="BC532" s="46"/>
      <c r="BD532" s="46"/>
      <c r="BE532" s="46"/>
    </row>
    <row r="533" spans="1:57" ht="14.25" customHeight="1" x14ac:dyDescent="0.3">
      <c r="A533" s="46"/>
      <c r="B533" s="37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  <c r="AB533" s="46"/>
      <c r="AC533" s="46"/>
      <c r="AD533" s="46"/>
      <c r="AE533" s="46"/>
      <c r="AF533" s="46"/>
      <c r="AG533" s="46"/>
      <c r="AH533" s="46"/>
      <c r="AI533" s="46"/>
      <c r="AJ533" s="46"/>
      <c r="AK533" s="46"/>
      <c r="AL533" s="46"/>
      <c r="AM533" s="46"/>
      <c r="AN533" s="46"/>
      <c r="AO533" s="46"/>
      <c r="AP533" s="46"/>
      <c r="AQ533" s="46"/>
      <c r="AR533" s="46"/>
      <c r="AS533" s="46"/>
      <c r="AT533" s="46"/>
      <c r="AU533" s="46"/>
      <c r="AV533" s="46"/>
      <c r="AW533" s="46"/>
      <c r="AX533" s="46"/>
      <c r="AY533" s="46"/>
      <c r="AZ533" s="46"/>
      <c r="BA533" s="46"/>
      <c r="BB533" s="46"/>
      <c r="BC533" s="46"/>
      <c r="BD533" s="46"/>
      <c r="BE533" s="46"/>
    </row>
    <row r="534" spans="1:57" ht="14.25" customHeight="1" x14ac:dyDescent="0.3">
      <c r="A534" s="46"/>
      <c r="B534" s="37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  <c r="AB534" s="46"/>
      <c r="AC534" s="46"/>
      <c r="AD534" s="46"/>
      <c r="AE534" s="46"/>
      <c r="AF534" s="46"/>
      <c r="AG534" s="46"/>
      <c r="AH534" s="46"/>
      <c r="AI534" s="46"/>
      <c r="AJ534" s="46"/>
      <c r="AK534" s="46"/>
      <c r="AL534" s="46"/>
      <c r="AM534" s="46"/>
      <c r="AN534" s="46"/>
      <c r="AO534" s="46"/>
      <c r="AP534" s="46"/>
      <c r="AQ534" s="46"/>
      <c r="AR534" s="46"/>
      <c r="AS534" s="46"/>
      <c r="AT534" s="46"/>
      <c r="AU534" s="46"/>
      <c r="AV534" s="46"/>
      <c r="AW534" s="46"/>
      <c r="AX534" s="46"/>
      <c r="AY534" s="46"/>
      <c r="AZ534" s="46"/>
      <c r="BA534" s="46"/>
      <c r="BB534" s="46"/>
      <c r="BC534" s="46"/>
      <c r="BD534" s="46"/>
      <c r="BE534" s="46"/>
    </row>
    <row r="535" spans="1:57" ht="14.25" customHeight="1" x14ac:dyDescent="0.3">
      <c r="A535" s="46"/>
      <c r="B535" s="37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  <c r="AB535" s="46"/>
      <c r="AC535" s="46"/>
      <c r="AD535" s="46"/>
      <c r="AE535" s="46"/>
      <c r="AF535" s="46"/>
      <c r="AG535" s="46"/>
      <c r="AH535" s="46"/>
      <c r="AI535" s="46"/>
      <c r="AJ535" s="46"/>
      <c r="AK535" s="46"/>
      <c r="AL535" s="46"/>
      <c r="AM535" s="46"/>
      <c r="AN535" s="46"/>
      <c r="AO535" s="46"/>
      <c r="AP535" s="46"/>
      <c r="AQ535" s="46"/>
      <c r="AR535" s="46"/>
      <c r="AS535" s="46"/>
      <c r="AT535" s="46"/>
      <c r="AU535" s="46"/>
      <c r="AV535" s="46"/>
      <c r="AW535" s="46"/>
      <c r="AX535" s="46"/>
      <c r="AY535" s="46"/>
      <c r="AZ535" s="46"/>
      <c r="BA535" s="46"/>
      <c r="BB535" s="46"/>
      <c r="BC535" s="46"/>
      <c r="BD535" s="46"/>
      <c r="BE535" s="46"/>
    </row>
    <row r="536" spans="1:57" ht="14.25" customHeight="1" x14ac:dyDescent="0.3">
      <c r="A536" s="46"/>
      <c r="B536" s="37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  <c r="AB536" s="46"/>
      <c r="AC536" s="46"/>
      <c r="AD536" s="46"/>
      <c r="AE536" s="46"/>
      <c r="AF536" s="46"/>
      <c r="AG536" s="46"/>
      <c r="AH536" s="46"/>
      <c r="AI536" s="46"/>
      <c r="AJ536" s="46"/>
      <c r="AK536" s="46"/>
      <c r="AL536" s="46"/>
      <c r="AM536" s="46"/>
      <c r="AN536" s="46"/>
      <c r="AO536" s="46"/>
      <c r="AP536" s="46"/>
      <c r="AQ536" s="46"/>
      <c r="AR536" s="46"/>
      <c r="AS536" s="46"/>
      <c r="AT536" s="46"/>
      <c r="AU536" s="46"/>
      <c r="AV536" s="46"/>
      <c r="AW536" s="46"/>
      <c r="AX536" s="46"/>
      <c r="AY536" s="46"/>
      <c r="AZ536" s="46"/>
      <c r="BA536" s="46"/>
      <c r="BB536" s="46"/>
      <c r="BC536" s="46"/>
      <c r="BD536" s="46"/>
      <c r="BE536" s="46"/>
    </row>
    <row r="537" spans="1:57" ht="14.25" customHeight="1" x14ac:dyDescent="0.3">
      <c r="A537" s="46"/>
      <c r="B537" s="37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  <c r="AB537" s="46"/>
      <c r="AC537" s="46"/>
      <c r="AD537" s="46"/>
      <c r="AE537" s="46"/>
      <c r="AF537" s="46"/>
      <c r="AG537" s="46"/>
      <c r="AH537" s="46"/>
      <c r="AI537" s="46"/>
      <c r="AJ537" s="46"/>
      <c r="AK537" s="46"/>
      <c r="AL537" s="46"/>
      <c r="AM537" s="46"/>
      <c r="AN537" s="46"/>
      <c r="AO537" s="46"/>
      <c r="AP537" s="46"/>
      <c r="AQ537" s="46"/>
      <c r="AR537" s="46"/>
      <c r="AS537" s="46"/>
      <c r="AT537" s="46"/>
      <c r="AU537" s="46"/>
      <c r="AV537" s="46"/>
      <c r="AW537" s="46"/>
      <c r="AX537" s="46"/>
      <c r="AY537" s="46"/>
      <c r="AZ537" s="46"/>
      <c r="BA537" s="46"/>
      <c r="BB537" s="46"/>
      <c r="BC537" s="46"/>
      <c r="BD537" s="46"/>
      <c r="BE537" s="46"/>
    </row>
    <row r="538" spans="1:57" ht="14.25" customHeight="1" x14ac:dyDescent="0.3">
      <c r="A538" s="46"/>
      <c r="B538" s="37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  <c r="AC538" s="46"/>
      <c r="AD538" s="46"/>
      <c r="AE538" s="46"/>
      <c r="AF538" s="46"/>
      <c r="AG538" s="46"/>
      <c r="AH538" s="46"/>
      <c r="AI538" s="46"/>
      <c r="AJ538" s="46"/>
      <c r="AK538" s="46"/>
      <c r="AL538" s="46"/>
      <c r="AM538" s="46"/>
      <c r="AN538" s="46"/>
      <c r="AO538" s="46"/>
      <c r="AP538" s="46"/>
      <c r="AQ538" s="46"/>
      <c r="AR538" s="46"/>
      <c r="AS538" s="46"/>
      <c r="AT538" s="46"/>
      <c r="AU538" s="46"/>
      <c r="AV538" s="46"/>
      <c r="AW538" s="46"/>
      <c r="AX538" s="46"/>
      <c r="AY538" s="46"/>
      <c r="AZ538" s="46"/>
      <c r="BA538" s="46"/>
      <c r="BB538" s="46"/>
      <c r="BC538" s="46"/>
      <c r="BD538" s="46"/>
      <c r="BE538" s="46"/>
    </row>
    <row r="539" spans="1:57" ht="14.25" customHeight="1" x14ac:dyDescent="0.3">
      <c r="A539" s="46"/>
      <c r="B539" s="37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  <c r="AC539" s="46"/>
      <c r="AD539" s="46"/>
      <c r="AE539" s="46"/>
      <c r="AF539" s="46"/>
      <c r="AG539" s="46"/>
      <c r="AH539" s="46"/>
      <c r="AI539" s="46"/>
      <c r="AJ539" s="46"/>
      <c r="AK539" s="46"/>
      <c r="AL539" s="46"/>
      <c r="AM539" s="46"/>
      <c r="AN539" s="46"/>
      <c r="AO539" s="46"/>
      <c r="AP539" s="46"/>
      <c r="AQ539" s="46"/>
      <c r="AR539" s="46"/>
      <c r="AS539" s="46"/>
      <c r="AT539" s="46"/>
      <c r="AU539" s="46"/>
      <c r="AV539" s="46"/>
      <c r="AW539" s="46"/>
      <c r="AX539" s="46"/>
      <c r="AY539" s="46"/>
      <c r="AZ539" s="46"/>
      <c r="BA539" s="46"/>
      <c r="BB539" s="46"/>
      <c r="BC539" s="46"/>
      <c r="BD539" s="46"/>
      <c r="BE539" s="46"/>
    </row>
    <row r="540" spans="1:57" ht="14.25" customHeight="1" x14ac:dyDescent="0.3">
      <c r="A540" s="46"/>
      <c r="B540" s="37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  <c r="AB540" s="46"/>
      <c r="AC540" s="46"/>
      <c r="AD540" s="46"/>
      <c r="AE540" s="46"/>
      <c r="AF540" s="46"/>
      <c r="AG540" s="46"/>
      <c r="AH540" s="46"/>
      <c r="AI540" s="46"/>
      <c r="AJ540" s="46"/>
      <c r="AK540" s="46"/>
      <c r="AL540" s="46"/>
      <c r="AM540" s="46"/>
      <c r="AN540" s="46"/>
      <c r="AO540" s="46"/>
      <c r="AP540" s="46"/>
      <c r="AQ540" s="46"/>
      <c r="AR540" s="46"/>
      <c r="AS540" s="46"/>
      <c r="AT540" s="46"/>
      <c r="AU540" s="46"/>
      <c r="AV540" s="46"/>
      <c r="AW540" s="46"/>
      <c r="AX540" s="46"/>
      <c r="AY540" s="46"/>
      <c r="AZ540" s="46"/>
      <c r="BA540" s="46"/>
      <c r="BB540" s="46"/>
      <c r="BC540" s="46"/>
      <c r="BD540" s="46"/>
      <c r="BE540" s="46"/>
    </row>
    <row r="541" spans="1:57" ht="14.25" customHeight="1" x14ac:dyDescent="0.3">
      <c r="A541" s="46"/>
      <c r="B541" s="37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/>
      <c r="AB541" s="46"/>
      <c r="AC541" s="46"/>
      <c r="AD541" s="46"/>
      <c r="AE541" s="46"/>
      <c r="AF541" s="46"/>
      <c r="AG541" s="46"/>
      <c r="AH541" s="46"/>
      <c r="AI541" s="46"/>
      <c r="AJ541" s="46"/>
      <c r="AK541" s="46"/>
      <c r="AL541" s="46"/>
      <c r="AM541" s="46"/>
      <c r="AN541" s="46"/>
      <c r="AO541" s="46"/>
      <c r="AP541" s="46"/>
      <c r="AQ541" s="46"/>
      <c r="AR541" s="46"/>
      <c r="AS541" s="46"/>
      <c r="AT541" s="46"/>
      <c r="AU541" s="46"/>
      <c r="AV541" s="46"/>
      <c r="AW541" s="46"/>
      <c r="AX541" s="46"/>
      <c r="AY541" s="46"/>
      <c r="AZ541" s="46"/>
      <c r="BA541" s="46"/>
      <c r="BB541" s="46"/>
      <c r="BC541" s="46"/>
      <c r="BD541" s="46"/>
      <c r="BE541" s="46"/>
    </row>
    <row r="542" spans="1:57" ht="14.25" customHeight="1" x14ac:dyDescent="0.3">
      <c r="A542" s="46"/>
      <c r="B542" s="37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6"/>
      <c r="AB542" s="46"/>
      <c r="AC542" s="46"/>
      <c r="AD542" s="46"/>
      <c r="AE542" s="46"/>
      <c r="AF542" s="46"/>
      <c r="AG542" s="46"/>
      <c r="AH542" s="46"/>
      <c r="AI542" s="46"/>
      <c r="AJ542" s="46"/>
      <c r="AK542" s="46"/>
      <c r="AL542" s="46"/>
      <c r="AM542" s="46"/>
      <c r="AN542" s="46"/>
      <c r="AO542" s="46"/>
      <c r="AP542" s="46"/>
      <c r="AQ542" s="46"/>
      <c r="AR542" s="46"/>
      <c r="AS542" s="46"/>
      <c r="AT542" s="46"/>
      <c r="AU542" s="46"/>
      <c r="AV542" s="46"/>
      <c r="AW542" s="46"/>
      <c r="AX542" s="46"/>
      <c r="AY542" s="46"/>
      <c r="AZ542" s="46"/>
      <c r="BA542" s="46"/>
      <c r="BB542" s="46"/>
      <c r="BC542" s="46"/>
      <c r="BD542" s="46"/>
      <c r="BE542" s="46"/>
    </row>
    <row r="543" spans="1:57" ht="14.25" customHeight="1" x14ac:dyDescent="0.3">
      <c r="A543" s="46"/>
      <c r="B543" s="37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6"/>
      <c r="AB543" s="46"/>
      <c r="AC543" s="46"/>
      <c r="AD543" s="46"/>
      <c r="AE543" s="46"/>
      <c r="AF543" s="46"/>
      <c r="AG543" s="46"/>
      <c r="AH543" s="46"/>
      <c r="AI543" s="46"/>
      <c r="AJ543" s="46"/>
      <c r="AK543" s="46"/>
      <c r="AL543" s="46"/>
      <c r="AM543" s="46"/>
      <c r="AN543" s="46"/>
      <c r="AO543" s="46"/>
      <c r="AP543" s="46"/>
      <c r="AQ543" s="46"/>
      <c r="AR543" s="46"/>
      <c r="AS543" s="46"/>
      <c r="AT543" s="46"/>
      <c r="AU543" s="46"/>
      <c r="AV543" s="46"/>
      <c r="AW543" s="46"/>
      <c r="AX543" s="46"/>
      <c r="AY543" s="46"/>
      <c r="AZ543" s="46"/>
      <c r="BA543" s="46"/>
      <c r="BB543" s="46"/>
      <c r="BC543" s="46"/>
      <c r="BD543" s="46"/>
      <c r="BE543" s="46"/>
    </row>
    <row r="544" spans="1:57" ht="14.25" customHeight="1" x14ac:dyDescent="0.3">
      <c r="A544" s="46"/>
      <c r="B544" s="37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46"/>
      <c r="AB544" s="46"/>
      <c r="AC544" s="46"/>
      <c r="AD544" s="46"/>
      <c r="AE544" s="46"/>
      <c r="AF544" s="46"/>
      <c r="AG544" s="46"/>
      <c r="AH544" s="46"/>
      <c r="AI544" s="46"/>
      <c r="AJ544" s="46"/>
      <c r="AK544" s="46"/>
      <c r="AL544" s="46"/>
      <c r="AM544" s="46"/>
      <c r="AN544" s="46"/>
      <c r="AO544" s="46"/>
      <c r="AP544" s="46"/>
      <c r="AQ544" s="46"/>
      <c r="AR544" s="46"/>
      <c r="AS544" s="46"/>
      <c r="AT544" s="46"/>
      <c r="AU544" s="46"/>
      <c r="AV544" s="46"/>
      <c r="AW544" s="46"/>
      <c r="AX544" s="46"/>
      <c r="AY544" s="46"/>
      <c r="AZ544" s="46"/>
      <c r="BA544" s="46"/>
      <c r="BB544" s="46"/>
      <c r="BC544" s="46"/>
      <c r="BD544" s="46"/>
      <c r="BE544" s="46"/>
    </row>
    <row r="545" spans="1:57" ht="14.25" customHeight="1" x14ac:dyDescent="0.3">
      <c r="A545" s="46"/>
      <c r="B545" s="37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/>
      <c r="AB545" s="46"/>
      <c r="AC545" s="46"/>
      <c r="AD545" s="46"/>
      <c r="AE545" s="46"/>
      <c r="AF545" s="46"/>
      <c r="AG545" s="46"/>
      <c r="AH545" s="46"/>
      <c r="AI545" s="46"/>
      <c r="AJ545" s="46"/>
      <c r="AK545" s="46"/>
      <c r="AL545" s="46"/>
      <c r="AM545" s="46"/>
      <c r="AN545" s="46"/>
      <c r="AO545" s="46"/>
      <c r="AP545" s="46"/>
      <c r="AQ545" s="46"/>
      <c r="AR545" s="46"/>
      <c r="AS545" s="46"/>
      <c r="AT545" s="46"/>
      <c r="AU545" s="46"/>
      <c r="AV545" s="46"/>
      <c r="AW545" s="46"/>
      <c r="AX545" s="46"/>
      <c r="AY545" s="46"/>
      <c r="AZ545" s="46"/>
      <c r="BA545" s="46"/>
      <c r="BB545" s="46"/>
      <c r="BC545" s="46"/>
      <c r="BD545" s="46"/>
      <c r="BE545" s="46"/>
    </row>
    <row r="546" spans="1:57" ht="14.25" customHeight="1" x14ac:dyDescent="0.3">
      <c r="A546" s="46"/>
      <c r="B546" s="37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46"/>
      <c r="AB546" s="46"/>
      <c r="AC546" s="46"/>
      <c r="AD546" s="46"/>
      <c r="AE546" s="46"/>
      <c r="AF546" s="46"/>
      <c r="AG546" s="46"/>
      <c r="AH546" s="46"/>
      <c r="AI546" s="46"/>
      <c r="AJ546" s="46"/>
      <c r="AK546" s="46"/>
      <c r="AL546" s="46"/>
      <c r="AM546" s="46"/>
      <c r="AN546" s="46"/>
      <c r="AO546" s="46"/>
      <c r="AP546" s="46"/>
      <c r="AQ546" s="46"/>
      <c r="AR546" s="46"/>
      <c r="AS546" s="46"/>
      <c r="AT546" s="46"/>
      <c r="AU546" s="46"/>
      <c r="AV546" s="46"/>
      <c r="AW546" s="46"/>
      <c r="AX546" s="46"/>
      <c r="AY546" s="46"/>
      <c r="AZ546" s="46"/>
      <c r="BA546" s="46"/>
      <c r="BB546" s="46"/>
      <c r="BC546" s="46"/>
      <c r="BD546" s="46"/>
      <c r="BE546" s="46"/>
    </row>
    <row r="547" spans="1:57" ht="14.25" customHeight="1" x14ac:dyDescent="0.3">
      <c r="A547" s="46"/>
      <c r="B547" s="37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  <c r="AB547" s="46"/>
      <c r="AC547" s="46"/>
      <c r="AD547" s="46"/>
      <c r="AE547" s="46"/>
      <c r="AF547" s="46"/>
      <c r="AG547" s="46"/>
      <c r="AH547" s="46"/>
      <c r="AI547" s="46"/>
      <c r="AJ547" s="46"/>
      <c r="AK547" s="46"/>
      <c r="AL547" s="46"/>
      <c r="AM547" s="46"/>
      <c r="AN547" s="46"/>
      <c r="AO547" s="46"/>
      <c r="AP547" s="46"/>
      <c r="AQ547" s="46"/>
      <c r="AR547" s="46"/>
      <c r="AS547" s="46"/>
      <c r="AT547" s="46"/>
      <c r="AU547" s="46"/>
      <c r="AV547" s="46"/>
      <c r="AW547" s="46"/>
      <c r="AX547" s="46"/>
      <c r="AY547" s="46"/>
      <c r="AZ547" s="46"/>
      <c r="BA547" s="46"/>
      <c r="BB547" s="46"/>
      <c r="BC547" s="46"/>
      <c r="BD547" s="46"/>
      <c r="BE547" s="46"/>
    </row>
    <row r="548" spans="1:57" ht="14.25" customHeight="1" x14ac:dyDescent="0.3">
      <c r="A548" s="46"/>
      <c r="B548" s="37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6"/>
      <c r="AB548" s="46"/>
      <c r="AC548" s="46"/>
      <c r="AD548" s="46"/>
      <c r="AE548" s="46"/>
      <c r="AF548" s="46"/>
      <c r="AG548" s="46"/>
      <c r="AH548" s="46"/>
      <c r="AI548" s="46"/>
      <c r="AJ548" s="46"/>
      <c r="AK548" s="46"/>
      <c r="AL548" s="46"/>
      <c r="AM548" s="46"/>
      <c r="AN548" s="46"/>
      <c r="AO548" s="46"/>
      <c r="AP548" s="46"/>
      <c r="AQ548" s="46"/>
      <c r="AR548" s="46"/>
      <c r="AS548" s="46"/>
      <c r="AT548" s="46"/>
      <c r="AU548" s="46"/>
      <c r="AV548" s="46"/>
      <c r="AW548" s="46"/>
      <c r="AX548" s="46"/>
      <c r="AY548" s="46"/>
      <c r="AZ548" s="46"/>
      <c r="BA548" s="46"/>
      <c r="BB548" s="46"/>
      <c r="BC548" s="46"/>
      <c r="BD548" s="46"/>
      <c r="BE548" s="46"/>
    </row>
    <row r="549" spans="1:57" ht="14.25" customHeight="1" x14ac:dyDescent="0.3">
      <c r="A549" s="46"/>
      <c r="B549" s="37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  <c r="AB549" s="46"/>
      <c r="AC549" s="46"/>
      <c r="AD549" s="46"/>
      <c r="AE549" s="46"/>
      <c r="AF549" s="46"/>
      <c r="AG549" s="46"/>
      <c r="AH549" s="46"/>
      <c r="AI549" s="46"/>
      <c r="AJ549" s="46"/>
      <c r="AK549" s="46"/>
      <c r="AL549" s="46"/>
      <c r="AM549" s="46"/>
      <c r="AN549" s="46"/>
      <c r="AO549" s="46"/>
      <c r="AP549" s="46"/>
      <c r="AQ549" s="46"/>
      <c r="AR549" s="46"/>
      <c r="AS549" s="46"/>
      <c r="AT549" s="46"/>
      <c r="AU549" s="46"/>
      <c r="AV549" s="46"/>
      <c r="AW549" s="46"/>
      <c r="AX549" s="46"/>
      <c r="AY549" s="46"/>
      <c r="AZ549" s="46"/>
      <c r="BA549" s="46"/>
      <c r="BB549" s="46"/>
      <c r="BC549" s="46"/>
      <c r="BD549" s="46"/>
      <c r="BE549" s="46"/>
    </row>
    <row r="550" spans="1:57" ht="14.25" customHeight="1" x14ac:dyDescent="0.3">
      <c r="A550" s="46"/>
      <c r="B550" s="37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46"/>
      <c r="AB550" s="46"/>
      <c r="AC550" s="46"/>
      <c r="AD550" s="46"/>
      <c r="AE550" s="46"/>
      <c r="AF550" s="46"/>
      <c r="AG550" s="46"/>
      <c r="AH550" s="46"/>
      <c r="AI550" s="46"/>
      <c r="AJ550" s="46"/>
      <c r="AK550" s="46"/>
      <c r="AL550" s="46"/>
      <c r="AM550" s="46"/>
      <c r="AN550" s="46"/>
      <c r="AO550" s="46"/>
      <c r="AP550" s="46"/>
      <c r="AQ550" s="46"/>
      <c r="AR550" s="46"/>
      <c r="AS550" s="46"/>
      <c r="AT550" s="46"/>
      <c r="AU550" s="46"/>
      <c r="AV550" s="46"/>
      <c r="AW550" s="46"/>
      <c r="AX550" s="46"/>
      <c r="AY550" s="46"/>
      <c r="AZ550" s="46"/>
      <c r="BA550" s="46"/>
      <c r="BB550" s="46"/>
      <c r="BC550" s="46"/>
      <c r="BD550" s="46"/>
      <c r="BE550" s="46"/>
    </row>
    <row r="551" spans="1:57" ht="14.25" customHeight="1" x14ac:dyDescent="0.3">
      <c r="A551" s="46"/>
      <c r="B551" s="37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46"/>
      <c r="AB551" s="46"/>
      <c r="AC551" s="46"/>
      <c r="AD551" s="46"/>
      <c r="AE551" s="46"/>
      <c r="AF551" s="46"/>
      <c r="AG551" s="46"/>
      <c r="AH551" s="46"/>
      <c r="AI551" s="46"/>
      <c r="AJ551" s="46"/>
      <c r="AK551" s="46"/>
      <c r="AL551" s="46"/>
      <c r="AM551" s="46"/>
      <c r="AN551" s="46"/>
      <c r="AO551" s="46"/>
      <c r="AP551" s="46"/>
      <c r="AQ551" s="46"/>
      <c r="AR551" s="46"/>
      <c r="AS551" s="46"/>
      <c r="AT551" s="46"/>
      <c r="AU551" s="46"/>
      <c r="AV551" s="46"/>
      <c r="AW551" s="46"/>
      <c r="AX551" s="46"/>
      <c r="AY551" s="46"/>
      <c r="AZ551" s="46"/>
      <c r="BA551" s="46"/>
      <c r="BB551" s="46"/>
      <c r="BC551" s="46"/>
      <c r="BD551" s="46"/>
      <c r="BE551" s="46"/>
    </row>
    <row r="552" spans="1:57" ht="14.25" customHeight="1" x14ac:dyDescent="0.3">
      <c r="A552" s="46"/>
      <c r="B552" s="37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46"/>
      <c r="AB552" s="46"/>
      <c r="AC552" s="46"/>
      <c r="AD552" s="46"/>
      <c r="AE552" s="46"/>
      <c r="AF552" s="46"/>
      <c r="AG552" s="46"/>
      <c r="AH552" s="46"/>
      <c r="AI552" s="46"/>
      <c r="AJ552" s="46"/>
      <c r="AK552" s="46"/>
      <c r="AL552" s="46"/>
      <c r="AM552" s="46"/>
      <c r="AN552" s="46"/>
      <c r="AO552" s="46"/>
      <c r="AP552" s="46"/>
      <c r="AQ552" s="46"/>
      <c r="AR552" s="46"/>
      <c r="AS552" s="46"/>
      <c r="AT552" s="46"/>
      <c r="AU552" s="46"/>
      <c r="AV552" s="46"/>
      <c r="AW552" s="46"/>
      <c r="AX552" s="46"/>
      <c r="AY552" s="46"/>
      <c r="AZ552" s="46"/>
      <c r="BA552" s="46"/>
      <c r="BB552" s="46"/>
      <c r="BC552" s="46"/>
      <c r="BD552" s="46"/>
      <c r="BE552" s="46"/>
    </row>
    <row r="553" spans="1:57" ht="14.25" customHeight="1" x14ac:dyDescent="0.3">
      <c r="A553" s="46"/>
      <c r="B553" s="37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  <c r="AA553" s="46"/>
      <c r="AB553" s="46"/>
      <c r="AC553" s="46"/>
      <c r="AD553" s="46"/>
      <c r="AE553" s="46"/>
      <c r="AF553" s="46"/>
      <c r="AG553" s="46"/>
      <c r="AH553" s="46"/>
      <c r="AI553" s="46"/>
      <c r="AJ553" s="46"/>
      <c r="AK553" s="46"/>
      <c r="AL553" s="46"/>
      <c r="AM553" s="46"/>
      <c r="AN553" s="46"/>
      <c r="AO553" s="46"/>
      <c r="AP553" s="46"/>
      <c r="AQ553" s="46"/>
      <c r="AR553" s="46"/>
      <c r="AS553" s="46"/>
      <c r="AT553" s="46"/>
      <c r="AU553" s="46"/>
      <c r="AV553" s="46"/>
      <c r="AW553" s="46"/>
      <c r="AX553" s="46"/>
      <c r="AY553" s="46"/>
      <c r="AZ553" s="46"/>
      <c r="BA553" s="46"/>
      <c r="BB553" s="46"/>
      <c r="BC553" s="46"/>
      <c r="BD553" s="46"/>
      <c r="BE553" s="46"/>
    </row>
    <row r="554" spans="1:57" ht="14.25" customHeight="1" x14ac:dyDescent="0.3">
      <c r="A554" s="46"/>
      <c r="B554" s="37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  <c r="AB554" s="46"/>
      <c r="AC554" s="46"/>
      <c r="AD554" s="46"/>
      <c r="AE554" s="46"/>
      <c r="AF554" s="46"/>
      <c r="AG554" s="46"/>
      <c r="AH554" s="46"/>
      <c r="AI554" s="46"/>
      <c r="AJ554" s="46"/>
      <c r="AK554" s="46"/>
      <c r="AL554" s="46"/>
      <c r="AM554" s="46"/>
      <c r="AN554" s="46"/>
      <c r="AO554" s="46"/>
      <c r="AP554" s="46"/>
      <c r="AQ554" s="46"/>
      <c r="AR554" s="46"/>
      <c r="AS554" s="46"/>
      <c r="AT554" s="46"/>
      <c r="AU554" s="46"/>
      <c r="AV554" s="46"/>
      <c r="AW554" s="46"/>
      <c r="AX554" s="46"/>
      <c r="AY554" s="46"/>
      <c r="AZ554" s="46"/>
      <c r="BA554" s="46"/>
      <c r="BB554" s="46"/>
      <c r="BC554" s="46"/>
      <c r="BD554" s="46"/>
      <c r="BE554" s="46"/>
    </row>
    <row r="555" spans="1:57" ht="14.25" customHeight="1" x14ac:dyDescent="0.3">
      <c r="A555" s="46"/>
      <c r="B555" s="37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46"/>
      <c r="AB555" s="46"/>
      <c r="AC555" s="46"/>
      <c r="AD555" s="46"/>
      <c r="AE555" s="46"/>
      <c r="AF555" s="46"/>
      <c r="AG555" s="46"/>
      <c r="AH555" s="46"/>
      <c r="AI555" s="46"/>
      <c r="AJ555" s="46"/>
      <c r="AK555" s="46"/>
      <c r="AL555" s="46"/>
      <c r="AM555" s="46"/>
      <c r="AN555" s="46"/>
      <c r="AO555" s="46"/>
      <c r="AP555" s="46"/>
      <c r="AQ555" s="46"/>
      <c r="AR555" s="46"/>
      <c r="AS555" s="46"/>
      <c r="AT555" s="46"/>
      <c r="AU555" s="46"/>
      <c r="AV555" s="46"/>
      <c r="AW555" s="46"/>
      <c r="AX555" s="46"/>
      <c r="AY555" s="46"/>
      <c r="AZ555" s="46"/>
      <c r="BA555" s="46"/>
      <c r="BB555" s="46"/>
      <c r="BC555" s="46"/>
      <c r="BD555" s="46"/>
      <c r="BE555" s="46"/>
    </row>
    <row r="556" spans="1:57" ht="14.25" customHeight="1" x14ac:dyDescent="0.3">
      <c r="A556" s="46"/>
      <c r="B556" s="37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  <c r="AB556" s="46"/>
      <c r="AC556" s="46"/>
      <c r="AD556" s="46"/>
      <c r="AE556" s="46"/>
      <c r="AF556" s="46"/>
      <c r="AG556" s="46"/>
      <c r="AH556" s="46"/>
      <c r="AI556" s="46"/>
      <c r="AJ556" s="46"/>
      <c r="AK556" s="46"/>
      <c r="AL556" s="46"/>
      <c r="AM556" s="46"/>
      <c r="AN556" s="46"/>
      <c r="AO556" s="46"/>
      <c r="AP556" s="46"/>
      <c r="AQ556" s="46"/>
      <c r="AR556" s="46"/>
      <c r="AS556" s="46"/>
      <c r="AT556" s="46"/>
      <c r="AU556" s="46"/>
      <c r="AV556" s="46"/>
      <c r="AW556" s="46"/>
      <c r="AX556" s="46"/>
      <c r="AY556" s="46"/>
      <c r="AZ556" s="46"/>
      <c r="BA556" s="46"/>
      <c r="BB556" s="46"/>
      <c r="BC556" s="46"/>
      <c r="BD556" s="46"/>
      <c r="BE556" s="46"/>
    </row>
    <row r="557" spans="1:57" ht="14.25" customHeight="1" x14ac:dyDescent="0.3">
      <c r="A557" s="46"/>
      <c r="B557" s="37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  <c r="AC557" s="46"/>
      <c r="AD557" s="46"/>
      <c r="AE557" s="46"/>
      <c r="AF557" s="46"/>
      <c r="AG557" s="46"/>
      <c r="AH557" s="46"/>
      <c r="AI557" s="46"/>
      <c r="AJ557" s="46"/>
      <c r="AK557" s="46"/>
      <c r="AL557" s="46"/>
      <c r="AM557" s="46"/>
      <c r="AN557" s="46"/>
      <c r="AO557" s="46"/>
      <c r="AP557" s="46"/>
      <c r="AQ557" s="46"/>
      <c r="AR557" s="46"/>
      <c r="AS557" s="46"/>
      <c r="AT557" s="46"/>
      <c r="AU557" s="46"/>
      <c r="AV557" s="46"/>
      <c r="AW557" s="46"/>
      <c r="AX557" s="46"/>
      <c r="AY557" s="46"/>
      <c r="AZ557" s="46"/>
      <c r="BA557" s="46"/>
      <c r="BB557" s="46"/>
      <c r="BC557" s="46"/>
      <c r="BD557" s="46"/>
      <c r="BE557" s="46"/>
    </row>
    <row r="558" spans="1:57" ht="14.25" customHeight="1" x14ac:dyDescent="0.3">
      <c r="A558" s="46"/>
      <c r="B558" s="37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  <c r="AB558" s="46"/>
      <c r="AC558" s="46"/>
      <c r="AD558" s="46"/>
      <c r="AE558" s="46"/>
      <c r="AF558" s="46"/>
      <c r="AG558" s="46"/>
      <c r="AH558" s="46"/>
      <c r="AI558" s="46"/>
      <c r="AJ558" s="46"/>
      <c r="AK558" s="46"/>
      <c r="AL558" s="46"/>
      <c r="AM558" s="46"/>
      <c r="AN558" s="46"/>
      <c r="AO558" s="46"/>
      <c r="AP558" s="46"/>
      <c r="AQ558" s="46"/>
      <c r="AR558" s="46"/>
      <c r="AS558" s="46"/>
      <c r="AT558" s="46"/>
      <c r="AU558" s="46"/>
      <c r="AV558" s="46"/>
      <c r="AW558" s="46"/>
      <c r="AX558" s="46"/>
      <c r="AY558" s="46"/>
      <c r="AZ558" s="46"/>
      <c r="BA558" s="46"/>
      <c r="BB558" s="46"/>
      <c r="BC558" s="46"/>
      <c r="BD558" s="46"/>
      <c r="BE558" s="46"/>
    </row>
    <row r="559" spans="1:57" ht="14.25" customHeight="1" x14ac:dyDescent="0.3">
      <c r="A559" s="46"/>
      <c r="B559" s="37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  <c r="AB559" s="46"/>
      <c r="AC559" s="46"/>
      <c r="AD559" s="46"/>
      <c r="AE559" s="46"/>
      <c r="AF559" s="46"/>
      <c r="AG559" s="46"/>
      <c r="AH559" s="46"/>
      <c r="AI559" s="46"/>
      <c r="AJ559" s="46"/>
      <c r="AK559" s="46"/>
      <c r="AL559" s="46"/>
      <c r="AM559" s="46"/>
      <c r="AN559" s="46"/>
      <c r="AO559" s="46"/>
      <c r="AP559" s="46"/>
      <c r="AQ559" s="46"/>
      <c r="AR559" s="46"/>
      <c r="AS559" s="46"/>
      <c r="AT559" s="46"/>
      <c r="AU559" s="46"/>
      <c r="AV559" s="46"/>
      <c r="AW559" s="46"/>
      <c r="AX559" s="46"/>
      <c r="AY559" s="46"/>
      <c r="AZ559" s="46"/>
      <c r="BA559" s="46"/>
      <c r="BB559" s="46"/>
      <c r="BC559" s="46"/>
      <c r="BD559" s="46"/>
      <c r="BE559" s="46"/>
    </row>
    <row r="560" spans="1:57" ht="14.25" customHeight="1" x14ac:dyDescent="0.3">
      <c r="A560" s="46"/>
      <c r="B560" s="37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  <c r="AC560" s="46"/>
      <c r="AD560" s="46"/>
      <c r="AE560" s="46"/>
      <c r="AF560" s="46"/>
      <c r="AG560" s="46"/>
      <c r="AH560" s="46"/>
      <c r="AI560" s="46"/>
      <c r="AJ560" s="46"/>
      <c r="AK560" s="46"/>
      <c r="AL560" s="46"/>
      <c r="AM560" s="46"/>
      <c r="AN560" s="46"/>
      <c r="AO560" s="46"/>
      <c r="AP560" s="46"/>
      <c r="AQ560" s="46"/>
      <c r="AR560" s="46"/>
      <c r="AS560" s="46"/>
      <c r="AT560" s="46"/>
      <c r="AU560" s="46"/>
      <c r="AV560" s="46"/>
      <c r="AW560" s="46"/>
      <c r="AX560" s="46"/>
      <c r="AY560" s="46"/>
      <c r="AZ560" s="46"/>
      <c r="BA560" s="46"/>
      <c r="BB560" s="46"/>
      <c r="BC560" s="46"/>
      <c r="BD560" s="46"/>
      <c r="BE560" s="46"/>
    </row>
    <row r="561" spans="1:57" ht="14.25" customHeight="1" x14ac:dyDescent="0.3">
      <c r="A561" s="46"/>
      <c r="B561" s="37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  <c r="AB561" s="46"/>
      <c r="AC561" s="46"/>
      <c r="AD561" s="46"/>
      <c r="AE561" s="46"/>
      <c r="AF561" s="46"/>
      <c r="AG561" s="46"/>
      <c r="AH561" s="46"/>
      <c r="AI561" s="46"/>
      <c r="AJ561" s="46"/>
      <c r="AK561" s="46"/>
      <c r="AL561" s="46"/>
      <c r="AM561" s="46"/>
      <c r="AN561" s="46"/>
      <c r="AO561" s="46"/>
      <c r="AP561" s="46"/>
      <c r="AQ561" s="46"/>
      <c r="AR561" s="46"/>
      <c r="AS561" s="46"/>
      <c r="AT561" s="46"/>
      <c r="AU561" s="46"/>
      <c r="AV561" s="46"/>
      <c r="AW561" s="46"/>
      <c r="AX561" s="46"/>
      <c r="AY561" s="46"/>
      <c r="AZ561" s="46"/>
      <c r="BA561" s="46"/>
      <c r="BB561" s="46"/>
      <c r="BC561" s="46"/>
      <c r="BD561" s="46"/>
      <c r="BE561" s="46"/>
    </row>
    <row r="562" spans="1:57" ht="14.25" customHeight="1" x14ac:dyDescent="0.3">
      <c r="A562" s="46"/>
      <c r="B562" s="37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  <c r="AB562" s="46"/>
      <c r="AC562" s="46"/>
      <c r="AD562" s="46"/>
      <c r="AE562" s="46"/>
      <c r="AF562" s="46"/>
      <c r="AG562" s="46"/>
      <c r="AH562" s="46"/>
      <c r="AI562" s="46"/>
      <c r="AJ562" s="46"/>
      <c r="AK562" s="46"/>
      <c r="AL562" s="46"/>
      <c r="AM562" s="46"/>
      <c r="AN562" s="46"/>
      <c r="AO562" s="46"/>
      <c r="AP562" s="46"/>
      <c r="AQ562" s="46"/>
      <c r="AR562" s="46"/>
      <c r="AS562" s="46"/>
      <c r="AT562" s="46"/>
      <c r="AU562" s="46"/>
      <c r="AV562" s="46"/>
      <c r="AW562" s="46"/>
      <c r="AX562" s="46"/>
      <c r="AY562" s="46"/>
      <c r="AZ562" s="46"/>
      <c r="BA562" s="46"/>
      <c r="BB562" s="46"/>
      <c r="BC562" s="46"/>
      <c r="BD562" s="46"/>
      <c r="BE562" s="46"/>
    </row>
    <row r="563" spans="1:57" ht="14.25" customHeight="1" x14ac:dyDescent="0.3">
      <c r="A563" s="46"/>
      <c r="B563" s="37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  <c r="AC563" s="46"/>
      <c r="AD563" s="46"/>
      <c r="AE563" s="46"/>
      <c r="AF563" s="46"/>
      <c r="AG563" s="46"/>
      <c r="AH563" s="46"/>
      <c r="AI563" s="46"/>
      <c r="AJ563" s="46"/>
      <c r="AK563" s="46"/>
      <c r="AL563" s="46"/>
      <c r="AM563" s="46"/>
      <c r="AN563" s="46"/>
      <c r="AO563" s="46"/>
      <c r="AP563" s="46"/>
      <c r="AQ563" s="46"/>
      <c r="AR563" s="46"/>
      <c r="AS563" s="46"/>
      <c r="AT563" s="46"/>
      <c r="AU563" s="46"/>
      <c r="AV563" s="46"/>
      <c r="AW563" s="46"/>
      <c r="AX563" s="46"/>
      <c r="AY563" s="46"/>
      <c r="AZ563" s="46"/>
      <c r="BA563" s="46"/>
      <c r="BB563" s="46"/>
      <c r="BC563" s="46"/>
      <c r="BD563" s="46"/>
      <c r="BE563" s="46"/>
    </row>
    <row r="564" spans="1:57" ht="14.25" customHeight="1" x14ac:dyDescent="0.3">
      <c r="A564" s="46"/>
      <c r="B564" s="37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  <c r="AB564" s="46"/>
      <c r="AC564" s="46"/>
      <c r="AD564" s="46"/>
      <c r="AE564" s="46"/>
      <c r="AF564" s="46"/>
      <c r="AG564" s="46"/>
      <c r="AH564" s="46"/>
      <c r="AI564" s="46"/>
      <c r="AJ564" s="46"/>
      <c r="AK564" s="46"/>
      <c r="AL564" s="46"/>
      <c r="AM564" s="46"/>
      <c r="AN564" s="46"/>
      <c r="AO564" s="46"/>
      <c r="AP564" s="46"/>
      <c r="AQ564" s="46"/>
      <c r="AR564" s="46"/>
      <c r="AS564" s="46"/>
      <c r="AT564" s="46"/>
      <c r="AU564" s="46"/>
      <c r="AV564" s="46"/>
      <c r="AW564" s="46"/>
      <c r="AX564" s="46"/>
      <c r="AY564" s="46"/>
      <c r="AZ564" s="46"/>
      <c r="BA564" s="46"/>
      <c r="BB564" s="46"/>
      <c r="BC564" s="46"/>
      <c r="BD564" s="46"/>
      <c r="BE564" s="46"/>
    </row>
    <row r="565" spans="1:57" ht="14.25" customHeight="1" x14ac:dyDescent="0.3">
      <c r="A565" s="46"/>
      <c r="B565" s="37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  <c r="AB565" s="46"/>
      <c r="AC565" s="46"/>
      <c r="AD565" s="46"/>
      <c r="AE565" s="46"/>
      <c r="AF565" s="46"/>
      <c r="AG565" s="46"/>
      <c r="AH565" s="46"/>
      <c r="AI565" s="46"/>
      <c r="AJ565" s="46"/>
      <c r="AK565" s="46"/>
      <c r="AL565" s="46"/>
      <c r="AM565" s="46"/>
      <c r="AN565" s="46"/>
      <c r="AO565" s="46"/>
      <c r="AP565" s="46"/>
      <c r="AQ565" s="46"/>
      <c r="AR565" s="46"/>
      <c r="AS565" s="46"/>
      <c r="AT565" s="46"/>
      <c r="AU565" s="46"/>
      <c r="AV565" s="46"/>
      <c r="AW565" s="46"/>
      <c r="AX565" s="46"/>
      <c r="AY565" s="46"/>
      <c r="AZ565" s="46"/>
      <c r="BA565" s="46"/>
      <c r="BB565" s="46"/>
      <c r="BC565" s="46"/>
      <c r="BD565" s="46"/>
      <c r="BE565" s="46"/>
    </row>
    <row r="566" spans="1:57" ht="14.25" customHeight="1" x14ac:dyDescent="0.3">
      <c r="A566" s="46"/>
      <c r="B566" s="37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  <c r="AC566" s="46"/>
      <c r="AD566" s="46"/>
      <c r="AE566" s="46"/>
      <c r="AF566" s="46"/>
      <c r="AG566" s="46"/>
      <c r="AH566" s="46"/>
      <c r="AI566" s="46"/>
      <c r="AJ566" s="46"/>
      <c r="AK566" s="46"/>
      <c r="AL566" s="46"/>
      <c r="AM566" s="46"/>
      <c r="AN566" s="46"/>
      <c r="AO566" s="46"/>
      <c r="AP566" s="46"/>
      <c r="AQ566" s="46"/>
      <c r="AR566" s="46"/>
      <c r="AS566" s="46"/>
      <c r="AT566" s="46"/>
      <c r="AU566" s="46"/>
      <c r="AV566" s="46"/>
      <c r="AW566" s="46"/>
      <c r="AX566" s="46"/>
      <c r="AY566" s="46"/>
      <c r="AZ566" s="46"/>
      <c r="BA566" s="46"/>
      <c r="BB566" s="46"/>
      <c r="BC566" s="46"/>
      <c r="BD566" s="46"/>
      <c r="BE566" s="46"/>
    </row>
    <row r="567" spans="1:57" ht="14.25" customHeight="1" x14ac:dyDescent="0.3">
      <c r="A567" s="46"/>
      <c r="B567" s="37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  <c r="AB567" s="46"/>
      <c r="AC567" s="46"/>
      <c r="AD567" s="46"/>
      <c r="AE567" s="46"/>
      <c r="AF567" s="46"/>
      <c r="AG567" s="46"/>
      <c r="AH567" s="46"/>
      <c r="AI567" s="46"/>
      <c r="AJ567" s="46"/>
      <c r="AK567" s="46"/>
      <c r="AL567" s="46"/>
      <c r="AM567" s="46"/>
      <c r="AN567" s="46"/>
      <c r="AO567" s="46"/>
      <c r="AP567" s="46"/>
      <c r="AQ567" s="46"/>
      <c r="AR567" s="46"/>
      <c r="AS567" s="46"/>
      <c r="AT567" s="46"/>
      <c r="AU567" s="46"/>
      <c r="AV567" s="46"/>
      <c r="AW567" s="46"/>
      <c r="AX567" s="46"/>
      <c r="AY567" s="46"/>
      <c r="AZ567" s="46"/>
      <c r="BA567" s="46"/>
      <c r="BB567" s="46"/>
      <c r="BC567" s="46"/>
      <c r="BD567" s="46"/>
      <c r="BE567" s="46"/>
    </row>
    <row r="568" spans="1:57" ht="14.25" customHeight="1" x14ac:dyDescent="0.3">
      <c r="A568" s="46"/>
      <c r="B568" s="37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  <c r="AB568" s="46"/>
      <c r="AC568" s="46"/>
      <c r="AD568" s="46"/>
      <c r="AE568" s="46"/>
      <c r="AF568" s="46"/>
      <c r="AG568" s="46"/>
      <c r="AH568" s="46"/>
      <c r="AI568" s="46"/>
      <c r="AJ568" s="46"/>
      <c r="AK568" s="46"/>
      <c r="AL568" s="46"/>
      <c r="AM568" s="46"/>
      <c r="AN568" s="46"/>
      <c r="AO568" s="46"/>
      <c r="AP568" s="46"/>
      <c r="AQ568" s="46"/>
      <c r="AR568" s="46"/>
      <c r="AS568" s="46"/>
      <c r="AT568" s="46"/>
      <c r="AU568" s="46"/>
      <c r="AV568" s="46"/>
      <c r="AW568" s="46"/>
      <c r="AX568" s="46"/>
      <c r="AY568" s="46"/>
      <c r="AZ568" s="46"/>
      <c r="BA568" s="46"/>
      <c r="BB568" s="46"/>
      <c r="BC568" s="46"/>
      <c r="BD568" s="46"/>
      <c r="BE568" s="46"/>
    </row>
    <row r="569" spans="1:57" ht="14.25" customHeight="1" x14ac:dyDescent="0.3">
      <c r="A569" s="46"/>
      <c r="B569" s="37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  <c r="AB569" s="46"/>
      <c r="AC569" s="46"/>
      <c r="AD569" s="46"/>
      <c r="AE569" s="46"/>
      <c r="AF569" s="46"/>
      <c r="AG569" s="46"/>
      <c r="AH569" s="46"/>
      <c r="AI569" s="46"/>
      <c r="AJ569" s="46"/>
      <c r="AK569" s="46"/>
      <c r="AL569" s="46"/>
      <c r="AM569" s="46"/>
      <c r="AN569" s="46"/>
      <c r="AO569" s="46"/>
      <c r="AP569" s="46"/>
      <c r="AQ569" s="46"/>
      <c r="AR569" s="46"/>
      <c r="AS569" s="46"/>
      <c r="AT569" s="46"/>
      <c r="AU569" s="46"/>
      <c r="AV569" s="46"/>
      <c r="AW569" s="46"/>
      <c r="AX569" s="46"/>
      <c r="AY569" s="46"/>
      <c r="AZ569" s="46"/>
      <c r="BA569" s="46"/>
      <c r="BB569" s="46"/>
      <c r="BC569" s="46"/>
      <c r="BD569" s="46"/>
      <c r="BE569" s="46"/>
    </row>
    <row r="570" spans="1:57" ht="14.25" customHeight="1" x14ac:dyDescent="0.3">
      <c r="A570" s="46"/>
      <c r="B570" s="37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  <c r="AC570" s="46"/>
      <c r="AD570" s="46"/>
      <c r="AE570" s="46"/>
      <c r="AF570" s="46"/>
      <c r="AG570" s="46"/>
      <c r="AH570" s="46"/>
      <c r="AI570" s="46"/>
      <c r="AJ570" s="46"/>
      <c r="AK570" s="46"/>
      <c r="AL570" s="46"/>
      <c r="AM570" s="46"/>
      <c r="AN570" s="46"/>
      <c r="AO570" s="46"/>
      <c r="AP570" s="46"/>
      <c r="AQ570" s="46"/>
      <c r="AR570" s="46"/>
      <c r="AS570" s="46"/>
      <c r="AT570" s="46"/>
      <c r="AU570" s="46"/>
      <c r="AV570" s="46"/>
      <c r="AW570" s="46"/>
      <c r="AX570" s="46"/>
      <c r="AY570" s="46"/>
      <c r="AZ570" s="46"/>
      <c r="BA570" s="46"/>
      <c r="BB570" s="46"/>
      <c r="BC570" s="46"/>
      <c r="BD570" s="46"/>
      <c r="BE570" s="46"/>
    </row>
    <row r="571" spans="1:57" ht="14.25" customHeight="1" x14ac:dyDescent="0.3">
      <c r="A571" s="46"/>
      <c r="B571" s="37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  <c r="AC571" s="46"/>
      <c r="AD571" s="46"/>
      <c r="AE571" s="46"/>
      <c r="AF571" s="46"/>
      <c r="AG571" s="46"/>
      <c r="AH571" s="46"/>
      <c r="AI571" s="46"/>
      <c r="AJ571" s="46"/>
      <c r="AK571" s="46"/>
      <c r="AL571" s="46"/>
      <c r="AM571" s="46"/>
      <c r="AN571" s="46"/>
      <c r="AO571" s="46"/>
      <c r="AP571" s="46"/>
      <c r="AQ571" s="46"/>
      <c r="AR571" s="46"/>
      <c r="AS571" s="46"/>
      <c r="AT571" s="46"/>
      <c r="AU571" s="46"/>
      <c r="AV571" s="46"/>
      <c r="AW571" s="46"/>
      <c r="AX571" s="46"/>
      <c r="AY571" s="46"/>
      <c r="AZ571" s="46"/>
      <c r="BA571" s="46"/>
      <c r="BB571" s="46"/>
      <c r="BC571" s="46"/>
      <c r="BD571" s="46"/>
      <c r="BE571" s="46"/>
    </row>
    <row r="572" spans="1:57" ht="14.25" customHeight="1" x14ac:dyDescent="0.3">
      <c r="A572" s="46"/>
      <c r="B572" s="37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  <c r="AC572" s="46"/>
      <c r="AD572" s="46"/>
      <c r="AE572" s="46"/>
      <c r="AF572" s="46"/>
      <c r="AG572" s="46"/>
      <c r="AH572" s="46"/>
      <c r="AI572" s="46"/>
      <c r="AJ572" s="46"/>
      <c r="AK572" s="46"/>
      <c r="AL572" s="46"/>
      <c r="AM572" s="46"/>
      <c r="AN572" s="46"/>
      <c r="AO572" s="46"/>
      <c r="AP572" s="46"/>
      <c r="AQ572" s="46"/>
      <c r="AR572" s="46"/>
      <c r="AS572" s="46"/>
      <c r="AT572" s="46"/>
      <c r="AU572" s="46"/>
      <c r="AV572" s="46"/>
      <c r="AW572" s="46"/>
      <c r="AX572" s="46"/>
      <c r="AY572" s="46"/>
      <c r="AZ572" s="46"/>
      <c r="BA572" s="46"/>
      <c r="BB572" s="46"/>
      <c r="BC572" s="46"/>
      <c r="BD572" s="46"/>
      <c r="BE572" s="46"/>
    </row>
    <row r="573" spans="1:57" ht="14.25" customHeight="1" x14ac:dyDescent="0.3">
      <c r="A573" s="46"/>
      <c r="B573" s="37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  <c r="AC573" s="46"/>
      <c r="AD573" s="46"/>
      <c r="AE573" s="46"/>
      <c r="AF573" s="46"/>
      <c r="AG573" s="46"/>
      <c r="AH573" s="46"/>
      <c r="AI573" s="46"/>
      <c r="AJ573" s="46"/>
      <c r="AK573" s="46"/>
      <c r="AL573" s="46"/>
      <c r="AM573" s="46"/>
      <c r="AN573" s="46"/>
      <c r="AO573" s="46"/>
      <c r="AP573" s="46"/>
      <c r="AQ573" s="46"/>
      <c r="AR573" s="46"/>
      <c r="AS573" s="46"/>
      <c r="AT573" s="46"/>
      <c r="AU573" s="46"/>
      <c r="AV573" s="46"/>
      <c r="AW573" s="46"/>
      <c r="AX573" s="46"/>
      <c r="AY573" s="46"/>
      <c r="AZ573" s="46"/>
      <c r="BA573" s="46"/>
      <c r="BB573" s="46"/>
      <c r="BC573" s="46"/>
      <c r="BD573" s="46"/>
      <c r="BE573" s="46"/>
    </row>
    <row r="574" spans="1:57" ht="14.25" customHeight="1" x14ac:dyDescent="0.3">
      <c r="A574" s="46"/>
      <c r="B574" s="37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  <c r="AC574" s="46"/>
      <c r="AD574" s="46"/>
      <c r="AE574" s="46"/>
      <c r="AF574" s="46"/>
      <c r="AG574" s="46"/>
      <c r="AH574" s="46"/>
      <c r="AI574" s="46"/>
      <c r="AJ574" s="46"/>
      <c r="AK574" s="46"/>
      <c r="AL574" s="46"/>
      <c r="AM574" s="46"/>
      <c r="AN574" s="46"/>
      <c r="AO574" s="46"/>
      <c r="AP574" s="46"/>
      <c r="AQ574" s="46"/>
      <c r="AR574" s="46"/>
      <c r="AS574" s="46"/>
      <c r="AT574" s="46"/>
      <c r="AU574" s="46"/>
      <c r="AV574" s="46"/>
      <c r="AW574" s="46"/>
      <c r="AX574" s="46"/>
      <c r="AY574" s="46"/>
      <c r="AZ574" s="46"/>
      <c r="BA574" s="46"/>
      <c r="BB574" s="46"/>
      <c r="BC574" s="46"/>
      <c r="BD574" s="46"/>
      <c r="BE574" s="46"/>
    </row>
    <row r="575" spans="1:57" ht="14.25" customHeight="1" x14ac:dyDescent="0.3">
      <c r="A575" s="46"/>
      <c r="B575" s="37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  <c r="AC575" s="46"/>
      <c r="AD575" s="46"/>
      <c r="AE575" s="46"/>
      <c r="AF575" s="46"/>
      <c r="AG575" s="46"/>
      <c r="AH575" s="46"/>
      <c r="AI575" s="46"/>
      <c r="AJ575" s="46"/>
      <c r="AK575" s="46"/>
      <c r="AL575" s="46"/>
      <c r="AM575" s="46"/>
      <c r="AN575" s="46"/>
      <c r="AO575" s="46"/>
      <c r="AP575" s="46"/>
      <c r="AQ575" s="46"/>
      <c r="AR575" s="46"/>
      <c r="AS575" s="46"/>
      <c r="AT575" s="46"/>
      <c r="AU575" s="46"/>
      <c r="AV575" s="46"/>
      <c r="AW575" s="46"/>
      <c r="AX575" s="46"/>
      <c r="AY575" s="46"/>
      <c r="AZ575" s="46"/>
      <c r="BA575" s="46"/>
      <c r="BB575" s="46"/>
      <c r="BC575" s="46"/>
      <c r="BD575" s="46"/>
      <c r="BE575" s="46"/>
    </row>
    <row r="576" spans="1:57" ht="14.25" customHeight="1" x14ac:dyDescent="0.3">
      <c r="A576" s="46"/>
      <c r="B576" s="37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  <c r="AC576" s="46"/>
      <c r="AD576" s="46"/>
      <c r="AE576" s="46"/>
      <c r="AF576" s="46"/>
      <c r="AG576" s="46"/>
      <c r="AH576" s="46"/>
      <c r="AI576" s="46"/>
      <c r="AJ576" s="46"/>
      <c r="AK576" s="46"/>
      <c r="AL576" s="46"/>
      <c r="AM576" s="46"/>
      <c r="AN576" s="46"/>
      <c r="AO576" s="46"/>
      <c r="AP576" s="46"/>
      <c r="AQ576" s="46"/>
      <c r="AR576" s="46"/>
      <c r="AS576" s="46"/>
      <c r="AT576" s="46"/>
      <c r="AU576" s="46"/>
      <c r="AV576" s="46"/>
      <c r="AW576" s="46"/>
      <c r="AX576" s="46"/>
      <c r="AY576" s="46"/>
      <c r="AZ576" s="46"/>
      <c r="BA576" s="46"/>
      <c r="BB576" s="46"/>
      <c r="BC576" s="46"/>
      <c r="BD576" s="46"/>
      <c r="BE576" s="46"/>
    </row>
    <row r="577" spans="1:57" ht="14.25" customHeight="1" x14ac:dyDescent="0.3">
      <c r="A577" s="46"/>
      <c r="B577" s="37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  <c r="AC577" s="46"/>
      <c r="AD577" s="46"/>
      <c r="AE577" s="46"/>
      <c r="AF577" s="46"/>
      <c r="AG577" s="46"/>
      <c r="AH577" s="46"/>
      <c r="AI577" s="46"/>
      <c r="AJ577" s="46"/>
      <c r="AK577" s="46"/>
      <c r="AL577" s="46"/>
      <c r="AM577" s="46"/>
      <c r="AN577" s="46"/>
      <c r="AO577" s="46"/>
      <c r="AP577" s="46"/>
      <c r="AQ577" s="46"/>
      <c r="AR577" s="46"/>
      <c r="AS577" s="46"/>
      <c r="AT577" s="46"/>
      <c r="AU577" s="46"/>
      <c r="AV577" s="46"/>
      <c r="AW577" s="46"/>
      <c r="AX577" s="46"/>
      <c r="AY577" s="46"/>
      <c r="AZ577" s="46"/>
      <c r="BA577" s="46"/>
      <c r="BB577" s="46"/>
      <c r="BC577" s="46"/>
      <c r="BD577" s="46"/>
      <c r="BE577" s="46"/>
    </row>
    <row r="578" spans="1:57" ht="14.25" customHeight="1" x14ac:dyDescent="0.3">
      <c r="A578" s="46"/>
      <c r="B578" s="37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  <c r="AC578" s="46"/>
      <c r="AD578" s="46"/>
      <c r="AE578" s="46"/>
      <c r="AF578" s="46"/>
      <c r="AG578" s="46"/>
      <c r="AH578" s="46"/>
      <c r="AI578" s="46"/>
      <c r="AJ578" s="46"/>
      <c r="AK578" s="46"/>
      <c r="AL578" s="46"/>
      <c r="AM578" s="46"/>
      <c r="AN578" s="46"/>
      <c r="AO578" s="46"/>
      <c r="AP578" s="46"/>
      <c r="AQ578" s="46"/>
      <c r="AR578" s="46"/>
      <c r="AS578" s="46"/>
      <c r="AT578" s="46"/>
      <c r="AU578" s="46"/>
      <c r="AV578" s="46"/>
      <c r="AW578" s="46"/>
      <c r="AX578" s="46"/>
      <c r="AY578" s="46"/>
      <c r="AZ578" s="46"/>
      <c r="BA578" s="46"/>
      <c r="BB578" s="46"/>
      <c r="BC578" s="46"/>
      <c r="BD578" s="46"/>
      <c r="BE578" s="46"/>
    </row>
    <row r="579" spans="1:57" ht="14.25" customHeight="1" x14ac:dyDescent="0.3">
      <c r="A579" s="46"/>
      <c r="B579" s="37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  <c r="AC579" s="46"/>
      <c r="AD579" s="46"/>
      <c r="AE579" s="46"/>
      <c r="AF579" s="46"/>
      <c r="AG579" s="46"/>
      <c r="AH579" s="46"/>
      <c r="AI579" s="46"/>
      <c r="AJ579" s="46"/>
      <c r="AK579" s="46"/>
      <c r="AL579" s="46"/>
      <c r="AM579" s="46"/>
      <c r="AN579" s="46"/>
      <c r="AO579" s="46"/>
      <c r="AP579" s="46"/>
      <c r="AQ579" s="46"/>
      <c r="AR579" s="46"/>
      <c r="AS579" s="46"/>
      <c r="AT579" s="46"/>
      <c r="AU579" s="46"/>
      <c r="AV579" s="46"/>
      <c r="AW579" s="46"/>
      <c r="AX579" s="46"/>
      <c r="AY579" s="46"/>
      <c r="AZ579" s="46"/>
      <c r="BA579" s="46"/>
      <c r="BB579" s="46"/>
      <c r="BC579" s="46"/>
      <c r="BD579" s="46"/>
      <c r="BE579" s="46"/>
    </row>
    <row r="580" spans="1:57" ht="14.25" customHeight="1" x14ac:dyDescent="0.3">
      <c r="A580" s="46"/>
      <c r="B580" s="37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  <c r="AB580" s="46"/>
      <c r="AC580" s="46"/>
      <c r="AD580" s="46"/>
      <c r="AE580" s="46"/>
      <c r="AF580" s="46"/>
      <c r="AG580" s="46"/>
      <c r="AH580" s="46"/>
      <c r="AI580" s="46"/>
      <c r="AJ580" s="46"/>
      <c r="AK580" s="46"/>
      <c r="AL580" s="46"/>
      <c r="AM580" s="46"/>
      <c r="AN580" s="46"/>
      <c r="AO580" s="46"/>
      <c r="AP580" s="46"/>
      <c r="AQ580" s="46"/>
      <c r="AR580" s="46"/>
      <c r="AS580" s="46"/>
      <c r="AT580" s="46"/>
      <c r="AU580" s="46"/>
      <c r="AV580" s="46"/>
      <c r="AW580" s="46"/>
      <c r="AX580" s="46"/>
      <c r="AY580" s="46"/>
      <c r="AZ580" s="46"/>
      <c r="BA580" s="46"/>
      <c r="BB580" s="46"/>
      <c r="BC580" s="46"/>
      <c r="BD580" s="46"/>
      <c r="BE580" s="46"/>
    </row>
    <row r="581" spans="1:57" ht="14.25" customHeight="1" x14ac:dyDescent="0.3">
      <c r="A581" s="46"/>
      <c r="B581" s="37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  <c r="AB581" s="46"/>
      <c r="AC581" s="46"/>
      <c r="AD581" s="46"/>
      <c r="AE581" s="46"/>
      <c r="AF581" s="46"/>
      <c r="AG581" s="46"/>
      <c r="AH581" s="46"/>
      <c r="AI581" s="46"/>
      <c r="AJ581" s="46"/>
      <c r="AK581" s="46"/>
      <c r="AL581" s="46"/>
      <c r="AM581" s="46"/>
      <c r="AN581" s="46"/>
      <c r="AO581" s="46"/>
      <c r="AP581" s="46"/>
      <c r="AQ581" s="46"/>
      <c r="AR581" s="46"/>
      <c r="AS581" s="46"/>
      <c r="AT581" s="46"/>
      <c r="AU581" s="46"/>
      <c r="AV581" s="46"/>
      <c r="AW581" s="46"/>
      <c r="AX581" s="46"/>
      <c r="AY581" s="46"/>
      <c r="AZ581" s="46"/>
      <c r="BA581" s="46"/>
      <c r="BB581" s="46"/>
      <c r="BC581" s="46"/>
      <c r="BD581" s="46"/>
      <c r="BE581" s="46"/>
    </row>
    <row r="582" spans="1:57" ht="14.25" customHeight="1" x14ac:dyDescent="0.3">
      <c r="A582" s="46"/>
      <c r="B582" s="37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  <c r="AB582" s="46"/>
      <c r="AC582" s="46"/>
      <c r="AD582" s="46"/>
      <c r="AE582" s="46"/>
      <c r="AF582" s="46"/>
      <c r="AG582" s="46"/>
      <c r="AH582" s="46"/>
      <c r="AI582" s="46"/>
      <c r="AJ582" s="46"/>
      <c r="AK582" s="46"/>
      <c r="AL582" s="46"/>
      <c r="AM582" s="46"/>
      <c r="AN582" s="46"/>
      <c r="AO582" s="46"/>
      <c r="AP582" s="46"/>
      <c r="AQ582" s="46"/>
      <c r="AR582" s="46"/>
      <c r="AS582" s="46"/>
      <c r="AT582" s="46"/>
      <c r="AU582" s="46"/>
      <c r="AV582" s="46"/>
      <c r="AW582" s="46"/>
      <c r="AX582" s="46"/>
      <c r="AY582" s="46"/>
      <c r="AZ582" s="46"/>
      <c r="BA582" s="46"/>
      <c r="BB582" s="46"/>
      <c r="BC582" s="46"/>
      <c r="BD582" s="46"/>
      <c r="BE582" s="46"/>
    </row>
    <row r="583" spans="1:57" ht="14.25" customHeight="1" x14ac:dyDescent="0.3">
      <c r="A583" s="46"/>
      <c r="B583" s="37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  <c r="AB583" s="46"/>
      <c r="AC583" s="46"/>
      <c r="AD583" s="46"/>
      <c r="AE583" s="46"/>
      <c r="AF583" s="46"/>
      <c r="AG583" s="46"/>
      <c r="AH583" s="46"/>
      <c r="AI583" s="46"/>
      <c r="AJ583" s="46"/>
      <c r="AK583" s="46"/>
      <c r="AL583" s="46"/>
      <c r="AM583" s="46"/>
      <c r="AN583" s="46"/>
      <c r="AO583" s="46"/>
      <c r="AP583" s="46"/>
      <c r="AQ583" s="46"/>
      <c r="AR583" s="46"/>
      <c r="AS583" s="46"/>
      <c r="AT583" s="46"/>
      <c r="AU583" s="46"/>
      <c r="AV583" s="46"/>
      <c r="AW583" s="46"/>
      <c r="AX583" s="46"/>
      <c r="AY583" s="46"/>
      <c r="AZ583" s="46"/>
      <c r="BA583" s="46"/>
      <c r="BB583" s="46"/>
      <c r="BC583" s="46"/>
      <c r="BD583" s="46"/>
      <c r="BE583" s="46"/>
    </row>
    <row r="584" spans="1:57" ht="14.25" customHeight="1" x14ac:dyDescent="0.3">
      <c r="A584" s="46"/>
      <c r="B584" s="37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  <c r="AB584" s="46"/>
      <c r="AC584" s="46"/>
      <c r="AD584" s="46"/>
      <c r="AE584" s="46"/>
      <c r="AF584" s="46"/>
      <c r="AG584" s="46"/>
      <c r="AH584" s="46"/>
      <c r="AI584" s="46"/>
      <c r="AJ584" s="46"/>
      <c r="AK584" s="46"/>
      <c r="AL584" s="46"/>
      <c r="AM584" s="46"/>
      <c r="AN584" s="46"/>
      <c r="AO584" s="46"/>
      <c r="AP584" s="46"/>
      <c r="AQ584" s="46"/>
      <c r="AR584" s="46"/>
      <c r="AS584" s="46"/>
      <c r="AT584" s="46"/>
      <c r="AU584" s="46"/>
      <c r="AV584" s="46"/>
      <c r="AW584" s="46"/>
      <c r="AX584" s="46"/>
      <c r="AY584" s="46"/>
      <c r="AZ584" s="46"/>
      <c r="BA584" s="46"/>
      <c r="BB584" s="46"/>
      <c r="BC584" s="46"/>
      <c r="BD584" s="46"/>
      <c r="BE584" s="46"/>
    </row>
    <row r="585" spans="1:57" ht="14.25" customHeight="1" x14ac:dyDescent="0.3">
      <c r="A585" s="46"/>
      <c r="B585" s="37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  <c r="AB585" s="46"/>
      <c r="AC585" s="46"/>
      <c r="AD585" s="46"/>
      <c r="AE585" s="46"/>
      <c r="AF585" s="46"/>
      <c r="AG585" s="46"/>
      <c r="AH585" s="46"/>
      <c r="AI585" s="46"/>
      <c r="AJ585" s="46"/>
      <c r="AK585" s="46"/>
      <c r="AL585" s="46"/>
      <c r="AM585" s="46"/>
      <c r="AN585" s="46"/>
      <c r="AO585" s="46"/>
      <c r="AP585" s="46"/>
      <c r="AQ585" s="46"/>
      <c r="AR585" s="46"/>
      <c r="AS585" s="46"/>
      <c r="AT585" s="46"/>
      <c r="AU585" s="46"/>
      <c r="AV585" s="46"/>
      <c r="AW585" s="46"/>
      <c r="AX585" s="46"/>
      <c r="AY585" s="46"/>
      <c r="AZ585" s="46"/>
      <c r="BA585" s="46"/>
      <c r="BB585" s="46"/>
      <c r="BC585" s="46"/>
      <c r="BD585" s="46"/>
      <c r="BE585" s="46"/>
    </row>
    <row r="586" spans="1:57" ht="14.25" customHeight="1" x14ac:dyDescent="0.3">
      <c r="A586" s="46"/>
      <c r="B586" s="37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  <c r="AB586" s="46"/>
      <c r="AC586" s="46"/>
      <c r="AD586" s="46"/>
      <c r="AE586" s="46"/>
      <c r="AF586" s="46"/>
      <c r="AG586" s="46"/>
      <c r="AH586" s="46"/>
      <c r="AI586" s="46"/>
      <c r="AJ586" s="46"/>
      <c r="AK586" s="46"/>
      <c r="AL586" s="46"/>
      <c r="AM586" s="46"/>
      <c r="AN586" s="46"/>
      <c r="AO586" s="46"/>
      <c r="AP586" s="46"/>
      <c r="AQ586" s="46"/>
      <c r="AR586" s="46"/>
      <c r="AS586" s="46"/>
      <c r="AT586" s="46"/>
      <c r="AU586" s="46"/>
      <c r="AV586" s="46"/>
      <c r="AW586" s="46"/>
      <c r="AX586" s="46"/>
      <c r="AY586" s="46"/>
      <c r="AZ586" s="46"/>
      <c r="BA586" s="46"/>
      <c r="BB586" s="46"/>
      <c r="BC586" s="46"/>
      <c r="BD586" s="46"/>
      <c r="BE586" s="46"/>
    </row>
    <row r="587" spans="1:57" ht="14.25" customHeight="1" x14ac:dyDescent="0.3">
      <c r="A587" s="46"/>
      <c r="B587" s="37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  <c r="AB587" s="46"/>
      <c r="AC587" s="46"/>
      <c r="AD587" s="46"/>
      <c r="AE587" s="46"/>
      <c r="AF587" s="46"/>
      <c r="AG587" s="46"/>
      <c r="AH587" s="46"/>
      <c r="AI587" s="46"/>
      <c r="AJ587" s="46"/>
      <c r="AK587" s="46"/>
      <c r="AL587" s="46"/>
      <c r="AM587" s="46"/>
      <c r="AN587" s="46"/>
      <c r="AO587" s="46"/>
      <c r="AP587" s="46"/>
      <c r="AQ587" s="46"/>
      <c r="AR587" s="46"/>
      <c r="AS587" s="46"/>
      <c r="AT587" s="46"/>
      <c r="AU587" s="46"/>
      <c r="AV587" s="46"/>
      <c r="AW587" s="46"/>
      <c r="AX587" s="46"/>
      <c r="AY587" s="46"/>
      <c r="AZ587" s="46"/>
      <c r="BA587" s="46"/>
      <c r="BB587" s="46"/>
      <c r="BC587" s="46"/>
      <c r="BD587" s="46"/>
      <c r="BE587" s="46"/>
    </row>
    <row r="588" spans="1:57" ht="14.25" customHeight="1" x14ac:dyDescent="0.3">
      <c r="A588" s="46"/>
      <c r="B588" s="37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  <c r="AB588" s="46"/>
      <c r="AC588" s="46"/>
      <c r="AD588" s="46"/>
      <c r="AE588" s="46"/>
      <c r="AF588" s="46"/>
      <c r="AG588" s="46"/>
      <c r="AH588" s="46"/>
      <c r="AI588" s="46"/>
      <c r="AJ588" s="46"/>
      <c r="AK588" s="46"/>
      <c r="AL588" s="46"/>
      <c r="AM588" s="46"/>
      <c r="AN588" s="46"/>
      <c r="AO588" s="46"/>
      <c r="AP588" s="46"/>
      <c r="AQ588" s="46"/>
      <c r="AR588" s="46"/>
      <c r="AS588" s="46"/>
      <c r="AT588" s="46"/>
      <c r="AU588" s="46"/>
      <c r="AV588" s="46"/>
      <c r="AW588" s="46"/>
      <c r="AX588" s="46"/>
      <c r="AY588" s="46"/>
      <c r="AZ588" s="46"/>
      <c r="BA588" s="46"/>
      <c r="BB588" s="46"/>
      <c r="BC588" s="46"/>
      <c r="BD588" s="46"/>
      <c r="BE588" s="46"/>
    </row>
    <row r="589" spans="1:57" ht="14.25" customHeight="1" x14ac:dyDescent="0.3">
      <c r="A589" s="46"/>
      <c r="B589" s="37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  <c r="AB589" s="46"/>
      <c r="AC589" s="46"/>
      <c r="AD589" s="46"/>
      <c r="AE589" s="46"/>
      <c r="AF589" s="46"/>
      <c r="AG589" s="46"/>
      <c r="AH589" s="46"/>
      <c r="AI589" s="46"/>
      <c r="AJ589" s="46"/>
      <c r="AK589" s="46"/>
      <c r="AL589" s="46"/>
      <c r="AM589" s="46"/>
      <c r="AN589" s="46"/>
      <c r="AO589" s="46"/>
      <c r="AP589" s="46"/>
      <c r="AQ589" s="46"/>
      <c r="AR589" s="46"/>
      <c r="AS589" s="46"/>
      <c r="AT589" s="46"/>
      <c r="AU589" s="46"/>
      <c r="AV589" s="46"/>
      <c r="AW589" s="46"/>
      <c r="AX589" s="46"/>
      <c r="AY589" s="46"/>
      <c r="AZ589" s="46"/>
      <c r="BA589" s="46"/>
      <c r="BB589" s="46"/>
      <c r="BC589" s="46"/>
      <c r="BD589" s="46"/>
      <c r="BE589" s="46"/>
    </row>
    <row r="590" spans="1:57" ht="14.25" customHeight="1" x14ac:dyDescent="0.3">
      <c r="A590" s="46"/>
      <c r="B590" s="37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  <c r="AB590" s="46"/>
      <c r="AC590" s="46"/>
      <c r="AD590" s="46"/>
      <c r="AE590" s="46"/>
      <c r="AF590" s="46"/>
      <c r="AG590" s="46"/>
      <c r="AH590" s="46"/>
      <c r="AI590" s="46"/>
      <c r="AJ590" s="46"/>
      <c r="AK590" s="46"/>
      <c r="AL590" s="46"/>
      <c r="AM590" s="46"/>
      <c r="AN590" s="46"/>
      <c r="AO590" s="46"/>
      <c r="AP590" s="46"/>
      <c r="AQ590" s="46"/>
      <c r="AR590" s="46"/>
      <c r="AS590" s="46"/>
      <c r="AT590" s="46"/>
      <c r="AU590" s="46"/>
      <c r="AV590" s="46"/>
      <c r="AW590" s="46"/>
      <c r="AX590" s="46"/>
      <c r="AY590" s="46"/>
      <c r="AZ590" s="46"/>
      <c r="BA590" s="46"/>
      <c r="BB590" s="46"/>
      <c r="BC590" s="46"/>
      <c r="BD590" s="46"/>
      <c r="BE590" s="46"/>
    </row>
    <row r="591" spans="1:57" ht="14.25" customHeight="1" x14ac:dyDescent="0.3">
      <c r="A591" s="46"/>
      <c r="B591" s="37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  <c r="AB591" s="46"/>
      <c r="AC591" s="46"/>
      <c r="AD591" s="46"/>
      <c r="AE591" s="46"/>
      <c r="AF591" s="46"/>
      <c r="AG591" s="46"/>
      <c r="AH591" s="46"/>
      <c r="AI591" s="46"/>
      <c r="AJ591" s="46"/>
      <c r="AK591" s="46"/>
      <c r="AL591" s="46"/>
      <c r="AM591" s="46"/>
      <c r="AN591" s="46"/>
      <c r="AO591" s="46"/>
      <c r="AP591" s="46"/>
      <c r="AQ591" s="46"/>
      <c r="AR591" s="46"/>
      <c r="AS591" s="46"/>
      <c r="AT591" s="46"/>
      <c r="AU591" s="46"/>
      <c r="AV591" s="46"/>
      <c r="AW591" s="46"/>
      <c r="AX591" s="46"/>
      <c r="AY591" s="46"/>
      <c r="AZ591" s="46"/>
      <c r="BA591" s="46"/>
      <c r="BB591" s="46"/>
      <c r="BC591" s="46"/>
      <c r="BD591" s="46"/>
      <c r="BE591" s="46"/>
    </row>
    <row r="592" spans="1:57" ht="14.25" customHeight="1" x14ac:dyDescent="0.3">
      <c r="A592" s="46"/>
      <c r="B592" s="37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  <c r="AB592" s="46"/>
      <c r="AC592" s="46"/>
      <c r="AD592" s="46"/>
      <c r="AE592" s="46"/>
      <c r="AF592" s="46"/>
      <c r="AG592" s="46"/>
      <c r="AH592" s="46"/>
      <c r="AI592" s="46"/>
      <c r="AJ592" s="46"/>
      <c r="AK592" s="46"/>
      <c r="AL592" s="46"/>
      <c r="AM592" s="46"/>
      <c r="AN592" s="46"/>
      <c r="AO592" s="46"/>
      <c r="AP592" s="46"/>
      <c r="AQ592" s="46"/>
      <c r="AR592" s="46"/>
      <c r="AS592" s="46"/>
      <c r="AT592" s="46"/>
      <c r="AU592" s="46"/>
      <c r="AV592" s="46"/>
      <c r="AW592" s="46"/>
      <c r="AX592" s="46"/>
      <c r="AY592" s="46"/>
      <c r="AZ592" s="46"/>
      <c r="BA592" s="46"/>
      <c r="BB592" s="46"/>
      <c r="BC592" s="46"/>
      <c r="BD592" s="46"/>
      <c r="BE592" s="46"/>
    </row>
    <row r="593" spans="1:57" ht="14.25" customHeight="1" x14ac:dyDescent="0.3">
      <c r="A593" s="46"/>
      <c r="B593" s="37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  <c r="AB593" s="46"/>
      <c r="AC593" s="46"/>
      <c r="AD593" s="46"/>
      <c r="AE593" s="46"/>
      <c r="AF593" s="46"/>
      <c r="AG593" s="46"/>
      <c r="AH593" s="46"/>
      <c r="AI593" s="46"/>
      <c r="AJ593" s="46"/>
      <c r="AK593" s="46"/>
      <c r="AL593" s="46"/>
      <c r="AM593" s="46"/>
      <c r="AN593" s="46"/>
      <c r="AO593" s="46"/>
      <c r="AP593" s="46"/>
      <c r="AQ593" s="46"/>
      <c r="AR593" s="46"/>
      <c r="AS593" s="46"/>
      <c r="AT593" s="46"/>
      <c r="AU593" s="46"/>
      <c r="AV593" s="46"/>
      <c r="AW593" s="46"/>
      <c r="AX593" s="46"/>
      <c r="AY593" s="46"/>
      <c r="AZ593" s="46"/>
      <c r="BA593" s="46"/>
      <c r="BB593" s="46"/>
      <c r="BC593" s="46"/>
      <c r="BD593" s="46"/>
      <c r="BE593" s="46"/>
    </row>
    <row r="594" spans="1:57" ht="14.25" customHeight="1" x14ac:dyDescent="0.3">
      <c r="A594" s="46"/>
      <c r="B594" s="37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  <c r="AB594" s="46"/>
      <c r="AC594" s="46"/>
      <c r="AD594" s="46"/>
      <c r="AE594" s="46"/>
      <c r="AF594" s="46"/>
      <c r="AG594" s="46"/>
      <c r="AH594" s="46"/>
      <c r="AI594" s="46"/>
      <c r="AJ594" s="46"/>
      <c r="AK594" s="46"/>
      <c r="AL594" s="46"/>
      <c r="AM594" s="46"/>
      <c r="AN594" s="46"/>
      <c r="AO594" s="46"/>
      <c r="AP594" s="46"/>
      <c r="AQ594" s="46"/>
      <c r="AR594" s="46"/>
      <c r="AS594" s="46"/>
      <c r="AT594" s="46"/>
      <c r="AU594" s="46"/>
      <c r="AV594" s="46"/>
      <c r="AW594" s="46"/>
      <c r="AX594" s="46"/>
      <c r="AY594" s="46"/>
      <c r="AZ594" s="46"/>
      <c r="BA594" s="46"/>
      <c r="BB594" s="46"/>
      <c r="BC594" s="46"/>
      <c r="BD594" s="46"/>
      <c r="BE594" s="46"/>
    </row>
    <row r="595" spans="1:57" ht="14.25" customHeight="1" x14ac:dyDescent="0.3">
      <c r="A595" s="46"/>
      <c r="B595" s="37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  <c r="AC595" s="46"/>
      <c r="AD595" s="46"/>
      <c r="AE595" s="46"/>
      <c r="AF595" s="46"/>
      <c r="AG595" s="46"/>
      <c r="AH595" s="46"/>
      <c r="AI595" s="46"/>
      <c r="AJ595" s="46"/>
      <c r="AK595" s="46"/>
      <c r="AL595" s="46"/>
      <c r="AM595" s="46"/>
      <c r="AN595" s="46"/>
      <c r="AO595" s="46"/>
      <c r="AP595" s="46"/>
      <c r="AQ595" s="46"/>
      <c r="AR595" s="46"/>
      <c r="AS595" s="46"/>
      <c r="AT595" s="46"/>
      <c r="AU595" s="46"/>
      <c r="AV595" s="46"/>
      <c r="AW595" s="46"/>
      <c r="AX595" s="46"/>
      <c r="AY595" s="46"/>
      <c r="AZ595" s="46"/>
      <c r="BA595" s="46"/>
      <c r="BB595" s="46"/>
      <c r="BC595" s="46"/>
      <c r="BD595" s="46"/>
      <c r="BE595" s="46"/>
    </row>
    <row r="596" spans="1:57" ht="14.25" customHeight="1" x14ac:dyDescent="0.3">
      <c r="A596" s="46"/>
      <c r="B596" s="37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  <c r="AB596" s="46"/>
      <c r="AC596" s="46"/>
      <c r="AD596" s="46"/>
      <c r="AE596" s="46"/>
      <c r="AF596" s="46"/>
      <c r="AG596" s="46"/>
      <c r="AH596" s="46"/>
      <c r="AI596" s="46"/>
      <c r="AJ596" s="46"/>
      <c r="AK596" s="46"/>
      <c r="AL596" s="46"/>
      <c r="AM596" s="46"/>
      <c r="AN596" s="46"/>
      <c r="AO596" s="46"/>
      <c r="AP596" s="46"/>
      <c r="AQ596" s="46"/>
      <c r="AR596" s="46"/>
      <c r="AS596" s="46"/>
      <c r="AT596" s="46"/>
      <c r="AU596" s="46"/>
      <c r="AV596" s="46"/>
      <c r="AW596" s="46"/>
      <c r="AX596" s="46"/>
      <c r="AY596" s="46"/>
      <c r="AZ596" s="46"/>
      <c r="BA596" s="46"/>
      <c r="BB596" s="46"/>
      <c r="BC596" s="46"/>
      <c r="BD596" s="46"/>
      <c r="BE596" s="46"/>
    </row>
    <row r="597" spans="1:57" ht="14.25" customHeight="1" x14ac:dyDescent="0.3">
      <c r="A597" s="46"/>
      <c r="B597" s="37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  <c r="AB597" s="46"/>
      <c r="AC597" s="46"/>
      <c r="AD597" s="46"/>
      <c r="AE597" s="46"/>
      <c r="AF597" s="46"/>
      <c r="AG597" s="46"/>
      <c r="AH597" s="46"/>
      <c r="AI597" s="46"/>
      <c r="AJ597" s="46"/>
      <c r="AK597" s="46"/>
      <c r="AL597" s="46"/>
      <c r="AM597" s="46"/>
      <c r="AN597" s="46"/>
      <c r="AO597" s="46"/>
      <c r="AP597" s="46"/>
      <c r="AQ597" s="46"/>
      <c r="AR597" s="46"/>
      <c r="AS597" s="46"/>
      <c r="AT597" s="46"/>
      <c r="AU597" s="46"/>
      <c r="AV597" s="46"/>
      <c r="AW597" s="46"/>
      <c r="AX597" s="46"/>
      <c r="AY597" s="46"/>
      <c r="AZ597" s="46"/>
      <c r="BA597" s="46"/>
      <c r="BB597" s="46"/>
      <c r="BC597" s="46"/>
      <c r="BD597" s="46"/>
      <c r="BE597" s="46"/>
    </row>
    <row r="598" spans="1:57" ht="14.25" customHeight="1" x14ac:dyDescent="0.3">
      <c r="A598" s="46"/>
      <c r="B598" s="37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  <c r="AC598" s="46"/>
      <c r="AD598" s="46"/>
      <c r="AE598" s="46"/>
      <c r="AF598" s="46"/>
      <c r="AG598" s="46"/>
      <c r="AH598" s="46"/>
      <c r="AI598" s="46"/>
      <c r="AJ598" s="46"/>
      <c r="AK598" s="46"/>
      <c r="AL598" s="46"/>
      <c r="AM598" s="46"/>
      <c r="AN598" s="46"/>
      <c r="AO598" s="46"/>
      <c r="AP598" s="46"/>
      <c r="AQ598" s="46"/>
      <c r="AR598" s="46"/>
      <c r="AS598" s="46"/>
      <c r="AT598" s="46"/>
      <c r="AU598" s="46"/>
      <c r="AV598" s="46"/>
      <c r="AW598" s="46"/>
      <c r="AX598" s="46"/>
      <c r="AY598" s="46"/>
      <c r="AZ598" s="46"/>
      <c r="BA598" s="46"/>
      <c r="BB598" s="46"/>
      <c r="BC598" s="46"/>
      <c r="BD598" s="46"/>
      <c r="BE598" s="46"/>
    </row>
    <row r="599" spans="1:57" ht="14.25" customHeight="1" x14ac:dyDescent="0.3">
      <c r="A599" s="46"/>
      <c r="B599" s="37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  <c r="AB599" s="46"/>
      <c r="AC599" s="46"/>
      <c r="AD599" s="46"/>
      <c r="AE599" s="46"/>
      <c r="AF599" s="46"/>
      <c r="AG599" s="46"/>
      <c r="AH599" s="46"/>
      <c r="AI599" s="46"/>
      <c r="AJ599" s="46"/>
      <c r="AK599" s="46"/>
      <c r="AL599" s="46"/>
      <c r="AM599" s="46"/>
      <c r="AN599" s="46"/>
      <c r="AO599" s="46"/>
      <c r="AP599" s="46"/>
      <c r="AQ599" s="46"/>
      <c r="AR599" s="46"/>
      <c r="AS599" s="46"/>
      <c r="AT599" s="46"/>
      <c r="AU599" s="46"/>
      <c r="AV599" s="46"/>
      <c r="AW599" s="46"/>
      <c r="AX599" s="46"/>
      <c r="AY599" s="46"/>
      <c r="AZ599" s="46"/>
      <c r="BA599" s="46"/>
      <c r="BB599" s="46"/>
      <c r="BC599" s="46"/>
      <c r="BD599" s="46"/>
      <c r="BE599" s="46"/>
    </row>
    <row r="600" spans="1:57" ht="14.25" customHeight="1" x14ac:dyDescent="0.3">
      <c r="A600" s="46"/>
      <c r="B600" s="37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  <c r="AB600" s="46"/>
      <c r="AC600" s="46"/>
      <c r="AD600" s="46"/>
      <c r="AE600" s="46"/>
      <c r="AF600" s="46"/>
      <c r="AG600" s="46"/>
      <c r="AH600" s="46"/>
      <c r="AI600" s="46"/>
      <c r="AJ600" s="46"/>
      <c r="AK600" s="46"/>
      <c r="AL600" s="46"/>
      <c r="AM600" s="46"/>
      <c r="AN600" s="46"/>
      <c r="AO600" s="46"/>
      <c r="AP600" s="46"/>
      <c r="AQ600" s="46"/>
      <c r="AR600" s="46"/>
      <c r="AS600" s="46"/>
      <c r="AT600" s="46"/>
      <c r="AU600" s="46"/>
      <c r="AV600" s="46"/>
      <c r="AW600" s="46"/>
      <c r="AX600" s="46"/>
      <c r="AY600" s="46"/>
      <c r="AZ600" s="46"/>
      <c r="BA600" s="46"/>
      <c r="BB600" s="46"/>
      <c r="BC600" s="46"/>
      <c r="BD600" s="46"/>
      <c r="BE600" s="46"/>
    </row>
    <row r="601" spans="1:57" ht="14.25" customHeight="1" x14ac:dyDescent="0.3">
      <c r="A601" s="46"/>
      <c r="B601" s="37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  <c r="AC601" s="46"/>
      <c r="AD601" s="46"/>
      <c r="AE601" s="46"/>
      <c r="AF601" s="46"/>
      <c r="AG601" s="46"/>
      <c r="AH601" s="46"/>
      <c r="AI601" s="46"/>
      <c r="AJ601" s="46"/>
      <c r="AK601" s="46"/>
      <c r="AL601" s="46"/>
      <c r="AM601" s="46"/>
      <c r="AN601" s="46"/>
      <c r="AO601" s="46"/>
      <c r="AP601" s="46"/>
      <c r="AQ601" s="46"/>
      <c r="AR601" s="46"/>
      <c r="AS601" s="46"/>
      <c r="AT601" s="46"/>
      <c r="AU601" s="46"/>
      <c r="AV601" s="46"/>
      <c r="AW601" s="46"/>
      <c r="AX601" s="46"/>
      <c r="AY601" s="46"/>
      <c r="AZ601" s="46"/>
      <c r="BA601" s="46"/>
      <c r="BB601" s="46"/>
      <c r="BC601" s="46"/>
      <c r="BD601" s="46"/>
      <c r="BE601" s="46"/>
    </row>
    <row r="602" spans="1:57" ht="14.25" customHeight="1" x14ac:dyDescent="0.3">
      <c r="A602" s="46"/>
      <c r="B602" s="37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  <c r="AB602" s="46"/>
      <c r="AC602" s="46"/>
      <c r="AD602" s="46"/>
      <c r="AE602" s="46"/>
      <c r="AF602" s="46"/>
      <c r="AG602" s="46"/>
      <c r="AH602" s="46"/>
      <c r="AI602" s="46"/>
      <c r="AJ602" s="46"/>
      <c r="AK602" s="46"/>
      <c r="AL602" s="46"/>
      <c r="AM602" s="46"/>
      <c r="AN602" s="46"/>
      <c r="AO602" s="46"/>
      <c r="AP602" s="46"/>
      <c r="AQ602" s="46"/>
      <c r="AR602" s="46"/>
      <c r="AS602" s="46"/>
      <c r="AT602" s="46"/>
      <c r="AU602" s="46"/>
      <c r="AV602" s="46"/>
      <c r="AW602" s="46"/>
      <c r="AX602" s="46"/>
      <c r="AY602" s="46"/>
      <c r="AZ602" s="46"/>
      <c r="BA602" s="46"/>
      <c r="BB602" s="46"/>
      <c r="BC602" s="46"/>
      <c r="BD602" s="46"/>
      <c r="BE602" s="46"/>
    </row>
    <row r="603" spans="1:57" ht="14.25" customHeight="1" x14ac:dyDescent="0.3">
      <c r="A603" s="46"/>
      <c r="B603" s="37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  <c r="AB603" s="46"/>
      <c r="AC603" s="46"/>
      <c r="AD603" s="46"/>
      <c r="AE603" s="46"/>
      <c r="AF603" s="46"/>
      <c r="AG603" s="46"/>
      <c r="AH603" s="46"/>
      <c r="AI603" s="46"/>
      <c r="AJ603" s="46"/>
      <c r="AK603" s="46"/>
      <c r="AL603" s="46"/>
      <c r="AM603" s="46"/>
      <c r="AN603" s="46"/>
      <c r="AO603" s="46"/>
      <c r="AP603" s="46"/>
      <c r="AQ603" s="46"/>
      <c r="AR603" s="46"/>
      <c r="AS603" s="46"/>
      <c r="AT603" s="46"/>
      <c r="AU603" s="46"/>
      <c r="AV603" s="46"/>
      <c r="AW603" s="46"/>
      <c r="AX603" s="46"/>
      <c r="AY603" s="46"/>
      <c r="AZ603" s="46"/>
      <c r="BA603" s="46"/>
      <c r="BB603" s="46"/>
      <c r="BC603" s="46"/>
      <c r="BD603" s="46"/>
      <c r="BE603" s="46"/>
    </row>
    <row r="604" spans="1:57" ht="14.25" customHeight="1" x14ac:dyDescent="0.3">
      <c r="A604" s="46"/>
      <c r="B604" s="37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  <c r="AB604" s="46"/>
      <c r="AC604" s="46"/>
      <c r="AD604" s="46"/>
      <c r="AE604" s="46"/>
      <c r="AF604" s="46"/>
      <c r="AG604" s="46"/>
      <c r="AH604" s="46"/>
      <c r="AI604" s="46"/>
      <c r="AJ604" s="46"/>
      <c r="AK604" s="46"/>
      <c r="AL604" s="46"/>
      <c r="AM604" s="46"/>
      <c r="AN604" s="46"/>
      <c r="AO604" s="46"/>
      <c r="AP604" s="46"/>
      <c r="AQ604" s="46"/>
      <c r="AR604" s="46"/>
      <c r="AS604" s="46"/>
      <c r="AT604" s="46"/>
      <c r="AU604" s="46"/>
      <c r="AV604" s="46"/>
      <c r="AW604" s="46"/>
      <c r="AX604" s="46"/>
      <c r="AY604" s="46"/>
      <c r="AZ604" s="46"/>
      <c r="BA604" s="46"/>
      <c r="BB604" s="46"/>
      <c r="BC604" s="46"/>
      <c r="BD604" s="46"/>
      <c r="BE604" s="46"/>
    </row>
    <row r="605" spans="1:57" ht="14.25" customHeight="1" x14ac:dyDescent="0.3">
      <c r="A605" s="46"/>
      <c r="B605" s="37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  <c r="AB605" s="46"/>
      <c r="AC605" s="46"/>
      <c r="AD605" s="46"/>
      <c r="AE605" s="46"/>
      <c r="AF605" s="46"/>
      <c r="AG605" s="46"/>
      <c r="AH605" s="46"/>
      <c r="AI605" s="46"/>
      <c r="AJ605" s="46"/>
      <c r="AK605" s="46"/>
      <c r="AL605" s="46"/>
      <c r="AM605" s="46"/>
      <c r="AN605" s="46"/>
      <c r="AO605" s="46"/>
      <c r="AP605" s="46"/>
      <c r="AQ605" s="46"/>
      <c r="AR605" s="46"/>
      <c r="AS605" s="46"/>
      <c r="AT605" s="46"/>
      <c r="AU605" s="46"/>
      <c r="AV605" s="46"/>
      <c r="AW605" s="46"/>
      <c r="AX605" s="46"/>
      <c r="AY605" s="46"/>
      <c r="AZ605" s="46"/>
      <c r="BA605" s="46"/>
      <c r="BB605" s="46"/>
      <c r="BC605" s="46"/>
      <c r="BD605" s="46"/>
      <c r="BE605" s="46"/>
    </row>
    <row r="606" spans="1:57" ht="14.25" customHeight="1" x14ac:dyDescent="0.3">
      <c r="A606" s="46"/>
      <c r="B606" s="37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  <c r="AC606" s="46"/>
      <c r="AD606" s="46"/>
      <c r="AE606" s="46"/>
      <c r="AF606" s="46"/>
      <c r="AG606" s="46"/>
      <c r="AH606" s="46"/>
      <c r="AI606" s="46"/>
      <c r="AJ606" s="46"/>
      <c r="AK606" s="46"/>
      <c r="AL606" s="46"/>
      <c r="AM606" s="46"/>
      <c r="AN606" s="46"/>
      <c r="AO606" s="46"/>
      <c r="AP606" s="46"/>
      <c r="AQ606" s="46"/>
      <c r="AR606" s="46"/>
      <c r="AS606" s="46"/>
      <c r="AT606" s="46"/>
      <c r="AU606" s="46"/>
      <c r="AV606" s="46"/>
      <c r="AW606" s="46"/>
      <c r="AX606" s="46"/>
      <c r="AY606" s="46"/>
      <c r="AZ606" s="46"/>
      <c r="BA606" s="46"/>
      <c r="BB606" s="46"/>
      <c r="BC606" s="46"/>
      <c r="BD606" s="46"/>
      <c r="BE606" s="46"/>
    </row>
    <row r="607" spans="1:57" ht="14.25" customHeight="1" x14ac:dyDescent="0.3">
      <c r="A607" s="46"/>
      <c r="B607" s="37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  <c r="AC607" s="46"/>
      <c r="AD607" s="46"/>
      <c r="AE607" s="46"/>
      <c r="AF607" s="46"/>
      <c r="AG607" s="46"/>
      <c r="AH607" s="46"/>
      <c r="AI607" s="46"/>
      <c r="AJ607" s="46"/>
      <c r="AK607" s="46"/>
      <c r="AL607" s="46"/>
      <c r="AM607" s="46"/>
      <c r="AN607" s="46"/>
      <c r="AO607" s="46"/>
      <c r="AP607" s="46"/>
      <c r="AQ607" s="46"/>
      <c r="AR607" s="46"/>
      <c r="AS607" s="46"/>
      <c r="AT607" s="46"/>
      <c r="AU607" s="46"/>
      <c r="AV607" s="46"/>
      <c r="AW607" s="46"/>
      <c r="AX607" s="46"/>
      <c r="AY607" s="46"/>
      <c r="AZ607" s="46"/>
      <c r="BA607" s="46"/>
      <c r="BB607" s="46"/>
      <c r="BC607" s="46"/>
      <c r="BD607" s="46"/>
      <c r="BE607" s="46"/>
    </row>
    <row r="608" spans="1:57" ht="14.25" customHeight="1" x14ac:dyDescent="0.3">
      <c r="A608" s="46"/>
      <c r="B608" s="37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  <c r="AB608" s="46"/>
      <c r="AC608" s="46"/>
      <c r="AD608" s="46"/>
      <c r="AE608" s="46"/>
      <c r="AF608" s="46"/>
      <c r="AG608" s="46"/>
      <c r="AH608" s="46"/>
      <c r="AI608" s="46"/>
      <c r="AJ608" s="46"/>
      <c r="AK608" s="46"/>
      <c r="AL608" s="46"/>
      <c r="AM608" s="46"/>
      <c r="AN608" s="46"/>
      <c r="AO608" s="46"/>
      <c r="AP608" s="46"/>
      <c r="AQ608" s="46"/>
      <c r="AR608" s="46"/>
      <c r="AS608" s="46"/>
      <c r="AT608" s="46"/>
      <c r="AU608" s="46"/>
      <c r="AV608" s="46"/>
      <c r="AW608" s="46"/>
      <c r="AX608" s="46"/>
      <c r="AY608" s="46"/>
      <c r="AZ608" s="46"/>
      <c r="BA608" s="46"/>
      <c r="BB608" s="46"/>
      <c r="BC608" s="46"/>
      <c r="BD608" s="46"/>
      <c r="BE608" s="46"/>
    </row>
    <row r="609" spans="1:57" ht="14.25" customHeight="1" x14ac:dyDescent="0.3">
      <c r="A609" s="46"/>
      <c r="B609" s="37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  <c r="AC609" s="46"/>
      <c r="AD609" s="46"/>
      <c r="AE609" s="46"/>
      <c r="AF609" s="46"/>
      <c r="AG609" s="46"/>
      <c r="AH609" s="46"/>
      <c r="AI609" s="46"/>
      <c r="AJ609" s="46"/>
      <c r="AK609" s="46"/>
      <c r="AL609" s="46"/>
      <c r="AM609" s="46"/>
      <c r="AN609" s="46"/>
      <c r="AO609" s="46"/>
      <c r="AP609" s="46"/>
      <c r="AQ609" s="46"/>
      <c r="AR609" s="46"/>
      <c r="AS609" s="46"/>
      <c r="AT609" s="46"/>
      <c r="AU609" s="46"/>
      <c r="AV609" s="46"/>
      <c r="AW609" s="46"/>
      <c r="AX609" s="46"/>
      <c r="AY609" s="46"/>
      <c r="AZ609" s="46"/>
      <c r="BA609" s="46"/>
      <c r="BB609" s="46"/>
      <c r="BC609" s="46"/>
      <c r="BD609" s="46"/>
      <c r="BE609" s="46"/>
    </row>
    <row r="610" spans="1:57" ht="14.25" customHeight="1" x14ac:dyDescent="0.3">
      <c r="A610" s="46"/>
      <c r="B610" s="37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  <c r="AC610" s="46"/>
      <c r="AD610" s="46"/>
      <c r="AE610" s="46"/>
      <c r="AF610" s="46"/>
      <c r="AG610" s="46"/>
      <c r="AH610" s="46"/>
      <c r="AI610" s="46"/>
      <c r="AJ610" s="46"/>
      <c r="AK610" s="46"/>
      <c r="AL610" s="46"/>
      <c r="AM610" s="46"/>
      <c r="AN610" s="46"/>
      <c r="AO610" s="46"/>
      <c r="AP610" s="46"/>
      <c r="AQ610" s="46"/>
      <c r="AR610" s="46"/>
      <c r="AS610" s="46"/>
      <c r="AT610" s="46"/>
      <c r="AU610" s="46"/>
      <c r="AV610" s="46"/>
      <c r="AW610" s="46"/>
      <c r="AX610" s="46"/>
      <c r="AY610" s="46"/>
      <c r="AZ610" s="46"/>
      <c r="BA610" s="46"/>
      <c r="BB610" s="46"/>
      <c r="BC610" s="46"/>
      <c r="BD610" s="46"/>
      <c r="BE610" s="46"/>
    </row>
    <row r="611" spans="1:57" ht="14.25" customHeight="1" x14ac:dyDescent="0.3">
      <c r="A611" s="46"/>
      <c r="B611" s="37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  <c r="AC611" s="46"/>
      <c r="AD611" s="46"/>
      <c r="AE611" s="46"/>
      <c r="AF611" s="46"/>
      <c r="AG611" s="46"/>
      <c r="AH611" s="46"/>
      <c r="AI611" s="46"/>
      <c r="AJ611" s="46"/>
      <c r="AK611" s="46"/>
      <c r="AL611" s="46"/>
      <c r="AM611" s="46"/>
      <c r="AN611" s="46"/>
      <c r="AO611" s="46"/>
      <c r="AP611" s="46"/>
      <c r="AQ611" s="46"/>
      <c r="AR611" s="46"/>
      <c r="AS611" s="46"/>
      <c r="AT611" s="46"/>
      <c r="AU611" s="46"/>
      <c r="AV611" s="46"/>
      <c r="AW611" s="46"/>
      <c r="AX611" s="46"/>
      <c r="AY611" s="46"/>
      <c r="AZ611" s="46"/>
      <c r="BA611" s="46"/>
      <c r="BB611" s="46"/>
      <c r="BC611" s="46"/>
      <c r="BD611" s="46"/>
      <c r="BE611" s="46"/>
    </row>
    <row r="612" spans="1:57" ht="14.25" customHeight="1" x14ac:dyDescent="0.3">
      <c r="A612" s="46"/>
      <c r="B612" s="37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  <c r="AC612" s="46"/>
      <c r="AD612" s="46"/>
      <c r="AE612" s="46"/>
      <c r="AF612" s="46"/>
      <c r="AG612" s="46"/>
      <c r="AH612" s="46"/>
      <c r="AI612" s="46"/>
      <c r="AJ612" s="46"/>
      <c r="AK612" s="46"/>
      <c r="AL612" s="46"/>
      <c r="AM612" s="46"/>
      <c r="AN612" s="46"/>
      <c r="AO612" s="46"/>
      <c r="AP612" s="46"/>
      <c r="AQ612" s="46"/>
      <c r="AR612" s="46"/>
      <c r="AS612" s="46"/>
      <c r="AT612" s="46"/>
      <c r="AU612" s="46"/>
      <c r="AV612" s="46"/>
      <c r="AW612" s="46"/>
      <c r="AX612" s="46"/>
      <c r="AY612" s="46"/>
      <c r="AZ612" s="46"/>
      <c r="BA612" s="46"/>
      <c r="BB612" s="46"/>
      <c r="BC612" s="46"/>
      <c r="BD612" s="46"/>
      <c r="BE612" s="46"/>
    </row>
    <row r="613" spans="1:57" ht="14.25" customHeight="1" x14ac:dyDescent="0.3">
      <c r="A613" s="46"/>
      <c r="B613" s="37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  <c r="AC613" s="46"/>
      <c r="AD613" s="46"/>
      <c r="AE613" s="46"/>
      <c r="AF613" s="46"/>
      <c r="AG613" s="46"/>
      <c r="AH613" s="46"/>
      <c r="AI613" s="46"/>
      <c r="AJ613" s="46"/>
      <c r="AK613" s="46"/>
      <c r="AL613" s="46"/>
      <c r="AM613" s="46"/>
      <c r="AN613" s="46"/>
      <c r="AO613" s="46"/>
      <c r="AP613" s="46"/>
      <c r="AQ613" s="46"/>
      <c r="AR613" s="46"/>
      <c r="AS613" s="46"/>
      <c r="AT613" s="46"/>
      <c r="AU613" s="46"/>
      <c r="AV613" s="46"/>
      <c r="AW613" s="46"/>
      <c r="AX613" s="46"/>
      <c r="AY613" s="46"/>
      <c r="AZ613" s="46"/>
      <c r="BA613" s="46"/>
      <c r="BB613" s="46"/>
      <c r="BC613" s="46"/>
      <c r="BD613" s="46"/>
      <c r="BE613" s="46"/>
    </row>
    <row r="614" spans="1:57" ht="14.25" customHeight="1" x14ac:dyDescent="0.3">
      <c r="A614" s="46"/>
      <c r="B614" s="37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  <c r="AC614" s="46"/>
      <c r="AD614" s="46"/>
      <c r="AE614" s="46"/>
      <c r="AF614" s="46"/>
      <c r="AG614" s="46"/>
      <c r="AH614" s="46"/>
      <c r="AI614" s="46"/>
      <c r="AJ614" s="46"/>
      <c r="AK614" s="46"/>
      <c r="AL614" s="46"/>
      <c r="AM614" s="46"/>
      <c r="AN614" s="46"/>
      <c r="AO614" s="46"/>
      <c r="AP614" s="46"/>
      <c r="AQ614" s="46"/>
      <c r="AR614" s="46"/>
      <c r="AS614" s="46"/>
      <c r="AT614" s="46"/>
      <c r="AU614" s="46"/>
      <c r="AV614" s="46"/>
      <c r="AW614" s="46"/>
      <c r="AX614" s="46"/>
      <c r="AY614" s="46"/>
      <c r="AZ614" s="46"/>
      <c r="BA614" s="46"/>
      <c r="BB614" s="46"/>
      <c r="BC614" s="46"/>
      <c r="BD614" s="46"/>
      <c r="BE614" s="46"/>
    </row>
    <row r="615" spans="1:57" ht="14.25" customHeight="1" x14ac:dyDescent="0.3">
      <c r="A615" s="46"/>
      <c r="B615" s="37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  <c r="AC615" s="46"/>
      <c r="AD615" s="46"/>
      <c r="AE615" s="46"/>
      <c r="AF615" s="46"/>
      <c r="AG615" s="46"/>
      <c r="AH615" s="46"/>
      <c r="AI615" s="46"/>
      <c r="AJ615" s="46"/>
      <c r="AK615" s="46"/>
      <c r="AL615" s="46"/>
      <c r="AM615" s="46"/>
      <c r="AN615" s="46"/>
      <c r="AO615" s="46"/>
      <c r="AP615" s="46"/>
      <c r="AQ615" s="46"/>
      <c r="AR615" s="46"/>
      <c r="AS615" s="46"/>
      <c r="AT615" s="46"/>
      <c r="AU615" s="46"/>
      <c r="AV615" s="46"/>
      <c r="AW615" s="46"/>
      <c r="AX615" s="46"/>
      <c r="AY615" s="46"/>
      <c r="AZ615" s="46"/>
      <c r="BA615" s="46"/>
      <c r="BB615" s="46"/>
      <c r="BC615" s="46"/>
      <c r="BD615" s="46"/>
      <c r="BE615" s="46"/>
    </row>
    <row r="616" spans="1:57" ht="14.25" customHeight="1" x14ac:dyDescent="0.3">
      <c r="A616" s="46"/>
      <c r="B616" s="37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  <c r="AC616" s="46"/>
      <c r="AD616" s="46"/>
      <c r="AE616" s="46"/>
      <c r="AF616" s="46"/>
      <c r="AG616" s="46"/>
      <c r="AH616" s="46"/>
      <c r="AI616" s="46"/>
      <c r="AJ616" s="46"/>
      <c r="AK616" s="46"/>
      <c r="AL616" s="46"/>
      <c r="AM616" s="46"/>
      <c r="AN616" s="46"/>
      <c r="AO616" s="46"/>
      <c r="AP616" s="46"/>
      <c r="AQ616" s="46"/>
      <c r="AR616" s="46"/>
      <c r="AS616" s="46"/>
      <c r="AT616" s="46"/>
      <c r="AU616" s="46"/>
      <c r="AV616" s="46"/>
      <c r="AW616" s="46"/>
      <c r="AX616" s="46"/>
      <c r="AY616" s="46"/>
      <c r="AZ616" s="46"/>
      <c r="BA616" s="46"/>
      <c r="BB616" s="46"/>
      <c r="BC616" s="46"/>
      <c r="BD616" s="46"/>
      <c r="BE616" s="46"/>
    </row>
    <row r="617" spans="1:57" ht="14.25" customHeight="1" x14ac:dyDescent="0.3">
      <c r="A617" s="46"/>
      <c r="B617" s="37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  <c r="AC617" s="46"/>
      <c r="AD617" s="46"/>
      <c r="AE617" s="46"/>
      <c r="AF617" s="46"/>
      <c r="AG617" s="46"/>
      <c r="AH617" s="46"/>
      <c r="AI617" s="46"/>
      <c r="AJ617" s="46"/>
      <c r="AK617" s="46"/>
      <c r="AL617" s="46"/>
      <c r="AM617" s="46"/>
      <c r="AN617" s="46"/>
      <c r="AO617" s="46"/>
      <c r="AP617" s="46"/>
      <c r="AQ617" s="46"/>
      <c r="AR617" s="46"/>
      <c r="AS617" s="46"/>
      <c r="AT617" s="46"/>
      <c r="AU617" s="46"/>
      <c r="AV617" s="46"/>
      <c r="AW617" s="46"/>
      <c r="AX617" s="46"/>
      <c r="AY617" s="46"/>
      <c r="AZ617" s="46"/>
      <c r="BA617" s="46"/>
      <c r="BB617" s="46"/>
      <c r="BC617" s="46"/>
      <c r="BD617" s="46"/>
      <c r="BE617" s="46"/>
    </row>
    <row r="618" spans="1:57" ht="14.25" customHeight="1" x14ac:dyDescent="0.3">
      <c r="A618" s="46"/>
      <c r="B618" s="37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  <c r="AC618" s="46"/>
      <c r="AD618" s="46"/>
      <c r="AE618" s="46"/>
      <c r="AF618" s="46"/>
      <c r="AG618" s="46"/>
      <c r="AH618" s="46"/>
      <c r="AI618" s="46"/>
      <c r="AJ618" s="46"/>
      <c r="AK618" s="46"/>
      <c r="AL618" s="46"/>
      <c r="AM618" s="46"/>
      <c r="AN618" s="46"/>
      <c r="AO618" s="46"/>
      <c r="AP618" s="46"/>
      <c r="AQ618" s="46"/>
      <c r="AR618" s="46"/>
      <c r="AS618" s="46"/>
      <c r="AT618" s="46"/>
      <c r="AU618" s="46"/>
      <c r="AV618" s="46"/>
      <c r="AW618" s="46"/>
      <c r="AX618" s="46"/>
      <c r="AY618" s="46"/>
      <c r="AZ618" s="46"/>
      <c r="BA618" s="46"/>
      <c r="BB618" s="46"/>
      <c r="BC618" s="46"/>
      <c r="BD618" s="46"/>
      <c r="BE618" s="46"/>
    </row>
    <row r="619" spans="1:57" ht="14.25" customHeight="1" x14ac:dyDescent="0.3">
      <c r="A619" s="46"/>
      <c r="B619" s="37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  <c r="AC619" s="46"/>
      <c r="AD619" s="46"/>
      <c r="AE619" s="46"/>
      <c r="AF619" s="46"/>
      <c r="AG619" s="46"/>
      <c r="AH619" s="46"/>
      <c r="AI619" s="46"/>
      <c r="AJ619" s="46"/>
      <c r="AK619" s="46"/>
      <c r="AL619" s="46"/>
      <c r="AM619" s="46"/>
      <c r="AN619" s="46"/>
      <c r="AO619" s="46"/>
      <c r="AP619" s="46"/>
      <c r="AQ619" s="46"/>
      <c r="AR619" s="46"/>
      <c r="AS619" s="46"/>
      <c r="AT619" s="46"/>
      <c r="AU619" s="46"/>
      <c r="AV619" s="46"/>
      <c r="AW619" s="46"/>
      <c r="AX619" s="46"/>
      <c r="AY619" s="46"/>
      <c r="AZ619" s="46"/>
      <c r="BA619" s="46"/>
      <c r="BB619" s="46"/>
      <c r="BC619" s="46"/>
      <c r="BD619" s="46"/>
      <c r="BE619" s="46"/>
    </row>
    <row r="620" spans="1:57" ht="14.25" customHeight="1" x14ac:dyDescent="0.3">
      <c r="A620" s="46"/>
      <c r="B620" s="37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  <c r="AB620" s="46"/>
      <c r="AC620" s="46"/>
      <c r="AD620" s="46"/>
      <c r="AE620" s="46"/>
      <c r="AF620" s="46"/>
      <c r="AG620" s="46"/>
      <c r="AH620" s="46"/>
      <c r="AI620" s="46"/>
      <c r="AJ620" s="46"/>
      <c r="AK620" s="46"/>
      <c r="AL620" s="46"/>
      <c r="AM620" s="46"/>
      <c r="AN620" s="46"/>
      <c r="AO620" s="46"/>
      <c r="AP620" s="46"/>
      <c r="AQ620" s="46"/>
      <c r="AR620" s="46"/>
      <c r="AS620" s="46"/>
      <c r="AT620" s="46"/>
      <c r="AU620" s="46"/>
      <c r="AV620" s="46"/>
      <c r="AW620" s="46"/>
      <c r="AX620" s="46"/>
      <c r="AY620" s="46"/>
      <c r="AZ620" s="46"/>
      <c r="BA620" s="46"/>
      <c r="BB620" s="46"/>
      <c r="BC620" s="46"/>
      <c r="BD620" s="46"/>
      <c r="BE620" s="46"/>
    </row>
    <row r="621" spans="1:57" ht="14.25" customHeight="1" x14ac:dyDescent="0.3">
      <c r="A621" s="46"/>
      <c r="B621" s="37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  <c r="AB621" s="46"/>
      <c r="AC621" s="46"/>
      <c r="AD621" s="46"/>
      <c r="AE621" s="46"/>
      <c r="AF621" s="46"/>
      <c r="AG621" s="46"/>
      <c r="AH621" s="46"/>
      <c r="AI621" s="46"/>
      <c r="AJ621" s="46"/>
      <c r="AK621" s="46"/>
      <c r="AL621" s="46"/>
      <c r="AM621" s="46"/>
      <c r="AN621" s="46"/>
      <c r="AO621" s="46"/>
      <c r="AP621" s="46"/>
      <c r="AQ621" s="46"/>
      <c r="AR621" s="46"/>
      <c r="AS621" s="46"/>
      <c r="AT621" s="46"/>
      <c r="AU621" s="46"/>
      <c r="AV621" s="46"/>
      <c r="AW621" s="46"/>
      <c r="AX621" s="46"/>
      <c r="AY621" s="46"/>
      <c r="AZ621" s="46"/>
      <c r="BA621" s="46"/>
      <c r="BB621" s="46"/>
      <c r="BC621" s="46"/>
      <c r="BD621" s="46"/>
      <c r="BE621" s="46"/>
    </row>
    <row r="622" spans="1:57" ht="14.25" customHeight="1" x14ac:dyDescent="0.3">
      <c r="A622" s="46"/>
      <c r="B622" s="37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  <c r="AB622" s="46"/>
      <c r="AC622" s="46"/>
      <c r="AD622" s="46"/>
      <c r="AE622" s="46"/>
      <c r="AF622" s="46"/>
      <c r="AG622" s="46"/>
      <c r="AH622" s="46"/>
      <c r="AI622" s="46"/>
      <c r="AJ622" s="46"/>
      <c r="AK622" s="46"/>
      <c r="AL622" s="46"/>
      <c r="AM622" s="46"/>
      <c r="AN622" s="46"/>
      <c r="AO622" s="46"/>
      <c r="AP622" s="46"/>
      <c r="AQ622" s="46"/>
      <c r="AR622" s="46"/>
      <c r="AS622" s="46"/>
      <c r="AT622" s="46"/>
      <c r="AU622" s="46"/>
      <c r="AV622" s="46"/>
      <c r="AW622" s="46"/>
      <c r="AX622" s="46"/>
      <c r="AY622" s="46"/>
      <c r="AZ622" s="46"/>
      <c r="BA622" s="46"/>
      <c r="BB622" s="46"/>
      <c r="BC622" s="46"/>
      <c r="BD622" s="46"/>
      <c r="BE622" s="46"/>
    </row>
    <row r="623" spans="1:57" ht="14.25" customHeight="1" x14ac:dyDescent="0.3">
      <c r="A623" s="46"/>
      <c r="B623" s="37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  <c r="AB623" s="46"/>
      <c r="AC623" s="46"/>
      <c r="AD623" s="46"/>
      <c r="AE623" s="46"/>
      <c r="AF623" s="46"/>
      <c r="AG623" s="46"/>
      <c r="AH623" s="46"/>
      <c r="AI623" s="46"/>
      <c r="AJ623" s="46"/>
      <c r="AK623" s="46"/>
      <c r="AL623" s="46"/>
      <c r="AM623" s="46"/>
      <c r="AN623" s="46"/>
      <c r="AO623" s="46"/>
      <c r="AP623" s="46"/>
      <c r="AQ623" s="46"/>
      <c r="AR623" s="46"/>
      <c r="AS623" s="46"/>
      <c r="AT623" s="46"/>
      <c r="AU623" s="46"/>
      <c r="AV623" s="46"/>
      <c r="AW623" s="46"/>
      <c r="AX623" s="46"/>
      <c r="AY623" s="46"/>
      <c r="AZ623" s="46"/>
      <c r="BA623" s="46"/>
      <c r="BB623" s="46"/>
      <c r="BC623" s="46"/>
      <c r="BD623" s="46"/>
      <c r="BE623" s="46"/>
    </row>
    <row r="624" spans="1:57" ht="14.25" customHeight="1" x14ac:dyDescent="0.3">
      <c r="A624" s="46"/>
      <c r="B624" s="37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  <c r="AB624" s="46"/>
      <c r="AC624" s="46"/>
      <c r="AD624" s="46"/>
      <c r="AE624" s="46"/>
      <c r="AF624" s="46"/>
      <c r="AG624" s="46"/>
      <c r="AH624" s="46"/>
      <c r="AI624" s="46"/>
      <c r="AJ624" s="46"/>
      <c r="AK624" s="46"/>
      <c r="AL624" s="46"/>
      <c r="AM624" s="46"/>
      <c r="AN624" s="46"/>
      <c r="AO624" s="46"/>
      <c r="AP624" s="46"/>
      <c r="AQ624" s="46"/>
      <c r="AR624" s="46"/>
      <c r="AS624" s="46"/>
      <c r="AT624" s="46"/>
      <c r="AU624" s="46"/>
      <c r="AV624" s="46"/>
      <c r="AW624" s="46"/>
      <c r="AX624" s="46"/>
      <c r="AY624" s="46"/>
      <c r="AZ624" s="46"/>
      <c r="BA624" s="46"/>
      <c r="BB624" s="46"/>
      <c r="BC624" s="46"/>
      <c r="BD624" s="46"/>
      <c r="BE624" s="46"/>
    </row>
    <row r="625" spans="1:57" ht="14.25" customHeight="1" x14ac:dyDescent="0.3">
      <c r="A625" s="46"/>
      <c r="B625" s="37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  <c r="AB625" s="46"/>
      <c r="AC625" s="46"/>
      <c r="AD625" s="46"/>
      <c r="AE625" s="46"/>
      <c r="AF625" s="46"/>
      <c r="AG625" s="46"/>
      <c r="AH625" s="46"/>
      <c r="AI625" s="46"/>
      <c r="AJ625" s="46"/>
      <c r="AK625" s="46"/>
      <c r="AL625" s="46"/>
      <c r="AM625" s="46"/>
      <c r="AN625" s="46"/>
      <c r="AO625" s="46"/>
      <c r="AP625" s="46"/>
      <c r="AQ625" s="46"/>
      <c r="AR625" s="46"/>
      <c r="AS625" s="46"/>
      <c r="AT625" s="46"/>
      <c r="AU625" s="46"/>
      <c r="AV625" s="46"/>
      <c r="AW625" s="46"/>
      <c r="AX625" s="46"/>
      <c r="AY625" s="46"/>
      <c r="AZ625" s="46"/>
      <c r="BA625" s="46"/>
      <c r="BB625" s="46"/>
      <c r="BC625" s="46"/>
      <c r="BD625" s="46"/>
      <c r="BE625" s="46"/>
    </row>
    <row r="626" spans="1:57" ht="14.25" customHeight="1" x14ac:dyDescent="0.3">
      <c r="A626" s="46"/>
      <c r="B626" s="37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  <c r="AB626" s="46"/>
      <c r="AC626" s="46"/>
      <c r="AD626" s="46"/>
      <c r="AE626" s="46"/>
      <c r="AF626" s="46"/>
      <c r="AG626" s="46"/>
      <c r="AH626" s="46"/>
      <c r="AI626" s="46"/>
      <c r="AJ626" s="46"/>
      <c r="AK626" s="46"/>
      <c r="AL626" s="46"/>
      <c r="AM626" s="46"/>
      <c r="AN626" s="46"/>
      <c r="AO626" s="46"/>
      <c r="AP626" s="46"/>
      <c r="AQ626" s="46"/>
      <c r="AR626" s="46"/>
      <c r="AS626" s="46"/>
      <c r="AT626" s="46"/>
      <c r="AU626" s="46"/>
      <c r="AV626" s="46"/>
      <c r="AW626" s="46"/>
      <c r="AX626" s="46"/>
      <c r="AY626" s="46"/>
      <c r="AZ626" s="46"/>
      <c r="BA626" s="46"/>
      <c r="BB626" s="46"/>
      <c r="BC626" s="46"/>
      <c r="BD626" s="46"/>
      <c r="BE626" s="46"/>
    </row>
    <row r="627" spans="1:57" ht="14.25" customHeight="1" x14ac:dyDescent="0.3">
      <c r="A627" s="46"/>
      <c r="B627" s="37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  <c r="AB627" s="46"/>
      <c r="AC627" s="46"/>
      <c r="AD627" s="46"/>
      <c r="AE627" s="46"/>
      <c r="AF627" s="46"/>
      <c r="AG627" s="46"/>
      <c r="AH627" s="46"/>
      <c r="AI627" s="46"/>
      <c r="AJ627" s="46"/>
      <c r="AK627" s="46"/>
      <c r="AL627" s="46"/>
      <c r="AM627" s="46"/>
      <c r="AN627" s="46"/>
      <c r="AO627" s="46"/>
      <c r="AP627" s="46"/>
      <c r="AQ627" s="46"/>
      <c r="AR627" s="46"/>
      <c r="AS627" s="46"/>
      <c r="AT627" s="46"/>
      <c r="AU627" s="46"/>
      <c r="AV627" s="46"/>
      <c r="AW627" s="46"/>
      <c r="AX627" s="46"/>
      <c r="AY627" s="46"/>
      <c r="AZ627" s="46"/>
      <c r="BA627" s="46"/>
      <c r="BB627" s="46"/>
      <c r="BC627" s="46"/>
      <c r="BD627" s="46"/>
      <c r="BE627" s="46"/>
    </row>
    <row r="628" spans="1:57" ht="14.25" customHeight="1" x14ac:dyDescent="0.3">
      <c r="A628" s="46"/>
      <c r="B628" s="37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  <c r="AB628" s="46"/>
      <c r="AC628" s="46"/>
      <c r="AD628" s="46"/>
      <c r="AE628" s="46"/>
      <c r="AF628" s="46"/>
      <c r="AG628" s="46"/>
      <c r="AH628" s="46"/>
      <c r="AI628" s="46"/>
      <c r="AJ628" s="46"/>
      <c r="AK628" s="46"/>
      <c r="AL628" s="46"/>
      <c r="AM628" s="46"/>
      <c r="AN628" s="46"/>
      <c r="AO628" s="46"/>
      <c r="AP628" s="46"/>
      <c r="AQ628" s="46"/>
      <c r="AR628" s="46"/>
      <c r="AS628" s="46"/>
      <c r="AT628" s="46"/>
      <c r="AU628" s="46"/>
      <c r="AV628" s="46"/>
      <c r="AW628" s="46"/>
      <c r="AX628" s="46"/>
      <c r="AY628" s="46"/>
      <c r="AZ628" s="46"/>
      <c r="BA628" s="46"/>
      <c r="BB628" s="46"/>
      <c r="BC628" s="46"/>
      <c r="BD628" s="46"/>
      <c r="BE628" s="46"/>
    </row>
    <row r="629" spans="1:57" ht="14.25" customHeight="1" x14ac:dyDescent="0.3">
      <c r="A629" s="46"/>
      <c r="B629" s="37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  <c r="AB629" s="46"/>
      <c r="AC629" s="46"/>
      <c r="AD629" s="46"/>
      <c r="AE629" s="46"/>
      <c r="AF629" s="46"/>
      <c r="AG629" s="46"/>
      <c r="AH629" s="46"/>
      <c r="AI629" s="46"/>
      <c r="AJ629" s="46"/>
      <c r="AK629" s="46"/>
      <c r="AL629" s="46"/>
      <c r="AM629" s="46"/>
      <c r="AN629" s="46"/>
      <c r="AO629" s="46"/>
      <c r="AP629" s="46"/>
      <c r="AQ629" s="46"/>
      <c r="AR629" s="46"/>
      <c r="AS629" s="46"/>
      <c r="AT629" s="46"/>
      <c r="AU629" s="46"/>
      <c r="AV629" s="46"/>
      <c r="AW629" s="46"/>
      <c r="AX629" s="46"/>
      <c r="AY629" s="46"/>
      <c r="AZ629" s="46"/>
      <c r="BA629" s="46"/>
      <c r="BB629" s="46"/>
      <c r="BC629" s="46"/>
      <c r="BD629" s="46"/>
      <c r="BE629" s="46"/>
    </row>
    <row r="630" spans="1:57" ht="14.25" customHeight="1" x14ac:dyDescent="0.3">
      <c r="A630" s="46"/>
      <c r="B630" s="37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  <c r="AB630" s="46"/>
      <c r="AC630" s="46"/>
      <c r="AD630" s="46"/>
      <c r="AE630" s="46"/>
      <c r="AF630" s="46"/>
      <c r="AG630" s="46"/>
      <c r="AH630" s="46"/>
      <c r="AI630" s="46"/>
      <c r="AJ630" s="46"/>
      <c r="AK630" s="46"/>
      <c r="AL630" s="46"/>
      <c r="AM630" s="46"/>
      <c r="AN630" s="46"/>
      <c r="AO630" s="46"/>
      <c r="AP630" s="46"/>
      <c r="AQ630" s="46"/>
      <c r="AR630" s="46"/>
      <c r="AS630" s="46"/>
      <c r="AT630" s="46"/>
      <c r="AU630" s="46"/>
      <c r="AV630" s="46"/>
      <c r="AW630" s="46"/>
      <c r="AX630" s="46"/>
      <c r="AY630" s="46"/>
      <c r="AZ630" s="46"/>
      <c r="BA630" s="46"/>
      <c r="BB630" s="46"/>
      <c r="BC630" s="46"/>
      <c r="BD630" s="46"/>
      <c r="BE630" s="46"/>
    </row>
    <row r="631" spans="1:57" ht="14.25" customHeight="1" x14ac:dyDescent="0.3">
      <c r="A631" s="46"/>
      <c r="B631" s="37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  <c r="AB631" s="46"/>
      <c r="AC631" s="46"/>
      <c r="AD631" s="46"/>
      <c r="AE631" s="46"/>
      <c r="AF631" s="46"/>
      <c r="AG631" s="46"/>
      <c r="AH631" s="46"/>
      <c r="AI631" s="46"/>
      <c r="AJ631" s="46"/>
      <c r="AK631" s="46"/>
      <c r="AL631" s="46"/>
      <c r="AM631" s="46"/>
      <c r="AN631" s="46"/>
      <c r="AO631" s="46"/>
      <c r="AP631" s="46"/>
      <c r="AQ631" s="46"/>
      <c r="AR631" s="46"/>
      <c r="AS631" s="46"/>
      <c r="AT631" s="46"/>
      <c r="AU631" s="46"/>
      <c r="AV631" s="46"/>
      <c r="AW631" s="46"/>
      <c r="AX631" s="46"/>
      <c r="AY631" s="46"/>
      <c r="AZ631" s="46"/>
      <c r="BA631" s="46"/>
      <c r="BB631" s="46"/>
      <c r="BC631" s="46"/>
      <c r="BD631" s="46"/>
      <c r="BE631" s="46"/>
    </row>
    <row r="632" spans="1:57" ht="14.25" customHeight="1" x14ac:dyDescent="0.3">
      <c r="A632" s="46"/>
      <c r="B632" s="37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  <c r="AB632" s="46"/>
      <c r="AC632" s="46"/>
      <c r="AD632" s="46"/>
      <c r="AE632" s="46"/>
      <c r="AF632" s="46"/>
      <c r="AG632" s="46"/>
      <c r="AH632" s="46"/>
      <c r="AI632" s="46"/>
      <c r="AJ632" s="46"/>
      <c r="AK632" s="46"/>
      <c r="AL632" s="46"/>
      <c r="AM632" s="46"/>
      <c r="AN632" s="46"/>
      <c r="AO632" s="46"/>
      <c r="AP632" s="46"/>
      <c r="AQ632" s="46"/>
      <c r="AR632" s="46"/>
      <c r="AS632" s="46"/>
      <c r="AT632" s="46"/>
      <c r="AU632" s="46"/>
      <c r="AV632" s="46"/>
      <c r="AW632" s="46"/>
      <c r="AX632" s="46"/>
      <c r="AY632" s="46"/>
      <c r="AZ632" s="46"/>
      <c r="BA632" s="46"/>
      <c r="BB632" s="46"/>
      <c r="BC632" s="46"/>
      <c r="BD632" s="46"/>
      <c r="BE632" s="46"/>
    </row>
    <row r="633" spans="1:57" ht="14.25" customHeight="1" x14ac:dyDescent="0.3">
      <c r="A633" s="46"/>
      <c r="B633" s="37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  <c r="AC633" s="46"/>
      <c r="AD633" s="46"/>
      <c r="AE633" s="46"/>
      <c r="AF633" s="46"/>
      <c r="AG633" s="46"/>
      <c r="AH633" s="46"/>
      <c r="AI633" s="46"/>
      <c r="AJ633" s="46"/>
      <c r="AK633" s="46"/>
      <c r="AL633" s="46"/>
      <c r="AM633" s="46"/>
      <c r="AN633" s="46"/>
      <c r="AO633" s="46"/>
      <c r="AP633" s="46"/>
      <c r="AQ633" s="46"/>
      <c r="AR633" s="46"/>
      <c r="AS633" s="46"/>
      <c r="AT633" s="46"/>
      <c r="AU633" s="46"/>
      <c r="AV633" s="46"/>
      <c r="AW633" s="46"/>
      <c r="AX633" s="46"/>
      <c r="AY633" s="46"/>
      <c r="AZ633" s="46"/>
      <c r="BA633" s="46"/>
      <c r="BB633" s="46"/>
      <c r="BC633" s="46"/>
      <c r="BD633" s="46"/>
      <c r="BE633" s="46"/>
    </row>
    <row r="634" spans="1:57" ht="14.25" customHeight="1" x14ac:dyDescent="0.3">
      <c r="A634" s="46"/>
      <c r="B634" s="37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  <c r="AB634" s="46"/>
      <c r="AC634" s="46"/>
      <c r="AD634" s="46"/>
      <c r="AE634" s="46"/>
      <c r="AF634" s="46"/>
      <c r="AG634" s="46"/>
      <c r="AH634" s="46"/>
      <c r="AI634" s="46"/>
      <c r="AJ634" s="46"/>
      <c r="AK634" s="46"/>
      <c r="AL634" s="46"/>
      <c r="AM634" s="46"/>
      <c r="AN634" s="46"/>
      <c r="AO634" s="46"/>
      <c r="AP634" s="46"/>
      <c r="AQ634" s="46"/>
      <c r="AR634" s="46"/>
      <c r="AS634" s="46"/>
      <c r="AT634" s="46"/>
      <c r="AU634" s="46"/>
      <c r="AV634" s="46"/>
      <c r="AW634" s="46"/>
      <c r="AX634" s="46"/>
      <c r="AY634" s="46"/>
      <c r="AZ634" s="46"/>
      <c r="BA634" s="46"/>
      <c r="BB634" s="46"/>
      <c r="BC634" s="46"/>
      <c r="BD634" s="46"/>
      <c r="BE634" s="46"/>
    </row>
    <row r="635" spans="1:57" ht="14.25" customHeight="1" x14ac:dyDescent="0.3">
      <c r="A635" s="46"/>
      <c r="B635" s="37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  <c r="AB635" s="46"/>
      <c r="AC635" s="46"/>
      <c r="AD635" s="46"/>
      <c r="AE635" s="46"/>
      <c r="AF635" s="46"/>
      <c r="AG635" s="46"/>
      <c r="AH635" s="46"/>
      <c r="AI635" s="46"/>
      <c r="AJ635" s="46"/>
      <c r="AK635" s="46"/>
      <c r="AL635" s="46"/>
      <c r="AM635" s="46"/>
      <c r="AN635" s="46"/>
      <c r="AO635" s="46"/>
      <c r="AP635" s="46"/>
      <c r="AQ635" s="46"/>
      <c r="AR635" s="46"/>
      <c r="AS635" s="46"/>
      <c r="AT635" s="46"/>
      <c r="AU635" s="46"/>
      <c r="AV635" s="46"/>
      <c r="AW635" s="46"/>
      <c r="AX635" s="46"/>
      <c r="AY635" s="46"/>
      <c r="AZ635" s="46"/>
      <c r="BA635" s="46"/>
      <c r="BB635" s="46"/>
      <c r="BC635" s="46"/>
      <c r="BD635" s="46"/>
      <c r="BE635" s="46"/>
    </row>
    <row r="636" spans="1:57" ht="14.25" customHeight="1" x14ac:dyDescent="0.3">
      <c r="A636" s="46"/>
      <c r="B636" s="37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  <c r="AC636" s="46"/>
      <c r="AD636" s="46"/>
      <c r="AE636" s="46"/>
      <c r="AF636" s="46"/>
      <c r="AG636" s="46"/>
      <c r="AH636" s="46"/>
      <c r="AI636" s="46"/>
      <c r="AJ636" s="46"/>
      <c r="AK636" s="46"/>
      <c r="AL636" s="46"/>
      <c r="AM636" s="46"/>
      <c r="AN636" s="46"/>
      <c r="AO636" s="46"/>
      <c r="AP636" s="46"/>
      <c r="AQ636" s="46"/>
      <c r="AR636" s="46"/>
      <c r="AS636" s="46"/>
      <c r="AT636" s="46"/>
      <c r="AU636" s="46"/>
      <c r="AV636" s="46"/>
      <c r="AW636" s="46"/>
      <c r="AX636" s="46"/>
      <c r="AY636" s="46"/>
      <c r="AZ636" s="46"/>
      <c r="BA636" s="46"/>
      <c r="BB636" s="46"/>
      <c r="BC636" s="46"/>
      <c r="BD636" s="46"/>
      <c r="BE636" s="46"/>
    </row>
    <row r="637" spans="1:57" ht="14.25" customHeight="1" x14ac:dyDescent="0.3">
      <c r="A637" s="46"/>
      <c r="B637" s="37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  <c r="AB637" s="46"/>
      <c r="AC637" s="46"/>
      <c r="AD637" s="46"/>
      <c r="AE637" s="46"/>
      <c r="AF637" s="46"/>
      <c r="AG637" s="46"/>
      <c r="AH637" s="46"/>
      <c r="AI637" s="46"/>
      <c r="AJ637" s="46"/>
      <c r="AK637" s="46"/>
      <c r="AL637" s="46"/>
      <c r="AM637" s="46"/>
      <c r="AN637" s="46"/>
      <c r="AO637" s="46"/>
      <c r="AP637" s="46"/>
      <c r="AQ637" s="46"/>
      <c r="AR637" s="46"/>
      <c r="AS637" s="46"/>
      <c r="AT637" s="46"/>
      <c r="AU637" s="46"/>
      <c r="AV637" s="46"/>
      <c r="AW637" s="46"/>
      <c r="AX637" s="46"/>
      <c r="AY637" s="46"/>
      <c r="AZ637" s="46"/>
      <c r="BA637" s="46"/>
      <c r="BB637" s="46"/>
      <c r="BC637" s="46"/>
      <c r="BD637" s="46"/>
      <c r="BE637" s="46"/>
    </row>
    <row r="638" spans="1:57" ht="14.25" customHeight="1" x14ac:dyDescent="0.3">
      <c r="A638" s="46"/>
      <c r="B638" s="37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  <c r="AB638" s="46"/>
      <c r="AC638" s="46"/>
      <c r="AD638" s="46"/>
      <c r="AE638" s="46"/>
      <c r="AF638" s="46"/>
      <c r="AG638" s="46"/>
      <c r="AH638" s="46"/>
      <c r="AI638" s="46"/>
      <c r="AJ638" s="46"/>
      <c r="AK638" s="46"/>
      <c r="AL638" s="46"/>
      <c r="AM638" s="46"/>
      <c r="AN638" s="46"/>
      <c r="AO638" s="46"/>
      <c r="AP638" s="46"/>
      <c r="AQ638" s="46"/>
      <c r="AR638" s="46"/>
      <c r="AS638" s="46"/>
      <c r="AT638" s="46"/>
      <c r="AU638" s="46"/>
      <c r="AV638" s="46"/>
      <c r="AW638" s="46"/>
      <c r="AX638" s="46"/>
      <c r="AY638" s="46"/>
      <c r="AZ638" s="46"/>
      <c r="BA638" s="46"/>
      <c r="BB638" s="46"/>
      <c r="BC638" s="46"/>
      <c r="BD638" s="46"/>
      <c r="BE638" s="46"/>
    </row>
    <row r="639" spans="1:57" ht="14.25" customHeight="1" x14ac:dyDescent="0.3">
      <c r="A639" s="46"/>
      <c r="B639" s="37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  <c r="AC639" s="46"/>
      <c r="AD639" s="46"/>
      <c r="AE639" s="46"/>
      <c r="AF639" s="46"/>
      <c r="AG639" s="46"/>
      <c r="AH639" s="46"/>
      <c r="AI639" s="46"/>
      <c r="AJ639" s="46"/>
      <c r="AK639" s="46"/>
      <c r="AL639" s="46"/>
      <c r="AM639" s="46"/>
      <c r="AN639" s="46"/>
      <c r="AO639" s="46"/>
      <c r="AP639" s="46"/>
      <c r="AQ639" s="46"/>
      <c r="AR639" s="46"/>
      <c r="AS639" s="46"/>
      <c r="AT639" s="46"/>
      <c r="AU639" s="46"/>
      <c r="AV639" s="46"/>
      <c r="AW639" s="46"/>
      <c r="AX639" s="46"/>
      <c r="AY639" s="46"/>
      <c r="AZ639" s="46"/>
      <c r="BA639" s="46"/>
      <c r="BB639" s="46"/>
      <c r="BC639" s="46"/>
      <c r="BD639" s="46"/>
      <c r="BE639" s="46"/>
    </row>
    <row r="640" spans="1:57" ht="14.25" customHeight="1" x14ac:dyDescent="0.3">
      <c r="A640" s="46"/>
      <c r="B640" s="37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  <c r="AB640" s="46"/>
      <c r="AC640" s="46"/>
      <c r="AD640" s="46"/>
      <c r="AE640" s="46"/>
      <c r="AF640" s="46"/>
      <c r="AG640" s="46"/>
      <c r="AH640" s="46"/>
      <c r="AI640" s="46"/>
      <c r="AJ640" s="46"/>
      <c r="AK640" s="46"/>
      <c r="AL640" s="46"/>
      <c r="AM640" s="46"/>
      <c r="AN640" s="46"/>
      <c r="AO640" s="46"/>
      <c r="AP640" s="46"/>
      <c r="AQ640" s="46"/>
      <c r="AR640" s="46"/>
      <c r="AS640" s="46"/>
      <c r="AT640" s="46"/>
      <c r="AU640" s="46"/>
      <c r="AV640" s="46"/>
      <c r="AW640" s="46"/>
      <c r="AX640" s="46"/>
      <c r="AY640" s="46"/>
      <c r="AZ640" s="46"/>
      <c r="BA640" s="46"/>
      <c r="BB640" s="46"/>
      <c r="BC640" s="46"/>
      <c r="BD640" s="46"/>
      <c r="BE640" s="46"/>
    </row>
    <row r="641" spans="1:57" ht="14.25" customHeight="1" x14ac:dyDescent="0.3">
      <c r="A641" s="46"/>
      <c r="B641" s="37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  <c r="AB641" s="46"/>
      <c r="AC641" s="46"/>
      <c r="AD641" s="46"/>
      <c r="AE641" s="46"/>
      <c r="AF641" s="46"/>
      <c r="AG641" s="46"/>
      <c r="AH641" s="46"/>
      <c r="AI641" s="46"/>
      <c r="AJ641" s="46"/>
      <c r="AK641" s="46"/>
      <c r="AL641" s="46"/>
      <c r="AM641" s="46"/>
      <c r="AN641" s="46"/>
      <c r="AO641" s="46"/>
      <c r="AP641" s="46"/>
      <c r="AQ641" s="46"/>
      <c r="AR641" s="46"/>
      <c r="AS641" s="46"/>
      <c r="AT641" s="46"/>
      <c r="AU641" s="46"/>
      <c r="AV641" s="46"/>
      <c r="AW641" s="46"/>
      <c r="AX641" s="46"/>
      <c r="AY641" s="46"/>
      <c r="AZ641" s="46"/>
      <c r="BA641" s="46"/>
      <c r="BB641" s="46"/>
      <c r="BC641" s="46"/>
      <c r="BD641" s="46"/>
      <c r="BE641" s="46"/>
    </row>
    <row r="642" spans="1:57" ht="14.25" customHeight="1" x14ac:dyDescent="0.3">
      <c r="A642" s="46"/>
      <c r="B642" s="37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  <c r="AB642" s="46"/>
      <c r="AC642" s="46"/>
      <c r="AD642" s="46"/>
      <c r="AE642" s="46"/>
      <c r="AF642" s="46"/>
      <c r="AG642" s="46"/>
      <c r="AH642" s="46"/>
      <c r="AI642" s="46"/>
      <c r="AJ642" s="46"/>
      <c r="AK642" s="46"/>
      <c r="AL642" s="46"/>
      <c r="AM642" s="46"/>
      <c r="AN642" s="46"/>
      <c r="AO642" s="46"/>
      <c r="AP642" s="46"/>
      <c r="AQ642" s="46"/>
      <c r="AR642" s="46"/>
      <c r="AS642" s="46"/>
      <c r="AT642" s="46"/>
      <c r="AU642" s="46"/>
      <c r="AV642" s="46"/>
      <c r="AW642" s="46"/>
      <c r="AX642" s="46"/>
      <c r="AY642" s="46"/>
      <c r="AZ642" s="46"/>
      <c r="BA642" s="46"/>
      <c r="BB642" s="46"/>
      <c r="BC642" s="46"/>
      <c r="BD642" s="46"/>
      <c r="BE642" s="46"/>
    </row>
    <row r="643" spans="1:57" ht="14.25" customHeight="1" x14ac:dyDescent="0.3">
      <c r="A643" s="46"/>
      <c r="B643" s="37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  <c r="AB643" s="46"/>
      <c r="AC643" s="46"/>
      <c r="AD643" s="46"/>
      <c r="AE643" s="46"/>
      <c r="AF643" s="46"/>
      <c r="AG643" s="46"/>
      <c r="AH643" s="46"/>
      <c r="AI643" s="46"/>
      <c r="AJ643" s="46"/>
      <c r="AK643" s="46"/>
      <c r="AL643" s="46"/>
      <c r="AM643" s="46"/>
      <c r="AN643" s="46"/>
      <c r="AO643" s="46"/>
      <c r="AP643" s="46"/>
      <c r="AQ643" s="46"/>
      <c r="AR643" s="46"/>
      <c r="AS643" s="46"/>
      <c r="AT643" s="46"/>
      <c r="AU643" s="46"/>
      <c r="AV643" s="46"/>
      <c r="AW643" s="46"/>
      <c r="AX643" s="46"/>
      <c r="AY643" s="46"/>
      <c r="AZ643" s="46"/>
      <c r="BA643" s="46"/>
      <c r="BB643" s="46"/>
      <c r="BC643" s="46"/>
      <c r="BD643" s="46"/>
      <c r="BE643" s="46"/>
    </row>
    <row r="644" spans="1:57" ht="14.25" customHeight="1" x14ac:dyDescent="0.3">
      <c r="A644" s="46"/>
      <c r="B644" s="37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  <c r="AB644" s="46"/>
      <c r="AC644" s="46"/>
      <c r="AD644" s="46"/>
      <c r="AE644" s="46"/>
      <c r="AF644" s="46"/>
      <c r="AG644" s="46"/>
      <c r="AH644" s="46"/>
      <c r="AI644" s="46"/>
      <c r="AJ644" s="46"/>
      <c r="AK644" s="46"/>
      <c r="AL644" s="46"/>
      <c r="AM644" s="46"/>
      <c r="AN644" s="46"/>
      <c r="AO644" s="46"/>
      <c r="AP644" s="46"/>
      <c r="AQ644" s="46"/>
      <c r="AR644" s="46"/>
      <c r="AS644" s="46"/>
      <c r="AT644" s="46"/>
      <c r="AU644" s="46"/>
      <c r="AV644" s="46"/>
      <c r="AW644" s="46"/>
      <c r="AX644" s="46"/>
      <c r="AY644" s="46"/>
      <c r="AZ644" s="46"/>
      <c r="BA644" s="46"/>
      <c r="BB644" s="46"/>
      <c r="BC644" s="46"/>
      <c r="BD644" s="46"/>
      <c r="BE644" s="46"/>
    </row>
    <row r="645" spans="1:57" ht="14.25" customHeight="1" x14ac:dyDescent="0.3">
      <c r="A645" s="46"/>
      <c r="B645" s="37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  <c r="AB645" s="46"/>
      <c r="AC645" s="46"/>
      <c r="AD645" s="46"/>
      <c r="AE645" s="46"/>
      <c r="AF645" s="46"/>
      <c r="AG645" s="46"/>
      <c r="AH645" s="46"/>
      <c r="AI645" s="46"/>
      <c r="AJ645" s="46"/>
      <c r="AK645" s="46"/>
      <c r="AL645" s="46"/>
      <c r="AM645" s="46"/>
      <c r="AN645" s="46"/>
      <c r="AO645" s="46"/>
      <c r="AP645" s="46"/>
      <c r="AQ645" s="46"/>
      <c r="AR645" s="46"/>
      <c r="AS645" s="46"/>
      <c r="AT645" s="46"/>
      <c r="AU645" s="46"/>
      <c r="AV645" s="46"/>
      <c r="AW645" s="46"/>
      <c r="AX645" s="46"/>
      <c r="AY645" s="46"/>
      <c r="AZ645" s="46"/>
      <c r="BA645" s="46"/>
      <c r="BB645" s="46"/>
      <c r="BC645" s="46"/>
      <c r="BD645" s="46"/>
      <c r="BE645" s="46"/>
    </row>
    <row r="646" spans="1:57" ht="14.25" customHeight="1" x14ac:dyDescent="0.3">
      <c r="A646" s="46"/>
      <c r="B646" s="37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  <c r="AC646" s="46"/>
      <c r="AD646" s="46"/>
      <c r="AE646" s="46"/>
      <c r="AF646" s="46"/>
      <c r="AG646" s="46"/>
      <c r="AH646" s="46"/>
      <c r="AI646" s="46"/>
      <c r="AJ646" s="46"/>
      <c r="AK646" s="46"/>
      <c r="AL646" s="46"/>
      <c r="AM646" s="46"/>
      <c r="AN646" s="46"/>
      <c r="AO646" s="46"/>
      <c r="AP646" s="46"/>
      <c r="AQ646" s="46"/>
      <c r="AR646" s="46"/>
      <c r="AS646" s="46"/>
      <c r="AT646" s="46"/>
      <c r="AU646" s="46"/>
      <c r="AV646" s="46"/>
      <c r="AW646" s="46"/>
      <c r="AX646" s="46"/>
      <c r="AY646" s="46"/>
      <c r="AZ646" s="46"/>
      <c r="BA646" s="46"/>
      <c r="BB646" s="46"/>
      <c r="BC646" s="46"/>
      <c r="BD646" s="46"/>
      <c r="BE646" s="46"/>
    </row>
    <row r="647" spans="1:57" ht="14.25" customHeight="1" x14ac:dyDescent="0.3">
      <c r="A647" s="46"/>
      <c r="B647" s="37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  <c r="AC647" s="46"/>
      <c r="AD647" s="46"/>
      <c r="AE647" s="46"/>
      <c r="AF647" s="46"/>
      <c r="AG647" s="46"/>
      <c r="AH647" s="46"/>
      <c r="AI647" s="46"/>
      <c r="AJ647" s="46"/>
      <c r="AK647" s="46"/>
      <c r="AL647" s="46"/>
      <c r="AM647" s="46"/>
      <c r="AN647" s="46"/>
      <c r="AO647" s="46"/>
      <c r="AP647" s="46"/>
      <c r="AQ647" s="46"/>
      <c r="AR647" s="46"/>
      <c r="AS647" s="46"/>
      <c r="AT647" s="46"/>
      <c r="AU647" s="46"/>
      <c r="AV647" s="46"/>
      <c r="AW647" s="46"/>
      <c r="AX647" s="46"/>
      <c r="AY647" s="46"/>
      <c r="AZ647" s="46"/>
      <c r="BA647" s="46"/>
      <c r="BB647" s="46"/>
      <c r="BC647" s="46"/>
      <c r="BD647" s="46"/>
      <c r="BE647" s="46"/>
    </row>
    <row r="648" spans="1:57" ht="14.25" customHeight="1" x14ac:dyDescent="0.3">
      <c r="A648" s="46"/>
      <c r="B648" s="37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  <c r="AB648" s="46"/>
      <c r="AC648" s="46"/>
      <c r="AD648" s="46"/>
      <c r="AE648" s="46"/>
      <c r="AF648" s="46"/>
      <c r="AG648" s="46"/>
      <c r="AH648" s="46"/>
      <c r="AI648" s="46"/>
      <c r="AJ648" s="46"/>
      <c r="AK648" s="46"/>
      <c r="AL648" s="46"/>
      <c r="AM648" s="46"/>
      <c r="AN648" s="46"/>
      <c r="AO648" s="46"/>
      <c r="AP648" s="46"/>
      <c r="AQ648" s="46"/>
      <c r="AR648" s="46"/>
      <c r="AS648" s="46"/>
      <c r="AT648" s="46"/>
      <c r="AU648" s="46"/>
      <c r="AV648" s="46"/>
      <c r="AW648" s="46"/>
      <c r="AX648" s="46"/>
      <c r="AY648" s="46"/>
      <c r="AZ648" s="46"/>
      <c r="BA648" s="46"/>
      <c r="BB648" s="46"/>
      <c r="BC648" s="46"/>
      <c r="BD648" s="46"/>
      <c r="BE648" s="46"/>
    </row>
    <row r="649" spans="1:57" ht="14.25" customHeight="1" x14ac:dyDescent="0.3">
      <c r="A649" s="46"/>
      <c r="B649" s="37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  <c r="AC649" s="46"/>
      <c r="AD649" s="46"/>
      <c r="AE649" s="46"/>
      <c r="AF649" s="46"/>
      <c r="AG649" s="46"/>
      <c r="AH649" s="46"/>
      <c r="AI649" s="46"/>
      <c r="AJ649" s="46"/>
      <c r="AK649" s="46"/>
      <c r="AL649" s="46"/>
      <c r="AM649" s="46"/>
      <c r="AN649" s="46"/>
      <c r="AO649" s="46"/>
      <c r="AP649" s="46"/>
      <c r="AQ649" s="46"/>
      <c r="AR649" s="46"/>
      <c r="AS649" s="46"/>
      <c r="AT649" s="46"/>
      <c r="AU649" s="46"/>
      <c r="AV649" s="46"/>
      <c r="AW649" s="46"/>
      <c r="AX649" s="46"/>
      <c r="AY649" s="46"/>
      <c r="AZ649" s="46"/>
      <c r="BA649" s="46"/>
      <c r="BB649" s="46"/>
      <c r="BC649" s="46"/>
      <c r="BD649" s="46"/>
      <c r="BE649" s="46"/>
    </row>
    <row r="650" spans="1:57" ht="14.25" customHeight="1" x14ac:dyDescent="0.3">
      <c r="A650" s="46"/>
      <c r="B650" s="37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  <c r="AC650" s="46"/>
      <c r="AD650" s="46"/>
      <c r="AE650" s="46"/>
      <c r="AF650" s="46"/>
      <c r="AG650" s="46"/>
      <c r="AH650" s="46"/>
      <c r="AI650" s="46"/>
      <c r="AJ650" s="46"/>
      <c r="AK650" s="46"/>
      <c r="AL650" s="46"/>
      <c r="AM650" s="46"/>
      <c r="AN650" s="46"/>
      <c r="AO650" s="46"/>
      <c r="AP650" s="46"/>
      <c r="AQ650" s="46"/>
      <c r="AR650" s="46"/>
      <c r="AS650" s="46"/>
      <c r="AT650" s="46"/>
      <c r="AU650" s="46"/>
      <c r="AV650" s="46"/>
      <c r="AW650" s="46"/>
      <c r="AX650" s="46"/>
      <c r="AY650" s="46"/>
      <c r="AZ650" s="46"/>
      <c r="BA650" s="46"/>
      <c r="BB650" s="46"/>
      <c r="BC650" s="46"/>
      <c r="BD650" s="46"/>
      <c r="BE650" s="46"/>
    </row>
    <row r="651" spans="1:57" ht="14.25" customHeight="1" x14ac:dyDescent="0.3">
      <c r="A651" s="46"/>
      <c r="B651" s="37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  <c r="AC651" s="46"/>
      <c r="AD651" s="46"/>
      <c r="AE651" s="46"/>
      <c r="AF651" s="46"/>
      <c r="AG651" s="46"/>
      <c r="AH651" s="46"/>
      <c r="AI651" s="46"/>
      <c r="AJ651" s="46"/>
      <c r="AK651" s="46"/>
      <c r="AL651" s="46"/>
      <c r="AM651" s="46"/>
      <c r="AN651" s="46"/>
      <c r="AO651" s="46"/>
      <c r="AP651" s="46"/>
      <c r="AQ651" s="46"/>
      <c r="AR651" s="46"/>
      <c r="AS651" s="46"/>
      <c r="AT651" s="46"/>
      <c r="AU651" s="46"/>
      <c r="AV651" s="46"/>
      <c r="AW651" s="46"/>
      <c r="AX651" s="46"/>
      <c r="AY651" s="46"/>
      <c r="AZ651" s="46"/>
      <c r="BA651" s="46"/>
      <c r="BB651" s="46"/>
      <c r="BC651" s="46"/>
      <c r="BD651" s="46"/>
      <c r="BE651" s="46"/>
    </row>
    <row r="652" spans="1:57" ht="14.25" customHeight="1" x14ac:dyDescent="0.3">
      <c r="A652" s="46"/>
      <c r="B652" s="37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  <c r="AC652" s="46"/>
      <c r="AD652" s="46"/>
      <c r="AE652" s="46"/>
      <c r="AF652" s="46"/>
      <c r="AG652" s="46"/>
      <c r="AH652" s="46"/>
      <c r="AI652" s="46"/>
      <c r="AJ652" s="46"/>
      <c r="AK652" s="46"/>
      <c r="AL652" s="46"/>
      <c r="AM652" s="46"/>
      <c r="AN652" s="46"/>
      <c r="AO652" s="46"/>
      <c r="AP652" s="46"/>
      <c r="AQ652" s="46"/>
      <c r="AR652" s="46"/>
      <c r="AS652" s="46"/>
      <c r="AT652" s="46"/>
      <c r="AU652" s="46"/>
      <c r="AV652" s="46"/>
      <c r="AW652" s="46"/>
      <c r="AX652" s="46"/>
      <c r="AY652" s="46"/>
      <c r="AZ652" s="46"/>
      <c r="BA652" s="46"/>
      <c r="BB652" s="46"/>
      <c r="BC652" s="46"/>
      <c r="BD652" s="46"/>
      <c r="BE652" s="46"/>
    </row>
    <row r="653" spans="1:57" ht="14.25" customHeight="1" x14ac:dyDescent="0.3">
      <c r="A653" s="46"/>
      <c r="B653" s="37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  <c r="AC653" s="46"/>
      <c r="AD653" s="46"/>
      <c r="AE653" s="46"/>
      <c r="AF653" s="46"/>
      <c r="AG653" s="46"/>
      <c r="AH653" s="46"/>
      <c r="AI653" s="46"/>
      <c r="AJ653" s="46"/>
      <c r="AK653" s="46"/>
      <c r="AL653" s="46"/>
      <c r="AM653" s="46"/>
      <c r="AN653" s="46"/>
      <c r="AO653" s="46"/>
      <c r="AP653" s="46"/>
      <c r="AQ653" s="46"/>
      <c r="AR653" s="46"/>
      <c r="AS653" s="46"/>
      <c r="AT653" s="46"/>
      <c r="AU653" s="46"/>
      <c r="AV653" s="46"/>
      <c r="AW653" s="46"/>
      <c r="AX653" s="46"/>
      <c r="AY653" s="46"/>
      <c r="AZ653" s="46"/>
      <c r="BA653" s="46"/>
      <c r="BB653" s="46"/>
      <c r="BC653" s="46"/>
      <c r="BD653" s="46"/>
      <c r="BE653" s="46"/>
    </row>
    <row r="654" spans="1:57" ht="14.25" customHeight="1" x14ac:dyDescent="0.3">
      <c r="A654" s="46"/>
      <c r="B654" s="37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  <c r="AC654" s="46"/>
      <c r="AD654" s="46"/>
      <c r="AE654" s="46"/>
      <c r="AF654" s="46"/>
      <c r="AG654" s="46"/>
      <c r="AH654" s="46"/>
      <c r="AI654" s="46"/>
      <c r="AJ654" s="46"/>
      <c r="AK654" s="46"/>
      <c r="AL654" s="46"/>
      <c r="AM654" s="46"/>
      <c r="AN654" s="46"/>
      <c r="AO654" s="46"/>
      <c r="AP654" s="46"/>
      <c r="AQ654" s="46"/>
      <c r="AR654" s="46"/>
      <c r="AS654" s="46"/>
      <c r="AT654" s="46"/>
      <c r="AU654" s="46"/>
      <c r="AV654" s="46"/>
      <c r="AW654" s="46"/>
      <c r="AX654" s="46"/>
      <c r="AY654" s="46"/>
      <c r="AZ654" s="46"/>
      <c r="BA654" s="46"/>
      <c r="BB654" s="46"/>
      <c r="BC654" s="46"/>
      <c r="BD654" s="46"/>
      <c r="BE654" s="46"/>
    </row>
    <row r="655" spans="1:57" ht="14.25" customHeight="1" x14ac:dyDescent="0.3">
      <c r="A655" s="46"/>
      <c r="B655" s="37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  <c r="AC655" s="46"/>
      <c r="AD655" s="46"/>
      <c r="AE655" s="46"/>
      <c r="AF655" s="46"/>
      <c r="AG655" s="46"/>
      <c r="AH655" s="46"/>
      <c r="AI655" s="46"/>
      <c r="AJ655" s="46"/>
      <c r="AK655" s="46"/>
      <c r="AL655" s="46"/>
      <c r="AM655" s="46"/>
      <c r="AN655" s="46"/>
      <c r="AO655" s="46"/>
      <c r="AP655" s="46"/>
      <c r="AQ655" s="46"/>
      <c r="AR655" s="46"/>
      <c r="AS655" s="46"/>
      <c r="AT655" s="46"/>
      <c r="AU655" s="46"/>
      <c r="AV655" s="46"/>
      <c r="AW655" s="46"/>
      <c r="AX655" s="46"/>
      <c r="AY655" s="46"/>
      <c r="AZ655" s="46"/>
      <c r="BA655" s="46"/>
      <c r="BB655" s="46"/>
      <c r="BC655" s="46"/>
      <c r="BD655" s="46"/>
      <c r="BE655" s="46"/>
    </row>
    <row r="656" spans="1:57" ht="14.25" customHeight="1" x14ac:dyDescent="0.3">
      <c r="A656" s="46"/>
      <c r="B656" s="37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  <c r="AC656" s="46"/>
      <c r="AD656" s="46"/>
      <c r="AE656" s="46"/>
      <c r="AF656" s="46"/>
      <c r="AG656" s="46"/>
      <c r="AH656" s="46"/>
      <c r="AI656" s="46"/>
      <c r="AJ656" s="46"/>
      <c r="AK656" s="46"/>
      <c r="AL656" s="46"/>
      <c r="AM656" s="46"/>
      <c r="AN656" s="46"/>
      <c r="AO656" s="46"/>
      <c r="AP656" s="46"/>
      <c r="AQ656" s="46"/>
      <c r="AR656" s="46"/>
      <c r="AS656" s="46"/>
      <c r="AT656" s="46"/>
      <c r="AU656" s="46"/>
      <c r="AV656" s="46"/>
      <c r="AW656" s="46"/>
      <c r="AX656" s="46"/>
      <c r="AY656" s="46"/>
      <c r="AZ656" s="46"/>
      <c r="BA656" s="46"/>
      <c r="BB656" s="46"/>
      <c r="BC656" s="46"/>
      <c r="BD656" s="46"/>
      <c r="BE656" s="46"/>
    </row>
    <row r="657" spans="1:57" ht="14.25" customHeight="1" x14ac:dyDescent="0.3">
      <c r="A657" s="46"/>
      <c r="B657" s="37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  <c r="AC657" s="46"/>
      <c r="AD657" s="46"/>
      <c r="AE657" s="46"/>
      <c r="AF657" s="46"/>
      <c r="AG657" s="46"/>
      <c r="AH657" s="46"/>
      <c r="AI657" s="46"/>
      <c r="AJ657" s="46"/>
      <c r="AK657" s="46"/>
      <c r="AL657" s="46"/>
      <c r="AM657" s="46"/>
      <c r="AN657" s="46"/>
      <c r="AO657" s="46"/>
      <c r="AP657" s="46"/>
      <c r="AQ657" s="46"/>
      <c r="AR657" s="46"/>
      <c r="AS657" s="46"/>
      <c r="AT657" s="46"/>
      <c r="AU657" s="46"/>
      <c r="AV657" s="46"/>
      <c r="AW657" s="46"/>
      <c r="AX657" s="46"/>
      <c r="AY657" s="46"/>
      <c r="AZ657" s="46"/>
      <c r="BA657" s="46"/>
      <c r="BB657" s="46"/>
      <c r="BC657" s="46"/>
      <c r="BD657" s="46"/>
      <c r="BE657" s="46"/>
    </row>
    <row r="658" spans="1:57" ht="14.25" customHeight="1" x14ac:dyDescent="0.3">
      <c r="A658" s="46"/>
      <c r="B658" s="37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  <c r="AC658" s="46"/>
      <c r="AD658" s="46"/>
      <c r="AE658" s="46"/>
      <c r="AF658" s="46"/>
      <c r="AG658" s="46"/>
      <c r="AH658" s="46"/>
      <c r="AI658" s="46"/>
      <c r="AJ658" s="46"/>
      <c r="AK658" s="46"/>
      <c r="AL658" s="46"/>
      <c r="AM658" s="46"/>
      <c r="AN658" s="46"/>
      <c r="AO658" s="46"/>
      <c r="AP658" s="46"/>
      <c r="AQ658" s="46"/>
      <c r="AR658" s="46"/>
      <c r="AS658" s="46"/>
      <c r="AT658" s="46"/>
      <c r="AU658" s="46"/>
      <c r="AV658" s="46"/>
      <c r="AW658" s="46"/>
      <c r="AX658" s="46"/>
      <c r="AY658" s="46"/>
      <c r="AZ658" s="46"/>
      <c r="BA658" s="46"/>
      <c r="BB658" s="46"/>
      <c r="BC658" s="46"/>
      <c r="BD658" s="46"/>
      <c r="BE658" s="46"/>
    </row>
    <row r="659" spans="1:57" ht="14.25" customHeight="1" x14ac:dyDescent="0.3">
      <c r="A659" s="46"/>
      <c r="B659" s="37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  <c r="AC659" s="46"/>
      <c r="AD659" s="46"/>
      <c r="AE659" s="46"/>
      <c r="AF659" s="46"/>
      <c r="AG659" s="46"/>
      <c r="AH659" s="46"/>
      <c r="AI659" s="46"/>
      <c r="AJ659" s="46"/>
      <c r="AK659" s="46"/>
      <c r="AL659" s="46"/>
      <c r="AM659" s="46"/>
      <c r="AN659" s="46"/>
      <c r="AO659" s="46"/>
      <c r="AP659" s="46"/>
      <c r="AQ659" s="46"/>
      <c r="AR659" s="46"/>
      <c r="AS659" s="46"/>
      <c r="AT659" s="46"/>
      <c r="AU659" s="46"/>
      <c r="AV659" s="46"/>
      <c r="AW659" s="46"/>
      <c r="AX659" s="46"/>
      <c r="AY659" s="46"/>
      <c r="AZ659" s="46"/>
      <c r="BA659" s="46"/>
      <c r="BB659" s="46"/>
      <c r="BC659" s="46"/>
      <c r="BD659" s="46"/>
      <c r="BE659" s="46"/>
    </row>
    <row r="660" spans="1:57" ht="14.25" customHeight="1" x14ac:dyDescent="0.3">
      <c r="A660" s="46"/>
      <c r="B660" s="37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  <c r="AB660" s="46"/>
      <c r="AC660" s="46"/>
      <c r="AD660" s="46"/>
      <c r="AE660" s="46"/>
      <c r="AF660" s="46"/>
      <c r="AG660" s="46"/>
      <c r="AH660" s="46"/>
      <c r="AI660" s="46"/>
      <c r="AJ660" s="46"/>
      <c r="AK660" s="46"/>
      <c r="AL660" s="46"/>
      <c r="AM660" s="46"/>
      <c r="AN660" s="46"/>
      <c r="AO660" s="46"/>
      <c r="AP660" s="46"/>
      <c r="AQ660" s="46"/>
      <c r="AR660" s="46"/>
      <c r="AS660" s="46"/>
      <c r="AT660" s="46"/>
      <c r="AU660" s="46"/>
      <c r="AV660" s="46"/>
      <c r="AW660" s="46"/>
      <c r="AX660" s="46"/>
      <c r="AY660" s="46"/>
      <c r="AZ660" s="46"/>
      <c r="BA660" s="46"/>
      <c r="BB660" s="46"/>
      <c r="BC660" s="46"/>
      <c r="BD660" s="46"/>
      <c r="BE660" s="46"/>
    </row>
    <row r="661" spans="1:57" ht="14.25" customHeight="1" x14ac:dyDescent="0.3">
      <c r="A661" s="46"/>
      <c r="B661" s="37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  <c r="AB661" s="46"/>
      <c r="AC661" s="46"/>
      <c r="AD661" s="46"/>
      <c r="AE661" s="46"/>
      <c r="AF661" s="46"/>
      <c r="AG661" s="46"/>
      <c r="AH661" s="46"/>
      <c r="AI661" s="46"/>
      <c r="AJ661" s="46"/>
      <c r="AK661" s="46"/>
      <c r="AL661" s="46"/>
      <c r="AM661" s="46"/>
      <c r="AN661" s="46"/>
      <c r="AO661" s="46"/>
      <c r="AP661" s="46"/>
      <c r="AQ661" s="46"/>
      <c r="AR661" s="46"/>
      <c r="AS661" s="46"/>
      <c r="AT661" s="46"/>
      <c r="AU661" s="46"/>
      <c r="AV661" s="46"/>
      <c r="AW661" s="46"/>
      <c r="AX661" s="46"/>
      <c r="AY661" s="46"/>
      <c r="AZ661" s="46"/>
      <c r="BA661" s="46"/>
      <c r="BB661" s="46"/>
      <c r="BC661" s="46"/>
      <c r="BD661" s="46"/>
      <c r="BE661" s="46"/>
    </row>
    <row r="662" spans="1:57" ht="14.25" customHeight="1" x14ac:dyDescent="0.3">
      <c r="A662" s="46"/>
      <c r="B662" s="37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  <c r="AB662" s="46"/>
      <c r="AC662" s="46"/>
      <c r="AD662" s="46"/>
      <c r="AE662" s="46"/>
      <c r="AF662" s="46"/>
      <c r="AG662" s="46"/>
      <c r="AH662" s="46"/>
      <c r="AI662" s="46"/>
      <c r="AJ662" s="46"/>
      <c r="AK662" s="46"/>
      <c r="AL662" s="46"/>
      <c r="AM662" s="46"/>
      <c r="AN662" s="46"/>
      <c r="AO662" s="46"/>
      <c r="AP662" s="46"/>
      <c r="AQ662" s="46"/>
      <c r="AR662" s="46"/>
      <c r="AS662" s="46"/>
      <c r="AT662" s="46"/>
      <c r="AU662" s="46"/>
      <c r="AV662" s="46"/>
      <c r="AW662" s="46"/>
      <c r="AX662" s="46"/>
      <c r="AY662" s="46"/>
      <c r="AZ662" s="46"/>
      <c r="BA662" s="46"/>
      <c r="BB662" s="46"/>
      <c r="BC662" s="46"/>
      <c r="BD662" s="46"/>
      <c r="BE662" s="46"/>
    </row>
    <row r="663" spans="1:57" ht="14.25" customHeight="1" x14ac:dyDescent="0.3">
      <c r="A663" s="46"/>
      <c r="B663" s="37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  <c r="AB663" s="46"/>
      <c r="AC663" s="46"/>
      <c r="AD663" s="46"/>
      <c r="AE663" s="46"/>
      <c r="AF663" s="46"/>
      <c r="AG663" s="46"/>
      <c r="AH663" s="46"/>
      <c r="AI663" s="46"/>
      <c r="AJ663" s="46"/>
      <c r="AK663" s="46"/>
      <c r="AL663" s="46"/>
      <c r="AM663" s="46"/>
      <c r="AN663" s="46"/>
      <c r="AO663" s="46"/>
      <c r="AP663" s="46"/>
      <c r="AQ663" s="46"/>
      <c r="AR663" s="46"/>
      <c r="AS663" s="46"/>
      <c r="AT663" s="46"/>
      <c r="AU663" s="46"/>
      <c r="AV663" s="46"/>
      <c r="AW663" s="46"/>
      <c r="AX663" s="46"/>
      <c r="AY663" s="46"/>
      <c r="AZ663" s="46"/>
      <c r="BA663" s="46"/>
      <c r="BB663" s="46"/>
      <c r="BC663" s="46"/>
      <c r="BD663" s="46"/>
      <c r="BE663" s="46"/>
    </row>
    <row r="664" spans="1:57" ht="14.25" customHeight="1" x14ac:dyDescent="0.3">
      <c r="A664" s="46"/>
      <c r="B664" s="37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  <c r="AC664" s="46"/>
      <c r="AD664" s="46"/>
      <c r="AE664" s="46"/>
      <c r="AF664" s="46"/>
      <c r="AG664" s="46"/>
      <c r="AH664" s="46"/>
      <c r="AI664" s="46"/>
      <c r="AJ664" s="46"/>
      <c r="AK664" s="46"/>
      <c r="AL664" s="46"/>
      <c r="AM664" s="46"/>
      <c r="AN664" s="46"/>
      <c r="AO664" s="46"/>
      <c r="AP664" s="46"/>
      <c r="AQ664" s="46"/>
      <c r="AR664" s="46"/>
      <c r="AS664" s="46"/>
      <c r="AT664" s="46"/>
      <c r="AU664" s="46"/>
      <c r="AV664" s="46"/>
      <c r="AW664" s="46"/>
      <c r="AX664" s="46"/>
      <c r="AY664" s="46"/>
      <c r="AZ664" s="46"/>
      <c r="BA664" s="46"/>
      <c r="BB664" s="46"/>
      <c r="BC664" s="46"/>
      <c r="BD664" s="46"/>
      <c r="BE664" s="46"/>
    </row>
    <row r="665" spans="1:57" ht="14.25" customHeight="1" x14ac:dyDescent="0.3">
      <c r="A665" s="46"/>
      <c r="B665" s="37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  <c r="AB665" s="46"/>
      <c r="AC665" s="46"/>
      <c r="AD665" s="46"/>
      <c r="AE665" s="46"/>
      <c r="AF665" s="46"/>
      <c r="AG665" s="46"/>
      <c r="AH665" s="46"/>
      <c r="AI665" s="46"/>
      <c r="AJ665" s="46"/>
      <c r="AK665" s="46"/>
      <c r="AL665" s="46"/>
      <c r="AM665" s="46"/>
      <c r="AN665" s="46"/>
      <c r="AO665" s="46"/>
      <c r="AP665" s="46"/>
      <c r="AQ665" s="46"/>
      <c r="AR665" s="46"/>
      <c r="AS665" s="46"/>
      <c r="AT665" s="46"/>
      <c r="AU665" s="46"/>
      <c r="AV665" s="46"/>
      <c r="AW665" s="46"/>
      <c r="AX665" s="46"/>
      <c r="AY665" s="46"/>
      <c r="AZ665" s="46"/>
      <c r="BA665" s="46"/>
      <c r="BB665" s="46"/>
      <c r="BC665" s="46"/>
      <c r="BD665" s="46"/>
      <c r="BE665" s="46"/>
    </row>
    <row r="666" spans="1:57" ht="14.25" customHeight="1" x14ac:dyDescent="0.3">
      <c r="A666" s="46"/>
      <c r="B666" s="37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  <c r="AB666" s="46"/>
      <c r="AC666" s="46"/>
      <c r="AD666" s="46"/>
      <c r="AE666" s="46"/>
      <c r="AF666" s="46"/>
      <c r="AG666" s="46"/>
      <c r="AH666" s="46"/>
      <c r="AI666" s="46"/>
      <c r="AJ666" s="46"/>
      <c r="AK666" s="46"/>
      <c r="AL666" s="46"/>
      <c r="AM666" s="46"/>
      <c r="AN666" s="46"/>
      <c r="AO666" s="46"/>
      <c r="AP666" s="46"/>
      <c r="AQ666" s="46"/>
      <c r="AR666" s="46"/>
      <c r="AS666" s="46"/>
      <c r="AT666" s="46"/>
      <c r="AU666" s="46"/>
      <c r="AV666" s="46"/>
      <c r="AW666" s="46"/>
      <c r="AX666" s="46"/>
      <c r="AY666" s="46"/>
      <c r="AZ666" s="46"/>
      <c r="BA666" s="46"/>
      <c r="BB666" s="46"/>
      <c r="BC666" s="46"/>
      <c r="BD666" s="46"/>
      <c r="BE666" s="46"/>
    </row>
    <row r="667" spans="1:57" ht="14.25" customHeight="1" x14ac:dyDescent="0.3">
      <c r="A667" s="46"/>
      <c r="B667" s="37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  <c r="AB667" s="46"/>
      <c r="AC667" s="46"/>
      <c r="AD667" s="46"/>
      <c r="AE667" s="46"/>
      <c r="AF667" s="46"/>
      <c r="AG667" s="46"/>
      <c r="AH667" s="46"/>
      <c r="AI667" s="46"/>
      <c r="AJ667" s="46"/>
      <c r="AK667" s="46"/>
      <c r="AL667" s="46"/>
      <c r="AM667" s="46"/>
      <c r="AN667" s="46"/>
      <c r="AO667" s="46"/>
      <c r="AP667" s="46"/>
      <c r="AQ667" s="46"/>
      <c r="AR667" s="46"/>
      <c r="AS667" s="46"/>
      <c r="AT667" s="46"/>
      <c r="AU667" s="46"/>
      <c r="AV667" s="46"/>
      <c r="AW667" s="46"/>
      <c r="AX667" s="46"/>
      <c r="AY667" s="46"/>
      <c r="AZ667" s="46"/>
      <c r="BA667" s="46"/>
      <c r="BB667" s="46"/>
      <c r="BC667" s="46"/>
      <c r="BD667" s="46"/>
      <c r="BE667" s="46"/>
    </row>
    <row r="668" spans="1:57" ht="14.25" customHeight="1" x14ac:dyDescent="0.3">
      <c r="A668" s="46"/>
      <c r="B668" s="37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  <c r="AB668" s="46"/>
      <c r="AC668" s="46"/>
      <c r="AD668" s="46"/>
      <c r="AE668" s="46"/>
      <c r="AF668" s="46"/>
      <c r="AG668" s="46"/>
      <c r="AH668" s="46"/>
      <c r="AI668" s="46"/>
      <c r="AJ668" s="46"/>
      <c r="AK668" s="46"/>
      <c r="AL668" s="46"/>
      <c r="AM668" s="46"/>
      <c r="AN668" s="46"/>
      <c r="AO668" s="46"/>
      <c r="AP668" s="46"/>
      <c r="AQ668" s="46"/>
      <c r="AR668" s="46"/>
      <c r="AS668" s="46"/>
      <c r="AT668" s="46"/>
      <c r="AU668" s="46"/>
      <c r="AV668" s="46"/>
      <c r="AW668" s="46"/>
      <c r="AX668" s="46"/>
      <c r="AY668" s="46"/>
      <c r="AZ668" s="46"/>
      <c r="BA668" s="46"/>
      <c r="BB668" s="46"/>
      <c r="BC668" s="46"/>
      <c r="BD668" s="46"/>
      <c r="BE668" s="46"/>
    </row>
    <row r="669" spans="1:57" ht="14.25" customHeight="1" x14ac:dyDescent="0.3">
      <c r="A669" s="46"/>
      <c r="B669" s="37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  <c r="AB669" s="46"/>
      <c r="AC669" s="46"/>
      <c r="AD669" s="46"/>
      <c r="AE669" s="46"/>
      <c r="AF669" s="46"/>
      <c r="AG669" s="46"/>
      <c r="AH669" s="46"/>
      <c r="AI669" s="46"/>
      <c r="AJ669" s="46"/>
      <c r="AK669" s="46"/>
      <c r="AL669" s="46"/>
      <c r="AM669" s="46"/>
      <c r="AN669" s="46"/>
      <c r="AO669" s="46"/>
      <c r="AP669" s="46"/>
      <c r="AQ669" s="46"/>
      <c r="AR669" s="46"/>
      <c r="AS669" s="46"/>
      <c r="AT669" s="46"/>
      <c r="AU669" s="46"/>
      <c r="AV669" s="46"/>
      <c r="AW669" s="46"/>
      <c r="AX669" s="46"/>
      <c r="AY669" s="46"/>
      <c r="AZ669" s="46"/>
      <c r="BA669" s="46"/>
      <c r="BB669" s="46"/>
      <c r="BC669" s="46"/>
      <c r="BD669" s="46"/>
      <c r="BE669" s="46"/>
    </row>
    <row r="670" spans="1:57" ht="14.25" customHeight="1" x14ac:dyDescent="0.3">
      <c r="A670" s="46"/>
      <c r="B670" s="37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  <c r="AB670" s="46"/>
      <c r="AC670" s="46"/>
      <c r="AD670" s="46"/>
      <c r="AE670" s="46"/>
      <c r="AF670" s="46"/>
      <c r="AG670" s="46"/>
      <c r="AH670" s="46"/>
      <c r="AI670" s="46"/>
      <c r="AJ670" s="46"/>
      <c r="AK670" s="46"/>
      <c r="AL670" s="46"/>
      <c r="AM670" s="46"/>
      <c r="AN670" s="46"/>
      <c r="AO670" s="46"/>
      <c r="AP670" s="46"/>
      <c r="AQ670" s="46"/>
      <c r="AR670" s="46"/>
      <c r="AS670" s="46"/>
      <c r="AT670" s="46"/>
      <c r="AU670" s="46"/>
      <c r="AV670" s="46"/>
      <c r="AW670" s="46"/>
      <c r="AX670" s="46"/>
      <c r="AY670" s="46"/>
      <c r="AZ670" s="46"/>
      <c r="BA670" s="46"/>
      <c r="BB670" s="46"/>
      <c r="BC670" s="46"/>
      <c r="BD670" s="46"/>
      <c r="BE670" s="46"/>
    </row>
    <row r="671" spans="1:57" ht="14.25" customHeight="1" x14ac:dyDescent="0.3">
      <c r="A671" s="46"/>
      <c r="B671" s="37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  <c r="AC671" s="46"/>
      <c r="AD671" s="46"/>
      <c r="AE671" s="46"/>
      <c r="AF671" s="46"/>
      <c r="AG671" s="46"/>
      <c r="AH671" s="46"/>
      <c r="AI671" s="46"/>
      <c r="AJ671" s="46"/>
      <c r="AK671" s="46"/>
      <c r="AL671" s="46"/>
      <c r="AM671" s="46"/>
      <c r="AN671" s="46"/>
      <c r="AO671" s="46"/>
      <c r="AP671" s="46"/>
      <c r="AQ671" s="46"/>
      <c r="AR671" s="46"/>
      <c r="AS671" s="46"/>
      <c r="AT671" s="46"/>
      <c r="AU671" s="46"/>
      <c r="AV671" s="46"/>
      <c r="AW671" s="46"/>
      <c r="AX671" s="46"/>
      <c r="AY671" s="46"/>
      <c r="AZ671" s="46"/>
      <c r="BA671" s="46"/>
      <c r="BB671" s="46"/>
      <c r="BC671" s="46"/>
      <c r="BD671" s="46"/>
      <c r="BE671" s="46"/>
    </row>
    <row r="672" spans="1:57" ht="14.25" customHeight="1" x14ac:dyDescent="0.3">
      <c r="A672" s="46"/>
      <c r="B672" s="37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  <c r="AB672" s="46"/>
      <c r="AC672" s="46"/>
      <c r="AD672" s="46"/>
      <c r="AE672" s="46"/>
      <c r="AF672" s="46"/>
      <c r="AG672" s="46"/>
      <c r="AH672" s="46"/>
      <c r="AI672" s="46"/>
      <c r="AJ672" s="46"/>
      <c r="AK672" s="46"/>
      <c r="AL672" s="46"/>
      <c r="AM672" s="46"/>
      <c r="AN672" s="46"/>
      <c r="AO672" s="46"/>
      <c r="AP672" s="46"/>
      <c r="AQ672" s="46"/>
      <c r="AR672" s="46"/>
      <c r="AS672" s="46"/>
      <c r="AT672" s="46"/>
      <c r="AU672" s="46"/>
      <c r="AV672" s="46"/>
      <c r="AW672" s="46"/>
      <c r="AX672" s="46"/>
      <c r="AY672" s="46"/>
      <c r="AZ672" s="46"/>
      <c r="BA672" s="46"/>
      <c r="BB672" s="46"/>
      <c r="BC672" s="46"/>
      <c r="BD672" s="46"/>
      <c r="BE672" s="46"/>
    </row>
    <row r="673" spans="1:57" ht="14.25" customHeight="1" x14ac:dyDescent="0.3">
      <c r="A673" s="46"/>
      <c r="B673" s="37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  <c r="AC673" s="46"/>
      <c r="AD673" s="46"/>
      <c r="AE673" s="46"/>
      <c r="AF673" s="46"/>
      <c r="AG673" s="46"/>
      <c r="AH673" s="46"/>
      <c r="AI673" s="46"/>
      <c r="AJ673" s="46"/>
      <c r="AK673" s="46"/>
      <c r="AL673" s="46"/>
      <c r="AM673" s="46"/>
      <c r="AN673" s="46"/>
      <c r="AO673" s="46"/>
      <c r="AP673" s="46"/>
      <c r="AQ673" s="46"/>
      <c r="AR673" s="46"/>
      <c r="AS673" s="46"/>
      <c r="AT673" s="46"/>
      <c r="AU673" s="46"/>
      <c r="AV673" s="46"/>
      <c r="AW673" s="46"/>
      <c r="AX673" s="46"/>
      <c r="AY673" s="46"/>
      <c r="AZ673" s="46"/>
      <c r="BA673" s="46"/>
      <c r="BB673" s="46"/>
      <c r="BC673" s="46"/>
      <c r="BD673" s="46"/>
      <c r="BE673" s="46"/>
    </row>
    <row r="674" spans="1:57" ht="14.25" customHeight="1" x14ac:dyDescent="0.3">
      <c r="A674" s="46"/>
      <c r="B674" s="37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  <c r="AC674" s="46"/>
      <c r="AD674" s="46"/>
      <c r="AE674" s="46"/>
      <c r="AF674" s="46"/>
      <c r="AG674" s="46"/>
      <c r="AH674" s="46"/>
      <c r="AI674" s="46"/>
      <c r="AJ674" s="46"/>
      <c r="AK674" s="46"/>
      <c r="AL674" s="46"/>
      <c r="AM674" s="46"/>
      <c r="AN674" s="46"/>
      <c r="AO674" s="46"/>
      <c r="AP674" s="46"/>
      <c r="AQ674" s="46"/>
      <c r="AR674" s="46"/>
      <c r="AS674" s="46"/>
      <c r="AT674" s="46"/>
      <c r="AU674" s="46"/>
      <c r="AV674" s="46"/>
      <c r="AW674" s="46"/>
      <c r="AX674" s="46"/>
      <c r="AY674" s="46"/>
      <c r="AZ674" s="46"/>
      <c r="BA674" s="46"/>
      <c r="BB674" s="46"/>
      <c r="BC674" s="46"/>
      <c r="BD674" s="46"/>
      <c r="BE674" s="46"/>
    </row>
    <row r="675" spans="1:57" ht="14.25" customHeight="1" x14ac:dyDescent="0.3">
      <c r="A675" s="46"/>
      <c r="B675" s="37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  <c r="AB675" s="46"/>
      <c r="AC675" s="46"/>
      <c r="AD675" s="46"/>
      <c r="AE675" s="46"/>
      <c r="AF675" s="46"/>
      <c r="AG675" s="46"/>
      <c r="AH675" s="46"/>
      <c r="AI675" s="46"/>
      <c r="AJ675" s="46"/>
      <c r="AK675" s="46"/>
      <c r="AL675" s="46"/>
      <c r="AM675" s="46"/>
      <c r="AN675" s="46"/>
      <c r="AO675" s="46"/>
      <c r="AP675" s="46"/>
      <c r="AQ675" s="46"/>
      <c r="AR675" s="46"/>
      <c r="AS675" s="46"/>
      <c r="AT675" s="46"/>
      <c r="AU675" s="46"/>
      <c r="AV675" s="46"/>
      <c r="AW675" s="46"/>
      <c r="AX675" s="46"/>
      <c r="AY675" s="46"/>
      <c r="AZ675" s="46"/>
      <c r="BA675" s="46"/>
      <c r="BB675" s="46"/>
      <c r="BC675" s="46"/>
      <c r="BD675" s="46"/>
      <c r="BE675" s="46"/>
    </row>
    <row r="676" spans="1:57" ht="14.25" customHeight="1" x14ac:dyDescent="0.3">
      <c r="A676" s="46"/>
      <c r="B676" s="37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  <c r="AB676" s="46"/>
      <c r="AC676" s="46"/>
      <c r="AD676" s="46"/>
      <c r="AE676" s="46"/>
      <c r="AF676" s="46"/>
      <c r="AG676" s="46"/>
      <c r="AH676" s="46"/>
      <c r="AI676" s="46"/>
      <c r="AJ676" s="46"/>
      <c r="AK676" s="46"/>
      <c r="AL676" s="46"/>
      <c r="AM676" s="46"/>
      <c r="AN676" s="46"/>
      <c r="AO676" s="46"/>
      <c r="AP676" s="46"/>
      <c r="AQ676" s="46"/>
      <c r="AR676" s="46"/>
      <c r="AS676" s="46"/>
      <c r="AT676" s="46"/>
      <c r="AU676" s="46"/>
      <c r="AV676" s="46"/>
      <c r="AW676" s="46"/>
      <c r="AX676" s="46"/>
      <c r="AY676" s="46"/>
      <c r="AZ676" s="46"/>
      <c r="BA676" s="46"/>
      <c r="BB676" s="46"/>
      <c r="BC676" s="46"/>
      <c r="BD676" s="46"/>
      <c r="BE676" s="46"/>
    </row>
    <row r="677" spans="1:57" ht="14.25" customHeight="1" x14ac:dyDescent="0.3">
      <c r="A677" s="46"/>
      <c r="B677" s="37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  <c r="AC677" s="46"/>
      <c r="AD677" s="46"/>
      <c r="AE677" s="46"/>
      <c r="AF677" s="46"/>
      <c r="AG677" s="46"/>
      <c r="AH677" s="46"/>
      <c r="AI677" s="46"/>
      <c r="AJ677" s="46"/>
      <c r="AK677" s="46"/>
      <c r="AL677" s="46"/>
      <c r="AM677" s="46"/>
      <c r="AN677" s="46"/>
      <c r="AO677" s="46"/>
      <c r="AP677" s="46"/>
      <c r="AQ677" s="46"/>
      <c r="AR677" s="46"/>
      <c r="AS677" s="46"/>
      <c r="AT677" s="46"/>
      <c r="AU677" s="46"/>
      <c r="AV677" s="46"/>
      <c r="AW677" s="46"/>
      <c r="AX677" s="46"/>
      <c r="AY677" s="46"/>
      <c r="AZ677" s="46"/>
      <c r="BA677" s="46"/>
      <c r="BB677" s="46"/>
      <c r="BC677" s="46"/>
      <c r="BD677" s="46"/>
      <c r="BE677" s="46"/>
    </row>
    <row r="678" spans="1:57" ht="14.25" customHeight="1" x14ac:dyDescent="0.3">
      <c r="A678" s="46"/>
      <c r="B678" s="37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  <c r="AB678" s="46"/>
      <c r="AC678" s="46"/>
      <c r="AD678" s="46"/>
      <c r="AE678" s="46"/>
      <c r="AF678" s="46"/>
      <c r="AG678" s="46"/>
      <c r="AH678" s="46"/>
      <c r="AI678" s="46"/>
      <c r="AJ678" s="46"/>
      <c r="AK678" s="46"/>
      <c r="AL678" s="46"/>
      <c r="AM678" s="46"/>
      <c r="AN678" s="46"/>
      <c r="AO678" s="46"/>
      <c r="AP678" s="46"/>
      <c r="AQ678" s="46"/>
      <c r="AR678" s="46"/>
      <c r="AS678" s="46"/>
      <c r="AT678" s="46"/>
      <c r="AU678" s="46"/>
      <c r="AV678" s="46"/>
      <c r="AW678" s="46"/>
      <c r="AX678" s="46"/>
      <c r="AY678" s="46"/>
      <c r="AZ678" s="46"/>
      <c r="BA678" s="46"/>
      <c r="BB678" s="46"/>
      <c r="BC678" s="46"/>
      <c r="BD678" s="46"/>
      <c r="BE678" s="46"/>
    </row>
    <row r="679" spans="1:57" ht="14.25" customHeight="1" x14ac:dyDescent="0.3">
      <c r="A679" s="46"/>
      <c r="B679" s="37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  <c r="AB679" s="46"/>
      <c r="AC679" s="46"/>
      <c r="AD679" s="46"/>
      <c r="AE679" s="46"/>
      <c r="AF679" s="46"/>
      <c r="AG679" s="46"/>
      <c r="AH679" s="46"/>
      <c r="AI679" s="46"/>
      <c r="AJ679" s="46"/>
      <c r="AK679" s="46"/>
      <c r="AL679" s="46"/>
      <c r="AM679" s="46"/>
      <c r="AN679" s="46"/>
      <c r="AO679" s="46"/>
      <c r="AP679" s="46"/>
      <c r="AQ679" s="46"/>
      <c r="AR679" s="46"/>
      <c r="AS679" s="46"/>
      <c r="AT679" s="46"/>
      <c r="AU679" s="46"/>
      <c r="AV679" s="46"/>
      <c r="AW679" s="46"/>
      <c r="AX679" s="46"/>
      <c r="AY679" s="46"/>
      <c r="AZ679" s="46"/>
      <c r="BA679" s="46"/>
      <c r="BB679" s="46"/>
      <c r="BC679" s="46"/>
      <c r="BD679" s="46"/>
      <c r="BE679" s="46"/>
    </row>
    <row r="680" spans="1:57" ht="14.25" customHeight="1" x14ac:dyDescent="0.3">
      <c r="A680" s="46"/>
      <c r="B680" s="37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  <c r="AB680" s="46"/>
      <c r="AC680" s="46"/>
      <c r="AD680" s="46"/>
      <c r="AE680" s="46"/>
      <c r="AF680" s="46"/>
      <c r="AG680" s="46"/>
      <c r="AH680" s="46"/>
      <c r="AI680" s="46"/>
      <c r="AJ680" s="46"/>
      <c r="AK680" s="46"/>
      <c r="AL680" s="46"/>
      <c r="AM680" s="46"/>
      <c r="AN680" s="46"/>
      <c r="AO680" s="46"/>
      <c r="AP680" s="46"/>
      <c r="AQ680" s="46"/>
      <c r="AR680" s="46"/>
      <c r="AS680" s="46"/>
      <c r="AT680" s="46"/>
      <c r="AU680" s="46"/>
      <c r="AV680" s="46"/>
      <c r="AW680" s="46"/>
      <c r="AX680" s="46"/>
      <c r="AY680" s="46"/>
      <c r="AZ680" s="46"/>
      <c r="BA680" s="46"/>
      <c r="BB680" s="46"/>
      <c r="BC680" s="46"/>
      <c r="BD680" s="46"/>
      <c r="BE680" s="46"/>
    </row>
    <row r="681" spans="1:57" ht="14.25" customHeight="1" x14ac:dyDescent="0.3">
      <c r="A681" s="46"/>
      <c r="B681" s="37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  <c r="AB681" s="46"/>
      <c r="AC681" s="46"/>
      <c r="AD681" s="46"/>
      <c r="AE681" s="46"/>
      <c r="AF681" s="46"/>
      <c r="AG681" s="46"/>
      <c r="AH681" s="46"/>
      <c r="AI681" s="46"/>
      <c r="AJ681" s="46"/>
      <c r="AK681" s="46"/>
      <c r="AL681" s="46"/>
      <c r="AM681" s="46"/>
      <c r="AN681" s="46"/>
      <c r="AO681" s="46"/>
      <c r="AP681" s="46"/>
      <c r="AQ681" s="46"/>
      <c r="AR681" s="46"/>
      <c r="AS681" s="46"/>
      <c r="AT681" s="46"/>
      <c r="AU681" s="46"/>
      <c r="AV681" s="46"/>
      <c r="AW681" s="46"/>
      <c r="AX681" s="46"/>
      <c r="AY681" s="46"/>
      <c r="AZ681" s="46"/>
      <c r="BA681" s="46"/>
      <c r="BB681" s="46"/>
      <c r="BC681" s="46"/>
      <c r="BD681" s="46"/>
      <c r="BE681" s="46"/>
    </row>
    <row r="682" spans="1:57" ht="14.25" customHeight="1" x14ac:dyDescent="0.3">
      <c r="A682" s="46"/>
      <c r="B682" s="37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  <c r="AB682" s="46"/>
      <c r="AC682" s="46"/>
      <c r="AD682" s="46"/>
      <c r="AE682" s="46"/>
      <c r="AF682" s="46"/>
      <c r="AG682" s="46"/>
      <c r="AH682" s="46"/>
      <c r="AI682" s="46"/>
      <c r="AJ682" s="46"/>
      <c r="AK682" s="46"/>
      <c r="AL682" s="46"/>
      <c r="AM682" s="46"/>
      <c r="AN682" s="46"/>
      <c r="AO682" s="46"/>
      <c r="AP682" s="46"/>
      <c r="AQ682" s="46"/>
      <c r="AR682" s="46"/>
      <c r="AS682" s="46"/>
      <c r="AT682" s="46"/>
      <c r="AU682" s="46"/>
      <c r="AV682" s="46"/>
      <c r="AW682" s="46"/>
      <c r="AX682" s="46"/>
      <c r="AY682" s="46"/>
      <c r="AZ682" s="46"/>
      <c r="BA682" s="46"/>
      <c r="BB682" s="46"/>
      <c r="BC682" s="46"/>
      <c r="BD682" s="46"/>
      <c r="BE682" s="46"/>
    </row>
    <row r="683" spans="1:57" ht="14.25" customHeight="1" x14ac:dyDescent="0.3">
      <c r="A683" s="46"/>
      <c r="B683" s="37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  <c r="AB683" s="46"/>
      <c r="AC683" s="46"/>
      <c r="AD683" s="46"/>
      <c r="AE683" s="46"/>
      <c r="AF683" s="46"/>
      <c r="AG683" s="46"/>
      <c r="AH683" s="46"/>
      <c r="AI683" s="46"/>
      <c r="AJ683" s="46"/>
      <c r="AK683" s="46"/>
      <c r="AL683" s="46"/>
      <c r="AM683" s="46"/>
      <c r="AN683" s="46"/>
      <c r="AO683" s="46"/>
      <c r="AP683" s="46"/>
      <c r="AQ683" s="46"/>
      <c r="AR683" s="46"/>
      <c r="AS683" s="46"/>
      <c r="AT683" s="46"/>
      <c r="AU683" s="46"/>
      <c r="AV683" s="46"/>
      <c r="AW683" s="46"/>
      <c r="AX683" s="46"/>
      <c r="AY683" s="46"/>
      <c r="AZ683" s="46"/>
      <c r="BA683" s="46"/>
      <c r="BB683" s="46"/>
      <c r="BC683" s="46"/>
      <c r="BD683" s="46"/>
      <c r="BE683" s="46"/>
    </row>
    <row r="684" spans="1:57" ht="14.25" customHeight="1" x14ac:dyDescent="0.3">
      <c r="A684" s="46"/>
      <c r="B684" s="37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  <c r="AB684" s="46"/>
      <c r="AC684" s="46"/>
      <c r="AD684" s="46"/>
      <c r="AE684" s="46"/>
      <c r="AF684" s="46"/>
      <c r="AG684" s="46"/>
      <c r="AH684" s="46"/>
      <c r="AI684" s="46"/>
      <c r="AJ684" s="46"/>
      <c r="AK684" s="46"/>
      <c r="AL684" s="46"/>
      <c r="AM684" s="46"/>
      <c r="AN684" s="46"/>
      <c r="AO684" s="46"/>
      <c r="AP684" s="46"/>
      <c r="AQ684" s="46"/>
      <c r="AR684" s="46"/>
      <c r="AS684" s="46"/>
      <c r="AT684" s="46"/>
      <c r="AU684" s="46"/>
      <c r="AV684" s="46"/>
      <c r="AW684" s="46"/>
      <c r="AX684" s="46"/>
      <c r="AY684" s="46"/>
      <c r="AZ684" s="46"/>
      <c r="BA684" s="46"/>
      <c r="BB684" s="46"/>
      <c r="BC684" s="46"/>
      <c r="BD684" s="46"/>
      <c r="BE684" s="46"/>
    </row>
    <row r="685" spans="1:57" ht="14.25" customHeight="1" x14ac:dyDescent="0.3">
      <c r="A685" s="46"/>
      <c r="B685" s="37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  <c r="AB685" s="46"/>
      <c r="AC685" s="46"/>
      <c r="AD685" s="46"/>
      <c r="AE685" s="46"/>
      <c r="AF685" s="46"/>
      <c r="AG685" s="46"/>
      <c r="AH685" s="46"/>
      <c r="AI685" s="46"/>
      <c r="AJ685" s="46"/>
      <c r="AK685" s="46"/>
      <c r="AL685" s="46"/>
      <c r="AM685" s="46"/>
      <c r="AN685" s="46"/>
      <c r="AO685" s="46"/>
      <c r="AP685" s="46"/>
      <c r="AQ685" s="46"/>
      <c r="AR685" s="46"/>
      <c r="AS685" s="46"/>
      <c r="AT685" s="46"/>
      <c r="AU685" s="46"/>
      <c r="AV685" s="46"/>
      <c r="AW685" s="46"/>
      <c r="AX685" s="46"/>
      <c r="AY685" s="46"/>
      <c r="AZ685" s="46"/>
      <c r="BA685" s="46"/>
      <c r="BB685" s="46"/>
      <c r="BC685" s="46"/>
      <c r="BD685" s="46"/>
      <c r="BE685" s="46"/>
    </row>
    <row r="686" spans="1:57" ht="14.25" customHeight="1" x14ac:dyDescent="0.3">
      <c r="A686" s="46"/>
      <c r="B686" s="37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  <c r="AC686" s="46"/>
      <c r="AD686" s="46"/>
      <c r="AE686" s="46"/>
      <c r="AF686" s="46"/>
      <c r="AG686" s="46"/>
      <c r="AH686" s="46"/>
      <c r="AI686" s="46"/>
      <c r="AJ686" s="46"/>
      <c r="AK686" s="46"/>
      <c r="AL686" s="46"/>
      <c r="AM686" s="46"/>
      <c r="AN686" s="46"/>
      <c r="AO686" s="46"/>
      <c r="AP686" s="46"/>
      <c r="AQ686" s="46"/>
      <c r="AR686" s="46"/>
      <c r="AS686" s="46"/>
      <c r="AT686" s="46"/>
      <c r="AU686" s="46"/>
      <c r="AV686" s="46"/>
      <c r="AW686" s="46"/>
      <c r="AX686" s="46"/>
      <c r="AY686" s="46"/>
      <c r="AZ686" s="46"/>
      <c r="BA686" s="46"/>
      <c r="BB686" s="46"/>
      <c r="BC686" s="46"/>
      <c r="BD686" s="46"/>
      <c r="BE686" s="46"/>
    </row>
    <row r="687" spans="1:57" ht="14.25" customHeight="1" x14ac:dyDescent="0.3">
      <c r="A687" s="46"/>
      <c r="B687" s="37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  <c r="AC687" s="46"/>
      <c r="AD687" s="46"/>
      <c r="AE687" s="46"/>
      <c r="AF687" s="46"/>
      <c r="AG687" s="46"/>
      <c r="AH687" s="46"/>
      <c r="AI687" s="46"/>
      <c r="AJ687" s="46"/>
      <c r="AK687" s="46"/>
      <c r="AL687" s="46"/>
      <c r="AM687" s="46"/>
      <c r="AN687" s="46"/>
      <c r="AO687" s="46"/>
      <c r="AP687" s="46"/>
      <c r="AQ687" s="46"/>
      <c r="AR687" s="46"/>
      <c r="AS687" s="46"/>
      <c r="AT687" s="46"/>
      <c r="AU687" s="46"/>
      <c r="AV687" s="46"/>
      <c r="AW687" s="46"/>
      <c r="AX687" s="46"/>
      <c r="AY687" s="46"/>
      <c r="AZ687" s="46"/>
      <c r="BA687" s="46"/>
      <c r="BB687" s="46"/>
      <c r="BC687" s="46"/>
      <c r="BD687" s="46"/>
      <c r="BE687" s="46"/>
    </row>
    <row r="688" spans="1:57" ht="14.25" customHeight="1" x14ac:dyDescent="0.3">
      <c r="A688" s="46"/>
      <c r="B688" s="37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  <c r="AB688" s="46"/>
      <c r="AC688" s="46"/>
      <c r="AD688" s="46"/>
      <c r="AE688" s="46"/>
      <c r="AF688" s="46"/>
      <c r="AG688" s="46"/>
      <c r="AH688" s="46"/>
      <c r="AI688" s="46"/>
      <c r="AJ688" s="46"/>
      <c r="AK688" s="46"/>
      <c r="AL688" s="46"/>
      <c r="AM688" s="46"/>
      <c r="AN688" s="46"/>
      <c r="AO688" s="46"/>
      <c r="AP688" s="46"/>
      <c r="AQ688" s="46"/>
      <c r="AR688" s="46"/>
      <c r="AS688" s="46"/>
      <c r="AT688" s="46"/>
      <c r="AU688" s="46"/>
      <c r="AV688" s="46"/>
      <c r="AW688" s="46"/>
      <c r="AX688" s="46"/>
      <c r="AY688" s="46"/>
      <c r="AZ688" s="46"/>
      <c r="BA688" s="46"/>
      <c r="BB688" s="46"/>
      <c r="BC688" s="46"/>
      <c r="BD688" s="46"/>
      <c r="BE688" s="46"/>
    </row>
    <row r="689" spans="1:57" ht="14.25" customHeight="1" x14ac:dyDescent="0.3">
      <c r="A689" s="46"/>
      <c r="B689" s="37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  <c r="AC689" s="46"/>
      <c r="AD689" s="46"/>
      <c r="AE689" s="46"/>
      <c r="AF689" s="46"/>
      <c r="AG689" s="46"/>
      <c r="AH689" s="46"/>
      <c r="AI689" s="46"/>
      <c r="AJ689" s="46"/>
      <c r="AK689" s="46"/>
      <c r="AL689" s="46"/>
      <c r="AM689" s="46"/>
      <c r="AN689" s="46"/>
      <c r="AO689" s="46"/>
      <c r="AP689" s="46"/>
      <c r="AQ689" s="46"/>
      <c r="AR689" s="46"/>
      <c r="AS689" s="46"/>
      <c r="AT689" s="46"/>
      <c r="AU689" s="46"/>
      <c r="AV689" s="46"/>
      <c r="AW689" s="46"/>
      <c r="AX689" s="46"/>
      <c r="AY689" s="46"/>
      <c r="AZ689" s="46"/>
      <c r="BA689" s="46"/>
      <c r="BB689" s="46"/>
      <c r="BC689" s="46"/>
      <c r="BD689" s="46"/>
      <c r="BE689" s="46"/>
    </row>
    <row r="690" spans="1:57" ht="14.25" customHeight="1" x14ac:dyDescent="0.3">
      <c r="A690" s="46"/>
      <c r="B690" s="37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  <c r="AC690" s="46"/>
      <c r="AD690" s="46"/>
      <c r="AE690" s="46"/>
      <c r="AF690" s="46"/>
      <c r="AG690" s="46"/>
      <c r="AH690" s="46"/>
      <c r="AI690" s="46"/>
      <c r="AJ690" s="46"/>
      <c r="AK690" s="46"/>
      <c r="AL690" s="46"/>
      <c r="AM690" s="46"/>
      <c r="AN690" s="46"/>
      <c r="AO690" s="46"/>
      <c r="AP690" s="46"/>
      <c r="AQ690" s="46"/>
      <c r="AR690" s="46"/>
      <c r="AS690" s="46"/>
      <c r="AT690" s="46"/>
      <c r="AU690" s="46"/>
      <c r="AV690" s="46"/>
      <c r="AW690" s="46"/>
      <c r="AX690" s="46"/>
      <c r="AY690" s="46"/>
      <c r="AZ690" s="46"/>
      <c r="BA690" s="46"/>
      <c r="BB690" s="46"/>
      <c r="BC690" s="46"/>
      <c r="BD690" s="46"/>
      <c r="BE690" s="46"/>
    </row>
    <row r="691" spans="1:57" ht="14.25" customHeight="1" x14ac:dyDescent="0.3">
      <c r="A691" s="46"/>
      <c r="B691" s="37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  <c r="AC691" s="46"/>
      <c r="AD691" s="46"/>
      <c r="AE691" s="46"/>
      <c r="AF691" s="46"/>
      <c r="AG691" s="46"/>
      <c r="AH691" s="46"/>
      <c r="AI691" s="46"/>
      <c r="AJ691" s="46"/>
      <c r="AK691" s="46"/>
      <c r="AL691" s="46"/>
      <c r="AM691" s="46"/>
      <c r="AN691" s="46"/>
      <c r="AO691" s="46"/>
      <c r="AP691" s="46"/>
      <c r="AQ691" s="46"/>
      <c r="AR691" s="46"/>
      <c r="AS691" s="46"/>
      <c r="AT691" s="46"/>
      <c r="AU691" s="46"/>
      <c r="AV691" s="46"/>
      <c r="AW691" s="46"/>
      <c r="AX691" s="46"/>
      <c r="AY691" s="46"/>
      <c r="AZ691" s="46"/>
      <c r="BA691" s="46"/>
      <c r="BB691" s="46"/>
      <c r="BC691" s="46"/>
      <c r="BD691" s="46"/>
      <c r="BE691" s="46"/>
    </row>
    <row r="692" spans="1:57" ht="14.25" customHeight="1" x14ac:dyDescent="0.3">
      <c r="A692" s="46"/>
      <c r="B692" s="37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  <c r="AC692" s="46"/>
      <c r="AD692" s="46"/>
      <c r="AE692" s="46"/>
      <c r="AF692" s="46"/>
      <c r="AG692" s="46"/>
      <c r="AH692" s="46"/>
      <c r="AI692" s="46"/>
      <c r="AJ692" s="46"/>
      <c r="AK692" s="46"/>
      <c r="AL692" s="46"/>
      <c r="AM692" s="46"/>
      <c r="AN692" s="46"/>
      <c r="AO692" s="46"/>
      <c r="AP692" s="46"/>
      <c r="AQ692" s="46"/>
      <c r="AR692" s="46"/>
      <c r="AS692" s="46"/>
      <c r="AT692" s="46"/>
      <c r="AU692" s="46"/>
      <c r="AV692" s="46"/>
      <c r="AW692" s="46"/>
      <c r="AX692" s="46"/>
      <c r="AY692" s="46"/>
      <c r="AZ692" s="46"/>
      <c r="BA692" s="46"/>
      <c r="BB692" s="46"/>
      <c r="BC692" s="46"/>
      <c r="BD692" s="46"/>
      <c r="BE692" s="46"/>
    </row>
    <row r="693" spans="1:57" ht="14.25" customHeight="1" x14ac:dyDescent="0.3">
      <c r="A693" s="46"/>
      <c r="B693" s="37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  <c r="AC693" s="46"/>
      <c r="AD693" s="46"/>
      <c r="AE693" s="46"/>
      <c r="AF693" s="46"/>
      <c r="AG693" s="46"/>
      <c r="AH693" s="46"/>
      <c r="AI693" s="46"/>
      <c r="AJ693" s="46"/>
      <c r="AK693" s="46"/>
      <c r="AL693" s="46"/>
      <c r="AM693" s="46"/>
      <c r="AN693" s="46"/>
      <c r="AO693" s="46"/>
      <c r="AP693" s="46"/>
      <c r="AQ693" s="46"/>
      <c r="AR693" s="46"/>
      <c r="AS693" s="46"/>
      <c r="AT693" s="46"/>
      <c r="AU693" s="46"/>
      <c r="AV693" s="46"/>
      <c r="AW693" s="46"/>
      <c r="AX693" s="46"/>
      <c r="AY693" s="46"/>
      <c r="AZ693" s="46"/>
      <c r="BA693" s="46"/>
      <c r="BB693" s="46"/>
      <c r="BC693" s="46"/>
      <c r="BD693" s="46"/>
      <c r="BE693" s="46"/>
    </row>
    <row r="694" spans="1:57" ht="14.25" customHeight="1" x14ac:dyDescent="0.3">
      <c r="A694" s="46"/>
      <c r="B694" s="37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  <c r="AC694" s="46"/>
      <c r="AD694" s="46"/>
      <c r="AE694" s="46"/>
      <c r="AF694" s="46"/>
      <c r="AG694" s="46"/>
      <c r="AH694" s="46"/>
      <c r="AI694" s="46"/>
      <c r="AJ694" s="46"/>
      <c r="AK694" s="46"/>
      <c r="AL694" s="46"/>
      <c r="AM694" s="46"/>
      <c r="AN694" s="46"/>
      <c r="AO694" s="46"/>
      <c r="AP694" s="46"/>
      <c r="AQ694" s="46"/>
      <c r="AR694" s="46"/>
      <c r="AS694" s="46"/>
      <c r="AT694" s="46"/>
      <c r="AU694" s="46"/>
      <c r="AV694" s="46"/>
      <c r="AW694" s="46"/>
      <c r="AX694" s="46"/>
      <c r="AY694" s="46"/>
      <c r="AZ694" s="46"/>
      <c r="BA694" s="46"/>
      <c r="BB694" s="46"/>
      <c r="BC694" s="46"/>
      <c r="BD694" s="46"/>
      <c r="BE694" s="46"/>
    </row>
    <row r="695" spans="1:57" ht="14.25" customHeight="1" x14ac:dyDescent="0.3">
      <c r="A695" s="46"/>
      <c r="B695" s="37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  <c r="AC695" s="46"/>
      <c r="AD695" s="46"/>
      <c r="AE695" s="46"/>
      <c r="AF695" s="46"/>
      <c r="AG695" s="46"/>
      <c r="AH695" s="46"/>
      <c r="AI695" s="46"/>
      <c r="AJ695" s="46"/>
      <c r="AK695" s="46"/>
      <c r="AL695" s="46"/>
      <c r="AM695" s="46"/>
      <c r="AN695" s="46"/>
      <c r="AO695" s="46"/>
      <c r="AP695" s="46"/>
      <c r="AQ695" s="46"/>
      <c r="AR695" s="46"/>
      <c r="AS695" s="46"/>
      <c r="AT695" s="46"/>
      <c r="AU695" s="46"/>
      <c r="AV695" s="46"/>
      <c r="AW695" s="46"/>
      <c r="AX695" s="46"/>
      <c r="AY695" s="46"/>
      <c r="AZ695" s="46"/>
      <c r="BA695" s="46"/>
      <c r="BB695" s="46"/>
      <c r="BC695" s="46"/>
      <c r="BD695" s="46"/>
      <c r="BE695" s="46"/>
    </row>
    <row r="696" spans="1:57" ht="14.25" customHeight="1" x14ac:dyDescent="0.3">
      <c r="A696" s="46"/>
      <c r="B696" s="37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  <c r="AC696" s="46"/>
      <c r="AD696" s="46"/>
      <c r="AE696" s="46"/>
      <c r="AF696" s="46"/>
      <c r="AG696" s="46"/>
      <c r="AH696" s="46"/>
      <c r="AI696" s="46"/>
      <c r="AJ696" s="46"/>
      <c r="AK696" s="46"/>
      <c r="AL696" s="46"/>
      <c r="AM696" s="46"/>
      <c r="AN696" s="46"/>
      <c r="AO696" s="46"/>
      <c r="AP696" s="46"/>
      <c r="AQ696" s="46"/>
      <c r="AR696" s="46"/>
      <c r="AS696" s="46"/>
      <c r="AT696" s="46"/>
      <c r="AU696" s="46"/>
      <c r="AV696" s="46"/>
      <c r="AW696" s="46"/>
      <c r="AX696" s="46"/>
      <c r="AY696" s="46"/>
      <c r="AZ696" s="46"/>
      <c r="BA696" s="46"/>
      <c r="BB696" s="46"/>
      <c r="BC696" s="46"/>
      <c r="BD696" s="46"/>
      <c r="BE696" s="46"/>
    </row>
    <row r="697" spans="1:57" ht="14.25" customHeight="1" x14ac:dyDescent="0.3">
      <c r="A697" s="46"/>
      <c r="B697" s="37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  <c r="AC697" s="46"/>
      <c r="AD697" s="46"/>
      <c r="AE697" s="46"/>
      <c r="AF697" s="46"/>
      <c r="AG697" s="46"/>
      <c r="AH697" s="46"/>
      <c r="AI697" s="46"/>
      <c r="AJ697" s="46"/>
      <c r="AK697" s="46"/>
      <c r="AL697" s="46"/>
      <c r="AM697" s="46"/>
      <c r="AN697" s="46"/>
      <c r="AO697" s="46"/>
      <c r="AP697" s="46"/>
      <c r="AQ697" s="46"/>
      <c r="AR697" s="46"/>
      <c r="AS697" s="46"/>
      <c r="AT697" s="46"/>
      <c r="AU697" s="46"/>
      <c r="AV697" s="46"/>
      <c r="AW697" s="46"/>
      <c r="AX697" s="46"/>
      <c r="AY697" s="46"/>
      <c r="AZ697" s="46"/>
      <c r="BA697" s="46"/>
      <c r="BB697" s="46"/>
      <c r="BC697" s="46"/>
      <c r="BD697" s="46"/>
      <c r="BE697" s="46"/>
    </row>
    <row r="698" spans="1:57" ht="14.25" customHeight="1" x14ac:dyDescent="0.3">
      <c r="A698" s="46"/>
      <c r="B698" s="37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  <c r="AC698" s="46"/>
      <c r="AD698" s="46"/>
      <c r="AE698" s="46"/>
      <c r="AF698" s="46"/>
      <c r="AG698" s="46"/>
      <c r="AH698" s="46"/>
      <c r="AI698" s="46"/>
      <c r="AJ698" s="46"/>
      <c r="AK698" s="46"/>
      <c r="AL698" s="46"/>
      <c r="AM698" s="46"/>
      <c r="AN698" s="46"/>
      <c r="AO698" s="46"/>
      <c r="AP698" s="46"/>
      <c r="AQ698" s="46"/>
      <c r="AR698" s="46"/>
      <c r="AS698" s="46"/>
      <c r="AT698" s="46"/>
      <c r="AU698" s="46"/>
      <c r="AV698" s="46"/>
      <c r="AW698" s="46"/>
      <c r="AX698" s="46"/>
      <c r="AY698" s="46"/>
      <c r="AZ698" s="46"/>
      <c r="BA698" s="46"/>
      <c r="BB698" s="46"/>
      <c r="BC698" s="46"/>
      <c r="BD698" s="46"/>
      <c r="BE698" s="46"/>
    </row>
    <row r="699" spans="1:57" ht="14.25" customHeight="1" x14ac:dyDescent="0.3">
      <c r="A699" s="46"/>
      <c r="B699" s="37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  <c r="AC699" s="46"/>
      <c r="AD699" s="46"/>
      <c r="AE699" s="46"/>
      <c r="AF699" s="46"/>
      <c r="AG699" s="46"/>
      <c r="AH699" s="46"/>
      <c r="AI699" s="46"/>
      <c r="AJ699" s="46"/>
      <c r="AK699" s="46"/>
      <c r="AL699" s="46"/>
      <c r="AM699" s="46"/>
      <c r="AN699" s="46"/>
      <c r="AO699" s="46"/>
      <c r="AP699" s="46"/>
      <c r="AQ699" s="46"/>
      <c r="AR699" s="46"/>
      <c r="AS699" s="46"/>
      <c r="AT699" s="46"/>
      <c r="AU699" s="46"/>
      <c r="AV699" s="46"/>
      <c r="AW699" s="46"/>
      <c r="AX699" s="46"/>
      <c r="AY699" s="46"/>
      <c r="AZ699" s="46"/>
      <c r="BA699" s="46"/>
      <c r="BB699" s="46"/>
      <c r="BC699" s="46"/>
      <c r="BD699" s="46"/>
      <c r="BE699" s="46"/>
    </row>
    <row r="700" spans="1:57" ht="14.25" customHeight="1" x14ac:dyDescent="0.3">
      <c r="A700" s="46"/>
      <c r="B700" s="37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  <c r="AB700" s="46"/>
      <c r="AC700" s="46"/>
      <c r="AD700" s="46"/>
      <c r="AE700" s="46"/>
      <c r="AF700" s="46"/>
      <c r="AG700" s="46"/>
      <c r="AH700" s="46"/>
      <c r="AI700" s="46"/>
      <c r="AJ700" s="46"/>
      <c r="AK700" s="46"/>
      <c r="AL700" s="46"/>
      <c r="AM700" s="46"/>
      <c r="AN700" s="46"/>
      <c r="AO700" s="46"/>
      <c r="AP700" s="46"/>
      <c r="AQ700" s="46"/>
      <c r="AR700" s="46"/>
      <c r="AS700" s="46"/>
      <c r="AT700" s="46"/>
      <c r="AU700" s="46"/>
      <c r="AV700" s="46"/>
      <c r="AW700" s="46"/>
      <c r="AX700" s="46"/>
      <c r="AY700" s="46"/>
      <c r="AZ700" s="46"/>
      <c r="BA700" s="46"/>
      <c r="BB700" s="46"/>
      <c r="BC700" s="46"/>
      <c r="BD700" s="46"/>
      <c r="BE700" s="46"/>
    </row>
    <row r="701" spans="1:57" ht="14.25" customHeight="1" x14ac:dyDescent="0.3">
      <c r="A701" s="46"/>
      <c r="B701" s="37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  <c r="AB701" s="46"/>
      <c r="AC701" s="46"/>
      <c r="AD701" s="46"/>
      <c r="AE701" s="46"/>
      <c r="AF701" s="46"/>
      <c r="AG701" s="46"/>
      <c r="AH701" s="46"/>
      <c r="AI701" s="46"/>
      <c r="AJ701" s="46"/>
      <c r="AK701" s="46"/>
      <c r="AL701" s="46"/>
      <c r="AM701" s="46"/>
      <c r="AN701" s="46"/>
      <c r="AO701" s="46"/>
      <c r="AP701" s="46"/>
      <c r="AQ701" s="46"/>
      <c r="AR701" s="46"/>
      <c r="AS701" s="46"/>
      <c r="AT701" s="46"/>
      <c r="AU701" s="46"/>
      <c r="AV701" s="46"/>
      <c r="AW701" s="46"/>
      <c r="AX701" s="46"/>
      <c r="AY701" s="46"/>
      <c r="AZ701" s="46"/>
      <c r="BA701" s="46"/>
      <c r="BB701" s="46"/>
      <c r="BC701" s="46"/>
      <c r="BD701" s="46"/>
      <c r="BE701" s="46"/>
    </row>
    <row r="702" spans="1:57" ht="14.25" customHeight="1" x14ac:dyDescent="0.3">
      <c r="A702" s="46"/>
      <c r="B702" s="37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  <c r="AB702" s="46"/>
      <c r="AC702" s="46"/>
      <c r="AD702" s="46"/>
      <c r="AE702" s="46"/>
      <c r="AF702" s="46"/>
      <c r="AG702" s="46"/>
      <c r="AH702" s="46"/>
      <c r="AI702" s="46"/>
      <c r="AJ702" s="46"/>
      <c r="AK702" s="46"/>
      <c r="AL702" s="46"/>
      <c r="AM702" s="46"/>
      <c r="AN702" s="46"/>
      <c r="AO702" s="46"/>
      <c r="AP702" s="46"/>
      <c r="AQ702" s="46"/>
      <c r="AR702" s="46"/>
      <c r="AS702" s="46"/>
      <c r="AT702" s="46"/>
      <c r="AU702" s="46"/>
      <c r="AV702" s="46"/>
      <c r="AW702" s="46"/>
      <c r="AX702" s="46"/>
      <c r="AY702" s="46"/>
      <c r="AZ702" s="46"/>
      <c r="BA702" s="46"/>
      <c r="BB702" s="46"/>
      <c r="BC702" s="46"/>
      <c r="BD702" s="46"/>
      <c r="BE702" s="46"/>
    </row>
    <row r="703" spans="1:57" ht="14.25" customHeight="1" x14ac:dyDescent="0.3">
      <c r="A703" s="46"/>
      <c r="B703" s="37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  <c r="AB703" s="46"/>
      <c r="AC703" s="46"/>
      <c r="AD703" s="46"/>
      <c r="AE703" s="46"/>
      <c r="AF703" s="46"/>
      <c r="AG703" s="46"/>
      <c r="AH703" s="46"/>
      <c r="AI703" s="46"/>
      <c r="AJ703" s="46"/>
      <c r="AK703" s="46"/>
      <c r="AL703" s="46"/>
      <c r="AM703" s="46"/>
      <c r="AN703" s="46"/>
      <c r="AO703" s="46"/>
      <c r="AP703" s="46"/>
      <c r="AQ703" s="46"/>
      <c r="AR703" s="46"/>
      <c r="AS703" s="46"/>
      <c r="AT703" s="46"/>
      <c r="AU703" s="46"/>
      <c r="AV703" s="46"/>
      <c r="AW703" s="46"/>
      <c r="AX703" s="46"/>
      <c r="AY703" s="46"/>
      <c r="AZ703" s="46"/>
      <c r="BA703" s="46"/>
      <c r="BB703" s="46"/>
      <c r="BC703" s="46"/>
      <c r="BD703" s="46"/>
      <c r="BE703" s="46"/>
    </row>
    <row r="704" spans="1:57" ht="14.25" customHeight="1" x14ac:dyDescent="0.3">
      <c r="A704" s="46"/>
      <c r="B704" s="37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  <c r="AB704" s="46"/>
      <c r="AC704" s="46"/>
      <c r="AD704" s="46"/>
      <c r="AE704" s="46"/>
      <c r="AF704" s="46"/>
      <c r="AG704" s="46"/>
      <c r="AH704" s="46"/>
      <c r="AI704" s="46"/>
      <c r="AJ704" s="46"/>
      <c r="AK704" s="46"/>
      <c r="AL704" s="46"/>
      <c r="AM704" s="46"/>
      <c r="AN704" s="46"/>
      <c r="AO704" s="46"/>
      <c r="AP704" s="46"/>
      <c r="AQ704" s="46"/>
      <c r="AR704" s="46"/>
      <c r="AS704" s="46"/>
      <c r="AT704" s="46"/>
      <c r="AU704" s="46"/>
      <c r="AV704" s="46"/>
      <c r="AW704" s="46"/>
      <c r="AX704" s="46"/>
      <c r="AY704" s="46"/>
      <c r="AZ704" s="46"/>
      <c r="BA704" s="46"/>
      <c r="BB704" s="46"/>
      <c r="BC704" s="46"/>
      <c r="BD704" s="46"/>
      <c r="BE704" s="46"/>
    </row>
    <row r="705" spans="1:57" ht="14.25" customHeight="1" x14ac:dyDescent="0.3">
      <c r="A705" s="46"/>
      <c r="B705" s="37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  <c r="AB705" s="46"/>
      <c r="AC705" s="46"/>
      <c r="AD705" s="46"/>
      <c r="AE705" s="46"/>
      <c r="AF705" s="46"/>
      <c r="AG705" s="46"/>
      <c r="AH705" s="46"/>
      <c r="AI705" s="46"/>
      <c r="AJ705" s="46"/>
      <c r="AK705" s="46"/>
      <c r="AL705" s="46"/>
      <c r="AM705" s="46"/>
      <c r="AN705" s="46"/>
      <c r="AO705" s="46"/>
      <c r="AP705" s="46"/>
      <c r="AQ705" s="46"/>
      <c r="AR705" s="46"/>
      <c r="AS705" s="46"/>
      <c r="AT705" s="46"/>
      <c r="AU705" s="46"/>
      <c r="AV705" s="46"/>
      <c r="AW705" s="46"/>
      <c r="AX705" s="46"/>
      <c r="AY705" s="46"/>
      <c r="AZ705" s="46"/>
      <c r="BA705" s="46"/>
      <c r="BB705" s="46"/>
      <c r="BC705" s="46"/>
      <c r="BD705" s="46"/>
      <c r="BE705" s="46"/>
    </row>
    <row r="706" spans="1:57" ht="14.25" customHeight="1" x14ac:dyDescent="0.3">
      <c r="A706" s="46"/>
      <c r="B706" s="37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  <c r="AB706" s="46"/>
      <c r="AC706" s="46"/>
      <c r="AD706" s="46"/>
      <c r="AE706" s="46"/>
      <c r="AF706" s="46"/>
      <c r="AG706" s="46"/>
      <c r="AH706" s="46"/>
      <c r="AI706" s="46"/>
      <c r="AJ706" s="46"/>
      <c r="AK706" s="46"/>
      <c r="AL706" s="46"/>
      <c r="AM706" s="46"/>
      <c r="AN706" s="46"/>
      <c r="AO706" s="46"/>
      <c r="AP706" s="46"/>
      <c r="AQ706" s="46"/>
      <c r="AR706" s="46"/>
      <c r="AS706" s="46"/>
      <c r="AT706" s="46"/>
      <c r="AU706" s="46"/>
      <c r="AV706" s="46"/>
      <c r="AW706" s="46"/>
      <c r="AX706" s="46"/>
      <c r="AY706" s="46"/>
      <c r="AZ706" s="46"/>
      <c r="BA706" s="46"/>
      <c r="BB706" s="46"/>
      <c r="BC706" s="46"/>
      <c r="BD706" s="46"/>
      <c r="BE706" s="46"/>
    </row>
    <row r="707" spans="1:57" ht="14.25" customHeight="1" x14ac:dyDescent="0.3">
      <c r="A707" s="46"/>
      <c r="B707" s="37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  <c r="AB707" s="46"/>
      <c r="AC707" s="46"/>
      <c r="AD707" s="46"/>
      <c r="AE707" s="46"/>
      <c r="AF707" s="46"/>
      <c r="AG707" s="46"/>
      <c r="AH707" s="46"/>
      <c r="AI707" s="46"/>
      <c r="AJ707" s="46"/>
      <c r="AK707" s="46"/>
      <c r="AL707" s="46"/>
      <c r="AM707" s="46"/>
      <c r="AN707" s="46"/>
      <c r="AO707" s="46"/>
      <c r="AP707" s="46"/>
      <c r="AQ707" s="46"/>
      <c r="AR707" s="46"/>
      <c r="AS707" s="46"/>
      <c r="AT707" s="46"/>
      <c r="AU707" s="46"/>
      <c r="AV707" s="46"/>
      <c r="AW707" s="46"/>
      <c r="AX707" s="46"/>
      <c r="AY707" s="46"/>
      <c r="AZ707" s="46"/>
      <c r="BA707" s="46"/>
      <c r="BB707" s="46"/>
      <c r="BC707" s="46"/>
      <c r="BD707" s="46"/>
      <c r="BE707" s="46"/>
    </row>
    <row r="708" spans="1:57" ht="14.25" customHeight="1" x14ac:dyDescent="0.3">
      <c r="A708" s="46"/>
      <c r="B708" s="37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  <c r="AB708" s="46"/>
      <c r="AC708" s="46"/>
      <c r="AD708" s="46"/>
      <c r="AE708" s="46"/>
      <c r="AF708" s="46"/>
      <c r="AG708" s="46"/>
      <c r="AH708" s="46"/>
      <c r="AI708" s="46"/>
      <c r="AJ708" s="46"/>
      <c r="AK708" s="46"/>
      <c r="AL708" s="46"/>
      <c r="AM708" s="46"/>
      <c r="AN708" s="46"/>
      <c r="AO708" s="46"/>
      <c r="AP708" s="46"/>
      <c r="AQ708" s="46"/>
      <c r="AR708" s="46"/>
      <c r="AS708" s="46"/>
      <c r="AT708" s="46"/>
      <c r="AU708" s="46"/>
      <c r="AV708" s="46"/>
      <c r="AW708" s="46"/>
      <c r="AX708" s="46"/>
      <c r="AY708" s="46"/>
      <c r="AZ708" s="46"/>
      <c r="BA708" s="46"/>
      <c r="BB708" s="46"/>
      <c r="BC708" s="46"/>
      <c r="BD708" s="46"/>
      <c r="BE708" s="46"/>
    </row>
    <row r="709" spans="1:57" ht="14.25" customHeight="1" x14ac:dyDescent="0.3">
      <c r="A709" s="46"/>
      <c r="B709" s="37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  <c r="AC709" s="46"/>
      <c r="AD709" s="46"/>
      <c r="AE709" s="46"/>
      <c r="AF709" s="46"/>
      <c r="AG709" s="46"/>
      <c r="AH709" s="46"/>
      <c r="AI709" s="46"/>
      <c r="AJ709" s="46"/>
      <c r="AK709" s="46"/>
      <c r="AL709" s="46"/>
      <c r="AM709" s="46"/>
      <c r="AN709" s="46"/>
      <c r="AO709" s="46"/>
      <c r="AP709" s="46"/>
      <c r="AQ709" s="46"/>
      <c r="AR709" s="46"/>
      <c r="AS709" s="46"/>
      <c r="AT709" s="46"/>
      <c r="AU709" s="46"/>
      <c r="AV709" s="46"/>
      <c r="AW709" s="46"/>
      <c r="AX709" s="46"/>
      <c r="AY709" s="46"/>
      <c r="AZ709" s="46"/>
      <c r="BA709" s="46"/>
      <c r="BB709" s="46"/>
      <c r="BC709" s="46"/>
      <c r="BD709" s="46"/>
      <c r="BE709" s="46"/>
    </row>
    <row r="710" spans="1:57" ht="14.25" customHeight="1" x14ac:dyDescent="0.3">
      <c r="A710" s="46"/>
      <c r="B710" s="37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  <c r="AB710" s="46"/>
      <c r="AC710" s="46"/>
      <c r="AD710" s="46"/>
      <c r="AE710" s="46"/>
      <c r="AF710" s="46"/>
      <c r="AG710" s="46"/>
      <c r="AH710" s="46"/>
      <c r="AI710" s="46"/>
      <c r="AJ710" s="46"/>
      <c r="AK710" s="46"/>
      <c r="AL710" s="46"/>
      <c r="AM710" s="46"/>
      <c r="AN710" s="46"/>
      <c r="AO710" s="46"/>
      <c r="AP710" s="46"/>
      <c r="AQ710" s="46"/>
      <c r="AR710" s="46"/>
      <c r="AS710" s="46"/>
      <c r="AT710" s="46"/>
      <c r="AU710" s="46"/>
      <c r="AV710" s="46"/>
      <c r="AW710" s="46"/>
      <c r="AX710" s="46"/>
      <c r="AY710" s="46"/>
      <c r="AZ710" s="46"/>
      <c r="BA710" s="46"/>
      <c r="BB710" s="46"/>
      <c r="BC710" s="46"/>
      <c r="BD710" s="46"/>
      <c r="BE710" s="46"/>
    </row>
    <row r="711" spans="1:57" ht="14.25" customHeight="1" x14ac:dyDescent="0.3">
      <c r="A711" s="46"/>
      <c r="B711" s="37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  <c r="AB711" s="46"/>
      <c r="AC711" s="46"/>
      <c r="AD711" s="46"/>
      <c r="AE711" s="46"/>
      <c r="AF711" s="46"/>
      <c r="AG711" s="46"/>
      <c r="AH711" s="46"/>
      <c r="AI711" s="46"/>
      <c r="AJ711" s="46"/>
      <c r="AK711" s="46"/>
      <c r="AL711" s="46"/>
      <c r="AM711" s="46"/>
      <c r="AN711" s="46"/>
      <c r="AO711" s="46"/>
      <c r="AP711" s="46"/>
      <c r="AQ711" s="46"/>
      <c r="AR711" s="46"/>
      <c r="AS711" s="46"/>
      <c r="AT711" s="46"/>
      <c r="AU711" s="46"/>
      <c r="AV711" s="46"/>
      <c r="AW711" s="46"/>
      <c r="AX711" s="46"/>
      <c r="AY711" s="46"/>
      <c r="AZ711" s="46"/>
      <c r="BA711" s="46"/>
      <c r="BB711" s="46"/>
      <c r="BC711" s="46"/>
      <c r="BD711" s="46"/>
      <c r="BE711" s="46"/>
    </row>
    <row r="712" spans="1:57" ht="14.25" customHeight="1" x14ac:dyDescent="0.3">
      <c r="A712" s="46"/>
      <c r="B712" s="37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  <c r="AC712" s="46"/>
      <c r="AD712" s="46"/>
      <c r="AE712" s="46"/>
      <c r="AF712" s="46"/>
      <c r="AG712" s="46"/>
      <c r="AH712" s="46"/>
      <c r="AI712" s="46"/>
      <c r="AJ712" s="46"/>
      <c r="AK712" s="46"/>
      <c r="AL712" s="46"/>
      <c r="AM712" s="46"/>
      <c r="AN712" s="46"/>
      <c r="AO712" s="46"/>
      <c r="AP712" s="46"/>
      <c r="AQ712" s="46"/>
      <c r="AR712" s="46"/>
      <c r="AS712" s="46"/>
      <c r="AT712" s="46"/>
      <c r="AU712" s="46"/>
      <c r="AV712" s="46"/>
      <c r="AW712" s="46"/>
      <c r="AX712" s="46"/>
      <c r="AY712" s="46"/>
      <c r="AZ712" s="46"/>
      <c r="BA712" s="46"/>
      <c r="BB712" s="46"/>
      <c r="BC712" s="46"/>
      <c r="BD712" s="46"/>
      <c r="BE712" s="46"/>
    </row>
    <row r="713" spans="1:57" ht="14.25" customHeight="1" x14ac:dyDescent="0.3">
      <c r="A713" s="46"/>
      <c r="B713" s="37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  <c r="AB713" s="46"/>
      <c r="AC713" s="46"/>
      <c r="AD713" s="46"/>
      <c r="AE713" s="46"/>
      <c r="AF713" s="46"/>
      <c r="AG713" s="46"/>
      <c r="AH713" s="46"/>
      <c r="AI713" s="46"/>
      <c r="AJ713" s="46"/>
      <c r="AK713" s="46"/>
      <c r="AL713" s="46"/>
      <c r="AM713" s="46"/>
      <c r="AN713" s="46"/>
      <c r="AO713" s="46"/>
      <c r="AP713" s="46"/>
      <c r="AQ713" s="46"/>
      <c r="AR713" s="46"/>
      <c r="AS713" s="46"/>
      <c r="AT713" s="46"/>
      <c r="AU713" s="46"/>
      <c r="AV713" s="46"/>
      <c r="AW713" s="46"/>
      <c r="AX713" s="46"/>
      <c r="AY713" s="46"/>
      <c r="AZ713" s="46"/>
      <c r="BA713" s="46"/>
      <c r="BB713" s="46"/>
      <c r="BC713" s="46"/>
      <c r="BD713" s="46"/>
      <c r="BE713" s="46"/>
    </row>
    <row r="714" spans="1:57" ht="14.25" customHeight="1" x14ac:dyDescent="0.3">
      <c r="A714" s="46"/>
      <c r="B714" s="37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  <c r="AB714" s="46"/>
      <c r="AC714" s="46"/>
      <c r="AD714" s="46"/>
      <c r="AE714" s="46"/>
      <c r="AF714" s="46"/>
      <c r="AG714" s="46"/>
      <c r="AH714" s="46"/>
      <c r="AI714" s="46"/>
      <c r="AJ714" s="46"/>
      <c r="AK714" s="46"/>
      <c r="AL714" s="46"/>
      <c r="AM714" s="46"/>
      <c r="AN714" s="46"/>
      <c r="AO714" s="46"/>
      <c r="AP714" s="46"/>
      <c r="AQ714" s="46"/>
      <c r="AR714" s="46"/>
      <c r="AS714" s="46"/>
      <c r="AT714" s="46"/>
      <c r="AU714" s="46"/>
      <c r="AV714" s="46"/>
      <c r="AW714" s="46"/>
      <c r="AX714" s="46"/>
      <c r="AY714" s="46"/>
      <c r="AZ714" s="46"/>
      <c r="BA714" s="46"/>
      <c r="BB714" s="46"/>
      <c r="BC714" s="46"/>
      <c r="BD714" s="46"/>
      <c r="BE714" s="46"/>
    </row>
    <row r="715" spans="1:57" ht="14.25" customHeight="1" x14ac:dyDescent="0.3">
      <c r="A715" s="46"/>
      <c r="B715" s="37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  <c r="AC715" s="46"/>
      <c r="AD715" s="46"/>
      <c r="AE715" s="46"/>
      <c r="AF715" s="46"/>
      <c r="AG715" s="46"/>
      <c r="AH715" s="46"/>
      <c r="AI715" s="46"/>
      <c r="AJ715" s="46"/>
      <c r="AK715" s="46"/>
      <c r="AL715" s="46"/>
      <c r="AM715" s="46"/>
      <c r="AN715" s="46"/>
      <c r="AO715" s="46"/>
      <c r="AP715" s="46"/>
      <c r="AQ715" s="46"/>
      <c r="AR715" s="46"/>
      <c r="AS715" s="46"/>
      <c r="AT715" s="46"/>
      <c r="AU715" s="46"/>
      <c r="AV715" s="46"/>
      <c r="AW715" s="46"/>
      <c r="AX715" s="46"/>
      <c r="AY715" s="46"/>
      <c r="AZ715" s="46"/>
      <c r="BA715" s="46"/>
      <c r="BB715" s="46"/>
      <c r="BC715" s="46"/>
      <c r="BD715" s="46"/>
      <c r="BE715" s="46"/>
    </row>
    <row r="716" spans="1:57" ht="14.25" customHeight="1" x14ac:dyDescent="0.3">
      <c r="A716" s="46"/>
      <c r="B716" s="37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  <c r="AB716" s="46"/>
      <c r="AC716" s="46"/>
      <c r="AD716" s="46"/>
      <c r="AE716" s="46"/>
      <c r="AF716" s="46"/>
      <c r="AG716" s="46"/>
      <c r="AH716" s="46"/>
      <c r="AI716" s="46"/>
      <c r="AJ716" s="46"/>
      <c r="AK716" s="46"/>
      <c r="AL716" s="46"/>
      <c r="AM716" s="46"/>
      <c r="AN716" s="46"/>
      <c r="AO716" s="46"/>
      <c r="AP716" s="46"/>
      <c r="AQ716" s="46"/>
      <c r="AR716" s="46"/>
      <c r="AS716" s="46"/>
      <c r="AT716" s="46"/>
      <c r="AU716" s="46"/>
      <c r="AV716" s="46"/>
      <c r="AW716" s="46"/>
      <c r="AX716" s="46"/>
      <c r="AY716" s="46"/>
      <c r="AZ716" s="46"/>
      <c r="BA716" s="46"/>
      <c r="BB716" s="46"/>
      <c r="BC716" s="46"/>
      <c r="BD716" s="46"/>
      <c r="BE716" s="46"/>
    </row>
    <row r="717" spans="1:57" ht="14.25" customHeight="1" x14ac:dyDescent="0.3">
      <c r="A717" s="46"/>
      <c r="B717" s="37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  <c r="AB717" s="46"/>
      <c r="AC717" s="46"/>
      <c r="AD717" s="46"/>
      <c r="AE717" s="46"/>
      <c r="AF717" s="46"/>
      <c r="AG717" s="46"/>
      <c r="AH717" s="46"/>
      <c r="AI717" s="46"/>
      <c r="AJ717" s="46"/>
      <c r="AK717" s="46"/>
      <c r="AL717" s="46"/>
      <c r="AM717" s="46"/>
      <c r="AN717" s="46"/>
      <c r="AO717" s="46"/>
      <c r="AP717" s="46"/>
      <c r="AQ717" s="46"/>
      <c r="AR717" s="46"/>
      <c r="AS717" s="46"/>
      <c r="AT717" s="46"/>
      <c r="AU717" s="46"/>
      <c r="AV717" s="46"/>
      <c r="AW717" s="46"/>
      <c r="AX717" s="46"/>
      <c r="AY717" s="46"/>
      <c r="AZ717" s="46"/>
      <c r="BA717" s="46"/>
      <c r="BB717" s="46"/>
      <c r="BC717" s="46"/>
      <c r="BD717" s="46"/>
      <c r="BE717" s="46"/>
    </row>
    <row r="718" spans="1:57" ht="14.25" customHeight="1" x14ac:dyDescent="0.3">
      <c r="A718" s="46"/>
      <c r="B718" s="37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  <c r="AB718" s="46"/>
      <c r="AC718" s="46"/>
      <c r="AD718" s="46"/>
      <c r="AE718" s="46"/>
      <c r="AF718" s="46"/>
      <c r="AG718" s="46"/>
      <c r="AH718" s="46"/>
      <c r="AI718" s="46"/>
      <c r="AJ718" s="46"/>
      <c r="AK718" s="46"/>
      <c r="AL718" s="46"/>
      <c r="AM718" s="46"/>
      <c r="AN718" s="46"/>
      <c r="AO718" s="46"/>
      <c r="AP718" s="46"/>
      <c r="AQ718" s="46"/>
      <c r="AR718" s="46"/>
      <c r="AS718" s="46"/>
      <c r="AT718" s="46"/>
      <c r="AU718" s="46"/>
      <c r="AV718" s="46"/>
      <c r="AW718" s="46"/>
      <c r="AX718" s="46"/>
      <c r="AY718" s="46"/>
      <c r="AZ718" s="46"/>
      <c r="BA718" s="46"/>
      <c r="BB718" s="46"/>
      <c r="BC718" s="46"/>
      <c r="BD718" s="46"/>
      <c r="BE718" s="46"/>
    </row>
    <row r="719" spans="1:57" ht="14.25" customHeight="1" x14ac:dyDescent="0.3">
      <c r="A719" s="46"/>
      <c r="B719" s="37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  <c r="AB719" s="46"/>
      <c r="AC719" s="46"/>
      <c r="AD719" s="46"/>
      <c r="AE719" s="46"/>
      <c r="AF719" s="46"/>
      <c r="AG719" s="46"/>
      <c r="AH719" s="46"/>
      <c r="AI719" s="46"/>
      <c r="AJ719" s="46"/>
      <c r="AK719" s="46"/>
      <c r="AL719" s="46"/>
      <c r="AM719" s="46"/>
      <c r="AN719" s="46"/>
      <c r="AO719" s="46"/>
      <c r="AP719" s="46"/>
      <c r="AQ719" s="46"/>
      <c r="AR719" s="46"/>
      <c r="AS719" s="46"/>
      <c r="AT719" s="46"/>
      <c r="AU719" s="46"/>
      <c r="AV719" s="46"/>
      <c r="AW719" s="46"/>
      <c r="AX719" s="46"/>
      <c r="AY719" s="46"/>
      <c r="AZ719" s="46"/>
      <c r="BA719" s="46"/>
      <c r="BB719" s="46"/>
      <c r="BC719" s="46"/>
      <c r="BD719" s="46"/>
      <c r="BE719" s="46"/>
    </row>
    <row r="720" spans="1:57" ht="14.25" customHeight="1" x14ac:dyDescent="0.3">
      <c r="A720" s="46"/>
      <c r="B720" s="37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  <c r="AB720" s="46"/>
      <c r="AC720" s="46"/>
      <c r="AD720" s="46"/>
      <c r="AE720" s="46"/>
      <c r="AF720" s="46"/>
      <c r="AG720" s="46"/>
      <c r="AH720" s="46"/>
      <c r="AI720" s="46"/>
      <c r="AJ720" s="46"/>
      <c r="AK720" s="46"/>
      <c r="AL720" s="46"/>
      <c r="AM720" s="46"/>
      <c r="AN720" s="46"/>
      <c r="AO720" s="46"/>
      <c r="AP720" s="46"/>
      <c r="AQ720" s="46"/>
      <c r="AR720" s="46"/>
      <c r="AS720" s="46"/>
      <c r="AT720" s="46"/>
      <c r="AU720" s="46"/>
      <c r="AV720" s="46"/>
      <c r="AW720" s="46"/>
      <c r="AX720" s="46"/>
      <c r="AY720" s="46"/>
      <c r="AZ720" s="46"/>
      <c r="BA720" s="46"/>
      <c r="BB720" s="46"/>
      <c r="BC720" s="46"/>
      <c r="BD720" s="46"/>
      <c r="BE720" s="46"/>
    </row>
    <row r="721" spans="1:57" ht="14.25" customHeight="1" x14ac:dyDescent="0.3">
      <c r="A721" s="46"/>
      <c r="B721" s="37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  <c r="AB721" s="46"/>
      <c r="AC721" s="46"/>
      <c r="AD721" s="46"/>
      <c r="AE721" s="46"/>
      <c r="AF721" s="46"/>
      <c r="AG721" s="46"/>
      <c r="AH721" s="46"/>
      <c r="AI721" s="46"/>
      <c r="AJ721" s="46"/>
      <c r="AK721" s="46"/>
      <c r="AL721" s="46"/>
      <c r="AM721" s="46"/>
      <c r="AN721" s="46"/>
      <c r="AO721" s="46"/>
      <c r="AP721" s="46"/>
      <c r="AQ721" s="46"/>
      <c r="AR721" s="46"/>
      <c r="AS721" s="46"/>
      <c r="AT721" s="46"/>
      <c r="AU721" s="46"/>
      <c r="AV721" s="46"/>
      <c r="AW721" s="46"/>
      <c r="AX721" s="46"/>
      <c r="AY721" s="46"/>
      <c r="AZ721" s="46"/>
      <c r="BA721" s="46"/>
      <c r="BB721" s="46"/>
      <c r="BC721" s="46"/>
      <c r="BD721" s="46"/>
      <c r="BE721" s="46"/>
    </row>
    <row r="722" spans="1:57" ht="14.25" customHeight="1" x14ac:dyDescent="0.3">
      <c r="A722" s="46"/>
      <c r="B722" s="37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  <c r="AB722" s="46"/>
      <c r="AC722" s="46"/>
      <c r="AD722" s="46"/>
      <c r="AE722" s="46"/>
      <c r="AF722" s="46"/>
      <c r="AG722" s="46"/>
      <c r="AH722" s="46"/>
      <c r="AI722" s="46"/>
      <c r="AJ722" s="46"/>
      <c r="AK722" s="46"/>
      <c r="AL722" s="46"/>
      <c r="AM722" s="46"/>
      <c r="AN722" s="46"/>
      <c r="AO722" s="46"/>
      <c r="AP722" s="46"/>
      <c r="AQ722" s="46"/>
      <c r="AR722" s="46"/>
      <c r="AS722" s="46"/>
      <c r="AT722" s="46"/>
      <c r="AU722" s="46"/>
      <c r="AV722" s="46"/>
      <c r="AW722" s="46"/>
      <c r="AX722" s="46"/>
      <c r="AY722" s="46"/>
      <c r="AZ722" s="46"/>
      <c r="BA722" s="46"/>
      <c r="BB722" s="46"/>
      <c r="BC722" s="46"/>
      <c r="BD722" s="46"/>
      <c r="BE722" s="46"/>
    </row>
    <row r="723" spans="1:57" ht="14.25" customHeight="1" x14ac:dyDescent="0.3">
      <c r="A723" s="46"/>
      <c r="B723" s="37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  <c r="AB723" s="46"/>
      <c r="AC723" s="46"/>
      <c r="AD723" s="46"/>
      <c r="AE723" s="46"/>
      <c r="AF723" s="46"/>
      <c r="AG723" s="46"/>
      <c r="AH723" s="46"/>
      <c r="AI723" s="46"/>
      <c r="AJ723" s="46"/>
      <c r="AK723" s="46"/>
      <c r="AL723" s="46"/>
      <c r="AM723" s="46"/>
      <c r="AN723" s="46"/>
      <c r="AO723" s="46"/>
      <c r="AP723" s="46"/>
      <c r="AQ723" s="46"/>
      <c r="AR723" s="46"/>
      <c r="AS723" s="46"/>
      <c r="AT723" s="46"/>
      <c r="AU723" s="46"/>
      <c r="AV723" s="46"/>
      <c r="AW723" s="46"/>
      <c r="AX723" s="46"/>
      <c r="AY723" s="46"/>
      <c r="AZ723" s="46"/>
      <c r="BA723" s="46"/>
      <c r="BB723" s="46"/>
      <c r="BC723" s="46"/>
      <c r="BD723" s="46"/>
      <c r="BE723" s="46"/>
    </row>
    <row r="724" spans="1:57" ht="14.25" customHeight="1" x14ac:dyDescent="0.3">
      <c r="A724" s="46"/>
      <c r="B724" s="37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  <c r="AB724" s="46"/>
      <c r="AC724" s="46"/>
      <c r="AD724" s="46"/>
      <c r="AE724" s="46"/>
      <c r="AF724" s="46"/>
      <c r="AG724" s="46"/>
      <c r="AH724" s="46"/>
      <c r="AI724" s="46"/>
      <c r="AJ724" s="46"/>
      <c r="AK724" s="46"/>
      <c r="AL724" s="46"/>
      <c r="AM724" s="46"/>
      <c r="AN724" s="46"/>
      <c r="AO724" s="46"/>
      <c r="AP724" s="46"/>
      <c r="AQ724" s="46"/>
      <c r="AR724" s="46"/>
      <c r="AS724" s="46"/>
      <c r="AT724" s="46"/>
      <c r="AU724" s="46"/>
      <c r="AV724" s="46"/>
      <c r="AW724" s="46"/>
      <c r="AX724" s="46"/>
      <c r="AY724" s="46"/>
      <c r="AZ724" s="46"/>
      <c r="BA724" s="46"/>
      <c r="BB724" s="46"/>
      <c r="BC724" s="46"/>
      <c r="BD724" s="46"/>
      <c r="BE724" s="46"/>
    </row>
    <row r="725" spans="1:57" ht="14.25" customHeight="1" x14ac:dyDescent="0.3">
      <c r="A725" s="46"/>
      <c r="B725" s="37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  <c r="AB725" s="46"/>
      <c r="AC725" s="46"/>
      <c r="AD725" s="46"/>
      <c r="AE725" s="46"/>
      <c r="AF725" s="46"/>
      <c r="AG725" s="46"/>
      <c r="AH725" s="46"/>
      <c r="AI725" s="46"/>
      <c r="AJ725" s="46"/>
      <c r="AK725" s="46"/>
      <c r="AL725" s="46"/>
      <c r="AM725" s="46"/>
      <c r="AN725" s="46"/>
      <c r="AO725" s="46"/>
      <c r="AP725" s="46"/>
      <c r="AQ725" s="46"/>
      <c r="AR725" s="46"/>
      <c r="AS725" s="46"/>
      <c r="AT725" s="46"/>
      <c r="AU725" s="46"/>
      <c r="AV725" s="46"/>
      <c r="AW725" s="46"/>
      <c r="AX725" s="46"/>
      <c r="AY725" s="46"/>
      <c r="AZ725" s="46"/>
      <c r="BA725" s="46"/>
      <c r="BB725" s="46"/>
      <c r="BC725" s="46"/>
      <c r="BD725" s="46"/>
      <c r="BE725" s="46"/>
    </row>
    <row r="726" spans="1:57" ht="14.25" customHeight="1" x14ac:dyDescent="0.3">
      <c r="A726" s="46"/>
      <c r="B726" s="37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  <c r="AC726" s="46"/>
      <c r="AD726" s="46"/>
      <c r="AE726" s="46"/>
      <c r="AF726" s="46"/>
      <c r="AG726" s="46"/>
      <c r="AH726" s="46"/>
      <c r="AI726" s="46"/>
      <c r="AJ726" s="46"/>
      <c r="AK726" s="46"/>
      <c r="AL726" s="46"/>
      <c r="AM726" s="46"/>
      <c r="AN726" s="46"/>
      <c r="AO726" s="46"/>
      <c r="AP726" s="46"/>
      <c r="AQ726" s="46"/>
      <c r="AR726" s="46"/>
      <c r="AS726" s="46"/>
      <c r="AT726" s="46"/>
      <c r="AU726" s="46"/>
      <c r="AV726" s="46"/>
      <c r="AW726" s="46"/>
      <c r="AX726" s="46"/>
      <c r="AY726" s="46"/>
      <c r="AZ726" s="46"/>
      <c r="BA726" s="46"/>
      <c r="BB726" s="46"/>
      <c r="BC726" s="46"/>
      <c r="BD726" s="46"/>
      <c r="BE726" s="46"/>
    </row>
    <row r="727" spans="1:57" ht="14.25" customHeight="1" x14ac:dyDescent="0.3">
      <c r="A727" s="46"/>
      <c r="B727" s="37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  <c r="AC727" s="46"/>
      <c r="AD727" s="46"/>
      <c r="AE727" s="46"/>
      <c r="AF727" s="46"/>
      <c r="AG727" s="46"/>
      <c r="AH727" s="46"/>
      <c r="AI727" s="46"/>
      <c r="AJ727" s="46"/>
      <c r="AK727" s="46"/>
      <c r="AL727" s="46"/>
      <c r="AM727" s="46"/>
      <c r="AN727" s="46"/>
      <c r="AO727" s="46"/>
      <c r="AP727" s="46"/>
      <c r="AQ727" s="46"/>
      <c r="AR727" s="46"/>
      <c r="AS727" s="46"/>
      <c r="AT727" s="46"/>
      <c r="AU727" s="46"/>
      <c r="AV727" s="46"/>
      <c r="AW727" s="46"/>
      <c r="AX727" s="46"/>
      <c r="AY727" s="46"/>
      <c r="AZ727" s="46"/>
      <c r="BA727" s="46"/>
      <c r="BB727" s="46"/>
      <c r="BC727" s="46"/>
      <c r="BD727" s="46"/>
      <c r="BE727" s="46"/>
    </row>
    <row r="728" spans="1:57" ht="14.25" customHeight="1" x14ac:dyDescent="0.3">
      <c r="A728" s="46"/>
      <c r="B728" s="37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  <c r="AB728" s="46"/>
      <c r="AC728" s="46"/>
      <c r="AD728" s="46"/>
      <c r="AE728" s="46"/>
      <c r="AF728" s="46"/>
      <c r="AG728" s="46"/>
      <c r="AH728" s="46"/>
      <c r="AI728" s="46"/>
      <c r="AJ728" s="46"/>
      <c r="AK728" s="46"/>
      <c r="AL728" s="46"/>
      <c r="AM728" s="46"/>
      <c r="AN728" s="46"/>
      <c r="AO728" s="46"/>
      <c r="AP728" s="46"/>
      <c r="AQ728" s="46"/>
      <c r="AR728" s="46"/>
      <c r="AS728" s="46"/>
      <c r="AT728" s="46"/>
      <c r="AU728" s="46"/>
      <c r="AV728" s="46"/>
      <c r="AW728" s="46"/>
      <c r="AX728" s="46"/>
      <c r="AY728" s="46"/>
      <c r="AZ728" s="46"/>
      <c r="BA728" s="46"/>
      <c r="BB728" s="46"/>
      <c r="BC728" s="46"/>
      <c r="BD728" s="46"/>
      <c r="BE728" s="46"/>
    </row>
    <row r="729" spans="1:57" ht="14.25" customHeight="1" x14ac:dyDescent="0.3">
      <c r="A729" s="46"/>
      <c r="B729" s="37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  <c r="AB729" s="46"/>
      <c r="AC729" s="46"/>
      <c r="AD729" s="46"/>
      <c r="AE729" s="46"/>
      <c r="AF729" s="46"/>
      <c r="AG729" s="46"/>
      <c r="AH729" s="46"/>
      <c r="AI729" s="46"/>
      <c r="AJ729" s="46"/>
      <c r="AK729" s="46"/>
      <c r="AL729" s="46"/>
      <c r="AM729" s="46"/>
      <c r="AN729" s="46"/>
      <c r="AO729" s="46"/>
      <c r="AP729" s="46"/>
      <c r="AQ729" s="46"/>
      <c r="AR729" s="46"/>
      <c r="AS729" s="46"/>
      <c r="AT729" s="46"/>
      <c r="AU729" s="46"/>
      <c r="AV729" s="46"/>
      <c r="AW729" s="46"/>
      <c r="AX729" s="46"/>
      <c r="AY729" s="46"/>
      <c r="AZ729" s="46"/>
      <c r="BA729" s="46"/>
      <c r="BB729" s="46"/>
      <c r="BC729" s="46"/>
      <c r="BD729" s="46"/>
      <c r="BE729" s="46"/>
    </row>
    <row r="730" spans="1:57" ht="14.25" customHeight="1" x14ac:dyDescent="0.3">
      <c r="A730" s="46"/>
      <c r="B730" s="37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  <c r="AB730" s="46"/>
      <c r="AC730" s="46"/>
      <c r="AD730" s="46"/>
      <c r="AE730" s="46"/>
      <c r="AF730" s="46"/>
      <c r="AG730" s="46"/>
      <c r="AH730" s="46"/>
      <c r="AI730" s="46"/>
      <c r="AJ730" s="46"/>
      <c r="AK730" s="46"/>
      <c r="AL730" s="46"/>
      <c r="AM730" s="46"/>
      <c r="AN730" s="46"/>
      <c r="AO730" s="46"/>
      <c r="AP730" s="46"/>
      <c r="AQ730" s="46"/>
      <c r="AR730" s="46"/>
      <c r="AS730" s="46"/>
      <c r="AT730" s="46"/>
      <c r="AU730" s="46"/>
      <c r="AV730" s="46"/>
      <c r="AW730" s="46"/>
      <c r="AX730" s="46"/>
      <c r="AY730" s="46"/>
      <c r="AZ730" s="46"/>
      <c r="BA730" s="46"/>
      <c r="BB730" s="46"/>
      <c r="BC730" s="46"/>
      <c r="BD730" s="46"/>
      <c r="BE730" s="46"/>
    </row>
    <row r="731" spans="1:57" ht="14.25" customHeight="1" x14ac:dyDescent="0.3">
      <c r="A731" s="46"/>
      <c r="B731" s="37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  <c r="AB731" s="46"/>
      <c r="AC731" s="46"/>
      <c r="AD731" s="46"/>
      <c r="AE731" s="46"/>
      <c r="AF731" s="46"/>
      <c r="AG731" s="46"/>
      <c r="AH731" s="46"/>
      <c r="AI731" s="46"/>
      <c r="AJ731" s="46"/>
      <c r="AK731" s="46"/>
      <c r="AL731" s="46"/>
      <c r="AM731" s="46"/>
      <c r="AN731" s="46"/>
      <c r="AO731" s="46"/>
      <c r="AP731" s="46"/>
      <c r="AQ731" s="46"/>
      <c r="AR731" s="46"/>
      <c r="AS731" s="46"/>
      <c r="AT731" s="46"/>
      <c r="AU731" s="46"/>
      <c r="AV731" s="46"/>
      <c r="AW731" s="46"/>
      <c r="AX731" s="46"/>
      <c r="AY731" s="46"/>
      <c r="AZ731" s="46"/>
      <c r="BA731" s="46"/>
      <c r="BB731" s="46"/>
      <c r="BC731" s="46"/>
      <c r="BD731" s="46"/>
      <c r="BE731" s="46"/>
    </row>
    <row r="732" spans="1:57" ht="14.25" customHeight="1" x14ac:dyDescent="0.3">
      <c r="A732" s="46"/>
      <c r="B732" s="37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  <c r="AB732" s="46"/>
      <c r="AC732" s="46"/>
      <c r="AD732" s="46"/>
      <c r="AE732" s="46"/>
      <c r="AF732" s="46"/>
      <c r="AG732" s="46"/>
      <c r="AH732" s="46"/>
      <c r="AI732" s="46"/>
      <c r="AJ732" s="46"/>
      <c r="AK732" s="46"/>
      <c r="AL732" s="46"/>
      <c r="AM732" s="46"/>
      <c r="AN732" s="46"/>
      <c r="AO732" s="46"/>
      <c r="AP732" s="46"/>
      <c r="AQ732" s="46"/>
      <c r="AR732" s="46"/>
      <c r="AS732" s="46"/>
      <c r="AT732" s="46"/>
      <c r="AU732" s="46"/>
      <c r="AV732" s="46"/>
      <c r="AW732" s="46"/>
      <c r="AX732" s="46"/>
      <c r="AY732" s="46"/>
      <c r="AZ732" s="46"/>
      <c r="BA732" s="46"/>
      <c r="BB732" s="46"/>
      <c r="BC732" s="46"/>
      <c r="BD732" s="46"/>
      <c r="BE732" s="46"/>
    </row>
    <row r="733" spans="1:57" ht="14.25" customHeight="1" x14ac:dyDescent="0.3">
      <c r="A733" s="46"/>
      <c r="B733" s="37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  <c r="AB733" s="46"/>
      <c r="AC733" s="46"/>
      <c r="AD733" s="46"/>
      <c r="AE733" s="46"/>
      <c r="AF733" s="46"/>
      <c r="AG733" s="46"/>
      <c r="AH733" s="46"/>
      <c r="AI733" s="46"/>
      <c r="AJ733" s="46"/>
      <c r="AK733" s="46"/>
      <c r="AL733" s="46"/>
      <c r="AM733" s="46"/>
      <c r="AN733" s="46"/>
      <c r="AO733" s="46"/>
      <c r="AP733" s="46"/>
      <c r="AQ733" s="46"/>
      <c r="AR733" s="46"/>
      <c r="AS733" s="46"/>
      <c r="AT733" s="46"/>
      <c r="AU733" s="46"/>
      <c r="AV733" s="46"/>
      <c r="AW733" s="46"/>
      <c r="AX733" s="46"/>
      <c r="AY733" s="46"/>
      <c r="AZ733" s="46"/>
      <c r="BA733" s="46"/>
      <c r="BB733" s="46"/>
      <c r="BC733" s="46"/>
      <c r="BD733" s="46"/>
      <c r="BE733" s="46"/>
    </row>
    <row r="734" spans="1:57" ht="14.25" customHeight="1" x14ac:dyDescent="0.3">
      <c r="A734" s="46"/>
      <c r="B734" s="37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  <c r="AB734" s="46"/>
      <c r="AC734" s="46"/>
      <c r="AD734" s="46"/>
      <c r="AE734" s="46"/>
      <c r="AF734" s="46"/>
      <c r="AG734" s="46"/>
      <c r="AH734" s="46"/>
      <c r="AI734" s="46"/>
      <c r="AJ734" s="46"/>
      <c r="AK734" s="46"/>
      <c r="AL734" s="46"/>
      <c r="AM734" s="46"/>
      <c r="AN734" s="46"/>
      <c r="AO734" s="46"/>
      <c r="AP734" s="46"/>
      <c r="AQ734" s="46"/>
      <c r="AR734" s="46"/>
      <c r="AS734" s="46"/>
      <c r="AT734" s="46"/>
      <c r="AU734" s="46"/>
      <c r="AV734" s="46"/>
      <c r="AW734" s="46"/>
      <c r="AX734" s="46"/>
      <c r="AY734" s="46"/>
      <c r="AZ734" s="46"/>
      <c r="BA734" s="46"/>
      <c r="BB734" s="46"/>
      <c r="BC734" s="46"/>
      <c r="BD734" s="46"/>
      <c r="BE734" s="46"/>
    </row>
    <row r="735" spans="1:57" ht="14.25" customHeight="1" x14ac:dyDescent="0.3">
      <c r="A735" s="46"/>
      <c r="B735" s="37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  <c r="AB735" s="46"/>
      <c r="AC735" s="46"/>
      <c r="AD735" s="46"/>
      <c r="AE735" s="46"/>
      <c r="AF735" s="46"/>
      <c r="AG735" s="46"/>
      <c r="AH735" s="46"/>
      <c r="AI735" s="46"/>
      <c r="AJ735" s="46"/>
      <c r="AK735" s="46"/>
      <c r="AL735" s="46"/>
      <c r="AM735" s="46"/>
      <c r="AN735" s="46"/>
      <c r="AO735" s="46"/>
      <c r="AP735" s="46"/>
      <c r="AQ735" s="46"/>
      <c r="AR735" s="46"/>
      <c r="AS735" s="46"/>
      <c r="AT735" s="46"/>
      <c r="AU735" s="46"/>
      <c r="AV735" s="46"/>
      <c r="AW735" s="46"/>
      <c r="AX735" s="46"/>
      <c r="AY735" s="46"/>
      <c r="AZ735" s="46"/>
      <c r="BA735" s="46"/>
      <c r="BB735" s="46"/>
      <c r="BC735" s="46"/>
      <c r="BD735" s="46"/>
      <c r="BE735" s="46"/>
    </row>
    <row r="736" spans="1:57" ht="14.25" customHeight="1" x14ac:dyDescent="0.3">
      <c r="A736" s="46"/>
      <c r="B736" s="37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  <c r="AB736" s="46"/>
      <c r="AC736" s="46"/>
      <c r="AD736" s="46"/>
      <c r="AE736" s="46"/>
      <c r="AF736" s="46"/>
      <c r="AG736" s="46"/>
      <c r="AH736" s="46"/>
      <c r="AI736" s="46"/>
      <c r="AJ736" s="46"/>
      <c r="AK736" s="46"/>
      <c r="AL736" s="46"/>
      <c r="AM736" s="46"/>
      <c r="AN736" s="46"/>
      <c r="AO736" s="46"/>
      <c r="AP736" s="46"/>
      <c r="AQ736" s="46"/>
      <c r="AR736" s="46"/>
      <c r="AS736" s="46"/>
      <c r="AT736" s="46"/>
      <c r="AU736" s="46"/>
      <c r="AV736" s="46"/>
      <c r="AW736" s="46"/>
      <c r="AX736" s="46"/>
      <c r="AY736" s="46"/>
      <c r="AZ736" s="46"/>
      <c r="BA736" s="46"/>
      <c r="BB736" s="46"/>
      <c r="BC736" s="46"/>
      <c r="BD736" s="46"/>
      <c r="BE736" s="46"/>
    </row>
    <row r="737" spans="1:57" ht="14.25" customHeight="1" x14ac:dyDescent="0.3">
      <c r="A737" s="46"/>
      <c r="B737" s="37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  <c r="AB737" s="46"/>
      <c r="AC737" s="46"/>
      <c r="AD737" s="46"/>
      <c r="AE737" s="46"/>
      <c r="AF737" s="46"/>
      <c r="AG737" s="46"/>
      <c r="AH737" s="46"/>
      <c r="AI737" s="46"/>
      <c r="AJ737" s="46"/>
      <c r="AK737" s="46"/>
      <c r="AL737" s="46"/>
      <c r="AM737" s="46"/>
      <c r="AN737" s="46"/>
      <c r="AO737" s="46"/>
      <c r="AP737" s="46"/>
      <c r="AQ737" s="46"/>
      <c r="AR737" s="46"/>
      <c r="AS737" s="46"/>
      <c r="AT737" s="46"/>
      <c r="AU737" s="46"/>
      <c r="AV737" s="46"/>
      <c r="AW737" s="46"/>
      <c r="AX737" s="46"/>
      <c r="AY737" s="46"/>
      <c r="AZ737" s="46"/>
      <c r="BA737" s="46"/>
      <c r="BB737" s="46"/>
      <c r="BC737" s="46"/>
      <c r="BD737" s="46"/>
      <c r="BE737" s="46"/>
    </row>
    <row r="738" spans="1:57" ht="14.25" customHeight="1" x14ac:dyDescent="0.3">
      <c r="A738" s="46"/>
      <c r="B738" s="37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  <c r="AB738" s="46"/>
      <c r="AC738" s="46"/>
      <c r="AD738" s="46"/>
      <c r="AE738" s="46"/>
      <c r="AF738" s="46"/>
      <c r="AG738" s="46"/>
      <c r="AH738" s="46"/>
      <c r="AI738" s="46"/>
      <c r="AJ738" s="46"/>
      <c r="AK738" s="46"/>
      <c r="AL738" s="46"/>
      <c r="AM738" s="46"/>
      <c r="AN738" s="46"/>
      <c r="AO738" s="46"/>
      <c r="AP738" s="46"/>
      <c r="AQ738" s="46"/>
      <c r="AR738" s="46"/>
      <c r="AS738" s="46"/>
      <c r="AT738" s="46"/>
      <c r="AU738" s="46"/>
      <c r="AV738" s="46"/>
      <c r="AW738" s="46"/>
      <c r="AX738" s="46"/>
      <c r="AY738" s="46"/>
      <c r="AZ738" s="46"/>
      <c r="BA738" s="46"/>
      <c r="BB738" s="46"/>
      <c r="BC738" s="46"/>
      <c r="BD738" s="46"/>
      <c r="BE738" s="46"/>
    </row>
    <row r="739" spans="1:57" ht="14.25" customHeight="1" x14ac:dyDescent="0.3">
      <c r="A739" s="46"/>
      <c r="B739" s="37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  <c r="AB739" s="46"/>
      <c r="AC739" s="46"/>
      <c r="AD739" s="46"/>
      <c r="AE739" s="46"/>
      <c r="AF739" s="46"/>
      <c r="AG739" s="46"/>
      <c r="AH739" s="46"/>
      <c r="AI739" s="46"/>
      <c r="AJ739" s="46"/>
      <c r="AK739" s="46"/>
      <c r="AL739" s="46"/>
      <c r="AM739" s="46"/>
      <c r="AN739" s="46"/>
      <c r="AO739" s="46"/>
      <c r="AP739" s="46"/>
      <c r="AQ739" s="46"/>
      <c r="AR739" s="46"/>
      <c r="AS739" s="46"/>
      <c r="AT739" s="46"/>
      <c r="AU739" s="46"/>
      <c r="AV739" s="46"/>
      <c r="AW739" s="46"/>
      <c r="AX739" s="46"/>
      <c r="AY739" s="46"/>
      <c r="AZ739" s="46"/>
      <c r="BA739" s="46"/>
      <c r="BB739" s="46"/>
      <c r="BC739" s="46"/>
      <c r="BD739" s="46"/>
      <c r="BE739" s="46"/>
    </row>
    <row r="740" spans="1:57" ht="14.25" customHeight="1" x14ac:dyDescent="0.3">
      <c r="A740" s="46"/>
      <c r="B740" s="37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  <c r="AB740" s="46"/>
      <c r="AC740" s="46"/>
      <c r="AD740" s="46"/>
      <c r="AE740" s="46"/>
      <c r="AF740" s="46"/>
      <c r="AG740" s="46"/>
      <c r="AH740" s="46"/>
      <c r="AI740" s="46"/>
      <c r="AJ740" s="46"/>
      <c r="AK740" s="46"/>
      <c r="AL740" s="46"/>
      <c r="AM740" s="46"/>
      <c r="AN740" s="46"/>
      <c r="AO740" s="46"/>
      <c r="AP740" s="46"/>
      <c r="AQ740" s="46"/>
      <c r="AR740" s="46"/>
      <c r="AS740" s="46"/>
      <c r="AT740" s="46"/>
      <c r="AU740" s="46"/>
      <c r="AV740" s="46"/>
      <c r="AW740" s="46"/>
      <c r="AX740" s="46"/>
      <c r="AY740" s="46"/>
      <c r="AZ740" s="46"/>
      <c r="BA740" s="46"/>
      <c r="BB740" s="46"/>
      <c r="BC740" s="46"/>
      <c r="BD740" s="46"/>
      <c r="BE740" s="46"/>
    </row>
    <row r="741" spans="1:57" ht="14.25" customHeight="1" x14ac:dyDescent="0.3">
      <c r="A741" s="46"/>
      <c r="B741" s="37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/>
      <c r="AB741" s="46"/>
      <c r="AC741" s="46"/>
      <c r="AD741" s="46"/>
      <c r="AE741" s="46"/>
      <c r="AF741" s="46"/>
      <c r="AG741" s="46"/>
      <c r="AH741" s="46"/>
      <c r="AI741" s="46"/>
      <c r="AJ741" s="46"/>
      <c r="AK741" s="46"/>
      <c r="AL741" s="46"/>
      <c r="AM741" s="46"/>
      <c r="AN741" s="46"/>
      <c r="AO741" s="46"/>
      <c r="AP741" s="46"/>
      <c r="AQ741" s="46"/>
      <c r="AR741" s="46"/>
      <c r="AS741" s="46"/>
      <c r="AT741" s="46"/>
      <c r="AU741" s="46"/>
      <c r="AV741" s="46"/>
      <c r="AW741" s="46"/>
      <c r="AX741" s="46"/>
      <c r="AY741" s="46"/>
      <c r="AZ741" s="46"/>
      <c r="BA741" s="46"/>
      <c r="BB741" s="46"/>
      <c r="BC741" s="46"/>
      <c r="BD741" s="46"/>
      <c r="BE741" s="46"/>
    </row>
    <row r="742" spans="1:57" ht="14.25" customHeight="1" x14ac:dyDescent="0.3">
      <c r="A742" s="46"/>
      <c r="B742" s="37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/>
      <c r="AB742" s="46"/>
      <c r="AC742" s="46"/>
      <c r="AD742" s="46"/>
      <c r="AE742" s="46"/>
      <c r="AF742" s="46"/>
      <c r="AG742" s="46"/>
      <c r="AH742" s="46"/>
      <c r="AI742" s="46"/>
      <c r="AJ742" s="46"/>
      <c r="AK742" s="46"/>
      <c r="AL742" s="46"/>
      <c r="AM742" s="46"/>
      <c r="AN742" s="46"/>
      <c r="AO742" s="46"/>
      <c r="AP742" s="46"/>
      <c r="AQ742" s="46"/>
      <c r="AR742" s="46"/>
      <c r="AS742" s="46"/>
      <c r="AT742" s="46"/>
      <c r="AU742" s="46"/>
      <c r="AV742" s="46"/>
      <c r="AW742" s="46"/>
      <c r="AX742" s="46"/>
      <c r="AY742" s="46"/>
      <c r="AZ742" s="46"/>
      <c r="BA742" s="46"/>
      <c r="BB742" s="46"/>
      <c r="BC742" s="46"/>
      <c r="BD742" s="46"/>
      <c r="BE742" s="46"/>
    </row>
    <row r="743" spans="1:57" ht="14.25" customHeight="1" x14ac:dyDescent="0.3">
      <c r="A743" s="46"/>
      <c r="B743" s="37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  <c r="AB743" s="46"/>
      <c r="AC743" s="46"/>
      <c r="AD743" s="46"/>
      <c r="AE743" s="46"/>
      <c r="AF743" s="46"/>
      <c r="AG743" s="46"/>
      <c r="AH743" s="46"/>
      <c r="AI743" s="46"/>
      <c r="AJ743" s="46"/>
      <c r="AK743" s="46"/>
      <c r="AL743" s="46"/>
      <c r="AM743" s="46"/>
      <c r="AN743" s="46"/>
      <c r="AO743" s="46"/>
      <c r="AP743" s="46"/>
      <c r="AQ743" s="46"/>
      <c r="AR743" s="46"/>
      <c r="AS743" s="46"/>
      <c r="AT743" s="46"/>
      <c r="AU743" s="46"/>
      <c r="AV743" s="46"/>
      <c r="AW743" s="46"/>
      <c r="AX743" s="46"/>
      <c r="AY743" s="46"/>
      <c r="AZ743" s="46"/>
      <c r="BA743" s="46"/>
      <c r="BB743" s="46"/>
      <c r="BC743" s="46"/>
      <c r="BD743" s="46"/>
      <c r="BE743" s="46"/>
    </row>
    <row r="744" spans="1:57" ht="14.25" customHeight="1" x14ac:dyDescent="0.3">
      <c r="A744" s="46"/>
      <c r="B744" s="37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6"/>
      <c r="AB744" s="46"/>
      <c r="AC744" s="46"/>
      <c r="AD744" s="46"/>
      <c r="AE744" s="46"/>
      <c r="AF744" s="46"/>
      <c r="AG744" s="46"/>
      <c r="AH744" s="46"/>
      <c r="AI744" s="46"/>
      <c r="AJ744" s="46"/>
      <c r="AK744" s="46"/>
      <c r="AL744" s="46"/>
      <c r="AM744" s="46"/>
      <c r="AN744" s="46"/>
      <c r="AO744" s="46"/>
      <c r="AP744" s="46"/>
      <c r="AQ744" s="46"/>
      <c r="AR744" s="46"/>
      <c r="AS744" s="46"/>
      <c r="AT744" s="46"/>
      <c r="AU744" s="46"/>
      <c r="AV744" s="46"/>
      <c r="AW744" s="46"/>
      <c r="AX744" s="46"/>
      <c r="AY744" s="46"/>
      <c r="AZ744" s="46"/>
      <c r="BA744" s="46"/>
      <c r="BB744" s="46"/>
      <c r="BC744" s="46"/>
      <c r="BD744" s="46"/>
      <c r="BE744" s="46"/>
    </row>
    <row r="745" spans="1:57" ht="14.25" customHeight="1" x14ac:dyDescent="0.3">
      <c r="A745" s="46"/>
      <c r="B745" s="37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  <c r="AA745" s="46"/>
      <c r="AB745" s="46"/>
      <c r="AC745" s="46"/>
      <c r="AD745" s="46"/>
      <c r="AE745" s="46"/>
      <c r="AF745" s="46"/>
      <c r="AG745" s="46"/>
      <c r="AH745" s="46"/>
      <c r="AI745" s="46"/>
      <c r="AJ745" s="46"/>
      <c r="AK745" s="46"/>
      <c r="AL745" s="46"/>
      <c r="AM745" s="46"/>
      <c r="AN745" s="46"/>
      <c r="AO745" s="46"/>
      <c r="AP745" s="46"/>
      <c r="AQ745" s="46"/>
      <c r="AR745" s="46"/>
      <c r="AS745" s="46"/>
      <c r="AT745" s="46"/>
      <c r="AU745" s="46"/>
      <c r="AV745" s="46"/>
      <c r="AW745" s="46"/>
      <c r="AX745" s="46"/>
      <c r="AY745" s="46"/>
      <c r="AZ745" s="46"/>
      <c r="BA745" s="46"/>
      <c r="BB745" s="46"/>
      <c r="BC745" s="46"/>
      <c r="BD745" s="46"/>
      <c r="BE745" s="46"/>
    </row>
    <row r="746" spans="1:57" ht="14.25" customHeight="1" x14ac:dyDescent="0.3">
      <c r="A746" s="46"/>
      <c r="B746" s="37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  <c r="AA746" s="46"/>
      <c r="AB746" s="46"/>
      <c r="AC746" s="46"/>
      <c r="AD746" s="46"/>
      <c r="AE746" s="46"/>
      <c r="AF746" s="46"/>
      <c r="AG746" s="46"/>
      <c r="AH746" s="46"/>
      <c r="AI746" s="46"/>
      <c r="AJ746" s="46"/>
      <c r="AK746" s="46"/>
      <c r="AL746" s="46"/>
      <c r="AM746" s="46"/>
      <c r="AN746" s="46"/>
      <c r="AO746" s="46"/>
      <c r="AP746" s="46"/>
      <c r="AQ746" s="46"/>
      <c r="AR746" s="46"/>
      <c r="AS746" s="46"/>
      <c r="AT746" s="46"/>
      <c r="AU746" s="46"/>
      <c r="AV746" s="46"/>
      <c r="AW746" s="46"/>
      <c r="AX746" s="46"/>
      <c r="AY746" s="46"/>
      <c r="AZ746" s="46"/>
      <c r="BA746" s="46"/>
      <c r="BB746" s="46"/>
      <c r="BC746" s="46"/>
      <c r="BD746" s="46"/>
      <c r="BE746" s="46"/>
    </row>
    <row r="747" spans="1:57" ht="14.25" customHeight="1" x14ac:dyDescent="0.3">
      <c r="A747" s="46"/>
      <c r="B747" s="37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  <c r="AB747" s="46"/>
      <c r="AC747" s="46"/>
      <c r="AD747" s="46"/>
      <c r="AE747" s="46"/>
      <c r="AF747" s="46"/>
      <c r="AG747" s="46"/>
      <c r="AH747" s="46"/>
      <c r="AI747" s="46"/>
      <c r="AJ747" s="46"/>
      <c r="AK747" s="46"/>
      <c r="AL747" s="46"/>
      <c r="AM747" s="46"/>
      <c r="AN747" s="46"/>
      <c r="AO747" s="46"/>
      <c r="AP747" s="46"/>
      <c r="AQ747" s="46"/>
      <c r="AR747" s="46"/>
      <c r="AS747" s="46"/>
      <c r="AT747" s="46"/>
      <c r="AU747" s="46"/>
      <c r="AV747" s="46"/>
      <c r="AW747" s="46"/>
      <c r="AX747" s="46"/>
      <c r="AY747" s="46"/>
      <c r="AZ747" s="46"/>
      <c r="BA747" s="46"/>
      <c r="BB747" s="46"/>
      <c r="BC747" s="46"/>
      <c r="BD747" s="46"/>
      <c r="BE747" s="46"/>
    </row>
    <row r="748" spans="1:57" ht="14.25" customHeight="1" x14ac:dyDescent="0.3">
      <c r="A748" s="46"/>
      <c r="B748" s="37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  <c r="AA748" s="46"/>
      <c r="AB748" s="46"/>
      <c r="AC748" s="46"/>
      <c r="AD748" s="46"/>
      <c r="AE748" s="46"/>
      <c r="AF748" s="46"/>
      <c r="AG748" s="46"/>
      <c r="AH748" s="46"/>
      <c r="AI748" s="46"/>
      <c r="AJ748" s="46"/>
      <c r="AK748" s="46"/>
      <c r="AL748" s="46"/>
      <c r="AM748" s="46"/>
      <c r="AN748" s="46"/>
      <c r="AO748" s="46"/>
      <c r="AP748" s="46"/>
      <c r="AQ748" s="46"/>
      <c r="AR748" s="46"/>
      <c r="AS748" s="46"/>
      <c r="AT748" s="46"/>
      <c r="AU748" s="46"/>
      <c r="AV748" s="46"/>
      <c r="AW748" s="46"/>
      <c r="AX748" s="46"/>
      <c r="AY748" s="46"/>
      <c r="AZ748" s="46"/>
      <c r="BA748" s="46"/>
      <c r="BB748" s="46"/>
      <c r="BC748" s="46"/>
      <c r="BD748" s="46"/>
      <c r="BE748" s="46"/>
    </row>
    <row r="749" spans="1:57" ht="14.25" customHeight="1" x14ac:dyDescent="0.3">
      <c r="A749" s="46"/>
      <c r="B749" s="37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  <c r="AA749" s="46"/>
      <c r="AB749" s="46"/>
      <c r="AC749" s="46"/>
      <c r="AD749" s="46"/>
      <c r="AE749" s="46"/>
      <c r="AF749" s="46"/>
      <c r="AG749" s="46"/>
      <c r="AH749" s="46"/>
      <c r="AI749" s="46"/>
      <c r="AJ749" s="46"/>
      <c r="AK749" s="46"/>
      <c r="AL749" s="46"/>
      <c r="AM749" s="46"/>
      <c r="AN749" s="46"/>
      <c r="AO749" s="46"/>
      <c r="AP749" s="46"/>
      <c r="AQ749" s="46"/>
      <c r="AR749" s="46"/>
      <c r="AS749" s="46"/>
      <c r="AT749" s="46"/>
      <c r="AU749" s="46"/>
      <c r="AV749" s="46"/>
      <c r="AW749" s="46"/>
      <c r="AX749" s="46"/>
      <c r="AY749" s="46"/>
      <c r="AZ749" s="46"/>
      <c r="BA749" s="46"/>
      <c r="BB749" s="46"/>
      <c r="BC749" s="46"/>
      <c r="BD749" s="46"/>
      <c r="BE749" s="46"/>
    </row>
    <row r="750" spans="1:57" ht="14.25" customHeight="1" x14ac:dyDescent="0.3">
      <c r="A750" s="46"/>
      <c r="B750" s="37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  <c r="AB750" s="46"/>
      <c r="AC750" s="46"/>
      <c r="AD750" s="46"/>
      <c r="AE750" s="46"/>
      <c r="AF750" s="46"/>
      <c r="AG750" s="46"/>
      <c r="AH750" s="46"/>
      <c r="AI750" s="46"/>
      <c r="AJ750" s="46"/>
      <c r="AK750" s="46"/>
      <c r="AL750" s="46"/>
      <c r="AM750" s="46"/>
      <c r="AN750" s="46"/>
      <c r="AO750" s="46"/>
      <c r="AP750" s="46"/>
      <c r="AQ750" s="46"/>
      <c r="AR750" s="46"/>
      <c r="AS750" s="46"/>
      <c r="AT750" s="46"/>
      <c r="AU750" s="46"/>
      <c r="AV750" s="46"/>
      <c r="AW750" s="46"/>
      <c r="AX750" s="46"/>
      <c r="AY750" s="46"/>
      <c r="AZ750" s="46"/>
      <c r="BA750" s="46"/>
      <c r="BB750" s="46"/>
      <c r="BC750" s="46"/>
      <c r="BD750" s="46"/>
      <c r="BE750" s="46"/>
    </row>
    <row r="751" spans="1:57" ht="14.25" customHeight="1" x14ac:dyDescent="0.3">
      <c r="A751" s="46"/>
      <c r="B751" s="37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  <c r="AA751" s="46"/>
      <c r="AB751" s="46"/>
      <c r="AC751" s="46"/>
      <c r="AD751" s="46"/>
      <c r="AE751" s="46"/>
      <c r="AF751" s="46"/>
      <c r="AG751" s="46"/>
      <c r="AH751" s="46"/>
      <c r="AI751" s="46"/>
      <c r="AJ751" s="46"/>
      <c r="AK751" s="46"/>
      <c r="AL751" s="46"/>
      <c r="AM751" s="46"/>
      <c r="AN751" s="46"/>
      <c r="AO751" s="46"/>
      <c r="AP751" s="46"/>
      <c r="AQ751" s="46"/>
      <c r="AR751" s="46"/>
      <c r="AS751" s="46"/>
      <c r="AT751" s="46"/>
      <c r="AU751" s="46"/>
      <c r="AV751" s="46"/>
      <c r="AW751" s="46"/>
      <c r="AX751" s="46"/>
      <c r="AY751" s="46"/>
      <c r="AZ751" s="46"/>
      <c r="BA751" s="46"/>
      <c r="BB751" s="46"/>
      <c r="BC751" s="46"/>
      <c r="BD751" s="46"/>
      <c r="BE751" s="46"/>
    </row>
    <row r="752" spans="1:57" ht="14.25" customHeight="1" x14ac:dyDescent="0.3">
      <c r="A752" s="46"/>
      <c r="B752" s="37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  <c r="AA752" s="46"/>
      <c r="AB752" s="46"/>
      <c r="AC752" s="46"/>
      <c r="AD752" s="46"/>
      <c r="AE752" s="46"/>
      <c r="AF752" s="46"/>
      <c r="AG752" s="46"/>
      <c r="AH752" s="46"/>
      <c r="AI752" s="46"/>
      <c r="AJ752" s="46"/>
      <c r="AK752" s="46"/>
      <c r="AL752" s="46"/>
      <c r="AM752" s="46"/>
      <c r="AN752" s="46"/>
      <c r="AO752" s="46"/>
      <c r="AP752" s="46"/>
      <c r="AQ752" s="46"/>
      <c r="AR752" s="46"/>
      <c r="AS752" s="46"/>
      <c r="AT752" s="46"/>
      <c r="AU752" s="46"/>
      <c r="AV752" s="46"/>
      <c r="AW752" s="46"/>
      <c r="AX752" s="46"/>
      <c r="AY752" s="46"/>
      <c r="AZ752" s="46"/>
      <c r="BA752" s="46"/>
      <c r="BB752" s="46"/>
      <c r="BC752" s="46"/>
      <c r="BD752" s="46"/>
      <c r="BE752" s="46"/>
    </row>
    <row r="753" spans="1:57" ht="14.25" customHeight="1" x14ac:dyDescent="0.3">
      <c r="A753" s="46"/>
      <c r="B753" s="37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  <c r="AB753" s="46"/>
      <c r="AC753" s="46"/>
      <c r="AD753" s="46"/>
      <c r="AE753" s="46"/>
      <c r="AF753" s="46"/>
      <c r="AG753" s="46"/>
      <c r="AH753" s="46"/>
      <c r="AI753" s="46"/>
      <c r="AJ753" s="46"/>
      <c r="AK753" s="46"/>
      <c r="AL753" s="46"/>
      <c r="AM753" s="46"/>
      <c r="AN753" s="46"/>
      <c r="AO753" s="46"/>
      <c r="AP753" s="46"/>
      <c r="AQ753" s="46"/>
      <c r="AR753" s="46"/>
      <c r="AS753" s="46"/>
      <c r="AT753" s="46"/>
      <c r="AU753" s="46"/>
      <c r="AV753" s="46"/>
      <c r="AW753" s="46"/>
      <c r="AX753" s="46"/>
      <c r="AY753" s="46"/>
      <c r="AZ753" s="46"/>
      <c r="BA753" s="46"/>
      <c r="BB753" s="46"/>
      <c r="BC753" s="46"/>
      <c r="BD753" s="46"/>
      <c r="BE753" s="46"/>
    </row>
    <row r="754" spans="1:57" ht="14.25" customHeight="1" x14ac:dyDescent="0.3">
      <c r="A754" s="46"/>
      <c r="B754" s="37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  <c r="AA754" s="46"/>
      <c r="AB754" s="46"/>
      <c r="AC754" s="46"/>
      <c r="AD754" s="46"/>
      <c r="AE754" s="46"/>
      <c r="AF754" s="46"/>
      <c r="AG754" s="46"/>
      <c r="AH754" s="46"/>
      <c r="AI754" s="46"/>
      <c r="AJ754" s="46"/>
      <c r="AK754" s="46"/>
      <c r="AL754" s="46"/>
      <c r="AM754" s="46"/>
      <c r="AN754" s="46"/>
      <c r="AO754" s="46"/>
      <c r="AP754" s="46"/>
      <c r="AQ754" s="46"/>
      <c r="AR754" s="46"/>
      <c r="AS754" s="46"/>
      <c r="AT754" s="46"/>
      <c r="AU754" s="46"/>
      <c r="AV754" s="46"/>
      <c r="AW754" s="46"/>
      <c r="AX754" s="46"/>
      <c r="AY754" s="46"/>
      <c r="AZ754" s="46"/>
      <c r="BA754" s="46"/>
      <c r="BB754" s="46"/>
      <c r="BC754" s="46"/>
      <c r="BD754" s="46"/>
      <c r="BE754" s="46"/>
    </row>
    <row r="755" spans="1:57" ht="14.25" customHeight="1" x14ac:dyDescent="0.3">
      <c r="A755" s="46"/>
      <c r="B755" s="37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  <c r="AA755" s="46"/>
      <c r="AB755" s="46"/>
      <c r="AC755" s="46"/>
      <c r="AD755" s="46"/>
      <c r="AE755" s="46"/>
      <c r="AF755" s="46"/>
      <c r="AG755" s="46"/>
      <c r="AH755" s="46"/>
      <c r="AI755" s="46"/>
      <c r="AJ755" s="46"/>
      <c r="AK755" s="46"/>
      <c r="AL755" s="46"/>
      <c r="AM755" s="46"/>
      <c r="AN755" s="46"/>
      <c r="AO755" s="46"/>
      <c r="AP755" s="46"/>
      <c r="AQ755" s="46"/>
      <c r="AR755" s="46"/>
      <c r="AS755" s="46"/>
      <c r="AT755" s="46"/>
      <c r="AU755" s="46"/>
      <c r="AV755" s="46"/>
      <c r="AW755" s="46"/>
      <c r="AX755" s="46"/>
      <c r="AY755" s="46"/>
      <c r="AZ755" s="46"/>
      <c r="BA755" s="46"/>
      <c r="BB755" s="46"/>
      <c r="BC755" s="46"/>
      <c r="BD755" s="46"/>
      <c r="BE755" s="46"/>
    </row>
    <row r="756" spans="1:57" ht="14.25" customHeight="1" x14ac:dyDescent="0.3">
      <c r="A756" s="46"/>
      <c r="B756" s="37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  <c r="AA756" s="46"/>
      <c r="AB756" s="46"/>
      <c r="AC756" s="46"/>
      <c r="AD756" s="46"/>
      <c r="AE756" s="46"/>
      <c r="AF756" s="46"/>
      <c r="AG756" s="46"/>
      <c r="AH756" s="46"/>
      <c r="AI756" s="46"/>
      <c r="AJ756" s="46"/>
      <c r="AK756" s="46"/>
      <c r="AL756" s="46"/>
      <c r="AM756" s="46"/>
      <c r="AN756" s="46"/>
      <c r="AO756" s="46"/>
      <c r="AP756" s="46"/>
      <c r="AQ756" s="46"/>
      <c r="AR756" s="46"/>
      <c r="AS756" s="46"/>
      <c r="AT756" s="46"/>
      <c r="AU756" s="46"/>
      <c r="AV756" s="46"/>
      <c r="AW756" s="46"/>
      <c r="AX756" s="46"/>
      <c r="AY756" s="46"/>
      <c r="AZ756" s="46"/>
      <c r="BA756" s="46"/>
      <c r="BB756" s="46"/>
      <c r="BC756" s="46"/>
      <c r="BD756" s="46"/>
      <c r="BE756" s="46"/>
    </row>
    <row r="757" spans="1:57" ht="14.25" customHeight="1" x14ac:dyDescent="0.3">
      <c r="A757" s="46"/>
      <c r="B757" s="37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  <c r="AA757" s="46"/>
      <c r="AB757" s="46"/>
      <c r="AC757" s="46"/>
      <c r="AD757" s="46"/>
      <c r="AE757" s="46"/>
      <c r="AF757" s="46"/>
      <c r="AG757" s="46"/>
      <c r="AH757" s="46"/>
      <c r="AI757" s="46"/>
      <c r="AJ757" s="46"/>
      <c r="AK757" s="46"/>
      <c r="AL757" s="46"/>
      <c r="AM757" s="46"/>
      <c r="AN757" s="46"/>
      <c r="AO757" s="46"/>
      <c r="AP757" s="46"/>
      <c r="AQ757" s="46"/>
      <c r="AR757" s="46"/>
      <c r="AS757" s="46"/>
      <c r="AT757" s="46"/>
      <c r="AU757" s="46"/>
      <c r="AV757" s="46"/>
      <c r="AW757" s="46"/>
      <c r="AX757" s="46"/>
      <c r="AY757" s="46"/>
      <c r="AZ757" s="46"/>
      <c r="BA757" s="46"/>
      <c r="BB757" s="46"/>
      <c r="BC757" s="46"/>
      <c r="BD757" s="46"/>
      <c r="BE757" s="46"/>
    </row>
    <row r="758" spans="1:57" ht="14.25" customHeight="1" x14ac:dyDescent="0.3">
      <c r="A758" s="46"/>
      <c r="B758" s="37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  <c r="AA758" s="46"/>
      <c r="AB758" s="46"/>
      <c r="AC758" s="46"/>
      <c r="AD758" s="46"/>
      <c r="AE758" s="46"/>
      <c r="AF758" s="46"/>
      <c r="AG758" s="46"/>
      <c r="AH758" s="46"/>
      <c r="AI758" s="46"/>
      <c r="AJ758" s="46"/>
      <c r="AK758" s="46"/>
      <c r="AL758" s="46"/>
      <c r="AM758" s="46"/>
      <c r="AN758" s="46"/>
      <c r="AO758" s="46"/>
      <c r="AP758" s="46"/>
      <c r="AQ758" s="46"/>
      <c r="AR758" s="46"/>
      <c r="AS758" s="46"/>
      <c r="AT758" s="46"/>
      <c r="AU758" s="46"/>
      <c r="AV758" s="46"/>
      <c r="AW758" s="46"/>
      <c r="AX758" s="46"/>
      <c r="AY758" s="46"/>
      <c r="AZ758" s="46"/>
      <c r="BA758" s="46"/>
      <c r="BB758" s="46"/>
      <c r="BC758" s="46"/>
      <c r="BD758" s="46"/>
      <c r="BE758" s="46"/>
    </row>
    <row r="759" spans="1:57" ht="14.25" customHeight="1" x14ac:dyDescent="0.3">
      <c r="A759" s="46"/>
      <c r="B759" s="37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  <c r="AA759" s="46"/>
      <c r="AB759" s="46"/>
      <c r="AC759" s="46"/>
      <c r="AD759" s="46"/>
      <c r="AE759" s="46"/>
      <c r="AF759" s="46"/>
      <c r="AG759" s="46"/>
      <c r="AH759" s="46"/>
      <c r="AI759" s="46"/>
      <c r="AJ759" s="46"/>
      <c r="AK759" s="46"/>
      <c r="AL759" s="46"/>
      <c r="AM759" s="46"/>
      <c r="AN759" s="46"/>
      <c r="AO759" s="46"/>
      <c r="AP759" s="46"/>
      <c r="AQ759" s="46"/>
      <c r="AR759" s="46"/>
      <c r="AS759" s="46"/>
      <c r="AT759" s="46"/>
      <c r="AU759" s="46"/>
      <c r="AV759" s="46"/>
      <c r="AW759" s="46"/>
      <c r="AX759" s="46"/>
      <c r="AY759" s="46"/>
      <c r="AZ759" s="46"/>
      <c r="BA759" s="46"/>
      <c r="BB759" s="46"/>
      <c r="BC759" s="46"/>
      <c r="BD759" s="46"/>
      <c r="BE759" s="46"/>
    </row>
    <row r="760" spans="1:57" ht="14.25" customHeight="1" x14ac:dyDescent="0.3">
      <c r="A760" s="46"/>
      <c r="B760" s="37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  <c r="AA760" s="46"/>
      <c r="AB760" s="46"/>
      <c r="AC760" s="46"/>
      <c r="AD760" s="46"/>
      <c r="AE760" s="46"/>
      <c r="AF760" s="46"/>
      <c r="AG760" s="46"/>
      <c r="AH760" s="46"/>
      <c r="AI760" s="46"/>
      <c r="AJ760" s="46"/>
      <c r="AK760" s="46"/>
      <c r="AL760" s="46"/>
      <c r="AM760" s="46"/>
      <c r="AN760" s="46"/>
      <c r="AO760" s="46"/>
      <c r="AP760" s="46"/>
      <c r="AQ760" s="46"/>
      <c r="AR760" s="46"/>
      <c r="AS760" s="46"/>
      <c r="AT760" s="46"/>
      <c r="AU760" s="46"/>
      <c r="AV760" s="46"/>
      <c r="AW760" s="46"/>
      <c r="AX760" s="46"/>
      <c r="AY760" s="46"/>
      <c r="AZ760" s="46"/>
      <c r="BA760" s="46"/>
      <c r="BB760" s="46"/>
      <c r="BC760" s="46"/>
      <c r="BD760" s="46"/>
      <c r="BE760" s="46"/>
    </row>
    <row r="761" spans="1:57" ht="14.25" customHeight="1" x14ac:dyDescent="0.3">
      <c r="A761" s="46"/>
      <c r="B761" s="37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  <c r="AA761" s="46"/>
      <c r="AB761" s="46"/>
      <c r="AC761" s="46"/>
      <c r="AD761" s="46"/>
      <c r="AE761" s="46"/>
      <c r="AF761" s="46"/>
      <c r="AG761" s="46"/>
      <c r="AH761" s="46"/>
      <c r="AI761" s="46"/>
      <c r="AJ761" s="46"/>
      <c r="AK761" s="46"/>
      <c r="AL761" s="46"/>
      <c r="AM761" s="46"/>
      <c r="AN761" s="46"/>
      <c r="AO761" s="46"/>
      <c r="AP761" s="46"/>
      <c r="AQ761" s="46"/>
      <c r="AR761" s="46"/>
      <c r="AS761" s="46"/>
      <c r="AT761" s="46"/>
      <c r="AU761" s="46"/>
      <c r="AV761" s="46"/>
      <c r="AW761" s="46"/>
      <c r="AX761" s="46"/>
      <c r="AY761" s="46"/>
      <c r="AZ761" s="46"/>
      <c r="BA761" s="46"/>
      <c r="BB761" s="46"/>
      <c r="BC761" s="46"/>
      <c r="BD761" s="46"/>
      <c r="BE761" s="46"/>
    </row>
    <row r="762" spans="1:57" ht="14.25" customHeight="1" x14ac:dyDescent="0.3">
      <c r="A762" s="46"/>
      <c r="B762" s="37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  <c r="AA762" s="46"/>
      <c r="AB762" s="46"/>
      <c r="AC762" s="46"/>
      <c r="AD762" s="46"/>
      <c r="AE762" s="46"/>
      <c r="AF762" s="46"/>
      <c r="AG762" s="46"/>
      <c r="AH762" s="46"/>
      <c r="AI762" s="46"/>
      <c r="AJ762" s="46"/>
      <c r="AK762" s="46"/>
      <c r="AL762" s="46"/>
      <c r="AM762" s="46"/>
      <c r="AN762" s="46"/>
      <c r="AO762" s="46"/>
      <c r="AP762" s="46"/>
      <c r="AQ762" s="46"/>
      <c r="AR762" s="46"/>
      <c r="AS762" s="46"/>
      <c r="AT762" s="46"/>
      <c r="AU762" s="46"/>
      <c r="AV762" s="46"/>
      <c r="AW762" s="46"/>
      <c r="AX762" s="46"/>
      <c r="AY762" s="46"/>
      <c r="AZ762" s="46"/>
      <c r="BA762" s="46"/>
      <c r="BB762" s="46"/>
      <c r="BC762" s="46"/>
      <c r="BD762" s="46"/>
      <c r="BE762" s="46"/>
    </row>
    <row r="763" spans="1:57" ht="14.25" customHeight="1" x14ac:dyDescent="0.3">
      <c r="A763" s="46"/>
      <c r="B763" s="37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  <c r="AA763" s="46"/>
      <c r="AB763" s="46"/>
      <c r="AC763" s="46"/>
      <c r="AD763" s="46"/>
      <c r="AE763" s="46"/>
      <c r="AF763" s="46"/>
      <c r="AG763" s="46"/>
      <c r="AH763" s="46"/>
      <c r="AI763" s="46"/>
      <c r="AJ763" s="46"/>
      <c r="AK763" s="46"/>
      <c r="AL763" s="46"/>
      <c r="AM763" s="46"/>
      <c r="AN763" s="46"/>
      <c r="AO763" s="46"/>
      <c r="AP763" s="46"/>
      <c r="AQ763" s="46"/>
      <c r="AR763" s="46"/>
      <c r="AS763" s="46"/>
      <c r="AT763" s="46"/>
      <c r="AU763" s="46"/>
      <c r="AV763" s="46"/>
      <c r="AW763" s="46"/>
      <c r="AX763" s="46"/>
      <c r="AY763" s="46"/>
      <c r="AZ763" s="46"/>
      <c r="BA763" s="46"/>
      <c r="BB763" s="46"/>
      <c r="BC763" s="46"/>
      <c r="BD763" s="46"/>
      <c r="BE763" s="46"/>
    </row>
    <row r="764" spans="1:57" ht="14.25" customHeight="1" x14ac:dyDescent="0.3">
      <c r="A764" s="46"/>
      <c r="B764" s="37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  <c r="AA764" s="46"/>
      <c r="AB764" s="46"/>
      <c r="AC764" s="46"/>
      <c r="AD764" s="46"/>
      <c r="AE764" s="46"/>
      <c r="AF764" s="46"/>
      <c r="AG764" s="46"/>
      <c r="AH764" s="46"/>
      <c r="AI764" s="46"/>
      <c r="AJ764" s="46"/>
      <c r="AK764" s="46"/>
      <c r="AL764" s="46"/>
      <c r="AM764" s="46"/>
      <c r="AN764" s="46"/>
      <c r="AO764" s="46"/>
      <c r="AP764" s="46"/>
      <c r="AQ764" s="46"/>
      <c r="AR764" s="46"/>
      <c r="AS764" s="46"/>
      <c r="AT764" s="46"/>
      <c r="AU764" s="46"/>
      <c r="AV764" s="46"/>
      <c r="AW764" s="46"/>
      <c r="AX764" s="46"/>
      <c r="AY764" s="46"/>
      <c r="AZ764" s="46"/>
      <c r="BA764" s="46"/>
      <c r="BB764" s="46"/>
      <c r="BC764" s="46"/>
      <c r="BD764" s="46"/>
      <c r="BE764" s="46"/>
    </row>
    <row r="765" spans="1:57" ht="14.25" customHeight="1" x14ac:dyDescent="0.3">
      <c r="A765" s="46"/>
      <c r="B765" s="37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  <c r="AA765" s="46"/>
      <c r="AB765" s="46"/>
      <c r="AC765" s="46"/>
      <c r="AD765" s="46"/>
      <c r="AE765" s="46"/>
      <c r="AF765" s="46"/>
      <c r="AG765" s="46"/>
      <c r="AH765" s="46"/>
      <c r="AI765" s="46"/>
      <c r="AJ765" s="46"/>
      <c r="AK765" s="46"/>
      <c r="AL765" s="46"/>
      <c r="AM765" s="46"/>
      <c r="AN765" s="46"/>
      <c r="AO765" s="46"/>
      <c r="AP765" s="46"/>
      <c r="AQ765" s="46"/>
      <c r="AR765" s="46"/>
      <c r="AS765" s="46"/>
      <c r="AT765" s="46"/>
      <c r="AU765" s="46"/>
      <c r="AV765" s="46"/>
      <c r="AW765" s="46"/>
      <c r="AX765" s="46"/>
      <c r="AY765" s="46"/>
      <c r="AZ765" s="46"/>
      <c r="BA765" s="46"/>
      <c r="BB765" s="46"/>
      <c r="BC765" s="46"/>
      <c r="BD765" s="46"/>
      <c r="BE765" s="46"/>
    </row>
    <row r="766" spans="1:57" ht="14.25" customHeight="1" x14ac:dyDescent="0.3">
      <c r="A766" s="46"/>
      <c r="B766" s="37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  <c r="AB766" s="46"/>
      <c r="AC766" s="46"/>
      <c r="AD766" s="46"/>
      <c r="AE766" s="46"/>
      <c r="AF766" s="46"/>
      <c r="AG766" s="46"/>
      <c r="AH766" s="46"/>
      <c r="AI766" s="46"/>
      <c r="AJ766" s="46"/>
      <c r="AK766" s="46"/>
      <c r="AL766" s="46"/>
      <c r="AM766" s="46"/>
      <c r="AN766" s="46"/>
      <c r="AO766" s="46"/>
      <c r="AP766" s="46"/>
      <c r="AQ766" s="46"/>
      <c r="AR766" s="46"/>
      <c r="AS766" s="46"/>
      <c r="AT766" s="46"/>
      <c r="AU766" s="46"/>
      <c r="AV766" s="46"/>
      <c r="AW766" s="46"/>
      <c r="AX766" s="46"/>
      <c r="AY766" s="46"/>
      <c r="AZ766" s="46"/>
      <c r="BA766" s="46"/>
      <c r="BB766" s="46"/>
      <c r="BC766" s="46"/>
      <c r="BD766" s="46"/>
      <c r="BE766" s="46"/>
    </row>
    <row r="767" spans="1:57" ht="14.25" customHeight="1" x14ac:dyDescent="0.3">
      <c r="A767" s="46"/>
      <c r="B767" s="37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  <c r="AB767" s="46"/>
      <c r="AC767" s="46"/>
      <c r="AD767" s="46"/>
      <c r="AE767" s="46"/>
      <c r="AF767" s="46"/>
      <c r="AG767" s="46"/>
      <c r="AH767" s="46"/>
      <c r="AI767" s="46"/>
      <c r="AJ767" s="46"/>
      <c r="AK767" s="46"/>
      <c r="AL767" s="46"/>
      <c r="AM767" s="46"/>
      <c r="AN767" s="46"/>
      <c r="AO767" s="46"/>
      <c r="AP767" s="46"/>
      <c r="AQ767" s="46"/>
      <c r="AR767" s="46"/>
      <c r="AS767" s="46"/>
      <c r="AT767" s="46"/>
      <c r="AU767" s="46"/>
      <c r="AV767" s="46"/>
      <c r="AW767" s="46"/>
      <c r="AX767" s="46"/>
      <c r="AY767" s="46"/>
      <c r="AZ767" s="46"/>
      <c r="BA767" s="46"/>
      <c r="BB767" s="46"/>
      <c r="BC767" s="46"/>
      <c r="BD767" s="46"/>
      <c r="BE767" s="46"/>
    </row>
    <row r="768" spans="1:57" ht="14.25" customHeight="1" x14ac:dyDescent="0.3">
      <c r="A768" s="46"/>
      <c r="B768" s="37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  <c r="AA768" s="46"/>
      <c r="AB768" s="46"/>
      <c r="AC768" s="46"/>
      <c r="AD768" s="46"/>
      <c r="AE768" s="46"/>
      <c r="AF768" s="46"/>
      <c r="AG768" s="46"/>
      <c r="AH768" s="46"/>
      <c r="AI768" s="46"/>
      <c r="AJ768" s="46"/>
      <c r="AK768" s="46"/>
      <c r="AL768" s="46"/>
      <c r="AM768" s="46"/>
      <c r="AN768" s="46"/>
      <c r="AO768" s="46"/>
      <c r="AP768" s="46"/>
      <c r="AQ768" s="46"/>
      <c r="AR768" s="46"/>
      <c r="AS768" s="46"/>
      <c r="AT768" s="46"/>
      <c r="AU768" s="46"/>
      <c r="AV768" s="46"/>
      <c r="AW768" s="46"/>
      <c r="AX768" s="46"/>
      <c r="AY768" s="46"/>
      <c r="AZ768" s="46"/>
      <c r="BA768" s="46"/>
      <c r="BB768" s="46"/>
      <c r="BC768" s="46"/>
      <c r="BD768" s="46"/>
      <c r="BE768" s="46"/>
    </row>
    <row r="769" spans="1:57" ht="14.25" customHeight="1" x14ac:dyDescent="0.3">
      <c r="A769" s="46"/>
      <c r="B769" s="37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  <c r="AB769" s="46"/>
      <c r="AC769" s="46"/>
      <c r="AD769" s="46"/>
      <c r="AE769" s="46"/>
      <c r="AF769" s="46"/>
      <c r="AG769" s="46"/>
      <c r="AH769" s="46"/>
      <c r="AI769" s="46"/>
      <c r="AJ769" s="46"/>
      <c r="AK769" s="46"/>
      <c r="AL769" s="46"/>
      <c r="AM769" s="46"/>
      <c r="AN769" s="46"/>
      <c r="AO769" s="46"/>
      <c r="AP769" s="46"/>
      <c r="AQ769" s="46"/>
      <c r="AR769" s="46"/>
      <c r="AS769" s="46"/>
      <c r="AT769" s="46"/>
      <c r="AU769" s="46"/>
      <c r="AV769" s="46"/>
      <c r="AW769" s="46"/>
      <c r="AX769" s="46"/>
      <c r="AY769" s="46"/>
      <c r="AZ769" s="46"/>
      <c r="BA769" s="46"/>
      <c r="BB769" s="46"/>
      <c r="BC769" s="46"/>
      <c r="BD769" s="46"/>
      <c r="BE769" s="46"/>
    </row>
    <row r="770" spans="1:57" ht="14.25" customHeight="1" x14ac:dyDescent="0.3">
      <c r="A770" s="46"/>
      <c r="B770" s="37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  <c r="AA770" s="46"/>
      <c r="AB770" s="46"/>
      <c r="AC770" s="46"/>
      <c r="AD770" s="46"/>
      <c r="AE770" s="46"/>
      <c r="AF770" s="46"/>
      <c r="AG770" s="46"/>
      <c r="AH770" s="46"/>
      <c r="AI770" s="46"/>
      <c r="AJ770" s="46"/>
      <c r="AK770" s="46"/>
      <c r="AL770" s="46"/>
      <c r="AM770" s="46"/>
      <c r="AN770" s="46"/>
      <c r="AO770" s="46"/>
      <c r="AP770" s="46"/>
      <c r="AQ770" s="46"/>
      <c r="AR770" s="46"/>
      <c r="AS770" s="46"/>
      <c r="AT770" s="46"/>
      <c r="AU770" s="46"/>
      <c r="AV770" s="46"/>
      <c r="AW770" s="46"/>
      <c r="AX770" s="46"/>
      <c r="AY770" s="46"/>
      <c r="AZ770" s="46"/>
      <c r="BA770" s="46"/>
      <c r="BB770" s="46"/>
      <c r="BC770" s="46"/>
      <c r="BD770" s="46"/>
      <c r="BE770" s="46"/>
    </row>
    <row r="771" spans="1:57" ht="14.25" customHeight="1" x14ac:dyDescent="0.3">
      <c r="A771" s="46"/>
      <c r="B771" s="37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  <c r="AB771" s="46"/>
      <c r="AC771" s="46"/>
      <c r="AD771" s="46"/>
      <c r="AE771" s="46"/>
      <c r="AF771" s="46"/>
      <c r="AG771" s="46"/>
      <c r="AH771" s="46"/>
      <c r="AI771" s="46"/>
      <c r="AJ771" s="46"/>
      <c r="AK771" s="46"/>
      <c r="AL771" s="46"/>
      <c r="AM771" s="46"/>
      <c r="AN771" s="46"/>
      <c r="AO771" s="46"/>
      <c r="AP771" s="46"/>
      <c r="AQ771" s="46"/>
      <c r="AR771" s="46"/>
      <c r="AS771" s="46"/>
      <c r="AT771" s="46"/>
      <c r="AU771" s="46"/>
      <c r="AV771" s="46"/>
      <c r="AW771" s="46"/>
      <c r="AX771" s="46"/>
      <c r="AY771" s="46"/>
      <c r="AZ771" s="46"/>
      <c r="BA771" s="46"/>
      <c r="BB771" s="46"/>
      <c r="BC771" s="46"/>
      <c r="BD771" s="46"/>
      <c r="BE771" s="46"/>
    </row>
    <row r="772" spans="1:57" ht="14.25" customHeight="1" x14ac:dyDescent="0.3">
      <c r="A772" s="46"/>
      <c r="B772" s="37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  <c r="AB772" s="46"/>
      <c r="AC772" s="46"/>
      <c r="AD772" s="46"/>
      <c r="AE772" s="46"/>
      <c r="AF772" s="46"/>
      <c r="AG772" s="46"/>
      <c r="AH772" s="46"/>
      <c r="AI772" s="46"/>
      <c r="AJ772" s="46"/>
      <c r="AK772" s="46"/>
      <c r="AL772" s="46"/>
      <c r="AM772" s="46"/>
      <c r="AN772" s="46"/>
      <c r="AO772" s="46"/>
      <c r="AP772" s="46"/>
      <c r="AQ772" s="46"/>
      <c r="AR772" s="46"/>
      <c r="AS772" s="46"/>
      <c r="AT772" s="46"/>
      <c r="AU772" s="46"/>
      <c r="AV772" s="46"/>
      <c r="AW772" s="46"/>
      <c r="AX772" s="46"/>
      <c r="AY772" s="46"/>
      <c r="AZ772" s="46"/>
      <c r="BA772" s="46"/>
      <c r="BB772" s="46"/>
      <c r="BC772" s="46"/>
      <c r="BD772" s="46"/>
      <c r="BE772" s="46"/>
    </row>
    <row r="773" spans="1:57" ht="14.25" customHeight="1" x14ac:dyDescent="0.3">
      <c r="A773" s="46"/>
      <c r="B773" s="37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  <c r="AB773" s="46"/>
      <c r="AC773" s="46"/>
      <c r="AD773" s="46"/>
      <c r="AE773" s="46"/>
      <c r="AF773" s="46"/>
      <c r="AG773" s="46"/>
      <c r="AH773" s="46"/>
      <c r="AI773" s="46"/>
      <c r="AJ773" s="46"/>
      <c r="AK773" s="46"/>
      <c r="AL773" s="46"/>
      <c r="AM773" s="46"/>
      <c r="AN773" s="46"/>
      <c r="AO773" s="46"/>
      <c r="AP773" s="46"/>
      <c r="AQ773" s="46"/>
      <c r="AR773" s="46"/>
      <c r="AS773" s="46"/>
      <c r="AT773" s="46"/>
      <c r="AU773" s="46"/>
      <c r="AV773" s="46"/>
      <c r="AW773" s="46"/>
      <c r="AX773" s="46"/>
      <c r="AY773" s="46"/>
      <c r="AZ773" s="46"/>
      <c r="BA773" s="46"/>
      <c r="BB773" s="46"/>
      <c r="BC773" s="46"/>
      <c r="BD773" s="46"/>
      <c r="BE773" s="46"/>
    </row>
    <row r="774" spans="1:57" ht="14.25" customHeight="1" x14ac:dyDescent="0.3">
      <c r="A774" s="46"/>
      <c r="B774" s="37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  <c r="AB774" s="46"/>
      <c r="AC774" s="46"/>
      <c r="AD774" s="46"/>
      <c r="AE774" s="46"/>
      <c r="AF774" s="46"/>
      <c r="AG774" s="46"/>
      <c r="AH774" s="46"/>
      <c r="AI774" s="46"/>
      <c r="AJ774" s="46"/>
      <c r="AK774" s="46"/>
      <c r="AL774" s="46"/>
      <c r="AM774" s="46"/>
      <c r="AN774" s="46"/>
      <c r="AO774" s="46"/>
      <c r="AP774" s="46"/>
      <c r="AQ774" s="46"/>
      <c r="AR774" s="46"/>
      <c r="AS774" s="46"/>
      <c r="AT774" s="46"/>
      <c r="AU774" s="46"/>
      <c r="AV774" s="46"/>
      <c r="AW774" s="46"/>
      <c r="AX774" s="46"/>
      <c r="AY774" s="46"/>
      <c r="AZ774" s="46"/>
      <c r="BA774" s="46"/>
      <c r="BB774" s="46"/>
      <c r="BC774" s="46"/>
      <c r="BD774" s="46"/>
      <c r="BE774" s="46"/>
    </row>
    <row r="775" spans="1:57" ht="14.25" customHeight="1" x14ac:dyDescent="0.3">
      <c r="A775" s="46"/>
      <c r="B775" s="37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  <c r="AB775" s="46"/>
      <c r="AC775" s="46"/>
      <c r="AD775" s="46"/>
      <c r="AE775" s="46"/>
      <c r="AF775" s="46"/>
      <c r="AG775" s="46"/>
      <c r="AH775" s="46"/>
      <c r="AI775" s="46"/>
      <c r="AJ775" s="46"/>
      <c r="AK775" s="46"/>
      <c r="AL775" s="46"/>
      <c r="AM775" s="46"/>
      <c r="AN775" s="46"/>
      <c r="AO775" s="46"/>
      <c r="AP775" s="46"/>
      <c r="AQ775" s="46"/>
      <c r="AR775" s="46"/>
      <c r="AS775" s="46"/>
      <c r="AT775" s="46"/>
      <c r="AU775" s="46"/>
      <c r="AV775" s="46"/>
      <c r="AW775" s="46"/>
      <c r="AX775" s="46"/>
      <c r="AY775" s="46"/>
      <c r="AZ775" s="46"/>
      <c r="BA775" s="46"/>
      <c r="BB775" s="46"/>
      <c r="BC775" s="46"/>
      <c r="BD775" s="46"/>
      <c r="BE775" s="46"/>
    </row>
    <row r="776" spans="1:57" ht="14.25" customHeight="1" x14ac:dyDescent="0.3">
      <c r="A776" s="46"/>
      <c r="B776" s="37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  <c r="AB776" s="46"/>
      <c r="AC776" s="46"/>
      <c r="AD776" s="46"/>
      <c r="AE776" s="46"/>
      <c r="AF776" s="46"/>
      <c r="AG776" s="46"/>
      <c r="AH776" s="46"/>
      <c r="AI776" s="46"/>
      <c r="AJ776" s="46"/>
      <c r="AK776" s="46"/>
      <c r="AL776" s="46"/>
      <c r="AM776" s="46"/>
      <c r="AN776" s="46"/>
      <c r="AO776" s="46"/>
      <c r="AP776" s="46"/>
      <c r="AQ776" s="46"/>
      <c r="AR776" s="46"/>
      <c r="AS776" s="46"/>
      <c r="AT776" s="46"/>
      <c r="AU776" s="46"/>
      <c r="AV776" s="46"/>
      <c r="AW776" s="46"/>
      <c r="AX776" s="46"/>
      <c r="AY776" s="46"/>
      <c r="AZ776" s="46"/>
      <c r="BA776" s="46"/>
      <c r="BB776" s="46"/>
      <c r="BC776" s="46"/>
      <c r="BD776" s="46"/>
      <c r="BE776" s="46"/>
    </row>
    <row r="777" spans="1:57" ht="14.25" customHeight="1" x14ac:dyDescent="0.3">
      <c r="A777" s="46"/>
      <c r="B777" s="37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  <c r="AB777" s="46"/>
      <c r="AC777" s="46"/>
      <c r="AD777" s="46"/>
      <c r="AE777" s="46"/>
      <c r="AF777" s="46"/>
      <c r="AG777" s="46"/>
      <c r="AH777" s="46"/>
      <c r="AI777" s="46"/>
      <c r="AJ777" s="46"/>
      <c r="AK777" s="46"/>
      <c r="AL777" s="46"/>
      <c r="AM777" s="46"/>
      <c r="AN777" s="46"/>
      <c r="AO777" s="46"/>
      <c r="AP777" s="46"/>
      <c r="AQ777" s="46"/>
      <c r="AR777" s="46"/>
      <c r="AS777" s="46"/>
      <c r="AT777" s="46"/>
      <c r="AU777" s="46"/>
      <c r="AV777" s="46"/>
      <c r="AW777" s="46"/>
      <c r="AX777" s="46"/>
      <c r="AY777" s="46"/>
      <c r="AZ777" s="46"/>
      <c r="BA777" s="46"/>
      <c r="BB777" s="46"/>
      <c r="BC777" s="46"/>
      <c r="BD777" s="46"/>
      <c r="BE777" s="46"/>
    </row>
    <row r="778" spans="1:57" ht="14.25" customHeight="1" x14ac:dyDescent="0.3">
      <c r="A778" s="46"/>
      <c r="B778" s="37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  <c r="AA778" s="46"/>
      <c r="AB778" s="46"/>
      <c r="AC778" s="46"/>
      <c r="AD778" s="46"/>
      <c r="AE778" s="46"/>
      <c r="AF778" s="46"/>
      <c r="AG778" s="46"/>
      <c r="AH778" s="46"/>
      <c r="AI778" s="46"/>
      <c r="AJ778" s="46"/>
      <c r="AK778" s="46"/>
      <c r="AL778" s="46"/>
      <c r="AM778" s="46"/>
      <c r="AN778" s="46"/>
      <c r="AO778" s="46"/>
      <c r="AP778" s="46"/>
      <c r="AQ778" s="46"/>
      <c r="AR778" s="46"/>
      <c r="AS778" s="46"/>
      <c r="AT778" s="46"/>
      <c r="AU778" s="46"/>
      <c r="AV778" s="46"/>
      <c r="AW778" s="46"/>
      <c r="AX778" s="46"/>
      <c r="AY778" s="46"/>
      <c r="AZ778" s="46"/>
      <c r="BA778" s="46"/>
      <c r="BB778" s="46"/>
      <c r="BC778" s="46"/>
      <c r="BD778" s="46"/>
      <c r="BE778" s="46"/>
    </row>
    <row r="779" spans="1:57" ht="14.25" customHeight="1" x14ac:dyDescent="0.3">
      <c r="A779" s="46"/>
      <c r="B779" s="37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  <c r="AB779" s="46"/>
      <c r="AC779" s="46"/>
      <c r="AD779" s="46"/>
      <c r="AE779" s="46"/>
      <c r="AF779" s="46"/>
      <c r="AG779" s="46"/>
      <c r="AH779" s="46"/>
      <c r="AI779" s="46"/>
      <c r="AJ779" s="46"/>
      <c r="AK779" s="46"/>
      <c r="AL779" s="46"/>
      <c r="AM779" s="46"/>
      <c r="AN779" s="46"/>
      <c r="AO779" s="46"/>
      <c r="AP779" s="46"/>
      <c r="AQ779" s="46"/>
      <c r="AR779" s="46"/>
      <c r="AS779" s="46"/>
      <c r="AT779" s="46"/>
      <c r="AU779" s="46"/>
      <c r="AV779" s="46"/>
      <c r="AW779" s="46"/>
      <c r="AX779" s="46"/>
      <c r="AY779" s="46"/>
      <c r="AZ779" s="46"/>
      <c r="BA779" s="46"/>
      <c r="BB779" s="46"/>
      <c r="BC779" s="46"/>
      <c r="BD779" s="46"/>
      <c r="BE779" s="46"/>
    </row>
    <row r="780" spans="1:57" ht="14.25" customHeight="1" x14ac:dyDescent="0.3">
      <c r="A780" s="46"/>
      <c r="B780" s="37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  <c r="AA780" s="46"/>
      <c r="AB780" s="46"/>
      <c r="AC780" s="46"/>
      <c r="AD780" s="46"/>
      <c r="AE780" s="46"/>
      <c r="AF780" s="46"/>
      <c r="AG780" s="46"/>
      <c r="AH780" s="46"/>
      <c r="AI780" s="46"/>
      <c r="AJ780" s="46"/>
      <c r="AK780" s="46"/>
      <c r="AL780" s="46"/>
      <c r="AM780" s="46"/>
      <c r="AN780" s="46"/>
      <c r="AO780" s="46"/>
      <c r="AP780" s="46"/>
      <c r="AQ780" s="46"/>
      <c r="AR780" s="46"/>
      <c r="AS780" s="46"/>
      <c r="AT780" s="46"/>
      <c r="AU780" s="46"/>
      <c r="AV780" s="46"/>
      <c r="AW780" s="46"/>
      <c r="AX780" s="46"/>
      <c r="AY780" s="46"/>
      <c r="AZ780" s="46"/>
      <c r="BA780" s="46"/>
      <c r="BB780" s="46"/>
      <c r="BC780" s="46"/>
      <c r="BD780" s="46"/>
      <c r="BE780" s="46"/>
    </row>
    <row r="781" spans="1:57" ht="14.25" customHeight="1" x14ac:dyDescent="0.3">
      <c r="A781" s="46"/>
      <c r="B781" s="37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  <c r="AA781" s="46"/>
      <c r="AB781" s="46"/>
      <c r="AC781" s="46"/>
      <c r="AD781" s="46"/>
      <c r="AE781" s="46"/>
      <c r="AF781" s="46"/>
      <c r="AG781" s="46"/>
      <c r="AH781" s="46"/>
      <c r="AI781" s="46"/>
      <c r="AJ781" s="46"/>
      <c r="AK781" s="46"/>
      <c r="AL781" s="46"/>
      <c r="AM781" s="46"/>
      <c r="AN781" s="46"/>
      <c r="AO781" s="46"/>
      <c r="AP781" s="46"/>
      <c r="AQ781" s="46"/>
      <c r="AR781" s="46"/>
      <c r="AS781" s="46"/>
      <c r="AT781" s="46"/>
      <c r="AU781" s="46"/>
      <c r="AV781" s="46"/>
      <c r="AW781" s="46"/>
      <c r="AX781" s="46"/>
      <c r="AY781" s="46"/>
      <c r="AZ781" s="46"/>
      <c r="BA781" s="46"/>
      <c r="BB781" s="46"/>
      <c r="BC781" s="46"/>
      <c r="BD781" s="46"/>
      <c r="BE781" s="46"/>
    </row>
    <row r="782" spans="1:57" ht="14.25" customHeight="1" x14ac:dyDescent="0.3">
      <c r="A782" s="46"/>
      <c r="B782" s="37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6"/>
      <c r="AB782" s="46"/>
      <c r="AC782" s="46"/>
      <c r="AD782" s="46"/>
      <c r="AE782" s="46"/>
      <c r="AF782" s="46"/>
      <c r="AG782" s="46"/>
      <c r="AH782" s="46"/>
      <c r="AI782" s="46"/>
      <c r="AJ782" s="46"/>
      <c r="AK782" s="46"/>
      <c r="AL782" s="46"/>
      <c r="AM782" s="46"/>
      <c r="AN782" s="46"/>
      <c r="AO782" s="46"/>
      <c r="AP782" s="46"/>
      <c r="AQ782" s="46"/>
      <c r="AR782" s="46"/>
      <c r="AS782" s="46"/>
      <c r="AT782" s="46"/>
      <c r="AU782" s="46"/>
      <c r="AV782" s="46"/>
      <c r="AW782" s="46"/>
      <c r="AX782" s="46"/>
      <c r="AY782" s="46"/>
      <c r="AZ782" s="46"/>
      <c r="BA782" s="46"/>
      <c r="BB782" s="46"/>
      <c r="BC782" s="46"/>
      <c r="BD782" s="46"/>
      <c r="BE782" s="46"/>
    </row>
    <row r="783" spans="1:57" ht="14.25" customHeight="1" x14ac:dyDescent="0.3">
      <c r="A783" s="46"/>
      <c r="B783" s="37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  <c r="AA783" s="46"/>
      <c r="AB783" s="46"/>
      <c r="AC783" s="46"/>
      <c r="AD783" s="46"/>
      <c r="AE783" s="46"/>
      <c r="AF783" s="46"/>
      <c r="AG783" s="46"/>
      <c r="AH783" s="46"/>
      <c r="AI783" s="46"/>
      <c r="AJ783" s="46"/>
      <c r="AK783" s="46"/>
      <c r="AL783" s="46"/>
      <c r="AM783" s="46"/>
      <c r="AN783" s="46"/>
      <c r="AO783" s="46"/>
      <c r="AP783" s="46"/>
      <c r="AQ783" s="46"/>
      <c r="AR783" s="46"/>
      <c r="AS783" s="46"/>
      <c r="AT783" s="46"/>
      <c r="AU783" s="46"/>
      <c r="AV783" s="46"/>
      <c r="AW783" s="46"/>
      <c r="AX783" s="46"/>
      <c r="AY783" s="46"/>
      <c r="AZ783" s="46"/>
      <c r="BA783" s="46"/>
      <c r="BB783" s="46"/>
      <c r="BC783" s="46"/>
      <c r="BD783" s="46"/>
      <c r="BE783" s="46"/>
    </row>
    <row r="784" spans="1:57" ht="14.25" customHeight="1" x14ac:dyDescent="0.3">
      <c r="A784" s="46"/>
      <c r="B784" s="37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  <c r="AA784" s="46"/>
      <c r="AB784" s="46"/>
      <c r="AC784" s="46"/>
      <c r="AD784" s="46"/>
      <c r="AE784" s="46"/>
      <c r="AF784" s="46"/>
      <c r="AG784" s="46"/>
      <c r="AH784" s="46"/>
      <c r="AI784" s="46"/>
      <c r="AJ784" s="46"/>
      <c r="AK784" s="46"/>
      <c r="AL784" s="46"/>
      <c r="AM784" s="46"/>
      <c r="AN784" s="46"/>
      <c r="AO784" s="46"/>
      <c r="AP784" s="46"/>
      <c r="AQ784" s="46"/>
      <c r="AR784" s="46"/>
      <c r="AS784" s="46"/>
      <c r="AT784" s="46"/>
      <c r="AU784" s="46"/>
      <c r="AV784" s="46"/>
      <c r="AW784" s="46"/>
      <c r="AX784" s="46"/>
      <c r="AY784" s="46"/>
      <c r="AZ784" s="46"/>
      <c r="BA784" s="46"/>
      <c r="BB784" s="46"/>
      <c r="BC784" s="46"/>
      <c r="BD784" s="46"/>
      <c r="BE784" s="46"/>
    </row>
    <row r="785" spans="1:57" ht="14.25" customHeight="1" x14ac:dyDescent="0.3">
      <c r="A785" s="46"/>
      <c r="B785" s="37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  <c r="AB785" s="46"/>
      <c r="AC785" s="46"/>
      <c r="AD785" s="46"/>
      <c r="AE785" s="46"/>
      <c r="AF785" s="46"/>
      <c r="AG785" s="46"/>
      <c r="AH785" s="46"/>
      <c r="AI785" s="46"/>
      <c r="AJ785" s="46"/>
      <c r="AK785" s="46"/>
      <c r="AL785" s="46"/>
      <c r="AM785" s="46"/>
      <c r="AN785" s="46"/>
      <c r="AO785" s="46"/>
      <c r="AP785" s="46"/>
      <c r="AQ785" s="46"/>
      <c r="AR785" s="46"/>
      <c r="AS785" s="46"/>
      <c r="AT785" s="46"/>
      <c r="AU785" s="46"/>
      <c r="AV785" s="46"/>
      <c r="AW785" s="46"/>
      <c r="AX785" s="46"/>
      <c r="AY785" s="46"/>
      <c r="AZ785" s="46"/>
      <c r="BA785" s="46"/>
      <c r="BB785" s="46"/>
      <c r="BC785" s="46"/>
      <c r="BD785" s="46"/>
      <c r="BE785" s="46"/>
    </row>
    <row r="786" spans="1:57" ht="14.25" customHeight="1" x14ac:dyDescent="0.3">
      <c r="A786" s="46"/>
      <c r="B786" s="37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  <c r="AA786" s="46"/>
      <c r="AB786" s="46"/>
      <c r="AC786" s="46"/>
      <c r="AD786" s="46"/>
      <c r="AE786" s="46"/>
      <c r="AF786" s="46"/>
      <c r="AG786" s="46"/>
      <c r="AH786" s="46"/>
      <c r="AI786" s="46"/>
      <c r="AJ786" s="46"/>
      <c r="AK786" s="46"/>
      <c r="AL786" s="46"/>
      <c r="AM786" s="46"/>
      <c r="AN786" s="46"/>
      <c r="AO786" s="46"/>
      <c r="AP786" s="46"/>
      <c r="AQ786" s="46"/>
      <c r="AR786" s="46"/>
      <c r="AS786" s="46"/>
      <c r="AT786" s="46"/>
      <c r="AU786" s="46"/>
      <c r="AV786" s="46"/>
      <c r="AW786" s="46"/>
      <c r="AX786" s="46"/>
      <c r="AY786" s="46"/>
      <c r="AZ786" s="46"/>
      <c r="BA786" s="46"/>
      <c r="BB786" s="46"/>
      <c r="BC786" s="46"/>
      <c r="BD786" s="46"/>
      <c r="BE786" s="46"/>
    </row>
    <row r="787" spans="1:57" ht="14.25" customHeight="1" x14ac:dyDescent="0.3">
      <c r="A787" s="46"/>
      <c r="B787" s="37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  <c r="AA787" s="46"/>
      <c r="AB787" s="46"/>
      <c r="AC787" s="46"/>
      <c r="AD787" s="46"/>
      <c r="AE787" s="46"/>
      <c r="AF787" s="46"/>
      <c r="AG787" s="46"/>
      <c r="AH787" s="46"/>
      <c r="AI787" s="46"/>
      <c r="AJ787" s="46"/>
      <c r="AK787" s="46"/>
      <c r="AL787" s="46"/>
      <c r="AM787" s="46"/>
      <c r="AN787" s="46"/>
      <c r="AO787" s="46"/>
      <c r="AP787" s="46"/>
      <c r="AQ787" s="46"/>
      <c r="AR787" s="46"/>
      <c r="AS787" s="46"/>
      <c r="AT787" s="46"/>
      <c r="AU787" s="46"/>
      <c r="AV787" s="46"/>
      <c r="AW787" s="46"/>
      <c r="AX787" s="46"/>
      <c r="AY787" s="46"/>
      <c r="AZ787" s="46"/>
      <c r="BA787" s="46"/>
      <c r="BB787" s="46"/>
      <c r="BC787" s="46"/>
      <c r="BD787" s="46"/>
      <c r="BE787" s="46"/>
    </row>
    <row r="788" spans="1:57" ht="14.25" customHeight="1" x14ac:dyDescent="0.3">
      <c r="A788" s="46"/>
      <c r="B788" s="37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  <c r="AB788" s="46"/>
      <c r="AC788" s="46"/>
      <c r="AD788" s="46"/>
      <c r="AE788" s="46"/>
      <c r="AF788" s="46"/>
      <c r="AG788" s="46"/>
      <c r="AH788" s="46"/>
      <c r="AI788" s="46"/>
      <c r="AJ788" s="46"/>
      <c r="AK788" s="46"/>
      <c r="AL788" s="46"/>
      <c r="AM788" s="46"/>
      <c r="AN788" s="46"/>
      <c r="AO788" s="46"/>
      <c r="AP788" s="46"/>
      <c r="AQ788" s="46"/>
      <c r="AR788" s="46"/>
      <c r="AS788" s="46"/>
      <c r="AT788" s="46"/>
      <c r="AU788" s="46"/>
      <c r="AV788" s="46"/>
      <c r="AW788" s="46"/>
      <c r="AX788" s="46"/>
      <c r="AY788" s="46"/>
      <c r="AZ788" s="46"/>
      <c r="BA788" s="46"/>
      <c r="BB788" s="46"/>
      <c r="BC788" s="46"/>
      <c r="BD788" s="46"/>
      <c r="BE788" s="46"/>
    </row>
    <row r="789" spans="1:57" ht="14.25" customHeight="1" x14ac:dyDescent="0.3">
      <c r="A789" s="46"/>
      <c r="B789" s="37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  <c r="AA789" s="46"/>
      <c r="AB789" s="46"/>
      <c r="AC789" s="46"/>
      <c r="AD789" s="46"/>
      <c r="AE789" s="46"/>
      <c r="AF789" s="46"/>
      <c r="AG789" s="46"/>
      <c r="AH789" s="46"/>
      <c r="AI789" s="46"/>
      <c r="AJ789" s="46"/>
      <c r="AK789" s="46"/>
      <c r="AL789" s="46"/>
      <c r="AM789" s="46"/>
      <c r="AN789" s="46"/>
      <c r="AO789" s="46"/>
      <c r="AP789" s="46"/>
      <c r="AQ789" s="46"/>
      <c r="AR789" s="46"/>
      <c r="AS789" s="46"/>
      <c r="AT789" s="46"/>
      <c r="AU789" s="46"/>
      <c r="AV789" s="46"/>
      <c r="AW789" s="46"/>
      <c r="AX789" s="46"/>
      <c r="AY789" s="46"/>
      <c r="AZ789" s="46"/>
      <c r="BA789" s="46"/>
      <c r="BB789" s="46"/>
      <c r="BC789" s="46"/>
      <c r="BD789" s="46"/>
      <c r="BE789" s="46"/>
    </row>
    <row r="790" spans="1:57" ht="14.25" customHeight="1" x14ac:dyDescent="0.3">
      <c r="A790" s="46"/>
      <c r="B790" s="37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  <c r="AA790" s="46"/>
      <c r="AB790" s="46"/>
      <c r="AC790" s="46"/>
      <c r="AD790" s="46"/>
      <c r="AE790" s="46"/>
      <c r="AF790" s="46"/>
      <c r="AG790" s="46"/>
      <c r="AH790" s="46"/>
      <c r="AI790" s="46"/>
      <c r="AJ790" s="46"/>
      <c r="AK790" s="46"/>
      <c r="AL790" s="46"/>
      <c r="AM790" s="46"/>
      <c r="AN790" s="46"/>
      <c r="AO790" s="46"/>
      <c r="AP790" s="46"/>
      <c r="AQ790" s="46"/>
      <c r="AR790" s="46"/>
      <c r="AS790" s="46"/>
      <c r="AT790" s="46"/>
      <c r="AU790" s="46"/>
      <c r="AV790" s="46"/>
      <c r="AW790" s="46"/>
      <c r="AX790" s="46"/>
      <c r="AY790" s="46"/>
      <c r="AZ790" s="46"/>
      <c r="BA790" s="46"/>
      <c r="BB790" s="46"/>
      <c r="BC790" s="46"/>
      <c r="BD790" s="46"/>
      <c r="BE790" s="46"/>
    </row>
    <row r="791" spans="1:57" ht="14.25" customHeight="1" x14ac:dyDescent="0.3">
      <c r="A791" s="46"/>
      <c r="B791" s="37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  <c r="AB791" s="46"/>
      <c r="AC791" s="46"/>
      <c r="AD791" s="46"/>
      <c r="AE791" s="46"/>
      <c r="AF791" s="46"/>
      <c r="AG791" s="46"/>
      <c r="AH791" s="46"/>
      <c r="AI791" s="46"/>
      <c r="AJ791" s="46"/>
      <c r="AK791" s="46"/>
      <c r="AL791" s="46"/>
      <c r="AM791" s="46"/>
      <c r="AN791" s="46"/>
      <c r="AO791" s="46"/>
      <c r="AP791" s="46"/>
      <c r="AQ791" s="46"/>
      <c r="AR791" s="46"/>
      <c r="AS791" s="46"/>
      <c r="AT791" s="46"/>
      <c r="AU791" s="46"/>
      <c r="AV791" s="46"/>
      <c r="AW791" s="46"/>
      <c r="AX791" s="46"/>
      <c r="AY791" s="46"/>
      <c r="AZ791" s="46"/>
      <c r="BA791" s="46"/>
      <c r="BB791" s="46"/>
      <c r="BC791" s="46"/>
      <c r="BD791" s="46"/>
      <c r="BE791" s="46"/>
    </row>
    <row r="792" spans="1:57" ht="14.25" customHeight="1" x14ac:dyDescent="0.3">
      <c r="A792" s="46"/>
      <c r="B792" s="37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  <c r="AA792" s="46"/>
      <c r="AB792" s="46"/>
      <c r="AC792" s="46"/>
      <c r="AD792" s="46"/>
      <c r="AE792" s="46"/>
      <c r="AF792" s="46"/>
      <c r="AG792" s="46"/>
      <c r="AH792" s="46"/>
      <c r="AI792" s="46"/>
      <c r="AJ792" s="46"/>
      <c r="AK792" s="46"/>
      <c r="AL792" s="46"/>
      <c r="AM792" s="46"/>
      <c r="AN792" s="46"/>
      <c r="AO792" s="46"/>
      <c r="AP792" s="46"/>
      <c r="AQ792" s="46"/>
      <c r="AR792" s="46"/>
      <c r="AS792" s="46"/>
      <c r="AT792" s="46"/>
      <c r="AU792" s="46"/>
      <c r="AV792" s="46"/>
      <c r="AW792" s="46"/>
      <c r="AX792" s="46"/>
      <c r="AY792" s="46"/>
      <c r="AZ792" s="46"/>
      <c r="BA792" s="46"/>
      <c r="BB792" s="46"/>
      <c r="BC792" s="46"/>
      <c r="BD792" s="46"/>
      <c r="BE792" s="46"/>
    </row>
    <row r="793" spans="1:57" ht="14.25" customHeight="1" x14ac:dyDescent="0.3">
      <c r="A793" s="46"/>
      <c r="B793" s="37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  <c r="AA793" s="46"/>
      <c r="AB793" s="46"/>
      <c r="AC793" s="46"/>
      <c r="AD793" s="46"/>
      <c r="AE793" s="46"/>
      <c r="AF793" s="46"/>
      <c r="AG793" s="46"/>
      <c r="AH793" s="46"/>
      <c r="AI793" s="46"/>
      <c r="AJ793" s="46"/>
      <c r="AK793" s="46"/>
      <c r="AL793" s="46"/>
      <c r="AM793" s="46"/>
      <c r="AN793" s="46"/>
      <c r="AO793" s="46"/>
      <c r="AP793" s="46"/>
      <c r="AQ793" s="46"/>
      <c r="AR793" s="46"/>
      <c r="AS793" s="46"/>
      <c r="AT793" s="46"/>
      <c r="AU793" s="46"/>
      <c r="AV793" s="46"/>
      <c r="AW793" s="46"/>
      <c r="AX793" s="46"/>
      <c r="AY793" s="46"/>
      <c r="AZ793" s="46"/>
      <c r="BA793" s="46"/>
      <c r="BB793" s="46"/>
      <c r="BC793" s="46"/>
      <c r="BD793" s="46"/>
      <c r="BE793" s="46"/>
    </row>
    <row r="794" spans="1:57" ht="14.25" customHeight="1" x14ac:dyDescent="0.3">
      <c r="A794" s="46"/>
      <c r="B794" s="37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  <c r="AA794" s="46"/>
      <c r="AB794" s="46"/>
      <c r="AC794" s="46"/>
      <c r="AD794" s="46"/>
      <c r="AE794" s="46"/>
      <c r="AF794" s="46"/>
      <c r="AG794" s="46"/>
      <c r="AH794" s="46"/>
      <c r="AI794" s="46"/>
      <c r="AJ794" s="46"/>
      <c r="AK794" s="46"/>
      <c r="AL794" s="46"/>
      <c r="AM794" s="46"/>
      <c r="AN794" s="46"/>
      <c r="AO794" s="46"/>
      <c r="AP794" s="46"/>
      <c r="AQ794" s="46"/>
      <c r="AR794" s="46"/>
      <c r="AS794" s="46"/>
      <c r="AT794" s="46"/>
      <c r="AU794" s="46"/>
      <c r="AV794" s="46"/>
      <c r="AW794" s="46"/>
      <c r="AX794" s="46"/>
      <c r="AY794" s="46"/>
      <c r="AZ794" s="46"/>
      <c r="BA794" s="46"/>
      <c r="BB794" s="46"/>
      <c r="BC794" s="46"/>
      <c r="BD794" s="46"/>
      <c r="BE794" s="46"/>
    </row>
    <row r="795" spans="1:57" ht="14.25" customHeight="1" x14ac:dyDescent="0.3">
      <c r="A795" s="46"/>
      <c r="B795" s="37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  <c r="AA795" s="46"/>
      <c r="AB795" s="46"/>
      <c r="AC795" s="46"/>
      <c r="AD795" s="46"/>
      <c r="AE795" s="46"/>
      <c r="AF795" s="46"/>
      <c r="AG795" s="46"/>
      <c r="AH795" s="46"/>
      <c r="AI795" s="46"/>
      <c r="AJ795" s="46"/>
      <c r="AK795" s="46"/>
      <c r="AL795" s="46"/>
      <c r="AM795" s="46"/>
      <c r="AN795" s="46"/>
      <c r="AO795" s="46"/>
      <c r="AP795" s="46"/>
      <c r="AQ795" s="46"/>
      <c r="AR795" s="46"/>
      <c r="AS795" s="46"/>
      <c r="AT795" s="46"/>
      <c r="AU795" s="46"/>
      <c r="AV795" s="46"/>
      <c r="AW795" s="46"/>
      <c r="AX795" s="46"/>
      <c r="AY795" s="46"/>
      <c r="AZ795" s="46"/>
      <c r="BA795" s="46"/>
      <c r="BB795" s="46"/>
      <c r="BC795" s="46"/>
      <c r="BD795" s="46"/>
      <c r="BE795" s="46"/>
    </row>
    <row r="796" spans="1:57" ht="14.25" customHeight="1" x14ac:dyDescent="0.3">
      <c r="A796" s="46"/>
      <c r="B796" s="37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  <c r="AA796" s="46"/>
      <c r="AB796" s="46"/>
      <c r="AC796" s="46"/>
      <c r="AD796" s="46"/>
      <c r="AE796" s="46"/>
      <c r="AF796" s="46"/>
      <c r="AG796" s="46"/>
      <c r="AH796" s="46"/>
      <c r="AI796" s="46"/>
      <c r="AJ796" s="46"/>
      <c r="AK796" s="46"/>
      <c r="AL796" s="46"/>
      <c r="AM796" s="46"/>
      <c r="AN796" s="46"/>
      <c r="AO796" s="46"/>
      <c r="AP796" s="46"/>
      <c r="AQ796" s="46"/>
      <c r="AR796" s="46"/>
      <c r="AS796" s="46"/>
      <c r="AT796" s="46"/>
      <c r="AU796" s="46"/>
      <c r="AV796" s="46"/>
      <c r="AW796" s="46"/>
      <c r="AX796" s="46"/>
      <c r="AY796" s="46"/>
      <c r="AZ796" s="46"/>
      <c r="BA796" s="46"/>
      <c r="BB796" s="46"/>
      <c r="BC796" s="46"/>
      <c r="BD796" s="46"/>
      <c r="BE796" s="46"/>
    </row>
    <row r="797" spans="1:57" ht="14.25" customHeight="1" x14ac:dyDescent="0.3">
      <c r="A797" s="46"/>
      <c r="B797" s="37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  <c r="AA797" s="46"/>
      <c r="AB797" s="46"/>
      <c r="AC797" s="46"/>
      <c r="AD797" s="46"/>
      <c r="AE797" s="46"/>
      <c r="AF797" s="46"/>
      <c r="AG797" s="46"/>
      <c r="AH797" s="46"/>
      <c r="AI797" s="46"/>
      <c r="AJ797" s="46"/>
      <c r="AK797" s="46"/>
      <c r="AL797" s="46"/>
      <c r="AM797" s="46"/>
      <c r="AN797" s="46"/>
      <c r="AO797" s="46"/>
      <c r="AP797" s="46"/>
      <c r="AQ797" s="46"/>
      <c r="AR797" s="46"/>
      <c r="AS797" s="46"/>
      <c r="AT797" s="46"/>
      <c r="AU797" s="46"/>
      <c r="AV797" s="46"/>
      <c r="AW797" s="46"/>
      <c r="AX797" s="46"/>
      <c r="AY797" s="46"/>
      <c r="AZ797" s="46"/>
      <c r="BA797" s="46"/>
      <c r="BB797" s="46"/>
      <c r="BC797" s="46"/>
      <c r="BD797" s="46"/>
      <c r="BE797" s="46"/>
    </row>
    <row r="798" spans="1:57" ht="14.25" customHeight="1" x14ac:dyDescent="0.3">
      <c r="A798" s="46"/>
      <c r="B798" s="37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  <c r="AA798" s="46"/>
      <c r="AB798" s="46"/>
      <c r="AC798" s="46"/>
      <c r="AD798" s="46"/>
      <c r="AE798" s="46"/>
      <c r="AF798" s="46"/>
      <c r="AG798" s="46"/>
      <c r="AH798" s="46"/>
      <c r="AI798" s="46"/>
      <c r="AJ798" s="46"/>
      <c r="AK798" s="46"/>
      <c r="AL798" s="46"/>
      <c r="AM798" s="46"/>
      <c r="AN798" s="46"/>
      <c r="AO798" s="46"/>
      <c r="AP798" s="46"/>
      <c r="AQ798" s="46"/>
      <c r="AR798" s="46"/>
      <c r="AS798" s="46"/>
      <c r="AT798" s="46"/>
      <c r="AU798" s="46"/>
      <c r="AV798" s="46"/>
      <c r="AW798" s="46"/>
      <c r="AX798" s="46"/>
      <c r="AY798" s="46"/>
      <c r="AZ798" s="46"/>
      <c r="BA798" s="46"/>
      <c r="BB798" s="46"/>
      <c r="BC798" s="46"/>
      <c r="BD798" s="46"/>
      <c r="BE798" s="46"/>
    </row>
    <row r="799" spans="1:57" ht="14.25" customHeight="1" x14ac:dyDescent="0.3">
      <c r="A799" s="46"/>
      <c r="B799" s="37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  <c r="AA799" s="46"/>
      <c r="AB799" s="46"/>
      <c r="AC799" s="46"/>
      <c r="AD799" s="46"/>
      <c r="AE799" s="46"/>
      <c r="AF799" s="46"/>
      <c r="AG799" s="46"/>
      <c r="AH799" s="46"/>
      <c r="AI799" s="46"/>
      <c r="AJ799" s="46"/>
      <c r="AK799" s="46"/>
      <c r="AL799" s="46"/>
      <c r="AM799" s="46"/>
      <c r="AN799" s="46"/>
      <c r="AO799" s="46"/>
      <c r="AP799" s="46"/>
      <c r="AQ799" s="46"/>
      <c r="AR799" s="46"/>
      <c r="AS799" s="46"/>
      <c r="AT799" s="46"/>
      <c r="AU799" s="46"/>
      <c r="AV799" s="46"/>
      <c r="AW799" s="46"/>
      <c r="AX799" s="46"/>
      <c r="AY799" s="46"/>
      <c r="AZ799" s="46"/>
      <c r="BA799" s="46"/>
      <c r="BB799" s="46"/>
      <c r="BC799" s="46"/>
      <c r="BD799" s="46"/>
      <c r="BE799" s="46"/>
    </row>
    <row r="800" spans="1:57" ht="14.25" customHeight="1" x14ac:dyDescent="0.3">
      <c r="A800" s="46"/>
      <c r="B800" s="37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  <c r="AA800" s="46"/>
      <c r="AB800" s="46"/>
      <c r="AC800" s="46"/>
      <c r="AD800" s="46"/>
      <c r="AE800" s="46"/>
      <c r="AF800" s="46"/>
      <c r="AG800" s="46"/>
      <c r="AH800" s="46"/>
      <c r="AI800" s="46"/>
      <c r="AJ800" s="46"/>
      <c r="AK800" s="46"/>
      <c r="AL800" s="46"/>
      <c r="AM800" s="46"/>
      <c r="AN800" s="46"/>
      <c r="AO800" s="46"/>
      <c r="AP800" s="46"/>
      <c r="AQ800" s="46"/>
      <c r="AR800" s="46"/>
      <c r="AS800" s="46"/>
      <c r="AT800" s="46"/>
      <c r="AU800" s="46"/>
      <c r="AV800" s="46"/>
      <c r="AW800" s="46"/>
      <c r="AX800" s="46"/>
      <c r="AY800" s="46"/>
      <c r="AZ800" s="46"/>
      <c r="BA800" s="46"/>
      <c r="BB800" s="46"/>
      <c r="BC800" s="46"/>
      <c r="BD800" s="46"/>
      <c r="BE800" s="46"/>
    </row>
    <row r="801" spans="1:57" ht="14.25" customHeight="1" x14ac:dyDescent="0.3">
      <c r="A801" s="46"/>
      <c r="B801" s="37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  <c r="AA801" s="46"/>
      <c r="AB801" s="46"/>
      <c r="AC801" s="46"/>
      <c r="AD801" s="46"/>
      <c r="AE801" s="46"/>
      <c r="AF801" s="46"/>
      <c r="AG801" s="46"/>
      <c r="AH801" s="46"/>
      <c r="AI801" s="46"/>
      <c r="AJ801" s="46"/>
      <c r="AK801" s="46"/>
      <c r="AL801" s="46"/>
      <c r="AM801" s="46"/>
      <c r="AN801" s="46"/>
      <c r="AO801" s="46"/>
      <c r="AP801" s="46"/>
      <c r="AQ801" s="46"/>
      <c r="AR801" s="46"/>
      <c r="AS801" s="46"/>
      <c r="AT801" s="46"/>
      <c r="AU801" s="46"/>
      <c r="AV801" s="46"/>
      <c r="AW801" s="46"/>
      <c r="AX801" s="46"/>
      <c r="AY801" s="46"/>
      <c r="AZ801" s="46"/>
      <c r="BA801" s="46"/>
      <c r="BB801" s="46"/>
      <c r="BC801" s="46"/>
      <c r="BD801" s="46"/>
      <c r="BE801" s="46"/>
    </row>
    <row r="802" spans="1:57" ht="14.25" customHeight="1" x14ac:dyDescent="0.3">
      <c r="A802" s="46"/>
      <c r="B802" s="37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  <c r="AA802" s="46"/>
      <c r="AB802" s="46"/>
      <c r="AC802" s="46"/>
      <c r="AD802" s="46"/>
      <c r="AE802" s="46"/>
      <c r="AF802" s="46"/>
      <c r="AG802" s="46"/>
      <c r="AH802" s="46"/>
      <c r="AI802" s="46"/>
      <c r="AJ802" s="46"/>
      <c r="AK802" s="46"/>
      <c r="AL802" s="46"/>
      <c r="AM802" s="46"/>
      <c r="AN802" s="46"/>
      <c r="AO802" s="46"/>
      <c r="AP802" s="46"/>
      <c r="AQ802" s="46"/>
      <c r="AR802" s="46"/>
      <c r="AS802" s="46"/>
      <c r="AT802" s="46"/>
      <c r="AU802" s="46"/>
      <c r="AV802" s="46"/>
      <c r="AW802" s="46"/>
      <c r="AX802" s="46"/>
      <c r="AY802" s="46"/>
      <c r="AZ802" s="46"/>
      <c r="BA802" s="46"/>
      <c r="BB802" s="46"/>
      <c r="BC802" s="46"/>
      <c r="BD802" s="46"/>
      <c r="BE802" s="46"/>
    </row>
    <row r="803" spans="1:57" ht="14.25" customHeight="1" x14ac:dyDescent="0.3">
      <c r="A803" s="46"/>
      <c r="B803" s="37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  <c r="AA803" s="46"/>
      <c r="AB803" s="46"/>
      <c r="AC803" s="46"/>
      <c r="AD803" s="46"/>
      <c r="AE803" s="46"/>
      <c r="AF803" s="46"/>
      <c r="AG803" s="46"/>
      <c r="AH803" s="46"/>
      <c r="AI803" s="46"/>
      <c r="AJ803" s="46"/>
      <c r="AK803" s="46"/>
      <c r="AL803" s="46"/>
      <c r="AM803" s="46"/>
      <c r="AN803" s="46"/>
      <c r="AO803" s="46"/>
      <c r="AP803" s="46"/>
      <c r="AQ803" s="46"/>
      <c r="AR803" s="46"/>
      <c r="AS803" s="46"/>
      <c r="AT803" s="46"/>
      <c r="AU803" s="46"/>
      <c r="AV803" s="46"/>
      <c r="AW803" s="46"/>
      <c r="AX803" s="46"/>
      <c r="AY803" s="46"/>
      <c r="AZ803" s="46"/>
      <c r="BA803" s="46"/>
      <c r="BB803" s="46"/>
      <c r="BC803" s="46"/>
      <c r="BD803" s="46"/>
      <c r="BE803" s="46"/>
    </row>
    <row r="804" spans="1:57" ht="14.25" customHeight="1" x14ac:dyDescent="0.3">
      <c r="A804" s="46"/>
      <c r="B804" s="37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  <c r="AA804" s="46"/>
      <c r="AB804" s="46"/>
      <c r="AC804" s="46"/>
      <c r="AD804" s="46"/>
      <c r="AE804" s="46"/>
      <c r="AF804" s="46"/>
      <c r="AG804" s="46"/>
      <c r="AH804" s="46"/>
      <c r="AI804" s="46"/>
      <c r="AJ804" s="46"/>
      <c r="AK804" s="46"/>
      <c r="AL804" s="46"/>
      <c r="AM804" s="46"/>
      <c r="AN804" s="46"/>
      <c r="AO804" s="46"/>
      <c r="AP804" s="46"/>
      <c r="AQ804" s="46"/>
      <c r="AR804" s="46"/>
      <c r="AS804" s="46"/>
      <c r="AT804" s="46"/>
      <c r="AU804" s="46"/>
      <c r="AV804" s="46"/>
      <c r="AW804" s="46"/>
      <c r="AX804" s="46"/>
      <c r="AY804" s="46"/>
      <c r="AZ804" s="46"/>
      <c r="BA804" s="46"/>
      <c r="BB804" s="46"/>
      <c r="BC804" s="46"/>
      <c r="BD804" s="46"/>
      <c r="BE804" s="46"/>
    </row>
    <row r="805" spans="1:57" ht="14.25" customHeight="1" x14ac:dyDescent="0.3">
      <c r="A805" s="46"/>
      <c r="B805" s="37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  <c r="AA805" s="46"/>
      <c r="AB805" s="46"/>
      <c r="AC805" s="46"/>
      <c r="AD805" s="46"/>
      <c r="AE805" s="46"/>
      <c r="AF805" s="46"/>
      <c r="AG805" s="46"/>
      <c r="AH805" s="46"/>
      <c r="AI805" s="46"/>
      <c r="AJ805" s="46"/>
      <c r="AK805" s="46"/>
      <c r="AL805" s="46"/>
      <c r="AM805" s="46"/>
      <c r="AN805" s="46"/>
      <c r="AO805" s="46"/>
      <c r="AP805" s="46"/>
      <c r="AQ805" s="46"/>
      <c r="AR805" s="46"/>
      <c r="AS805" s="46"/>
      <c r="AT805" s="46"/>
      <c r="AU805" s="46"/>
      <c r="AV805" s="46"/>
      <c r="AW805" s="46"/>
      <c r="AX805" s="46"/>
      <c r="AY805" s="46"/>
      <c r="AZ805" s="46"/>
      <c r="BA805" s="46"/>
      <c r="BB805" s="46"/>
      <c r="BC805" s="46"/>
      <c r="BD805" s="46"/>
      <c r="BE805" s="46"/>
    </row>
    <row r="806" spans="1:57" ht="14.25" customHeight="1" x14ac:dyDescent="0.3">
      <c r="A806" s="46"/>
      <c r="B806" s="37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  <c r="AA806" s="46"/>
      <c r="AB806" s="46"/>
      <c r="AC806" s="46"/>
      <c r="AD806" s="46"/>
      <c r="AE806" s="46"/>
      <c r="AF806" s="46"/>
      <c r="AG806" s="46"/>
      <c r="AH806" s="46"/>
      <c r="AI806" s="46"/>
      <c r="AJ806" s="46"/>
      <c r="AK806" s="46"/>
      <c r="AL806" s="46"/>
      <c r="AM806" s="46"/>
      <c r="AN806" s="46"/>
      <c r="AO806" s="46"/>
      <c r="AP806" s="46"/>
      <c r="AQ806" s="46"/>
      <c r="AR806" s="46"/>
      <c r="AS806" s="46"/>
      <c r="AT806" s="46"/>
      <c r="AU806" s="46"/>
      <c r="AV806" s="46"/>
      <c r="AW806" s="46"/>
      <c r="AX806" s="46"/>
      <c r="AY806" s="46"/>
      <c r="AZ806" s="46"/>
      <c r="BA806" s="46"/>
      <c r="BB806" s="46"/>
      <c r="BC806" s="46"/>
      <c r="BD806" s="46"/>
      <c r="BE806" s="46"/>
    </row>
    <row r="807" spans="1:57" ht="14.25" customHeight="1" x14ac:dyDescent="0.3">
      <c r="A807" s="46"/>
      <c r="B807" s="37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  <c r="AB807" s="46"/>
      <c r="AC807" s="46"/>
      <c r="AD807" s="46"/>
      <c r="AE807" s="46"/>
      <c r="AF807" s="46"/>
      <c r="AG807" s="46"/>
      <c r="AH807" s="46"/>
      <c r="AI807" s="46"/>
      <c r="AJ807" s="46"/>
      <c r="AK807" s="46"/>
      <c r="AL807" s="46"/>
      <c r="AM807" s="46"/>
      <c r="AN807" s="46"/>
      <c r="AO807" s="46"/>
      <c r="AP807" s="46"/>
      <c r="AQ807" s="46"/>
      <c r="AR807" s="46"/>
      <c r="AS807" s="46"/>
      <c r="AT807" s="46"/>
      <c r="AU807" s="46"/>
      <c r="AV807" s="46"/>
      <c r="AW807" s="46"/>
      <c r="AX807" s="46"/>
      <c r="AY807" s="46"/>
      <c r="AZ807" s="46"/>
      <c r="BA807" s="46"/>
      <c r="BB807" s="46"/>
      <c r="BC807" s="46"/>
      <c r="BD807" s="46"/>
      <c r="BE807" s="46"/>
    </row>
    <row r="808" spans="1:57" ht="14.25" customHeight="1" x14ac:dyDescent="0.3">
      <c r="A808" s="46"/>
      <c r="B808" s="37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  <c r="AA808" s="46"/>
      <c r="AB808" s="46"/>
      <c r="AC808" s="46"/>
      <c r="AD808" s="46"/>
      <c r="AE808" s="46"/>
      <c r="AF808" s="46"/>
      <c r="AG808" s="46"/>
      <c r="AH808" s="46"/>
      <c r="AI808" s="46"/>
      <c r="AJ808" s="46"/>
      <c r="AK808" s="46"/>
      <c r="AL808" s="46"/>
      <c r="AM808" s="46"/>
      <c r="AN808" s="46"/>
      <c r="AO808" s="46"/>
      <c r="AP808" s="46"/>
      <c r="AQ808" s="46"/>
      <c r="AR808" s="46"/>
      <c r="AS808" s="46"/>
      <c r="AT808" s="46"/>
      <c r="AU808" s="46"/>
      <c r="AV808" s="46"/>
      <c r="AW808" s="46"/>
      <c r="AX808" s="46"/>
      <c r="AY808" s="46"/>
      <c r="AZ808" s="46"/>
      <c r="BA808" s="46"/>
      <c r="BB808" s="46"/>
      <c r="BC808" s="46"/>
      <c r="BD808" s="46"/>
      <c r="BE808" s="46"/>
    </row>
    <row r="809" spans="1:57" ht="14.25" customHeight="1" x14ac:dyDescent="0.3">
      <c r="A809" s="46"/>
      <c r="B809" s="37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  <c r="AB809" s="46"/>
      <c r="AC809" s="46"/>
      <c r="AD809" s="46"/>
      <c r="AE809" s="46"/>
      <c r="AF809" s="46"/>
      <c r="AG809" s="46"/>
      <c r="AH809" s="46"/>
      <c r="AI809" s="46"/>
      <c r="AJ809" s="46"/>
      <c r="AK809" s="46"/>
      <c r="AL809" s="46"/>
      <c r="AM809" s="46"/>
      <c r="AN809" s="46"/>
      <c r="AO809" s="46"/>
      <c r="AP809" s="46"/>
      <c r="AQ809" s="46"/>
      <c r="AR809" s="46"/>
      <c r="AS809" s="46"/>
      <c r="AT809" s="46"/>
      <c r="AU809" s="46"/>
      <c r="AV809" s="46"/>
      <c r="AW809" s="46"/>
      <c r="AX809" s="46"/>
      <c r="AY809" s="46"/>
      <c r="AZ809" s="46"/>
      <c r="BA809" s="46"/>
      <c r="BB809" s="46"/>
      <c r="BC809" s="46"/>
      <c r="BD809" s="46"/>
      <c r="BE809" s="46"/>
    </row>
    <row r="810" spans="1:57" ht="14.25" customHeight="1" x14ac:dyDescent="0.3">
      <c r="A810" s="46"/>
      <c r="B810" s="37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  <c r="AA810" s="46"/>
      <c r="AB810" s="46"/>
      <c r="AC810" s="46"/>
      <c r="AD810" s="46"/>
      <c r="AE810" s="46"/>
      <c r="AF810" s="46"/>
      <c r="AG810" s="46"/>
      <c r="AH810" s="46"/>
      <c r="AI810" s="46"/>
      <c r="AJ810" s="46"/>
      <c r="AK810" s="46"/>
      <c r="AL810" s="46"/>
      <c r="AM810" s="46"/>
      <c r="AN810" s="46"/>
      <c r="AO810" s="46"/>
      <c r="AP810" s="46"/>
      <c r="AQ810" s="46"/>
      <c r="AR810" s="46"/>
      <c r="AS810" s="46"/>
      <c r="AT810" s="46"/>
      <c r="AU810" s="46"/>
      <c r="AV810" s="46"/>
      <c r="AW810" s="46"/>
      <c r="AX810" s="46"/>
      <c r="AY810" s="46"/>
      <c r="AZ810" s="46"/>
      <c r="BA810" s="46"/>
      <c r="BB810" s="46"/>
      <c r="BC810" s="46"/>
      <c r="BD810" s="46"/>
      <c r="BE810" s="46"/>
    </row>
    <row r="811" spans="1:57" ht="14.25" customHeight="1" x14ac:dyDescent="0.3">
      <c r="A811" s="46"/>
      <c r="B811" s="37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  <c r="AA811" s="46"/>
      <c r="AB811" s="46"/>
      <c r="AC811" s="46"/>
      <c r="AD811" s="46"/>
      <c r="AE811" s="46"/>
      <c r="AF811" s="46"/>
      <c r="AG811" s="46"/>
      <c r="AH811" s="46"/>
      <c r="AI811" s="46"/>
      <c r="AJ811" s="46"/>
      <c r="AK811" s="46"/>
      <c r="AL811" s="46"/>
      <c r="AM811" s="46"/>
      <c r="AN811" s="46"/>
      <c r="AO811" s="46"/>
      <c r="AP811" s="46"/>
      <c r="AQ811" s="46"/>
      <c r="AR811" s="46"/>
      <c r="AS811" s="46"/>
      <c r="AT811" s="46"/>
      <c r="AU811" s="46"/>
      <c r="AV811" s="46"/>
      <c r="AW811" s="46"/>
      <c r="AX811" s="46"/>
      <c r="AY811" s="46"/>
      <c r="AZ811" s="46"/>
      <c r="BA811" s="46"/>
      <c r="BB811" s="46"/>
      <c r="BC811" s="46"/>
      <c r="BD811" s="46"/>
      <c r="BE811" s="46"/>
    </row>
    <row r="812" spans="1:57" ht="14.25" customHeight="1" x14ac:dyDescent="0.3">
      <c r="A812" s="46"/>
      <c r="B812" s="37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  <c r="AA812" s="46"/>
      <c r="AB812" s="46"/>
      <c r="AC812" s="46"/>
      <c r="AD812" s="46"/>
      <c r="AE812" s="46"/>
      <c r="AF812" s="46"/>
      <c r="AG812" s="46"/>
      <c r="AH812" s="46"/>
      <c r="AI812" s="46"/>
      <c r="AJ812" s="46"/>
      <c r="AK812" s="46"/>
      <c r="AL812" s="46"/>
      <c r="AM812" s="46"/>
      <c r="AN812" s="46"/>
      <c r="AO812" s="46"/>
      <c r="AP812" s="46"/>
      <c r="AQ812" s="46"/>
      <c r="AR812" s="46"/>
      <c r="AS812" s="46"/>
      <c r="AT812" s="46"/>
      <c r="AU812" s="46"/>
      <c r="AV812" s="46"/>
      <c r="AW812" s="46"/>
      <c r="AX812" s="46"/>
      <c r="AY812" s="46"/>
      <c r="AZ812" s="46"/>
      <c r="BA812" s="46"/>
      <c r="BB812" s="46"/>
      <c r="BC812" s="46"/>
      <c r="BD812" s="46"/>
      <c r="BE812" s="46"/>
    </row>
    <row r="813" spans="1:57" ht="14.25" customHeight="1" x14ac:dyDescent="0.3">
      <c r="A813" s="46"/>
      <c r="B813" s="37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  <c r="AA813" s="46"/>
      <c r="AB813" s="46"/>
      <c r="AC813" s="46"/>
      <c r="AD813" s="46"/>
      <c r="AE813" s="46"/>
      <c r="AF813" s="46"/>
      <c r="AG813" s="46"/>
      <c r="AH813" s="46"/>
      <c r="AI813" s="46"/>
      <c r="AJ813" s="46"/>
      <c r="AK813" s="46"/>
      <c r="AL813" s="46"/>
      <c r="AM813" s="46"/>
      <c r="AN813" s="46"/>
      <c r="AO813" s="46"/>
      <c r="AP813" s="46"/>
      <c r="AQ813" s="46"/>
      <c r="AR813" s="46"/>
      <c r="AS813" s="46"/>
      <c r="AT813" s="46"/>
      <c r="AU813" s="46"/>
      <c r="AV813" s="46"/>
      <c r="AW813" s="46"/>
      <c r="AX813" s="46"/>
      <c r="AY813" s="46"/>
      <c r="AZ813" s="46"/>
      <c r="BA813" s="46"/>
      <c r="BB813" s="46"/>
      <c r="BC813" s="46"/>
      <c r="BD813" s="46"/>
      <c r="BE813" s="46"/>
    </row>
    <row r="814" spans="1:57" ht="14.25" customHeight="1" x14ac:dyDescent="0.3">
      <c r="A814" s="46"/>
      <c r="B814" s="37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  <c r="AA814" s="46"/>
      <c r="AB814" s="46"/>
      <c r="AC814" s="46"/>
      <c r="AD814" s="46"/>
      <c r="AE814" s="46"/>
      <c r="AF814" s="46"/>
      <c r="AG814" s="46"/>
      <c r="AH814" s="46"/>
      <c r="AI814" s="46"/>
      <c r="AJ814" s="46"/>
      <c r="AK814" s="46"/>
      <c r="AL814" s="46"/>
      <c r="AM814" s="46"/>
      <c r="AN814" s="46"/>
      <c r="AO814" s="46"/>
      <c r="AP814" s="46"/>
      <c r="AQ814" s="46"/>
      <c r="AR814" s="46"/>
      <c r="AS814" s="46"/>
      <c r="AT814" s="46"/>
      <c r="AU814" s="46"/>
      <c r="AV814" s="46"/>
      <c r="AW814" s="46"/>
      <c r="AX814" s="46"/>
      <c r="AY814" s="46"/>
      <c r="AZ814" s="46"/>
      <c r="BA814" s="46"/>
      <c r="BB814" s="46"/>
      <c r="BC814" s="46"/>
      <c r="BD814" s="46"/>
      <c r="BE814" s="46"/>
    </row>
    <row r="815" spans="1:57" ht="14.25" customHeight="1" x14ac:dyDescent="0.3">
      <c r="A815" s="46"/>
      <c r="B815" s="37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  <c r="AA815" s="46"/>
      <c r="AB815" s="46"/>
      <c r="AC815" s="46"/>
      <c r="AD815" s="46"/>
      <c r="AE815" s="46"/>
      <c r="AF815" s="46"/>
      <c r="AG815" s="46"/>
      <c r="AH815" s="46"/>
      <c r="AI815" s="46"/>
      <c r="AJ815" s="46"/>
      <c r="AK815" s="46"/>
      <c r="AL815" s="46"/>
      <c r="AM815" s="46"/>
      <c r="AN815" s="46"/>
      <c r="AO815" s="46"/>
      <c r="AP815" s="46"/>
      <c r="AQ815" s="46"/>
      <c r="AR815" s="46"/>
      <c r="AS815" s="46"/>
      <c r="AT815" s="46"/>
      <c r="AU815" s="46"/>
      <c r="AV815" s="46"/>
      <c r="AW815" s="46"/>
      <c r="AX815" s="46"/>
      <c r="AY815" s="46"/>
      <c r="AZ815" s="46"/>
      <c r="BA815" s="46"/>
      <c r="BB815" s="46"/>
      <c r="BC815" s="46"/>
      <c r="BD815" s="46"/>
      <c r="BE815" s="46"/>
    </row>
    <row r="816" spans="1:57" ht="14.25" customHeight="1" x14ac:dyDescent="0.3">
      <c r="A816" s="46"/>
      <c r="B816" s="37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  <c r="AA816" s="46"/>
      <c r="AB816" s="46"/>
      <c r="AC816" s="46"/>
      <c r="AD816" s="46"/>
      <c r="AE816" s="46"/>
      <c r="AF816" s="46"/>
      <c r="AG816" s="46"/>
      <c r="AH816" s="46"/>
      <c r="AI816" s="46"/>
      <c r="AJ816" s="46"/>
      <c r="AK816" s="46"/>
      <c r="AL816" s="46"/>
      <c r="AM816" s="46"/>
      <c r="AN816" s="46"/>
      <c r="AO816" s="46"/>
      <c r="AP816" s="46"/>
      <c r="AQ816" s="46"/>
      <c r="AR816" s="46"/>
      <c r="AS816" s="46"/>
      <c r="AT816" s="46"/>
      <c r="AU816" s="46"/>
      <c r="AV816" s="46"/>
      <c r="AW816" s="46"/>
      <c r="AX816" s="46"/>
      <c r="AY816" s="46"/>
      <c r="AZ816" s="46"/>
      <c r="BA816" s="46"/>
      <c r="BB816" s="46"/>
      <c r="BC816" s="46"/>
      <c r="BD816" s="46"/>
      <c r="BE816" s="46"/>
    </row>
    <row r="817" spans="1:57" ht="14.25" customHeight="1" x14ac:dyDescent="0.3">
      <c r="A817" s="46"/>
      <c r="B817" s="37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  <c r="AB817" s="46"/>
      <c r="AC817" s="46"/>
      <c r="AD817" s="46"/>
      <c r="AE817" s="46"/>
      <c r="AF817" s="46"/>
      <c r="AG817" s="46"/>
      <c r="AH817" s="46"/>
      <c r="AI817" s="46"/>
      <c r="AJ817" s="46"/>
      <c r="AK817" s="46"/>
      <c r="AL817" s="46"/>
      <c r="AM817" s="46"/>
      <c r="AN817" s="46"/>
      <c r="AO817" s="46"/>
      <c r="AP817" s="46"/>
      <c r="AQ817" s="46"/>
      <c r="AR817" s="46"/>
      <c r="AS817" s="46"/>
      <c r="AT817" s="46"/>
      <c r="AU817" s="46"/>
      <c r="AV817" s="46"/>
      <c r="AW817" s="46"/>
      <c r="AX817" s="46"/>
      <c r="AY817" s="46"/>
      <c r="AZ817" s="46"/>
      <c r="BA817" s="46"/>
      <c r="BB817" s="46"/>
      <c r="BC817" s="46"/>
      <c r="BD817" s="46"/>
      <c r="BE817" s="46"/>
    </row>
    <row r="818" spans="1:57" ht="14.25" customHeight="1" x14ac:dyDescent="0.3">
      <c r="A818" s="46"/>
      <c r="B818" s="37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  <c r="AA818" s="46"/>
      <c r="AB818" s="46"/>
      <c r="AC818" s="46"/>
      <c r="AD818" s="46"/>
      <c r="AE818" s="46"/>
      <c r="AF818" s="46"/>
      <c r="AG818" s="46"/>
      <c r="AH818" s="46"/>
      <c r="AI818" s="46"/>
      <c r="AJ818" s="46"/>
      <c r="AK818" s="46"/>
      <c r="AL818" s="46"/>
      <c r="AM818" s="46"/>
      <c r="AN818" s="46"/>
      <c r="AO818" s="46"/>
      <c r="AP818" s="46"/>
      <c r="AQ818" s="46"/>
      <c r="AR818" s="46"/>
      <c r="AS818" s="46"/>
      <c r="AT818" s="46"/>
      <c r="AU818" s="46"/>
      <c r="AV818" s="46"/>
      <c r="AW818" s="46"/>
      <c r="AX818" s="46"/>
      <c r="AY818" s="46"/>
      <c r="AZ818" s="46"/>
      <c r="BA818" s="46"/>
      <c r="BB818" s="46"/>
      <c r="BC818" s="46"/>
      <c r="BD818" s="46"/>
      <c r="BE818" s="46"/>
    </row>
    <row r="819" spans="1:57" ht="14.25" customHeight="1" x14ac:dyDescent="0.3">
      <c r="A819" s="46"/>
      <c r="B819" s="37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  <c r="AB819" s="46"/>
      <c r="AC819" s="46"/>
      <c r="AD819" s="46"/>
      <c r="AE819" s="46"/>
      <c r="AF819" s="46"/>
      <c r="AG819" s="46"/>
      <c r="AH819" s="46"/>
      <c r="AI819" s="46"/>
      <c r="AJ819" s="46"/>
      <c r="AK819" s="46"/>
      <c r="AL819" s="46"/>
      <c r="AM819" s="46"/>
      <c r="AN819" s="46"/>
      <c r="AO819" s="46"/>
      <c r="AP819" s="46"/>
      <c r="AQ819" s="46"/>
      <c r="AR819" s="46"/>
      <c r="AS819" s="46"/>
      <c r="AT819" s="46"/>
      <c r="AU819" s="46"/>
      <c r="AV819" s="46"/>
      <c r="AW819" s="46"/>
      <c r="AX819" s="46"/>
      <c r="AY819" s="46"/>
      <c r="AZ819" s="46"/>
      <c r="BA819" s="46"/>
      <c r="BB819" s="46"/>
      <c r="BC819" s="46"/>
      <c r="BD819" s="46"/>
      <c r="BE819" s="46"/>
    </row>
    <row r="820" spans="1:57" ht="14.25" customHeight="1" x14ac:dyDescent="0.3">
      <c r="A820" s="46"/>
      <c r="B820" s="37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6"/>
      <c r="AB820" s="46"/>
      <c r="AC820" s="46"/>
      <c r="AD820" s="46"/>
      <c r="AE820" s="46"/>
      <c r="AF820" s="46"/>
      <c r="AG820" s="46"/>
      <c r="AH820" s="46"/>
      <c r="AI820" s="46"/>
      <c r="AJ820" s="46"/>
      <c r="AK820" s="46"/>
      <c r="AL820" s="46"/>
      <c r="AM820" s="46"/>
      <c r="AN820" s="46"/>
      <c r="AO820" s="46"/>
      <c r="AP820" s="46"/>
      <c r="AQ820" s="46"/>
      <c r="AR820" s="46"/>
      <c r="AS820" s="46"/>
      <c r="AT820" s="46"/>
      <c r="AU820" s="46"/>
      <c r="AV820" s="46"/>
      <c r="AW820" s="46"/>
      <c r="AX820" s="46"/>
      <c r="AY820" s="46"/>
      <c r="AZ820" s="46"/>
      <c r="BA820" s="46"/>
      <c r="BB820" s="46"/>
      <c r="BC820" s="46"/>
      <c r="BD820" s="46"/>
      <c r="BE820" s="46"/>
    </row>
    <row r="821" spans="1:57" ht="14.25" customHeight="1" x14ac:dyDescent="0.3">
      <c r="A821" s="46"/>
      <c r="B821" s="37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  <c r="AA821" s="46"/>
      <c r="AB821" s="46"/>
      <c r="AC821" s="46"/>
      <c r="AD821" s="46"/>
      <c r="AE821" s="46"/>
      <c r="AF821" s="46"/>
      <c r="AG821" s="46"/>
      <c r="AH821" s="46"/>
      <c r="AI821" s="46"/>
      <c r="AJ821" s="46"/>
      <c r="AK821" s="46"/>
      <c r="AL821" s="46"/>
      <c r="AM821" s="46"/>
      <c r="AN821" s="46"/>
      <c r="AO821" s="46"/>
      <c r="AP821" s="46"/>
      <c r="AQ821" s="46"/>
      <c r="AR821" s="46"/>
      <c r="AS821" s="46"/>
      <c r="AT821" s="46"/>
      <c r="AU821" s="46"/>
      <c r="AV821" s="46"/>
      <c r="AW821" s="46"/>
      <c r="AX821" s="46"/>
      <c r="AY821" s="46"/>
      <c r="AZ821" s="46"/>
      <c r="BA821" s="46"/>
      <c r="BB821" s="46"/>
      <c r="BC821" s="46"/>
      <c r="BD821" s="46"/>
      <c r="BE821" s="46"/>
    </row>
    <row r="822" spans="1:57" ht="14.25" customHeight="1" x14ac:dyDescent="0.3">
      <c r="A822" s="46"/>
      <c r="B822" s="37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  <c r="AA822" s="46"/>
      <c r="AB822" s="46"/>
      <c r="AC822" s="46"/>
      <c r="AD822" s="46"/>
      <c r="AE822" s="46"/>
      <c r="AF822" s="46"/>
      <c r="AG822" s="46"/>
      <c r="AH822" s="46"/>
      <c r="AI822" s="46"/>
      <c r="AJ822" s="46"/>
      <c r="AK822" s="46"/>
      <c r="AL822" s="46"/>
      <c r="AM822" s="46"/>
      <c r="AN822" s="46"/>
      <c r="AO822" s="46"/>
      <c r="AP822" s="46"/>
      <c r="AQ822" s="46"/>
      <c r="AR822" s="46"/>
      <c r="AS822" s="46"/>
      <c r="AT822" s="46"/>
      <c r="AU822" s="46"/>
      <c r="AV822" s="46"/>
      <c r="AW822" s="46"/>
      <c r="AX822" s="46"/>
      <c r="AY822" s="46"/>
      <c r="AZ822" s="46"/>
      <c r="BA822" s="46"/>
      <c r="BB822" s="46"/>
      <c r="BC822" s="46"/>
      <c r="BD822" s="46"/>
      <c r="BE822" s="46"/>
    </row>
    <row r="823" spans="1:57" ht="14.25" customHeight="1" x14ac:dyDescent="0.3">
      <c r="A823" s="46"/>
      <c r="B823" s="37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  <c r="AB823" s="46"/>
      <c r="AC823" s="46"/>
      <c r="AD823" s="46"/>
      <c r="AE823" s="46"/>
      <c r="AF823" s="46"/>
      <c r="AG823" s="46"/>
      <c r="AH823" s="46"/>
      <c r="AI823" s="46"/>
      <c r="AJ823" s="46"/>
      <c r="AK823" s="46"/>
      <c r="AL823" s="46"/>
      <c r="AM823" s="46"/>
      <c r="AN823" s="46"/>
      <c r="AO823" s="46"/>
      <c r="AP823" s="46"/>
      <c r="AQ823" s="46"/>
      <c r="AR823" s="46"/>
      <c r="AS823" s="46"/>
      <c r="AT823" s="46"/>
      <c r="AU823" s="46"/>
      <c r="AV823" s="46"/>
      <c r="AW823" s="46"/>
      <c r="AX823" s="46"/>
      <c r="AY823" s="46"/>
      <c r="AZ823" s="46"/>
      <c r="BA823" s="46"/>
      <c r="BB823" s="46"/>
      <c r="BC823" s="46"/>
      <c r="BD823" s="46"/>
      <c r="BE823" s="46"/>
    </row>
    <row r="824" spans="1:57" ht="14.25" customHeight="1" x14ac:dyDescent="0.3">
      <c r="A824" s="46"/>
      <c r="B824" s="37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  <c r="AA824" s="46"/>
      <c r="AB824" s="46"/>
      <c r="AC824" s="46"/>
      <c r="AD824" s="46"/>
      <c r="AE824" s="46"/>
      <c r="AF824" s="46"/>
      <c r="AG824" s="46"/>
      <c r="AH824" s="46"/>
      <c r="AI824" s="46"/>
      <c r="AJ824" s="46"/>
      <c r="AK824" s="46"/>
      <c r="AL824" s="46"/>
      <c r="AM824" s="46"/>
      <c r="AN824" s="46"/>
      <c r="AO824" s="46"/>
      <c r="AP824" s="46"/>
      <c r="AQ824" s="46"/>
      <c r="AR824" s="46"/>
      <c r="AS824" s="46"/>
      <c r="AT824" s="46"/>
      <c r="AU824" s="46"/>
      <c r="AV824" s="46"/>
      <c r="AW824" s="46"/>
      <c r="AX824" s="46"/>
      <c r="AY824" s="46"/>
      <c r="AZ824" s="46"/>
      <c r="BA824" s="46"/>
      <c r="BB824" s="46"/>
      <c r="BC824" s="46"/>
      <c r="BD824" s="46"/>
      <c r="BE824" s="46"/>
    </row>
    <row r="825" spans="1:57" ht="14.25" customHeight="1" x14ac:dyDescent="0.3">
      <c r="A825" s="46"/>
      <c r="B825" s="37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  <c r="AA825" s="46"/>
      <c r="AB825" s="46"/>
      <c r="AC825" s="46"/>
      <c r="AD825" s="46"/>
      <c r="AE825" s="46"/>
      <c r="AF825" s="46"/>
      <c r="AG825" s="46"/>
      <c r="AH825" s="46"/>
      <c r="AI825" s="46"/>
      <c r="AJ825" s="46"/>
      <c r="AK825" s="46"/>
      <c r="AL825" s="46"/>
      <c r="AM825" s="46"/>
      <c r="AN825" s="46"/>
      <c r="AO825" s="46"/>
      <c r="AP825" s="46"/>
      <c r="AQ825" s="46"/>
      <c r="AR825" s="46"/>
      <c r="AS825" s="46"/>
      <c r="AT825" s="46"/>
      <c r="AU825" s="46"/>
      <c r="AV825" s="46"/>
      <c r="AW825" s="46"/>
      <c r="AX825" s="46"/>
      <c r="AY825" s="46"/>
      <c r="AZ825" s="46"/>
      <c r="BA825" s="46"/>
      <c r="BB825" s="46"/>
      <c r="BC825" s="46"/>
      <c r="BD825" s="46"/>
      <c r="BE825" s="46"/>
    </row>
    <row r="826" spans="1:57" ht="14.25" customHeight="1" x14ac:dyDescent="0.3">
      <c r="A826" s="46"/>
      <c r="B826" s="37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  <c r="AB826" s="46"/>
      <c r="AC826" s="46"/>
      <c r="AD826" s="46"/>
      <c r="AE826" s="46"/>
      <c r="AF826" s="46"/>
      <c r="AG826" s="46"/>
      <c r="AH826" s="46"/>
      <c r="AI826" s="46"/>
      <c r="AJ826" s="46"/>
      <c r="AK826" s="46"/>
      <c r="AL826" s="46"/>
      <c r="AM826" s="46"/>
      <c r="AN826" s="46"/>
      <c r="AO826" s="46"/>
      <c r="AP826" s="46"/>
      <c r="AQ826" s="46"/>
      <c r="AR826" s="46"/>
      <c r="AS826" s="46"/>
      <c r="AT826" s="46"/>
      <c r="AU826" s="46"/>
      <c r="AV826" s="46"/>
      <c r="AW826" s="46"/>
      <c r="AX826" s="46"/>
      <c r="AY826" s="46"/>
      <c r="AZ826" s="46"/>
      <c r="BA826" s="46"/>
      <c r="BB826" s="46"/>
      <c r="BC826" s="46"/>
      <c r="BD826" s="46"/>
      <c r="BE826" s="46"/>
    </row>
    <row r="827" spans="1:57" ht="14.25" customHeight="1" x14ac:dyDescent="0.3">
      <c r="A827" s="46"/>
      <c r="B827" s="37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  <c r="AA827" s="46"/>
      <c r="AB827" s="46"/>
      <c r="AC827" s="46"/>
      <c r="AD827" s="46"/>
      <c r="AE827" s="46"/>
      <c r="AF827" s="46"/>
      <c r="AG827" s="46"/>
      <c r="AH827" s="46"/>
      <c r="AI827" s="46"/>
      <c r="AJ827" s="46"/>
      <c r="AK827" s="46"/>
      <c r="AL827" s="46"/>
      <c r="AM827" s="46"/>
      <c r="AN827" s="46"/>
      <c r="AO827" s="46"/>
      <c r="AP827" s="46"/>
      <c r="AQ827" s="46"/>
      <c r="AR827" s="46"/>
      <c r="AS827" s="46"/>
      <c r="AT827" s="46"/>
      <c r="AU827" s="46"/>
      <c r="AV827" s="46"/>
      <c r="AW827" s="46"/>
      <c r="AX827" s="46"/>
      <c r="AY827" s="46"/>
      <c r="AZ827" s="46"/>
      <c r="BA827" s="46"/>
      <c r="BB827" s="46"/>
      <c r="BC827" s="46"/>
      <c r="BD827" s="46"/>
      <c r="BE827" s="46"/>
    </row>
    <row r="828" spans="1:57" ht="14.25" customHeight="1" x14ac:dyDescent="0.3">
      <c r="A828" s="46"/>
      <c r="B828" s="37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  <c r="AA828" s="46"/>
      <c r="AB828" s="46"/>
      <c r="AC828" s="46"/>
      <c r="AD828" s="46"/>
      <c r="AE828" s="46"/>
      <c r="AF828" s="46"/>
      <c r="AG828" s="46"/>
      <c r="AH828" s="46"/>
      <c r="AI828" s="46"/>
      <c r="AJ828" s="46"/>
      <c r="AK828" s="46"/>
      <c r="AL828" s="46"/>
      <c r="AM828" s="46"/>
      <c r="AN828" s="46"/>
      <c r="AO828" s="46"/>
      <c r="AP828" s="46"/>
      <c r="AQ828" s="46"/>
      <c r="AR828" s="46"/>
      <c r="AS828" s="46"/>
      <c r="AT828" s="46"/>
      <c r="AU828" s="46"/>
      <c r="AV828" s="46"/>
      <c r="AW828" s="46"/>
      <c r="AX828" s="46"/>
      <c r="AY828" s="46"/>
      <c r="AZ828" s="46"/>
      <c r="BA828" s="46"/>
      <c r="BB828" s="46"/>
      <c r="BC828" s="46"/>
      <c r="BD828" s="46"/>
      <c r="BE828" s="46"/>
    </row>
    <row r="829" spans="1:57" ht="14.25" customHeight="1" x14ac:dyDescent="0.3">
      <c r="A829" s="46"/>
      <c r="B829" s="37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  <c r="AB829" s="46"/>
      <c r="AC829" s="46"/>
      <c r="AD829" s="46"/>
      <c r="AE829" s="46"/>
      <c r="AF829" s="46"/>
      <c r="AG829" s="46"/>
      <c r="AH829" s="46"/>
      <c r="AI829" s="46"/>
      <c r="AJ829" s="46"/>
      <c r="AK829" s="46"/>
      <c r="AL829" s="46"/>
      <c r="AM829" s="46"/>
      <c r="AN829" s="46"/>
      <c r="AO829" s="46"/>
      <c r="AP829" s="46"/>
      <c r="AQ829" s="46"/>
      <c r="AR829" s="46"/>
      <c r="AS829" s="46"/>
      <c r="AT829" s="46"/>
      <c r="AU829" s="46"/>
      <c r="AV829" s="46"/>
      <c r="AW829" s="46"/>
      <c r="AX829" s="46"/>
      <c r="AY829" s="46"/>
      <c r="AZ829" s="46"/>
      <c r="BA829" s="46"/>
      <c r="BB829" s="46"/>
      <c r="BC829" s="46"/>
      <c r="BD829" s="46"/>
      <c r="BE829" s="46"/>
    </row>
    <row r="830" spans="1:57" ht="14.25" customHeight="1" x14ac:dyDescent="0.3">
      <c r="A830" s="46"/>
      <c r="B830" s="37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  <c r="AA830" s="46"/>
      <c r="AB830" s="46"/>
      <c r="AC830" s="46"/>
      <c r="AD830" s="46"/>
      <c r="AE830" s="46"/>
      <c r="AF830" s="46"/>
      <c r="AG830" s="46"/>
      <c r="AH830" s="46"/>
      <c r="AI830" s="46"/>
      <c r="AJ830" s="46"/>
      <c r="AK830" s="46"/>
      <c r="AL830" s="46"/>
      <c r="AM830" s="46"/>
      <c r="AN830" s="46"/>
      <c r="AO830" s="46"/>
      <c r="AP830" s="46"/>
      <c r="AQ830" s="46"/>
      <c r="AR830" s="46"/>
      <c r="AS830" s="46"/>
      <c r="AT830" s="46"/>
      <c r="AU830" s="46"/>
      <c r="AV830" s="46"/>
      <c r="AW830" s="46"/>
      <c r="AX830" s="46"/>
      <c r="AY830" s="46"/>
      <c r="AZ830" s="46"/>
      <c r="BA830" s="46"/>
      <c r="BB830" s="46"/>
      <c r="BC830" s="46"/>
      <c r="BD830" s="46"/>
      <c r="BE830" s="46"/>
    </row>
    <row r="831" spans="1:57" ht="14.25" customHeight="1" x14ac:dyDescent="0.3">
      <c r="A831" s="46"/>
      <c r="B831" s="37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  <c r="AA831" s="46"/>
      <c r="AB831" s="46"/>
      <c r="AC831" s="46"/>
      <c r="AD831" s="46"/>
      <c r="AE831" s="46"/>
      <c r="AF831" s="46"/>
      <c r="AG831" s="46"/>
      <c r="AH831" s="46"/>
      <c r="AI831" s="46"/>
      <c r="AJ831" s="46"/>
      <c r="AK831" s="46"/>
      <c r="AL831" s="46"/>
      <c r="AM831" s="46"/>
      <c r="AN831" s="46"/>
      <c r="AO831" s="46"/>
      <c r="AP831" s="46"/>
      <c r="AQ831" s="46"/>
      <c r="AR831" s="46"/>
      <c r="AS831" s="46"/>
      <c r="AT831" s="46"/>
      <c r="AU831" s="46"/>
      <c r="AV831" s="46"/>
      <c r="AW831" s="46"/>
      <c r="AX831" s="46"/>
      <c r="AY831" s="46"/>
      <c r="AZ831" s="46"/>
      <c r="BA831" s="46"/>
      <c r="BB831" s="46"/>
      <c r="BC831" s="46"/>
      <c r="BD831" s="46"/>
      <c r="BE831" s="46"/>
    </row>
    <row r="832" spans="1:57" ht="14.25" customHeight="1" x14ac:dyDescent="0.3">
      <c r="A832" s="46"/>
      <c r="B832" s="37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  <c r="AA832" s="46"/>
      <c r="AB832" s="46"/>
      <c r="AC832" s="46"/>
      <c r="AD832" s="46"/>
      <c r="AE832" s="46"/>
      <c r="AF832" s="46"/>
      <c r="AG832" s="46"/>
      <c r="AH832" s="46"/>
      <c r="AI832" s="46"/>
      <c r="AJ832" s="46"/>
      <c r="AK832" s="46"/>
      <c r="AL832" s="46"/>
      <c r="AM832" s="46"/>
      <c r="AN832" s="46"/>
      <c r="AO832" s="46"/>
      <c r="AP832" s="46"/>
      <c r="AQ832" s="46"/>
      <c r="AR832" s="46"/>
      <c r="AS832" s="46"/>
      <c r="AT832" s="46"/>
      <c r="AU832" s="46"/>
      <c r="AV832" s="46"/>
      <c r="AW832" s="46"/>
      <c r="AX832" s="46"/>
      <c r="AY832" s="46"/>
      <c r="AZ832" s="46"/>
      <c r="BA832" s="46"/>
      <c r="BB832" s="46"/>
      <c r="BC832" s="46"/>
      <c r="BD832" s="46"/>
      <c r="BE832" s="46"/>
    </row>
    <row r="833" spans="1:57" ht="14.25" customHeight="1" x14ac:dyDescent="0.3">
      <c r="A833" s="46"/>
      <c r="B833" s="37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  <c r="AA833" s="46"/>
      <c r="AB833" s="46"/>
      <c r="AC833" s="46"/>
      <c r="AD833" s="46"/>
      <c r="AE833" s="46"/>
      <c r="AF833" s="46"/>
      <c r="AG833" s="46"/>
      <c r="AH833" s="46"/>
      <c r="AI833" s="46"/>
      <c r="AJ833" s="46"/>
      <c r="AK833" s="46"/>
      <c r="AL833" s="46"/>
      <c r="AM833" s="46"/>
      <c r="AN833" s="46"/>
      <c r="AO833" s="46"/>
      <c r="AP833" s="46"/>
      <c r="AQ833" s="46"/>
      <c r="AR833" s="46"/>
      <c r="AS833" s="46"/>
      <c r="AT833" s="46"/>
      <c r="AU833" s="46"/>
      <c r="AV833" s="46"/>
      <c r="AW833" s="46"/>
      <c r="AX833" s="46"/>
      <c r="AY833" s="46"/>
      <c r="AZ833" s="46"/>
      <c r="BA833" s="46"/>
      <c r="BB833" s="46"/>
      <c r="BC833" s="46"/>
      <c r="BD833" s="46"/>
      <c r="BE833" s="46"/>
    </row>
    <row r="834" spans="1:57" ht="14.25" customHeight="1" x14ac:dyDescent="0.3">
      <c r="A834" s="46"/>
      <c r="B834" s="37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  <c r="AA834" s="46"/>
      <c r="AB834" s="46"/>
      <c r="AC834" s="46"/>
      <c r="AD834" s="46"/>
      <c r="AE834" s="46"/>
      <c r="AF834" s="46"/>
      <c r="AG834" s="46"/>
      <c r="AH834" s="46"/>
      <c r="AI834" s="46"/>
      <c r="AJ834" s="46"/>
      <c r="AK834" s="46"/>
      <c r="AL834" s="46"/>
      <c r="AM834" s="46"/>
      <c r="AN834" s="46"/>
      <c r="AO834" s="46"/>
      <c r="AP834" s="46"/>
      <c r="AQ834" s="46"/>
      <c r="AR834" s="46"/>
      <c r="AS834" s="46"/>
      <c r="AT834" s="46"/>
      <c r="AU834" s="46"/>
      <c r="AV834" s="46"/>
      <c r="AW834" s="46"/>
      <c r="AX834" s="46"/>
      <c r="AY834" s="46"/>
      <c r="AZ834" s="46"/>
      <c r="BA834" s="46"/>
      <c r="BB834" s="46"/>
      <c r="BC834" s="46"/>
      <c r="BD834" s="46"/>
      <c r="BE834" s="46"/>
    </row>
    <row r="835" spans="1:57" ht="14.25" customHeight="1" x14ac:dyDescent="0.3">
      <c r="A835" s="46"/>
      <c r="B835" s="37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  <c r="AA835" s="46"/>
      <c r="AB835" s="46"/>
      <c r="AC835" s="46"/>
      <c r="AD835" s="46"/>
      <c r="AE835" s="46"/>
      <c r="AF835" s="46"/>
      <c r="AG835" s="46"/>
      <c r="AH835" s="46"/>
      <c r="AI835" s="46"/>
      <c r="AJ835" s="46"/>
      <c r="AK835" s="46"/>
      <c r="AL835" s="46"/>
      <c r="AM835" s="46"/>
      <c r="AN835" s="46"/>
      <c r="AO835" s="46"/>
      <c r="AP835" s="46"/>
      <c r="AQ835" s="46"/>
      <c r="AR835" s="46"/>
      <c r="AS835" s="46"/>
      <c r="AT835" s="46"/>
      <c r="AU835" s="46"/>
      <c r="AV835" s="46"/>
      <c r="AW835" s="46"/>
      <c r="AX835" s="46"/>
      <c r="AY835" s="46"/>
      <c r="AZ835" s="46"/>
      <c r="BA835" s="46"/>
      <c r="BB835" s="46"/>
      <c r="BC835" s="46"/>
      <c r="BD835" s="46"/>
      <c r="BE835" s="46"/>
    </row>
    <row r="836" spans="1:57" ht="14.25" customHeight="1" x14ac:dyDescent="0.3">
      <c r="A836" s="46"/>
      <c r="B836" s="37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  <c r="AA836" s="46"/>
      <c r="AB836" s="46"/>
      <c r="AC836" s="46"/>
      <c r="AD836" s="46"/>
      <c r="AE836" s="46"/>
      <c r="AF836" s="46"/>
      <c r="AG836" s="46"/>
      <c r="AH836" s="46"/>
      <c r="AI836" s="46"/>
      <c r="AJ836" s="46"/>
      <c r="AK836" s="46"/>
      <c r="AL836" s="46"/>
      <c r="AM836" s="46"/>
      <c r="AN836" s="46"/>
      <c r="AO836" s="46"/>
      <c r="AP836" s="46"/>
      <c r="AQ836" s="46"/>
      <c r="AR836" s="46"/>
      <c r="AS836" s="46"/>
      <c r="AT836" s="46"/>
      <c r="AU836" s="46"/>
      <c r="AV836" s="46"/>
      <c r="AW836" s="46"/>
      <c r="AX836" s="46"/>
      <c r="AY836" s="46"/>
      <c r="AZ836" s="46"/>
      <c r="BA836" s="46"/>
      <c r="BB836" s="46"/>
      <c r="BC836" s="46"/>
      <c r="BD836" s="46"/>
      <c r="BE836" s="46"/>
    </row>
    <row r="837" spans="1:57" ht="14.25" customHeight="1" x14ac:dyDescent="0.3">
      <c r="A837" s="46"/>
      <c r="B837" s="37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  <c r="AA837" s="46"/>
      <c r="AB837" s="46"/>
      <c r="AC837" s="46"/>
      <c r="AD837" s="46"/>
      <c r="AE837" s="46"/>
      <c r="AF837" s="46"/>
      <c r="AG837" s="46"/>
      <c r="AH837" s="46"/>
      <c r="AI837" s="46"/>
      <c r="AJ837" s="46"/>
      <c r="AK837" s="46"/>
      <c r="AL837" s="46"/>
      <c r="AM837" s="46"/>
      <c r="AN837" s="46"/>
      <c r="AO837" s="46"/>
      <c r="AP837" s="46"/>
      <c r="AQ837" s="46"/>
      <c r="AR837" s="46"/>
      <c r="AS837" s="46"/>
      <c r="AT837" s="46"/>
      <c r="AU837" s="46"/>
      <c r="AV837" s="46"/>
      <c r="AW837" s="46"/>
      <c r="AX837" s="46"/>
      <c r="AY837" s="46"/>
      <c r="AZ837" s="46"/>
      <c r="BA837" s="46"/>
      <c r="BB837" s="46"/>
      <c r="BC837" s="46"/>
      <c r="BD837" s="46"/>
      <c r="BE837" s="46"/>
    </row>
    <row r="838" spans="1:57" ht="14.25" customHeight="1" x14ac:dyDescent="0.3">
      <c r="A838" s="46"/>
      <c r="B838" s="37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  <c r="AA838" s="46"/>
      <c r="AB838" s="46"/>
      <c r="AC838" s="46"/>
      <c r="AD838" s="46"/>
      <c r="AE838" s="46"/>
      <c r="AF838" s="46"/>
      <c r="AG838" s="46"/>
      <c r="AH838" s="46"/>
      <c r="AI838" s="46"/>
      <c r="AJ838" s="46"/>
      <c r="AK838" s="46"/>
      <c r="AL838" s="46"/>
      <c r="AM838" s="46"/>
      <c r="AN838" s="46"/>
      <c r="AO838" s="46"/>
      <c r="AP838" s="46"/>
      <c r="AQ838" s="46"/>
      <c r="AR838" s="46"/>
      <c r="AS838" s="46"/>
      <c r="AT838" s="46"/>
      <c r="AU838" s="46"/>
      <c r="AV838" s="46"/>
      <c r="AW838" s="46"/>
      <c r="AX838" s="46"/>
      <c r="AY838" s="46"/>
      <c r="AZ838" s="46"/>
      <c r="BA838" s="46"/>
      <c r="BB838" s="46"/>
      <c r="BC838" s="46"/>
      <c r="BD838" s="46"/>
      <c r="BE838" s="46"/>
    </row>
    <row r="839" spans="1:57" ht="14.25" customHeight="1" x14ac:dyDescent="0.3">
      <c r="A839" s="46"/>
      <c r="B839" s="37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  <c r="AA839" s="46"/>
      <c r="AB839" s="46"/>
      <c r="AC839" s="46"/>
      <c r="AD839" s="46"/>
      <c r="AE839" s="46"/>
      <c r="AF839" s="46"/>
      <c r="AG839" s="46"/>
      <c r="AH839" s="46"/>
      <c r="AI839" s="46"/>
      <c r="AJ839" s="46"/>
      <c r="AK839" s="46"/>
      <c r="AL839" s="46"/>
      <c r="AM839" s="46"/>
      <c r="AN839" s="46"/>
      <c r="AO839" s="46"/>
      <c r="AP839" s="46"/>
      <c r="AQ839" s="46"/>
      <c r="AR839" s="46"/>
      <c r="AS839" s="46"/>
      <c r="AT839" s="46"/>
      <c r="AU839" s="46"/>
      <c r="AV839" s="46"/>
      <c r="AW839" s="46"/>
      <c r="AX839" s="46"/>
      <c r="AY839" s="46"/>
      <c r="AZ839" s="46"/>
      <c r="BA839" s="46"/>
      <c r="BB839" s="46"/>
      <c r="BC839" s="46"/>
      <c r="BD839" s="46"/>
      <c r="BE839" s="46"/>
    </row>
    <row r="840" spans="1:57" ht="14.25" customHeight="1" x14ac:dyDescent="0.3">
      <c r="A840" s="46"/>
      <c r="B840" s="37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  <c r="AA840" s="46"/>
      <c r="AB840" s="46"/>
      <c r="AC840" s="46"/>
      <c r="AD840" s="46"/>
      <c r="AE840" s="46"/>
      <c r="AF840" s="46"/>
      <c r="AG840" s="46"/>
      <c r="AH840" s="46"/>
      <c r="AI840" s="46"/>
      <c r="AJ840" s="46"/>
      <c r="AK840" s="46"/>
      <c r="AL840" s="46"/>
      <c r="AM840" s="46"/>
      <c r="AN840" s="46"/>
      <c r="AO840" s="46"/>
      <c r="AP840" s="46"/>
      <c r="AQ840" s="46"/>
      <c r="AR840" s="46"/>
      <c r="AS840" s="46"/>
      <c r="AT840" s="46"/>
      <c r="AU840" s="46"/>
      <c r="AV840" s="46"/>
      <c r="AW840" s="46"/>
      <c r="AX840" s="46"/>
      <c r="AY840" s="46"/>
      <c r="AZ840" s="46"/>
      <c r="BA840" s="46"/>
      <c r="BB840" s="46"/>
      <c r="BC840" s="46"/>
      <c r="BD840" s="46"/>
      <c r="BE840" s="46"/>
    </row>
    <row r="841" spans="1:57" ht="14.25" customHeight="1" x14ac:dyDescent="0.3">
      <c r="A841" s="46"/>
      <c r="B841" s="37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  <c r="AA841" s="46"/>
      <c r="AB841" s="46"/>
      <c r="AC841" s="46"/>
      <c r="AD841" s="46"/>
      <c r="AE841" s="46"/>
      <c r="AF841" s="46"/>
      <c r="AG841" s="46"/>
      <c r="AH841" s="46"/>
      <c r="AI841" s="46"/>
      <c r="AJ841" s="46"/>
      <c r="AK841" s="46"/>
      <c r="AL841" s="46"/>
      <c r="AM841" s="46"/>
      <c r="AN841" s="46"/>
      <c r="AO841" s="46"/>
      <c r="AP841" s="46"/>
      <c r="AQ841" s="46"/>
      <c r="AR841" s="46"/>
      <c r="AS841" s="46"/>
      <c r="AT841" s="46"/>
      <c r="AU841" s="46"/>
      <c r="AV841" s="46"/>
      <c r="AW841" s="46"/>
      <c r="AX841" s="46"/>
      <c r="AY841" s="46"/>
      <c r="AZ841" s="46"/>
      <c r="BA841" s="46"/>
      <c r="BB841" s="46"/>
      <c r="BC841" s="46"/>
      <c r="BD841" s="46"/>
      <c r="BE841" s="46"/>
    </row>
    <row r="842" spans="1:57" ht="14.25" customHeight="1" x14ac:dyDescent="0.3">
      <c r="A842" s="46"/>
      <c r="B842" s="37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  <c r="AA842" s="46"/>
      <c r="AB842" s="46"/>
      <c r="AC842" s="46"/>
      <c r="AD842" s="46"/>
      <c r="AE842" s="46"/>
      <c r="AF842" s="46"/>
      <c r="AG842" s="46"/>
      <c r="AH842" s="46"/>
      <c r="AI842" s="46"/>
      <c r="AJ842" s="46"/>
      <c r="AK842" s="46"/>
      <c r="AL842" s="46"/>
      <c r="AM842" s="46"/>
      <c r="AN842" s="46"/>
      <c r="AO842" s="46"/>
      <c r="AP842" s="46"/>
      <c r="AQ842" s="46"/>
      <c r="AR842" s="46"/>
      <c r="AS842" s="46"/>
      <c r="AT842" s="46"/>
      <c r="AU842" s="46"/>
      <c r="AV842" s="46"/>
      <c r="AW842" s="46"/>
      <c r="AX842" s="46"/>
      <c r="AY842" s="46"/>
      <c r="AZ842" s="46"/>
      <c r="BA842" s="46"/>
      <c r="BB842" s="46"/>
      <c r="BC842" s="46"/>
      <c r="BD842" s="46"/>
      <c r="BE842" s="46"/>
    </row>
    <row r="843" spans="1:57" ht="14.25" customHeight="1" x14ac:dyDescent="0.3">
      <c r="A843" s="46"/>
      <c r="B843" s="37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  <c r="AA843" s="46"/>
      <c r="AB843" s="46"/>
      <c r="AC843" s="46"/>
      <c r="AD843" s="46"/>
      <c r="AE843" s="46"/>
      <c r="AF843" s="46"/>
      <c r="AG843" s="46"/>
      <c r="AH843" s="46"/>
      <c r="AI843" s="46"/>
      <c r="AJ843" s="46"/>
      <c r="AK843" s="46"/>
      <c r="AL843" s="46"/>
      <c r="AM843" s="46"/>
      <c r="AN843" s="46"/>
      <c r="AO843" s="46"/>
      <c r="AP843" s="46"/>
      <c r="AQ843" s="46"/>
      <c r="AR843" s="46"/>
      <c r="AS843" s="46"/>
      <c r="AT843" s="46"/>
      <c r="AU843" s="46"/>
      <c r="AV843" s="46"/>
      <c r="AW843" s="46"/>
      <c r="AX843" s="46"/>
      <c r="AY843" s="46"/>
      <c r="AZ843" s="46"/>
      <c r="BA843" s="46"/>
      <c r="BB843" s="46"/>
      <c r="BC843" s="46"/>
      <c r="BD843" s="46"/>
      <c r="BE843" s="46"/>
    </row>
    <row r="844" spans="1:57" ht="14.25" customHeight="1" x14ac:dyDescent="0.3">
      <c r="A844" s="46"/>
      <c r="B844" s="37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  <c r="AA844" s="46"/>
      <c r="AB844" s="46"/>
      <c r="AC844" s="46"/>
      <c r="AD844" s="46"/>
      <c r="AE844" s="46"/>
      <c r="AF844" s="46"/>
      <c r="AG844" s="46"/>
      <c r="AH844" s="46"/>
      <c r="AI844" s="46"/>
      <c r="AJ844" s="46"/>
      <c r="AK844" s="46"/>
      <c r="AL844" s="46"/>
      <c r="AM844" s="46"/>
      <c r="AN844" s="46"/>
      <c r="AO844" s="46"/>
      <c r="AP844" s="46"/>
      <c r="AQ844" s="46"/>
      <c r="AR844" s="46"/>
      <c r="AS844" s="46"/>
      <c r="AT844" s="46"/>
      <c r="AU844" s="46"/>
      <c r="AV844" s="46"/>
      <c r="AW844" s="46"/>
      <c r="AX844" s="46"/>
      <c r="AY844" s="46"/>
      <c r="AZ844" s="46"/>
      <c r="BA844" s="46"/>
      <c r="BB844" s="46"/>
      <c r="BC844" s="46"/>
      <c r="BD844" s="46"/>
      <c r="BE844" s="46"/>
    </row>
    <row r="845" spans="1:57" ht="14.25" customHeight="1" x14ac:dyDescent="0.3">
      <c r="A845" s="46"/>
      <c r="B845" s="37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  <c r="AA845" s="46"/>
      <c r="AB845" s="46"/>
      <c r="AC845" s="46"/>
      <c r="AD845" s="46"/>
      <c r="AE845" s="46"/>
      <c r="AF845" s="46"/>
      <c r="AG845" s="46"/>
      <c r="AH845" s="46"/>
      <c r="AI845" s="46"/>
      <c r="AJ845" s="46"/>
      <c r="AK845" s="46"/>
      <c r="AL845" s="46"/>
      <c r="AM845" s="46"/>
      <c r="AN845" s="46"/>
      <c r="AO845" s="46"/>
      <c r="AP845" s="46"/>
      <c r="AQ845" s="46"/>
      <c r="AR845" s="46"/>
      <c r="AS845" s="46"/>
      <c r="AT845" s="46"/>
      <c r="AU845" s="46"/>
      <c r="AV845" s="46"/>
      <c r="AW845" s="46"/>
      <c r="AX845" s="46"/>
      <c r="AY845" s="46"/>
      <c r="AZ845" s="46"/>
      <c r="BA845" s="46"/>
      <c r="BB845" s="46"/>
      <c r="BC845" s="46"/>
      <c r="BD845" s="46"/>
      <c r="BE845" s="46"/>
    </row>
    <row r="846" spans="1:57" ht="14.25" customHeight="1" x14ac:dyDescent="0.3">
      <c r="A846" s="46"/>
      <c r="B846" s="37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  <c r="AA846" s="46"/>
      <c r="AB846" s="46"/>
      <c r="AC846" s="46"/>
      <c r="AD846" s="46"/>
      <c r="AE846" s="46"/>
      <c r="AF846" s="46"/>
      <c r="AG846" s="46"/>
      <c r="AH846" s="46"/>
      <c r="AI846" s="46"/>
      <c r="AJ846" s="46"/>
      <c r="AK846" s="46"/>
      <c r="AL846" s="46"/>
      <c r="AM846" s="46"/>
      <c r="AN846" s="46"/>
      <c r="AO846" s="46"/>
      <c r="AP846" s="46"/>
      <c r="AQ846" s="46"/>
      <c r="AR846" s="46"/>
      <c r="AS846" s="46"/>
      <c r="AT846" s="46"/>
      <c r="AU846" s="46"/>
      <c r="AV846" s="46"/>
      <c r="AW846" s="46"/>
      <c r="AX846" s="46"/>
      <c r="AY846" s="46"/>
      <c r="AZ846" s="46"/>
      <c r="BA846" s="46"/>
      <c r="BB846" s="46"/>
      <c r="BC846" s="46"/>
      <c r="BD846" s="46"/>
      <c r="BE846" s="46"/>
    </row>
    <row r="847" spans="1:57" ht="14.25" customHeight="1" x14ac:dyDescent="0.3">
      <c r="A847" s="46"/>
      <c r="B847" s="37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  <c r="AA847" s="46"/>
      <c r="AB847" s="46"/>
      <c r="AC847" s="46"/>
      <c r="AD847" s="46"/>
      <c r="AE847" s="46"/>
      <c r="AF847" s="46"/>
      <c r="AG847" s="46"/>
      <c r="AH847" s="46"/>
      <c r="AI847" s="46"/>
      <c r="AJ847" s="46"/>
      <c r="AK847" s="46"/>
      <c r="AL847" s="46"/>
      <c r="AM847" s="46"/>
      <c r="AN847" s="46"/>
      <c r="AO847" s="46"/>
      <c r="AP847" s="46"/>
      <c r="AQ847" s="46"/>
      <c r="AR847" s="46"/>
      <c r="AS847" s="46"/>
      <c r="AT847" s="46"/>
      <c r="AU847" s="46"/>
      <c r="AV847" s="46"/>
      <c r="AW847" s="46"/>
      <c r="AX847" s="46"/>
      <c r="AY847" s="46"/>
      <c r="AZ847" s="46"/>
      <c r="BA847" s="46"/>
      <c r="BB847" s="46"/>
      <c r="BC847" s="46"/>
      <c r="BD847" s="46"/>
      <c r="BE847" s="46"/>
    </row>
    <row r="848" spans="1:57" ht="14.25" customHeight="1" x14ac:dyDescent="0.3">
      <c r="A848" s="46"/>
      <c r="B848" s="37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  <c r="AA848" s="46"/>
      <c r="AB848" s="46"/>
      <c r="AC848" s="46"/>
      <c r="AD848" s="46"/>
      <c r="AE848" s="46"/>
      <c r="AF848" s="46"/>
      <c r="AG848" s="46"/>
      <c r="AH848" s="46"/>
      <c r="AI848" s="46"/>
      <c r="AJ848" s="46"/>
      <c r="AK848" s="46"/>
      <c r="AL848" s="46"/>
      <c r="AM848" s="46"/>
      <c r="AN848" s="46"/>
      <c r="AO848" s="46"/>
      <c r="AP848" s="46"/>
      <c r="AQ848" s="46"/>
      <c r="AR848" s="46"/>
      <c r="AS848" s="46"/>
      <c r="AT848" s="46"/>
      <c r="AU848" s="46"/>
      <c r="AV848" s="46"/>
      <c r="AW848" s="46"/>
      <c r="AX848" s="46"/>
      <c r="AY848" s="46"/>
      <c r="AZ848" s="46"/>
      <c r="BA848" s="46"/>
      <c r="BB848" s="46"/>
      <c r="BC848" s="46"/>
      <c r="BD848" s="46"/>
      <c r="BE848" s="46"/>
    </row>
    <row r="849" spans="1:57" ht="14.25" customHeight="1" x14ac:dyDescent="0.3">
      <c r="A849" s="46"/>
      <c r="B849" s="37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  <c r="AA849" s="46"/>
      <c r="AB849" s="46"/>
      <c r="AC849" s="46"/>
      <c r="AD849" s="46"/>
      <c r="AE849" s="46"/>
      <c r="AF849" s="46"/>
      <c r="AG849" s="46"/>
      <c r="AH849" s="46"/>
      <c r="AI849" s="46"/>
      <c r="AJ849" s="46"/>
      <c r="AK849" s="46"/>
      <c r="AL849" s="46"/>
      <c r="AM849" s="46"/>
      <c r="AN849" s="46"/>
      <c r="AO849" s="46"/>
      <c r="AP849" s="46"/>
      <c r="AQ849" s="46"/>
      <c r="AR849" s="46"/>
      <c r="AS849" s="46"/>
      <c r="AT849" s="46"/>
      <c r="AU849" s="46"/>
      <c r="AV849" s="46"/>
      <c r="AW849" s="46"/>
      <c r="AX849" s="46"/>
      <c r="AY849" s="46"/>
      <c r="AZ849" s="46"/>
      <c r="BA849" s="46"/>
      <c r="BB849" s="46"/>
      <c r="BC849" s="46"/>
      <c r="BD849" s="46"/>
      <c r="BE849" s="46"/>
    </row>
    <row r="850" spans="1:57" ht="14.25" customHeight="1" x14ac:dyDescent="0.3">
      <c r="A850" s="46"/>
      <c r="B850" s="37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6"/>
      <c r="AB850" s="46"/>
      <c r="AC850" s="46"/>
      <c r="AD850" s="46"/>
      <c r="AE850" s="46"/>
      <c r="AF850" s="46"/>
      <c r="AG850" s="46"/>
      <c r="AH850" s="46"/>
      <c r="AI850" s="46"/>
      <c r="AJ850" s="46"/>
      <c r="AK850" s="46"/>
      <c r="AL850" s="46"/>
      <c r="AM850" s="46"/>
      <c r="AN850" s="46"/>
      <c r="AO850" s="46"/>
      <c r="AP850" s="46"/>
      <c r="AQ850" s="46"/>
      <c r="AR850" s="46"/>
      <c r="AS850" s="46"/>
      <c r="AT850" s="46"/>
      <c r="AU850" s="46"/>
      <c r="AV850" s="46"/>
      <c r="AW850" s="46"/>
      <c r="AX850" s="46"/>
      <c r="AY850" s="46"/>
      <c r="AZ850" s="46"/>
      <c r="BA850" s="46"/>
      <c r="BB850" s="46"/>
      <c r="BC850" s="46"/>
      <c r="BD850" s="46"/>
      <c r="BE850" s="46"/>
    </row>
    <row r="851" spans="1:57" ht="14.25" customHeight="1" x14ac:dyDescent="0.3">
      <c r="A851" s="46"/>
      <c r="B851" s="37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6"/>
      <c r="AB851" s="46"/>
      <c r="AC851" s="46"/>
      <c r="AD851" s="46"/>
      <c r="AE851" s="46"/>
      <c r="AF851" s="46"/>
      <c r="AG851" s="46"/>
      <c r="AH851" s="46"/>
      <c r="AI851" s="46"/>
      <c r="AJ851" s="46"/>
      <c r="AK851" s="46"/>
      <c r="AL851" s="46"/>
      <c r="AM851" s="46"/>
      <c r="AN851" s="46"/>
      <c r="AO851" s="46"/>
      <c r="AP851" s="46"/>
      <c r="AQ851" s="46"/>
      <c r="AR851" s="46"/>
      <c r="AS851" s="46"/>
      <c r="AT851" s="46"/>
      <c r="AU851" s="46"/>
      <c r="AV851" s="46"/>
      <c r="AW851" s="46"/>
      <c r="AX851" s="46"/>
      <c r="AY851" s="46"/>
      <c r="AZ851" s="46"/>
      <c r="BA851" s="46"/>
      <c r="BB851" s="46"/>
      <c r="BC851" s="46"/>
      <c r="BD851" s="46"/>
      <c r="BE851" s="46"/>
    </row>
    <row r="852" spans="1:57" ht="14.25" customHeight="1" x14ac:dyDescent="0.3">
      <c r="A852" s="46"/>
      <c r="B852" s="37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  <c r="AB852" s="46"/>
      <c r="AC852" s="46"/>
      <c r="AD852" s="46"/>
      <c r="AE852" s="46"/>
      <c r="AF852" s="46"/>
      <c r="AG852" s="46"/>
      <c r="AH852" s="46"/>
      <c r="AI852" s="46"/>
      <c r="AJ852" s="46"/>
      <c r="AK852" s="46"/>
      <c r="AL852" s="46"/>
      <c r="AM852" s="46"/>
      <c r="AN852" s="46"/>
      <c r="AO852" s="46"/>
      <c r="AP852" s="46"/>
      <c r="AQ852" s="46"/>
      <c r="AR852" s="46"/>
      <c r="AS852" s="46"/>
      <c r="AT852" s="46"/>
      <c r="AU852" s="46"/>
      <c r="AV852" s="46"/>
      <c r="AW852" s="46"/>
      <c r="AX852" s="46"/>
      <c r="AY852" s="46"/>
      <c r="AZ852" s="46"/>
      <c r="BA852" s="46"/>
      <c r="BB852" s="46"/>
      <c r="BC852" s="46"/>
      <c r="BD852" s="46"/>
      <c r="BE852" s="46"/>
    </row>
    <row r="853" spans="1:57" ht="14.25" customHeight="1" x14ac:dyDescent="0.3">
      <c r="A853" s="46"/>
      <c r="B853" s="37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  <c r="AB853" s="46"/>
      <c r="AC853" s="46"/>
      <c r="AD853" s="46"/>
      <c r="AE853" s="46"/>
      <c r="AF853" s="46"/>
      <c r="AG853" s="46"/>
      <c r="AH853" s="46"/>
      <c r="AI853" s="46"/>
      <c r="AJ853" s="46"/>
      <c r="AK853" s="46"/>
      <c r="AL853" s="46"/>
      <c r="AM853" s="46"/>
      <c r="AN853" s="46"/>
      <c r="AO853" s="46"/>
      <c r="AP853" s="46"/>
      <c r="AQ853" s="46"/>
      <c r="AR853" s="46"/>
      <c r="AS853" s="46"/>
      <c r="AT853" s="46"/>
      <c r="AU853" s="46"/>
      <c r="AV853" s="46"/>
      <c r="AW853" s="46"/>
      <c r="AX853" s="46"/>
      <c r="AY853" s="46"/>
      <c r="AZ853" s="46"/>
      <c r="BA853" s="46"/>
      <c r="BB853" s="46"/>
      <c r="BC853" s="46"/>
      <c r="BD853" s="46"/>
      <c r="BE853" s="46"/>
    </row>
    <row r="854" spans="1:57" ht="14.25" customHeight="1" x14ac:dyDescent="0.3">
      <c r="A854" s="46"/>
      <c r="B854" s="37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  <c r="AA854" s="46"/>
      <c r="AB854" s="46"/>
      <c r="AC854" s="46"/>
      <c r="AD854" s="46"/>
      <c r="AE854" s="46"/>
      <c r="AF854" s="46"/>
      <c r="AG854" s="46"/>
      <c r="AH854" s="46"/>
      <c r="AI854" s="46"/>
      <c r="AJ854" s="46"/>
      <c r="AK854" s="46"/>
      <c r="AL854" s="46"/>
      <c r="AM854" s="46"/>
      <c r="AN854" s="46"/>
      <c r="AO854" s="46"/>
      <c r="AP854" s="46"/>
      <c r="AQ854" s="46"/>
      <c r="AR854" s="46"/>
      <c r="AS854" s="46"/>
      <c r="AT854" s="46"/>
      <c r="AU854" s="46"/>
      <c r="AV854" s="46"/>
      <c r="AW854" s="46"/>
      <c r="AX854" s="46"/>
      <c r="AY854" s="46"/>
      <c r="AZ854" s="46"/>
      <c r="BA854" s="46"/>
      <c r="BB854" s="46"/>
      <c r="BC854" s="46"/>
      <c r="BD854" s="46"/>
      <c r="BE854" s="46"/>
    </row>
    <row r="855" spans="1:57" ht="14.25" customHeight="1" x14ac:dyDescent="0.3">
      <c r="A855" s="46"/>
      <c r="B855" s="37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  <c r="AA855" s="46"/>
      <c r="AB855" s="46"/>
      <c r="AC855" s="46"/>
      <c r="AD855" s="46"/>
      <c r="AE855" s="46"/>
      <c r="AF855" s="46"/>
      <c r="AG855" s="46"/>
      <c r="AH855" s="46"/>
      <c r="AI855" s="46"/>
      <c r="AJ855" s="46"/>
      <c r="AK855" s="46"/>
      <c r="AL855" s="46"/>
      <c r="AM855" s="46"/>
      <c r="AN855" s="46"/>
      <c r="AO855" s="46"/>
      <c r="AP855" s="46"/>
      <c r="AQ855" s="46"/>
      <c r="AR855" s="46"/>
      <c r="AS855" s="46"/>
      <c r="AT855" s="46"/>
      <c r="AU855" s="46"/>
      <c r="AV855" s="46"/>
      <c r="AW855" s="46"/>
      <c r="AX855" s="46"/>
      <c r="AY855" s="46"/>
      <c r="AZ855" s="46"/>
      <c r="BA855" s="46"/>
      <c r="BB855" s="46"/>
      <c r="BC855" s="46"/>
      <c r="BD855" s="46"/>
      <c r="BE855" s="46"/>
    </row>
    <row r="856" spans="1:57" ht="14.25" customHeight="1" x14ac:dyDescent="0.3">
      <c r="A856" s="46"/>
      <c r="B856" s="37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  <c r="AA856" s="46"/>
      <c r="AB856" s="46"/>
      <c r="AC856" s="46"/>
      <c r="AD856" s="46"/>
      <c r="AE856" s="46"/>
      <c r="AF856" s="46"/>
      <c r="AG856" s="46"/>
      <c r="AH856" s="46"/>
      <c r="AI856" s="46"/>
      <c r="AJ856" s="46"/>
      <c r="AK856" s="46"/>
      <c r="AL856" s="46"/>
      <c r="AM856" s="46"/>
      <c r="AN856" s="46"/>
      <c r="AO856" s="46"/>
      <c r="AP856" s="46"/>
      <c r="AQ856" s="46"/>
      <c r="AR856" s="46"/>
      <c r="AS856" s="46"/>
      <c r="AT856" s="46"/>
      <c r="AU856" s="46"/>
      <c r="AV856" s="46"/>
      <c r="AW856" s="46"/>
      <c r="AX856" s="46"/>
      <c r="AY856" s="46"/>
      <c r="AZ856" s="46"/>
      <c r="BA856" s="46"/>
      <c r="BB856" s="46"/>
      <c r="BC856" s="46"/>
      <c r="BD856" s="46"/>
      <c r="BE856" s="46"/>
    </row>
    <row r="857" spans="1:57" ht="14.25" customHeight="1" x14ac:dyDescent="0.3">
      <c r="A857" s="46"/>
      <c r="B857" s="37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  <c r="AA857" s="46"/>
      <c r="AB857" s="46"/>
      <c r="AC857" s="46"/>
      <c r="AD857" s="46"/>
      <c r="AE857" s="46"/>
      <c r="AF857" s="46"/>
      <c r="AG857" s="46"/>
      <c r="AH857" s="46"/>
      <c r="AI857" s="46"/>
      <c r="AJ857" s="46"/>
      <c r="AK857" s="46"/>
      <c r="AL857" s="46"/>
      <c r="AM857" s="46"/>
      <c r="AN857" s="46"/>
      <c r="AO857" s="46"/>
      <c r="AP857" s="46"/>
      <c r="AQ857" s="46"/>
      <c r="AR857" s="46"/>
      <c r="AS857" s="46"/>
      <c r="AT857" s="46"/>
      <c r="AU857" s="46"/>
      <c r="AV857" s="46"/>
      <c r="AW857" s="46"/>
      <c r="AX857" s="46"/>
      <c r="AY857" s="46"/>
      <c r="AZ857" s="46"/>
      <c r="BA857" s="46"/>
      <c r="BB857" s="46"/>
      <c r="BC857" s="46"/>
      <c r="BD857" s="46"/>
      <c r="BE857" s="46"/>
    </row>
    <row r="858" spans="1:57" ht="14.25" customHeight="1" x14ac:dyDescent="0.3">
      <c r="A858" s="46"/>
      <c r="B858" s="37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6"/>
      <c r="AB858" s="46"/>
      <c r="AC858" s="46"/>
      <c r="AD858" s="46"/>
      <c r="AE858" s="46"/>
      <c r="AF858" s="46"/>
      <c r="AG858" s="46"/>
      <c r="AH858" s="46"/>
      <c r="AI858" s="46"/>
      <c r="AJ858" s="46"/>
      <c r="AK858" s="46"/>
      <c r="AL858" s="46"/>
      <c r="AM858" s="46"/>
      <c r="AN858" s="46"/>
      <c r="AO858" s="46"/>
      <c r="AP858" s="46"/>
      <c r="AQ858" s="46"/>
      <c r="AR858" s="46"/>
      <c r="AS858" s="46"/>
      <c r="AT858" s="46"/>
      <c r="AU858" s="46"/>
      <c r="AV858" s="46"/>
      <c r="AW858" s="46"/>
      <c r="AX858" s="46"/>
      <c r="AY858" s="46"/>
      <c r="AZ858" s="46"/>
      <c r="BA858" s="46"/>
      <c r="BB858" s="46"/>
      <c r="BC858" s="46"/>
      <c r="BD858" s="46"/>
      <c r="BE858" s="46"/>
    </row>
    <row r="859" spans="1:57" ht="14.25" customHeight="1" x14ac:dyDescent="0.3">
      <c r="A859" s="46"/>
      <c r="B859" s="37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  <c r="AA859" s="46"/>
      <c r="AB859" s="46"/>
      <c r="AC859" s="46"/>
      <c r="AD859" s="46"/>
      <c r="AE859" s="46"/>
      <c r="AF859" s="46"/>
      <c r="AG859" s="46"/>
      <c r="AH859" s="46"/>
      <c r="AI859" s="46"/>
      <c r="AJ859" s="46"/>
      <c r="AK859" s="46"/>
      <c r="AL859" s="46"/>
      <c r="AM859" s="46"/>
      <c r="AN859" s="46"/>
      <c r="AO859" s="46"/>
      <c r="AP859" s="46"/>
      <c r="AQ859" s="46"/>
      <c r="AR859" s="46"/>
      <c r="AS859" s="46"/>
      <c r="AT859" s="46"/>
      <c r="AU859" s="46"/>
      <c r="AV859" s="46"/>
      <c r="AW859" s="46"/>
      <c r="AX859" s="46"/>
      <c r="AY859" s="46"/>
      <c r="AZ859" s="46"/>
      <c r="BA859" s="46"/>
      <c r="BB859" s="46"/>
      <c r="BC859" s="46"/>
      <c r="BD859" s="46"/>
      <c r="BE859" s="46"/>
    </row>
    <row r="860" spans="1:57" ht="14.25" customHeight="1" x14ac:dyDescent="0.3">
      <c r="A860" s="46"/>
      <c r="B860" s="37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  <c r="AA860" s="46"/>
      <c r="AB860" s="46"/>
      <c r="AC860" s="46"/>
      <c r="AD860" s="46"/>
      <c r="AE860" s="46"/>
      <c r="AF860" s="46"/>
      <c r="AG860" s="46"/>
      <c r="AH860" s="46"/>
      <c r="AI860" s="46"/>
      <c r="AJ860" s="46"/>
      <c r="AK860" s="46"/>
      <c r="AL860" s="46"/>
      <c r="AM860" s="46"/>
      <c r="AN860" s="46"/>
      <c r="AO860" s="46"/>
      <c r="AP860" s="46"/>
      <c r="AQ860" s="46"/>
      <c r="AR860" s="46"/>
      <c r="AS860" s="46"/>
      <c r="AT860" s="46"/>
      <c r="AU860" s="46"/>
      <c r="AV860" s="46"/>
      <c r="AW860" s="46"/>
      <c r="AX860" s="46"/>
      <c r="AY860" s="46"/>
      <c r="AZ860" s="46"/>
      <c r="BA860" s="46"/>
      <c r="BB860" s="46"/>
      <c r="BC860" s="46"/>
      <c r="BD860" s="46"/>
      <c r="BE860" s="46"/>
    </row>
    <row r="861" spans="1:57" ht="14.25" customHeight="1" x14ac:dyDescent="0.3">
      <c r="A861" s="46"/>
      <c r="B861" s="37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  <c r="AB861" s="46"/>
      <c r="AC861" s="46"/>
      <c r="AD861" s="46"/>
      <c r="AE861" s="46"/>
      <c r="AF861" s="46"/>
      <c r="AG861" s="46"/>
      <c r="AH861" s="46"/>
      <c r="AI861" s="46"/>
      <c r="AJ861" s="46"/>
      <c r="AK861" s="46"/>
      <c r="AL861" s="46"/>
      <c r="AM861" s="46"/>
      <c r="AN861" s="46"/>
      <c r="AO861" s="46"/>
      <c r="AP861" s="46"/>
      <c r="AQ861" s="46"/>
      <c r="AR861" s="46"/>
      <c r="AS861" s="46"/>
      <c r="AT861" s="46"/>
      <c r="AU861" s="46"/>
      <c r="AV861" s="46"/>
      <c r="AW861" s="46"/>
      <c r="AX861" s="46"/>
      <c r="AY861" s="46"/>
      <c r="AZ861" s="46"/>
      <c r="BA861" s="46"/>
      <c r="BB861" s="46"/>
      <c r="BC861" s="46"/>
      <c r="BD861" s="46"/>
      <c r="BE861" s="46"/>
    </row>
    <row r="862" spans="1:57" ht="14.25" customHeight="1" x14ac:dyDescent="0.3">
      <c r="A862" s="46"/>
      <c r="B862" s="37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  <c r="AA862" s="46"/>
      <c r="AB862" s="46"/>
      <c r="AC862" s="46"/>
      <c r="AD862" s="46"/>
      <c r="AE862" s="46"/>
      <c r="AF862" s="46"/>
      <c r="AG862" s="46"/>
      <c r="AH862" s="46"/>
      <c r="AI862" s="46"/>
      <c r="AJ862" s="46"/>
      <c r="AK862" s="46"/>
      <c r="AL862" s="46"/>
      <c r="AM862" s="46"/>
      <c r="AN862" s="46"/>
      <c r="AO862" s="46"/>
      <c r="AP862" s="46"/>
      <c r="AQ862" s="46"/>
      <c r="AR862" s="46"/>
      <c r="AS862" s="46"/>
      <c r="AT862" s="46"/>
      <c r="AU862" s="46"/>
      <c r="AV862" s="46"/>
      <c r="AW862" s="46"/>
      <c r="AX862" s="46"/>
      <c r="AY862" s="46"/>
      <c r="AZ862" s="46"/>
      <c r="BA862" s="46"/>
      <c r="BB862" s="46"/>
      <c r="BC862" s="46"/>
      <c r="BD862" s="46"/>
      <c r="BE862" s="46"/>
    </row>
    <row r="863" spans="1:57" ht="14.25" customHeight="1" x14ac:dyDescent="0.3">
      <c r="A863" s="46"/>
      <c r="B863" s="37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  <c r="AA863" s="46"/>
      <c r="AB863" s="46"/>
      <c r="AC863" s="46"/>
      <c r="AD863" s="46"/>
      <c r="AE863" s="46"/>
      <c r="AF863" s="46"/>
      <c r="AG863" s="46"/>
      <c r="AH863" s="46"/>
      <c r="AI863" s="46"/>
      <c r="AJ863" s="46"/>
      <c r="AK863" s="46"/>
      <c r="AL863" s="46"/>
      <c r="AM863" s="46"/>
      <c r="AN863" s="46"/>
      <c r="AO863" s="46"/>
      <c r="AP863" s="46"/>
      <c r="AQ863" s="46"/>
      <c r="AR863" s="46"/>
      <c r="AS863" s="46"/>
      <c r="AT863" s="46"/>
      <c r="AU863" s="46"/>
      <c r="AV863" s="46"/>
      <c r="AW863" s="46"/>
      <c r="AX863" s="46"/>
      <c r="AY863" s="46"/>
      <c r="AZ863" s="46"/>
      <c r="BA863" s="46"/>
      <c r="BB863" s="46"/>
      <c r="BC863" s="46"/>
      <c r="BD863" s="46"/>
      <c r="BE863" s="46"/>
    </row>
    <row r="864" spans="1:57" ht="14.25" customHeight="1" x14ac:dyDescent="0.3">
      <c r="A864" s="46"/>
      <c r="B864" s="37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  <c r="AB864" s="46"/>
      <c r="AC864" s="46"/>
      <c r="AD864" s="46"/>
      <c r="AE864" s="46"/>
      <c r="AF864" s="46"/>
      <c r="AG864" s="46"/>
      <c r="AH864" s="46"/>
      <c r="AI864" s="46"/>
      <c r="AJ864" s="46"/>
      <c r="AK864" s="46"/>
      <c r="AL864" s="46"/>
      <c r="AM864" s="46"/>
      <c r="AN864" s="46"/>
      <c r="AO864" s="46"/>
      <c r="AP864" s="46"/>
      <c r="AQ864" s="46"/>
      <c r="AR864" s="46"/>
      <c r="AS864" s="46"/>
      <c r="AT864" s="46"/>
      <c r="AU864" s="46"/>
      <c r="AV864" s="46"/>
      <c r="AW864" s="46"/>
      <c r="AX864" s="46"/>
      <c r="AY864" s="46"/>
      <c r="AZ864" s="46"/>
      <c r="BA864" s="46"/>
      <c r="BB864" s="46"/>
      <c r="BC864" s="46"/>
      <c r="BD864" s="46"/>
      <c r="BE864" s="46"/>
    </row>
    <row r="865" spans="1:57" ht="14.25" customHeight="1" x14ac:dyDescent="0.3">
      <c r="A865" s="46"/>
      <c r="B865" s="37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  <c r="AA865" s="46"/>
      <c r="AB865" s="46"/>
      <c r="AC865" s="46"/>
      <c r="AD865" s="46"/>
      <c r="AE865" s="46"/>
      <c r="AF865" s="46"/>
      <c r="AG865" s="46"/>
      <c r="AH865" s="46"/>
      <c r="AI865" s="46"/>
      <c r="AJ865" s="46"/>
      <c r="AK865" s="46"/>
      <c r="AL865" s="46"/>
      <c r="AM865" s="46"/>
      <c r="AN865" s="46"/>
      <c r="AO865" s="46"/>
      <c r="AP865" s="46"/>
      <c r="AQ865" s="46"/>
      <c r="AR865" s="46"/>
      <c r="AS865" s="46"/>
      <c r="AT865" s="46"/>
      <c r="AU865" s="46"/>
      <c r="AV865" s="46"/>
      <c r="AW865" s="46"/>
      <c r="AX865" s="46"/>
      <c r="AY865" s="46"/>
      <c r="AZ865" s="46"/>
      <c r="BA865" s="46"/>
      <c r="BB865" s="46"/>
      <c r="BC865" s="46"/>
      <c r="BD865" s="46"/>
      <c r="BE865" s="46"/>
    </row>
    <row r="866" spans="1:57" ht="14.25" customHeight="1" x14ac:dyDescent="0.3">
      <c r="A866" s="46"/>
      <c r="B866" s="37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  <c r="AA866" s="46"/>
      <c r="AB866" s="46"/>
      <c r="AC866" s="46"/>
      <c r="AD866" s="46"/>
      <c r="AE866" s="46"/>
      <c r="AF866" s="46"/>
      <c r="AG866" s="46"/>
      <c r="AH866" s="46"/>
      <c r="AI866" s="46"/>
      <c r="AJ866" s="46"/>
      <c r="AK866" s="46"/>
      <c r="AL866" s="46"/>
      <c r="AM866" s="46"/>
      <c r="AN866" s="46"/>
      <c r="AO866" s="46"/>
      <c r="AP866" s="46"/>
      <c r="AQ866" s="46"/>
      <c r="AR866" s="46"/>
      <c r="AS866" s="46"/>
      <c r="AT866" s="46"/>
      <c r="AU866" s="46"/>
      <c r="AV866" s="46"/>
      <c r="AW866" s="46"/>
      <c r="AX866" s="46"/>
      <c r="AY866" s="46"/>
      <c r="AZ866" s="46"/>
      <c r="BA866" s="46"/>
      <c r="BB866" s="46"/>
      <c r="BC866" s="46"/>
      <c r="BD866" s="46"/>
      <c r="BE866" s="46"/>
    </row>
    <row r="867" spans="1:57" ht="14.25" customHeight="1" x14ac:dyDescent="0.3">
      <c r="A867" s="46"/>
      <c r="B867" s="37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  <c r="AB867" s="46"/>
      <c r="AC867" s="46"/>
      <c r="AD867" s="46"/>
      <c r="AE867" s="46"/>
      <c r="AF867" s="46"/>
      <c r="AG867" s="46"/>
      <c r="AH867" s="46"/>
      <c r="AI867" s="46"/>
      <c r="AJ867" s="46"/>
      <c r="AK867" s="46"/>
      <c r="AL867" s="46"/>
      <c r="AM867" s="46"/>
      <c r="AN867" s="46"/>
      <c r="AO867" s="46"/>
      <c r="AP867" s="46"/>
      <c r="AQ867" s="46"/>
      <c r="AR867" s="46"/>
      <c r="AS867" s="46"/>
      <c r="AT867" s="46"/>
      <c r="AU867" s="46"/>
      <c r="AV867" s="46"/>
      <c r="AW867" s="46"/>
      <c r="AX867" s="46"/>
      <c r="AY867" s="46"/>
      <c r="AZ867" s="46"/>
      <c r="BA867" s="46"/>
      <c r="BB867" s="46"/>
      <c r="BC867" s="46"/>
      <c r="BD867" s="46"/>
      <c r="BE867" s="46"/>
    </row>
    <row r="868" spans="1:57" ht="14.25" customHeight="1" x14ac:dyDescent="0.3">
      <c r="A868" s="46"/>
      <c r="B868" s="37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  <c r="AA868" s="46"/>
      <c r="AB868" s="46"/>
      <c r="AC868" s="46"/>
      <c r="AD868" s="46"/>
      <c r="AE868" s="46"/>
      <c r="AF868" s="46"/>
      <c r="AG868" s="46"/>
      <c r="AH868" s="46"/>
      <c r="AI868" s="46"/>
      <c r="AJ868" s="46"/>
      <c r="AK868" s="46"/>
      <c r="AL868" s="46"/>
      <c r="AM868" s="46"/>
      <c r="AN868" s="46"/>
      <c r="AO868" s="46"/>
      <c r="AP868" s="46"/>
      <c r="AQ868" s="46"/>
      <c r="AR868" s="46"/>
      <c r="AS868" s="46"/>
      <c r="AT868" s="46"/>
      <c r="AU868" s="46"/>
      <c r="AV868" s="46"/>
      <c r="AW868" s="46"/>
      <c r="AX868" s="46"/>
      <c r="AY868" s="46"/>
      <c r="AZ868" s="46"/>
      <c r="BA868" s="46"/>
      <c r="BB868" s="46"/>
      <c r="BC868" s="46"/>
      <c r="BD868" s="46"/>
      <c r="BE868" s="46"/>
    </row>
    <row r="869" spans="1:57" ht="14.25" customHeight="1" x14ac:dyDescent="0.3">
      <c r="A869" s="46"/>
      <c r="B869" s="37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  <c r="AA869" s="46"/>
      <c r="AB869" s="46"/>
      <c r="AC869" s="46"/>
      <c r="AD869" s="46"/>
      <c r="AE869" s="46"/>
      <c r="AF869" s="46"/>
      <c r="AG869" s="46"/>
      <c r="AH869" s="46"/>
      <c r="AI869" s="46"/>
      <c r="AJ869" s="46"/>
      <c r="AK869" s="46"/>
      <c r="AL869" s="46"/>
      <c r="AM869" s="46"/>
      <c r="AN869" s="46"/>
      <c r="AO869" s="46"/>
      <c r="AP869" s="46"/>
      <c r="AQ869" s="46"/>
      <c r="AR869" s="46"/>
      <c r="AS869" s="46"/>
      <c r="AT869" s="46"/>
      <c r="AU869" s="46"/>
      <c r="AV869" s="46"/>
      <c r="AW869" s="46"/>
      <c r="AX869" s="46"/>
      <c r="AY869" s="46"/>
      <c r="AZ869" s="46"/>
      <c r="BA869" s="46"/>
      <c r="BB869" s="46"/>
      <c r="BC869" s="46"/>
      <c r="BD869" s="46"/>
      <c r="BE869" s="46"/>
    </row>
    <row r="870" spans="1:57" ht="14.25" customHeight="1" x14ac:dyDescent="0.3">
      <c r="A870" s="46"/>
      <c r="B870" s="37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  <c r="AA870" s="46"/>
      <c r="AB870" s="46"/>
      <c r="AC870" s="46"/>
      <c r="AD870" s="46"/>
      <c r="AE870" s="46"/>
      <c r="AF870" s="46"/>
      <c r="AG870" s="46"/>
      <c r="AH870" s="46"/>
      <c r="AI870" s="46"/>
      <c r="AJ870" s="46"/>
      <c r="AK870" s="46"/>
      <c r="AL870" s="46"/>
      <c r="AM870" s="46"/>
      <c r="AN870" s="46"/>
      <c r="AO870" s="46"/>
      <c r="AP870" s="46"/>
      <c r="AQ870" s="46"/>
      <c r="AR870" s="46"/>
      <c r="AS870" s="46"/>
      <c r="AT870" s="46"/>
      <c r="AU870" s="46"/>
      <c r="AV870" s="46"/>
      <c r="AW870" s="46"/>
      <c r="AX870" s="46"/>
      <c r="AY870" s="46"/>
      <c r="AZ870" s="46"/>
      <c r="BA870" s="46"/>
      <c r="BB870" s="46"/>
      <c r="BC870" s="46"/>
      <c r="BD870" s="46"/>
      <c r="BE870" s="46"/>
    </row>
    <row r="871" spans="1:57" ht="14.25" customHeight="1" x14ac:dyDescent="0.3">
      <c r="A871" s="46"/>
      <c r="B871" s="37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  <c r="AA871" s="46"/>
      <c r="AB871" s="46"/>
      <c r="AC871" s="46"/>
      <c r="AD871" s="46"/>
      <c r="AE871" s="46"/>
      <c r="AF871" s="46"/>
      <c r="AG871" s="46"/>
      <c r="AH871" s="46"/>
      <c r="AI871" s="46"/>
      <c r="AJ871" s="46"/>
      <c r="AK871" s="46"/>
      <c r="AL871" s="46"/>
      <c r="AM871" s="46"/>
      <c r="AN871" s="46"/>
      <c r="AO871" s="46"/>
      <c r="AP871" s="46"/>
      <c r="AQ871" s="46"/>
      <c r="AR871" s="46"/>
      <c r="AS871" s="46"/>
      <c r="AT871" s="46"/>
      <c r="AU871" s="46"/>
      <c r="AV871" s="46"/>
      <c r="AW871" s="46"/>
      <c r="AX871" s="46"/>
      <c r="AY871" s="46"/>
      <c r="AZ871" s="46"/>
      <c r="BA871" s="46"/>
      <c r="BB871" s="46"/>
      <c r="BC871" s="46"/>
      <c r="BD871" s="46"/>
      <c r="BE871" s="46"/>
    </row>
    <row r="872" spans="1:57" ht="14.25" customHeight="1" x14ac:dyDescent="0.3">
      <c r="A872" s="46"/>
      <c r="B872" s="37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  <c r="AA872" s="46"/>
      <c r="AB872" s="46"/>
      <c r="AC872" s="46"/>
      <c r="AD872" s="46"/>
      <c r="AE872" s="46"/>
      <c r="AF872" s="46"/>
      <c r="AG872" s="46"/>
      <c r="AH872" s="46"/>
      <c r="AI872" s="46"/>
      <c r="AJ872" s="46"/>
      <c r="AK872" s="46"/>
      <c r="AL872" s="46"/>
      <c r="AM872" s="46"/>
      <c r="AN872" s="46"/>
      <c r="AO872" s="46"/>
      <c r="AP872" s="46"/>
      <c r="AQ872" s="46"/>
      <c r="AR872" s="46"/>
      <c r="AS872" s="46"/>
      <c r="AT872" s="46"/>
      <c r="AU872" s="46"/>
      <c r="AV872" s="46"/>
      <c r="AW872" s="46"/>
      <c r="AX872" s="46"/>
      <c r="AY872" s="46"/>
      <c r="AZ872" s="46"/>
      <c r="BA872" s="46"/>
      <c r="BB872" s="46"/>
      <c r="BC872" s="46"/>
      <c r="BD872" s="46"/>
      <c r="BE872" s="46"/>
    </row>
    <row r="873" spans="1:57" ht="14.25" customHeight="1" x14ac:dyDescent="0.3">
      <c r="A873" s="46"/>
      <c r="B873" s="37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  <c r="AA873" s="46"/>
      <c r="AB873" s="46"/>
      <c r="AC873" s="46"/>
      <c r="AD873" s="46"/>
      <c r="AE873" s="46"/>
      <c r="AF873" s="46"/>
      <c r="AG873" s="46"/>
      <c r="AH873" s="46"/>
      <c r="AI873" s="46"/>
      <c r="AJ873" s="46"/>
      <c r="AK873" s="46"/>
      <c r="AL873" s="46"/>
      <c r="AM873" s="46"/>
      <c r="AN873" s="46"/>
      <c r="AO873" s="46"/>
      <c r="AP873" s="46"/>
      <c r="AQ873" s="46"/>
      <c r="AR873" s="46"/>
      <c r="AS873" s="46"/>
      <c r="AT873" s="46"/>
      <c r="AU873" s="46"/>
      <c r="AV873" s="46"/>
      <c r="AW873" s="46"/>
      <c r="AX873" s="46"/>
      <c r="AY873" s="46"/>
      <c r="AZ873" s="46"/>
      <c r="BA873" s="46"/>
      <c r="BB873" s="46"/>
      <c r="BC873" s="46"/>
      <c r="BD873" s="46"/>
      <c r="BE873" s="46"/>
    </row>
    <row r="874" spans="1:57" ht="14.25" customHeight="1" x14ac:dyDescent="0.3">
      <c r="A874" s="46"/>
      <c r="B874" s="37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  <c r="AA874" s="46"/>
      <c r="AB874" s="46"/>
      <c r="AC874" s="46"/>
      <c r="AD874" s="46"/>
      <c r="AE874" s="46"/>
      <c r="AF874" s="46"/>
      <c r="AG874" s="46"/>
      <c r="AH874" s="46"/>
      <c r="AI874" s="46"/>
      <c r="AJ874" s="46"/>
      <c r="AK874" s="46"/>
      <c r="AL874" s="46"/>
      <c r="AM874" s="46"/>
      <c r="AN874" s="46"/>
      <c r="AO874" s="46"/>
      <c r="AP874" s="46"/>
      <c r="AQ874" s="46"/>
      <c r="AR874" s="46"/>
      <c r="AS874" s="46"/>
      <c r="AT874" s="46"/>
      <c r="AU874" s="46"/>
      <c r="AV874" s="46"/>
      <c r="AW874" s="46"/>
      <c r="AX874" s="46"/>
      <c r="AY874" s="46"/>
      <c r="AZ874" s="46"/>
      <c r="BA874" s="46"/>
      <c r="BB874" s="46"/>
      <c r="BC874" s="46"/>
      <c r="BD874" s="46"/>
      <c r="BE874" s="46"/>
    </row>
    <row r="875" spans="1:57" ht="14.25" customHeight="1" x14ac:dyDescent="0.3">
      <c r="A875" s="46"/>
      <c r="B875" s="37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  <c r="AA875" s="46"/>
      <c r="AB875" s="46"/>
      <c r="AC875" s="46"/>
      <c r="AD875" s="46"/>
      <c r="AE875" s="46"/>
      <c r="AF875" s="46"/>
      <c r="AG875" s="46"/>
      <c r="AH875" s="46"/>
      <c r="AI875" s="46"/>
      <c r="AJ875" s="46"/>
      <c r="AK875" s="46"/>
      <c r="AL875" s="46"/>
      <c r="AM875" s="46"/>
      <c r="AN875" s="46"/>
      <c r="AO875" s="46"/>
      <c r="AP875" s="46"/>
      <c r="AQ875" s="46"/>
      <c r="AR875" s="46"/>
      <c r="AS875" s="46"/>
      <c r="AT875" s="46"/>
      <c r="AU875" s="46"/>
      <c r="AV875" s="46"/>
      <c r="AW875" s="46"/>
      <c r="AX875" s="46"/>
      <c r="AY875" s="46"/>
      <c r="AZ875" s="46"/>
      <c r="BA875" s="46"/>
      <c r="BB875" s="46"/>
      <c r="BC875" s="46"/>
      <c r="BD875" s="46"/>
      <c r="BE875" s="46"/>
    </row>
    <row r="876" spans="1:57" ht="14.25" customHeight="1" x14ac:dyDescent="0.3">
      <c r="A876" s="46"/>
      <c r="B876" s="37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  <c r="AA876" s="46"/>
      <c r="AB876" s="46"/>
      <c r="AC876" s="46"/>
      <c r="AD876" s="46"/>
      <c r="AE876" s="46"/>
      <c r="AF876" s="46"/>
      <c r="AG876" s="46"/>
      <c r="AH876" s="46"/>
      <c r="AI876" s="46"/>
      <c r="AJ876" s="46"/>
      <c r="AK876" s="46"/>
      <c r="AL876" s="46"/>
      <c r="AM876" s="46"/>
      <c r="AN876" s="46"/>
      <c r="AO876" s="46"/>
      <c r="AP876" s="46"/>
      <c r="AQ876" s="46"/>
      <c r="AR876" s="46"/>
      <c r="AS876" s="46"/>
      <c r="AT876" s="46"/>
      <c r="AU876" s="46"/>
      <c r="AV876" s="46"/>
      <c r="AW876" s="46"/>
      <c r="AX876" s="46"/>
      <c r="AY876" s="46"/>
      <c r="AZ876" s="46"/>
      <c r="BA876" s="46"/>
      <c r="BB876" s="46"/>
      <c r="BC876" s="46"/>
      <c r="BD876" s="46"/>
      <c r="BE876" s="46"/>
    </row>
    <row r="877" spans="1:57" ht="14.25" customHeight="1" x14ac:dyDescent="0.3">
      <c r="A877" s="46"/>
      <c r="B877" s="37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  <c r="AA877" s="46"/>
      <c r="AB877" s="46"/>
      <c r="AC877" s="46"/>
      <c r="AD877" s="46"/>
      <c r="AE877" s="46"/>
      <c r="AF877" s="46"/>
      <c r="AG877" s="46"/>
      <c r="AH877" s="46"/>
      <c r="AI877" s="46"/>
      <c r="AJ877" s="46"/>
      <c r="AK877" s="46"/>
      <c r="AL877" s="46"/>
      <c r="AM877" s="46"/>
      <c r="AN877" s="46"/>
      <c r="AO877" s="46"/>
      <c r="AP877" s="46"/>
      <c r="AQ877" s="46"/>
      <c r="AR877" s="46"/>
      <c r="AS877" s="46"/>
      <c r="AT877" s="46"/>
      <c r="AU877" s="46"/>
      <c r="AV877" s="46"/>
      <c r="AW877" s="46"/>
      <c r="AX877" s="46"/>
      <c r="AY877" s="46"/>
      <c r="AZ877" s="46"/>
      <c r="BA877" s="46"/>
      <c r="BB877" s="46"/>
      <c r="BC877" s="46"/>
      <c r="BD877" s="46"/>
      <c r="BE877" s="46"/>
    </row>
    <row r="878" spans="1:57" ht="14.25" customHeight="1" x14ac:dyDescent="0.3">
      <c r="A878" s="46"/>
      <c r="B878" s="37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  <c r="AA878" s="46"/>
      <c r="AB878" s="46"/>
      <c r="AC878" s="46"/>
      <c r="AD878" s="46"/>
      <c r="AE878" s="46"/>
      <c r="AF878" s="46"/>
      <c r="AG878" s="46"/>
      <c r="AH878" s="46"/>
      <c r="AI878" s="46"/>
      <c r="AJ878" s="46"/>
      <c r="AK878" s="46"/>
      <c r="AL878" s="46"/>
      <c r="AM878" s="46"/>
      <c r="AN878" s="46"/>
      <c r="AO878" s="46"/>
      <c r="AP878" s="46"/>
      <c r="AQ878" s="46"/>
      <c r="AR878" s="46"/>
      <c r="AS878" s="46"/>
      <c r="AT878" s="46"/>
      <c r="AU878" s="46"/>
      <c r="AV878" s="46"/>
      <c r="AW878" s="46"/>
      <c r="AX878" s="46"/>
      <c r="AY878" s="46"/>
      <c r="AZ878" s="46"/>
      <c r="BA878" s="46"/>
      <c r="BB878" s="46"/>
      <c r="BC878" s="46"/>
      <c r="BD878" s="46"/>
      <c r="BE878" s="46"/>
    </row>
    <row r="879" spans="1:57" ht="14.25" customHeight="1" x14ac:dyDescent="0.3">
      <c r="A879" s="46"/>
      <c r="B879" s="37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  <c r="AA879" s="46"/>
      <c r="AB879" s="46"/>
      <c r="AC879" s="46"/>
      <c r="AD879" s="46"/>
      <c r="AE879" s="46"/>
      <c r="AF879" s="46"/>
      <c r="AG879" s="46"/>
      <c r="AH879" s="46"/>
      <c r="AI879" s="46"/>
      <c r="AJ879" s="46"/>
      <c r="AK879" s="46"/>
      <c r="AL879" s="46"/>
      <c r="AM879" s="46"/>
      <c r="AN879" s="46"/>
      <c r="AO879" s="46"/>
      <c r="AP879" s="46"/>
      <c r="AQ879" s="46"/>
      <c r="AR879" s="46"/>
      <c r="AS879" s="46"/>
      <c r="AT879" s="46"/>
      <c r="AU879" s="46"/>
      <c r="AV879" s="46"/>
      <c r="AW879" s="46"/>
      <c r="AX879" s="46"/>
      <c r="AY879" s="46"/>
      <c r="AZ879" s="46"/>
      <c r="BA879" s="46"/>
      <c r="BB879" s="46"/>
      <c r="BC879" s="46"/>
      <c r="BD879" s="46"/>
      <c r="BE879" s="46"/>
    </row>
    <row r="880" spans="1:57" ht="14.25" customHeight="1" x14ac:dyDescent="0.3">
      <c r="A880" s="46"/>
      <c r="B880" s="37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  <c r="AA880" s="46"/>
      <c r="AB880" s="46"/>
      <c r="AC880" s="46"/>
      <c r="AD880" s="46"/>
      <c r="AE880" s="46"/>
      <c r="AF880" s="46"/>
      <c r="AG880" s="46"/>
      <c r="AH880" s="46"/>
      <c r="AI880" s="46"/>
      <c r="AJ880" s="46"/>
      <c r="AK880" s="46"/>
      <c r="AL880" s="46"/>
      <c r="AM880" s="46"/>
      <c r="AN880" s="46"/>
      <c r="AO880" s="46"/>
      <c r="AP880" s="46"/>
      <c r="AQ880" s="46"/>
      <c r="AR880" s="46"/>
      <c r="AS880" s="46"/>
      <c r="AT880" s="46"/>
      <c r="AU880" s="46"/>
      <c r="AV880" s="46"/>
      <c r="AW880" s="46"/>
      <c r="AX880" s="46"/>
      <c r="AY880" s="46"/>
      <c r="AZ880" s="46"/>
      <c r="BA880" s="46"/>
      <c r="BB880" s="46"/>
      <c r="BC880" s="46"/>
      <c r="BD880" s="46"/>
      <c r="BE880" s="46"/>
    </row>
    <row r="881" spans="1:57" ht="14.25" customHeight="1" x14ac:dyDescent="0.3">
      <c r="A881" s="46"/>
      <c r="B881" s="37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  <c r="AA881" s="46"/>
      <c r="AB881" s="46"/>
      <c r="AC881" s="46"/>
      <c r="AD881" s="46"/>
      <c r="AE881" s="46"/>
      <c r="AF881" s="46"/>
      <c r="AG881" s="46"/>
      <c r="AH881" s="46"/>
      <c r="AI881" s="46"/>
      <c r="AJ881" s="46"/>
      <c r="AK881" s="46"/>
      <c r="AL881" s="46"/>
      <c r="AM881" s="46"/>
      <c r="AN881" s="46"/>
      <c r="AO881" s="46"/>
      <c r="AP881" s="46"/>
      <c r="AQ881" s="46"/>
      <c r="AR881" s="46"/>
      <c r="AS881" s="46"/>
      <c r="AT881" s="46"/>
      <c r="AU881" s="46"/>
      <c r="AV881" s="46"/>
      <c r="AW881" s="46"/>
      <c r="AX881" s="46"/>
      <c r="AY881" s="46"/>
      <c r="AZ881" s="46"/>
      <c r="BA881" s="46"/>
      <c r="BB881" s="46"/>
      <c r="BC881" s="46"/>
      <c r="BD881" s="46"/>
      <c r="BE881" s="46"/>
    </row>
    <row r="882" spans="1:57" ht="14.25" customHeight="1" x14ac:dyDescent="0.3">
      <c r="A882" s="46"/>
      <c r="B882" s="37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  <c r="AA882" s="46"/>
      <c r="AB882" s="46"/>
      <c r="AC882" s="46"/>
      <c r="AD882" s="46"/>
      <c r="AE882" s="46"/>
      <c r="AF882" s="46"/>
      <c r="AG882" s="46"/>
      <c r="AH882" s="46"/>
      <c r="AI882" s="46"/>
      <c r="AJ882" s="46"/>
      <c r="AK882" s="46"/>
      <c r="AL882" s="46"/>
      <c r="AM882" s="46"/>
      <c r="AN882" s="46"/>
      <c r="AO882" s="46"/>
      <c r="AP882" s="46"/>
      <c r="AQ882" s="46"/>
      <c r="AR882" s="46"/>
      <c r="AS882" s="46"/>
      <c r="AT882" s="46"/>
      <c r="AU882" s="46"/>
      <c r="AV882" s="46"/>
      <c r="AW882" s="46"/>
      <c r="AX882" s="46"/>
      <c r="AY882" s="46"/>
      <c r="AZ882" s="46"/>
      <c r="BA882" s="46"/>
      <c r="BB882" s="46"/>
      <c r="BC882" s="46"/>
      <c r="BD882" s="46"/>
      <c r="BE882" s="46"/>
    </row>
    <row r="883" spans="1:57" ht="14.25" customHeight="1" x14ac:dyDescent="0.3">
      <c r="A883" s="46"/>
      <c r="B883" s="37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  <c r="AA883" s="46"/>
      <c r="AB883" s="46"/>
      <c r="AC883" s="46"/>
      <c r="AD883" s="46"/>
      <c r="AE883" s="46"/>
      <c r="AF883" s="46"/>
      <c r="AG883" s="46"/>
      <c r="AH883" s="46"/>
      <c r="AI883" s="46"/>
      <c r="AJ883" s="46"/>
      <c r="AK883" s="46"/>
      <c r="AL883" s="46"/>
      <c r="AM883" s="46"/>
      <c r="AN883" s="46"/>
      <c r="AO883" s="46"/>
      <c r="AP883" s="46"/>
      <c r="AQ883" s="46"/>
      <c r="AR883" s="46"/>
      <c r="AS883" s="46"/>
      <c r="AT883" s="46"/>
      <c r="AU883" s="46"/>
      <c r="AV883" s="46"/>
      <c r="AW883" s="46"/>
      <c r="AX883" s="46"/>
      <c r="AY883" s="46"/>
      <c r="AZ883" s="46"/>
      <c r="BA883" s="46"/>
      <c r="BB883" s="46"/>
      <c r="BC883" s="46"/>
      <c r="BD883" s="46"/>
      <c r="BE883" s="46"/>
    </row>
    <row r="884" spans="1:57" ht="14.25" customHeight="1" x14ac:dyDescent="0.3">
      <c r="A884" s="46"/>
      <c r="B884" s="37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  <c r="AA884" s="46"/>
      <c r="AB884" s="46"/>
      <c r="AC884" s="46"/>
      <c r="AD884" s="46"/>
      <c r="AE884" s="46"/>
      <c r="AF884" s="46"/>
      <c r="AG884" s="46"/>
      <c r="AH884" s="46"/>
      <c r="AI884" s="46"/>
      <c r="AJ884" s="46"/>
      <c r="AK884" s="46"/>
      <c r="AL884" s="46"/>
      <c r="AM884" s="46"/>
      <c r="AN884" s="46"/>
      <c r="AO884" s="46"/>
      <c r="AP884" s="46"/>
      <c r="AQ884" s="46"/>
      <c r="AR884" s="46"/>
      <c r="AS884" s="46"/>
      <c r="AT884" s="46"/>
      <c r="AU884" s="46"/>
      <c r="AV884" s="46"/>
      <c r="AW884" s="46"/>
      <c r="AX884" s="46"/>
      <c r="AY884" s="46"/>
      <c r="AZ884" s="46"/>
      <c r="BA884" s="46"/>
      <c r="BB884" s="46"/>
      <c r="BC884" s="46"/>
      <c r="BD884" s="46"/>
      <c r="BE884" s="46"/>
    </row>
    <row r="885" spans="1:57" ht="14.25" customHeight="1" x14ac:dyDescent="0.3">
      <c r="A885" s="46"/>
      <c r="B885" s="37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  <c r="AA885" s="46"/>
      <c r="AB885" s="46"/>
      <c r="AC885" s="46"/>
      <c r="AD885" s="46"/>
      <c r="AE885" s="46"/>
      <c r="AF885" s="46"/>
      <c r="AG885" s="46"/>
      <c r="AH885" s="46"/>
      <c r="AI885" s="46"/>
      <c r="AJ885" s="46"/>
      <c r="AK885" s="46"/>
      <c r="AL885" s="46"/>
      <c r="AM885" s="46"/>
      <c r="AN885" s="46"/>
      <c r="AO885" s="46"/>
      <c r="AP885" s="46"/>
      <c r="AQ885" s="46"/>
      <c r="AR885" s="46"/>
      <c r="AS885" s="46"/>
      <c r="AT885" s="46"/>
      <c r="AU885" s="46"/>
      <c r="AV885" s="46"/>
      <c r="AW885" s="46"/>
      <c r="AX885" s="46"/>
      <c r="AY885" s="46"/>
      <c r="AZ885" s="46"/>
      <c r="BA885" s="46"/>
      <c r="BB885" s="46"/>
      <c r="BC885" s="46"/>
      <c r="BD885" s="46"/>
      <c r="BE885" s="46"/>
    </row>
    <row r="886" spans="1:57" ht="14.25" customHeight="1" x14ac:dyDescent="0.3">
      <c r="A886" s="46"/>
      <c r="B886" s="37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  <c r="AB886" s="46"/>
      <c r="AC886" s="46"/>
      <c r="AD886" s="46"/>
      <c r="AE886" s="46"/>
      <c r="AF886" s="46"/>
      <c r="AG886" s="46"/>
      <c r="AH886" s="46"/>
      <c r="AI886" s="46"/>
      <c r="AJ886" s="46"/>
      <c r="AK886" s="46"/>
      <c r="AL886" s="46"/>
      <c r="AM886" s="46"/>
      <c r="AN886" s="46"/>
      <c r="AO886" s="46"/>
      <c r="AP886" s="46"/>
      <c r="AQ886" s="46"/>
      <c r="AR886" s="46"/>
      <c r="AS886" s="46"/>
      <c r="AT886" s="46"/>
      <c r="AU886" s="46"/>
      <c r="AV886" s="46"/>
      <c r="AW886" s="46"/>
      <c r="AX886" s="46"/>
      <c r="AY886" s="46"/>
      <c r="AZ886" s="46"/>
      <c r="BA886" s="46"/>
      <c r="BB886" s="46"/>
      <c r="BC886" s="46"/>
      <c r="BD886" s="46"/>
      <c r="BE886" s="46"/>
    </row>
    <row r="887" spans="1:57" ht="14.25" customHeight="1" x14ac:dyDescent="0.3">
      <c r="A887" s="46"/>
      <c r="B887" s="37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  <c r="AA887" s="46"/>
      <c r="AB887" s="46"/>
      <c r="AC887" s="46"/>
      <c r="AD887" s="46"/>
      <c r="AE887" s="46"/>
      <c r="AF887" s="46"/>
      <c r="AG887" s="46"/>
      <c r="AH887" s="46"/>
      <c r="AI887" s="46"/>
      <c r="AJ887" s="46"/>
      <c r="AK887" s="46"/>
      <c r="AL887" s="46"/>
      <c r="AM887" s="46"/>
      <c r="AN887" s="46"/>
      <c r="AO887" s="46"/>
      <c r="AP887" s="46"/>
      <c r="AQ887" s="46"/>
      <c r="AR887" s="46"/>
      <c r="AS887" s="46"/>
      <c r="AT887" s="46"/>
      <c r="AU887" s="46"/>
      <c r="AV887" s="46"/>
      <c r="AW887" s="46"/>
      <c r="AX887" s="46"/>
      <c r="AY887" s="46"/>
      <c r="AZ887" s="46"/>
      <c r="BA887" s="46"/>
      <c r="BB887" s="46"/>
      <c r="BC887" s="46"/>
      <c r="BD887" s="46"/>
      <c r="BE887" s="46"/>
    </row>
    <row r="888" spans="1:57" ht="14.25" customHeight="1" x14ac:dyDescent="0.3">
      <c r="A888" s="46"/>
      <c r="B888" s="37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  <c r="AA888" s="46"/>
      <c r="AB888" s="46"/>
      <c r="AC888" s="46"/>
      <c r="AD888" s="46"/>
      <c r="AE888" s="46"/>
      <c r="AF888" s="46"/>
      <c r="AG888" s="46"/>
      <c r="AH888" s="46"/>
      <c r="AI888" s="46"/>
      <c r="AJ888" s="46"/>
      <c r="AK888" s="46"/>
      <c r="AL888" s="46"/>
      <c r="AM888" s="46"/>
      <c r="AN888" s="46"/>
      <c r="AO888" s="46"/>
      <c r="AP888" s="46"/>
      <c r="AQ888" s="46"/>
      <c r="AR888" s="46"/>
      <c r="AS888" s="46"/>
      <c r="AT888" s="46"/>
      <c r="AU888" s="46"/>
      <c r="AV888" s="46"/>
      <c r="AW888" s="46"/>
      <c r="AX888" s="46"/>
      <c r="AY888" s="46"/>
      <c r="AZ888" s="46"/>
      <c r="BA888" s="46"/>
      <c r="BB888" s="46"/>
      <c r="BC888" s="46"/>
      <c r="BD888" s="46"/>
      <c r="BE888" s="46"/>
    </row>
    <row r="889" spans="1:57" ht="14.25" customHeight="1" x14ac:dyDescent="0.3">
      <c r="A889" s="46"/>
      <c r="B889" s="37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  <c r="AA889" s="46"/>
      <c r="AB889" s="46"/>
      <c r="AC889" s="46"/>
      <c r="AD889" s="46"/>
      <c r="AE889" s="46"/>
      <c r="AF889" s="46"/>
      <c r="AG889" s="46"/>
      <c r="AH889" s="46"/>
      <c r="AI889" s="46"/>
      <c r="AJ889" s="46"/>
      <c r="AK889" s="46"/>
      <c r="AL889" s="46"/>
      <c r="AM889" s="46"/>
      <c r="AN889" s="46"/>
      <c r="AO889" s="46"/>
      <c r="AP889" s="46"/>
      <c r="AQ889" s="46"/>
      <c r="AR889" s="46"/>
      <c r="AS889" s="46"/>
      <c r="AT889" s="46"/>
      <c r="AU889" s="46"/>
      <c r="AV889" s="46"/>
      <c r="AW889" s="46"/>
      <c r="AX889" s="46"/>
      <c r="AY889" s="46"/>
      <c r="AZ889" s="46"/>
      <c r="BA889" s="46"/>
      <c r="BB889" s="46"/>
      <c r="BC889" s="46"/>
      <c r="BD889" s="46"/>
      <c r="BE889" s="46"/>
    </row>
    <row r="890" spans="1:57" ht="14.25" customHeight="1" x14ac:dyDescent="0.3">
      <c r="A890" s="46"/>
      <c r="B890" s="37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  <c r="AB890" s="46"/>
      <c r="AC890" s="46"/>
      <c r="AD890" s="46"/>
      <c r="AE890" s="46"/>
      <c r="AF890" s="46"/>
      <c r="AG890" s="46"/>
      <c r="AH890" s="46"/>
      <c r="AI890" s="46"/>
      <c r="AJ890" s="46"/>
      <c r="AK890" s="46"/>
      <c r="AL890" s="46"/>
      <c r="AM890" s="46"/>
      <c r="AN890" s="46"/>
      <c r="AO890" s="46"/>
      <c r="AP890" s="46"/>
      <c r="AQ890" s="46"/>
      <c r="AR890" s="46"/>
      <c r="AS890" s="46"/>
      <c r="AT890" s="46"/>
      <c r="AU890" s="46"/>
      <c r="AV890" s="46"/>
      <c r="AW890" s="46"/>
      <c r="AX890" s="46"/>
      <c r="AY890" s="46"/>
      <c r="AZ890" s="46"/>
      <c r="BA890" s="46"/>
      <c r="BB890" s="46"/>
      <c r="BC890" s="46"/>
      <c r="BD890" s="46"/>
      <c r="BE890" s="46"/>
    </row>
    <row r="891" spans="1:57" ht="14.25" customHeight="1" x14ac:dyDescent="0.3">
      <c r="A891" s="46"/>
      <c r="B891" s="37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  <c r="AA891" s="46"/>
      <c r="AB891" s="46"/>
      <c r="AC891" s="46"/>
      <c r="AD891" s="46"/>
      <c r="AE891" s="46"/>
      <c r="AF891" s="46"/>
      <c r="AG891" s="46"/>
      <c r="AH891" s="46"/>
      <c r="AI891" s="46"/>
      <c r="AJ891" s="46"/>
      <c r="AK891" s="46"/>
      <c r="AL891" s="46"/>
      <c r="AM891" s="46"/>
      <c r="AN891" s="46"/>
      <c r="AO891" s="46"/>
      <c r="AP891" s="46"/>
      <c r="AQ891" s="46"/>
      <c r="AR891" s="46"/>
      <c r="AS891" s="46"/>
      <c r="AT891" s="46"/>
      <c r="AU891" s="46"/>
      <c r="AV891" s="46"/>
      <c r="AW891" s="46"/>
      <c r="AX891" s="46"/>
      <c r="AY891" s="46"/>
      <c r="AZ891" s="46"/>
      <c r="BA891" s="46"/>
      <c r="BB891" s="46"/>
      <c r="BC891" s="46"/>
      <c r="BD891" s="46"/>
      <c r="BE891" s="46"/>
    </row>
    <row r="892" spans="1:57" ht="14.25" customHeight="1" x14ac:dyDescent="0.3">
      <c r="A892" s="46"/>
      <c r="B892" s="37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  <c r="AB892" s="46"/>
      <c r="AC892" s="46"/>
      <c r="AD892" s="46"/>
      <c r="AE892" s="46"/>
      <c r="AF892" s="46"/>
      <c r="AG892" s="46"/>
      <c r="AH892" s="46"/>
      <c r="AI892" s="46"/>
      <c r="AJ892" s="46"/>
      <c r="AK892" s="46"/>
      <c r="AL892" s="46"/>
      <c r="AM892" s="46"/>
      <c r="AN892" s="46"/>
      <c r="AO892" s="46"/>
      <c r="AP892" s="46"/>
      <c r="AQ892" s="46"/>
      <c r="AR892" s="46"/>
      <c r="AS892" s="46"/>
      <c r="AT892" s="46"/>
      <c r="AU892" s="46"/>
      <c r="AV892" s="46"/>
      <c r="AW892" s="46"/>
      <c r="AX892" s="46"/>
      <c r="AY892" s="46"/>
      <c r="AZ892" s="46"/>
      <c r="BA892" s="46"/>
      <c r="BB892" s="46"/>
      <c r="BC892" s="46"/>
      <c r="BD892" s="46"/>
      <c r="BE892" s="46"/>
    </row>
    <row r="893" spans="1:57" ht="14.25" customHeight="1" x14ac:dyDescent="0.3">
      <c r="A893" s="46"/>
      <c r="B893" s="37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  <c r="AB893" s="46"/>
      <c r="AC893" s="46"/>
      <c r="AD893" s="46"/>
      <c r="AE893" s="46"/>
      <c r="AF893" s="46"/>
      <c r="AG893" s="46"/>
      <c r="AH893" s="46"/>
      <c r="AI893" s="46"/>
      <c r="AJ893" s="46"/>
      <c r="AK893" s="46"/>
      <c r="AL893" s="46"/>
      <c r="AM893" s="46"/>
      <c r="AN893" s="46"/>
      <c r="AO893" s="46"/>
      <c r="AP893" s="46"/>
      <c r="AQ893" s="46"/>
      <c r="AR893" s="46"/>
      <c r="AS893" s="46"/>
      <c r="AT893" s="46"/>
      <c r="AU893" s="46"/>
      <c r="AV893" s="46"/>
      <c r="AW893" s="46"/>
      <c r="AX893" s="46"/>
      <c r="AY893" s="46"/>
      <c r="AZ893" s="46"/>
      <c r="BA893" s="46"/>
      <c r="BB893" s="46"/>
      <c r="BC893" s="46"/>
      <c r="BD893" s="46"/>
      <c r="BE893" s="46"/>
    </row>
    <row r="894" spans="1:57" ht="14.25" customHeight="1" x14ac:dyDescent="0.3">
      <c r="A894" s="46"/>
      <c r="B894" s="37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  <c r="AA894" s="46"/>
      <c r="AB894" s="46"/>
      <c r="AC894" s="46"/>
      <c r="AD894" s="46"/>
      <c r="AE894" s="46"/>
      <c r="AF894" s="46"/>
      <c r="AG894" s="46"/>
      <c r="AH894" s="46"/>
      <c r="AI894" s="46"/>
      <c r="AJ894" s="46"/>
      <c r="AK894" s="46"/>
      <c r="AL894" s="46"/>
      <c r="AM894" s="46"/>
      <c r="AN894" s="46"/>
      <c r="AO894" s="46"/>
      <c r="AP894" s="46"/>
      <c r="AQ894" s="46"/>
      <c r="AR894" s="46"/>
      <c r="AS894" s="46"/>
      <c r="AT894" s="46"/>
      <c r="AU894" s="46"/>
      <c r="AV894" s="46"/>
      <c r="AW894" s="46"/>
      <c r="AX894" s="46"/>
      <c r="AY894" s="46"/>
      <c r="AZ894" s="46"/>
      <c r="BA894" s="46"/>
      <c r="BB894" s="46"/>
      <c r="BC894" s="46"/>
      <c r="BD894" s="46"/>
      <c r="BE894" s="46"/>
    </row>
    <row r="895" spans="1:57" ht="14.25" customHeight="1" x14ac:dyDescent="0.3">
      <c r="A895" s="46"/>
      <c r="B895" s="37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  <c r="AB895" s="46"/>
      <c r="AC895" s="46"/>
      <c r="AD895" s="46"/>
      <c r="AE895" s="46"/>
      <c r="AF895" s="46"/>
      <c r="AG895" s="46"/>
      <c r="AH895" s="46"/>
      <c r="AI895" s="46"/>
      <c r="AJ895" s="46"/>
      <c r="AK895" s="46"/>
      <c r="AL895" s="46"/>
      <c r="AM895" s="46"/>
      <c r="AN895" s="46"/>
      <c r="AO895" s="46"/>
      <c r="AP895" s="46"/>
      <c r="AQ895" s="46"/>
      <c r="AR895" s="46"/>
      <c r="AS895" s="46"/>
      <c r="AT895" s="46"/>
      <c r="AU895" s="46"/>
      <c r="AV895" s="46"/>
      <c r="AW895" s="46"/>
      <c r="AX895" s="46"/>
      <c r="AY895" s="46"/>
      <c r="AZ895" s="46"/>
      <c r="BA895" s="46"/>
      <c r="BB895" s="46"/>
      <c r="BC895" s="46"/>
      <c r="BD895" s="46"/>
      <c r="BE895" s="46"/>
    </row>
    <row r="896" spans="1:57" ht="14.25" customHeight="1" x14ac:dyDescent="0.3">
      <c r="A896" s="46"/>
      <c r="B896" s="37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  <c r="AB896" s="46"/>
      <c r="AC896" s="46"/>
      <c r="AD896" s="46"/>
      <c r="AE896" s="46"/>
      <c r="AF896" s="46"/>
      <c r="AG896" s="46"/>
      <c r="AH896" s="46"/>
      <c r="AI896" s="46"/>
      <c r="AJ896" s="46"/>
      <c r="AK896" s="46"/>
      <c r="AL896" s="46"/>
      <c r="AM896" s="46"/>
      <c r="AN896" s="46"/>
      <c r="AO896" s="46"/>
      <c r="AP896" s="46"/>
      <c r="AQ896" s="46"/>
      <c r="AR896" s="46"/>
      <c r="AS896" s="46"/>
      <c r="AT896" s="46"/>
      <c r="AU896" s="46"/>
      <c r="AV896" s="46"/>
      <c r="AW896" s="46"/>
      <c r="AX896" s="46"/>
      <c r="AY896" s="46"/>
      <c r="AZ896" s="46"/>
      <c r="BA896" s="46"/>
      <c r="BB896" s="46"/>
      <c r="BC896" s="46"/>
      <c r="BD896" s="46"/>
      <c r="BE896" s="46"/>
    </row>
    <row r="897" spans="1:57" ht="14.25" customHeight="1" x14ac:dyDescent="0.3">
      <c r="A897" s="46"/>
      <c r="B897" s="37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  <c r="AB897" s="46"/>
      <c r="AC897" s="46"/>
      <c r="AD897" s="46"/>
      <c r="AE897" s="46"/>
      <c r="AF897" s="46"/>
      <c r="AG897" s="46"/>
      <c r="AH897" s="46"/>
      <c r="AI897" s="46"/>
      <c r="AJ897" s="46"/>
      <c r="AK897" s="46"/>
      <c r="AL897" s="46"/>
      <c r="AM897" s="46"/>
      <c r="AN897" s="46"/>
      <c r="AO897" s="46"/>
      <c r="AP897" s="46"/>
      <c r="AQ897" s="46"/>
      <c r="AR897" s="46"/>
      <c r="AS897" s="46"/>
      <c r="AT897" s="46"/>
      <c r="AU897" s="46"/>
      <c r="AV897" s="46"/>
      <c r="AW897" s="46"/>
      <c r="AX897" s="46"/>
      <c r="AY897" s="46"/>
      <c r="AZ897" s="46"/>
      <c r="BA897" s="46"/>
      <c r="BB897" s="46"/>
      <c r="BC897" s="46"/>
      <c r="BD897" s="46"/>
      <c r="BE897" s="46"/>
    </row>
    <row r="898" spans="1:57" ht="14.25" customHeight="1" x14ac:dyDescent="0.3">
      <c r="A898" s="46"/>
      <c r="B898" s="37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  <c r="AB898" s="46"/>
      <c r="AC898" s="46"/>
      <c r="AD898" s="46"/>
      <c r="AE898" s="46"/>
      <c r="AF898" s="46"/>
      <c r="AG898" s="46"/>
      <c r="AH898" s="46"/>
      <c r="AI898" s="46"/>
      <c r="AJ898" s="46"/>
      <c r="AK898" s="46"/>
      <c r="AL898" s="46"/>
      <c r="AM898" s="46"/>
      <c r="AN898" s="46"/>
      <c r="AO898" s="46"/>
      <c r="AP898" s="46"/>
      <c r="AQ898" s="46"/>
      <c r="AR898" s="46"/>
      <c r="AS898" s="46"/>
      <c r="AT898" s="46"/>
      <c r="AU898" s="46"/>
      <c r="AV898" s="46"/>
      <c r="AW898" s="46"/>
      <c r="AX898" s="46"/>
      <c r="AY898" s="46"/>
      <c r="AZ898" s="46"/>
      <c r="BA898" s="46"/>
      <c r="BB898" s="46"/>
      <c r="BC898" s="46"/>
      <c r="BD898" s="46"/>
      <c r="BE898" s="46"/>
    </row>
    <row r="899" spans="1:57" ht="14.25" customHeight="1" x14ac:dyDescent="0.3">
      <c r="A899" s="46"/>
      <c r="B899" s="37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  <c r="AB899" s="46"/>
      <c r="AC899" s="46"/>
      <c r="AD899" s="46"/>
      <c r="AE899" s="46"/>
      <c r="AF899" s="46"/>
      <c r="AG899" s="46"/>
      <c r="AH899" s="46"/>
      <c r="AI899" s="46"/>
      <c r="AJ899" s="46"/>
      <c r="AK899" s="46"/>
      <c r="AL899" s="46"/>
      <c r="AM899" s="46"/>
      <c r="AN899" s="46"/>
      <c r="AO899" s="46"/>
      <c r="AP899" s="46"/>
      <c r="AQ899" s="46"/>
      <c r="AR899" s="46"/>
      <c r="AS899" s="46"/>
      <c r="AT899" s="46"/>
      <c r="AU899" s="46"/>
      <c r="AV899" s="46"/>
      <c r="AW899" s="46"/>
      <c r="AX899" s="46"/>
      <c r="AY899" s="46"/>
      <c r="AZ899" s="46"/>
      <c r="BA899" s="46"/>
      <c r="BB899" s="46"/>
      <c r="BC899" s="46"/>
      <c r="BD899" s="46"/>
      <c r="BE899" s="46"/>
    </row>
    <row r="900" spans="1:57" ht="14.25" customHeight="1" x14ac:dyDescent="0.3">
      <c r="A900" s="46"/>
      <c r="B900" s="37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  <c r="AA900" s="46"/>
      <c r="AB900" s="46"/>
      <c r="AC900" s="46"/>
      <c r="AD900" s="46"/>
      <c r="AE900" s="46"/>
      <c r="AF900" s="46"/>
      <c r="AG900" s="46"/>
      <c r="AH900" s="46"/>
      <c r="AI900" s="46"/>
      <c r="AJ900" s="46"/>
      <c r="AK900" s="46"/>
      <c r="AL900" s="46"/>
      <c r="AM900" s="46"/>
      <c r="AN900" s="46"/>
      <c r="AO900" s="46"/>
      <c r="AP900" s="46"/>
      <c r="AQ900" s="46"/>
      <c r="AR900" s="46"/>
      <c r="AS900" s="46"/>
      <c r="AT900" s="46"/>
      <c r="AU900" s="46"/>
      <c r="AV900" s="46"/>
      <c r="AW900" s="46"/>
      <c r="AX900" s="46"/>
      <c r="AY900" s="46"/>
      <c r="AZ900" s="46"/>
      <c r="BA900" s="46"/>
      <c r="BB900" s="46"/>
      <c r="BC900" s="46"/>
      <c r="BD900" s="46"/>
      <c r="BE900" s="46"/>
    </row>
    <row r="901" spans="1:57" ht="14.25" customHeight="1" x14ac:dyDescent="0.3">
      <c r="A901" s="46"/>
      <c r="B901" s="37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  <c r="AA901" s="46"/>
      <c r="AB901" s="46"/>
      <c r="AC901" s="46"/>
      <c r="AD901" s="46"/>
      <c r="AE901" s="46"/>
      <c r="AF901" s="46"/>
      <c r="AG901" s="46"/>
      <c r="AH901" s="46"/>
      <c r="AI901" s="46"/>
      <c r="AJ901" s="46"/>
      <c r="AK901" s="46"/>
      <c r="AL901" s="46"/>
      <c r="AM901" s="46"/>
      <c r="AN901" s="46"/>
      <c r="AO901" s="46"/>
      <c r="AP901" s="46"/>
      <c r="AQ901" s="46"/>
      <c r="AR901" s="46"/>
      <c r="AS901" s="46"/>
      <c r="AT901" s="46"/>
      <c r="AU901" s="46"/>
      <c r="AV901" s="46"/>
      <c r="AW901" s="46"/>
      <c r="AX901" s="46"/>
      <c r="AY901" s="46"/>
      <c r="AZ901" s="46"/>
      <c r="BA901" s="46"/>
      <c r="BB901" s="46"/>
      <c r="BC901" s="46"/>
      <c r="BD901" s="46"/>
      <c r="BE901" s="46"/>
    </row>
    <row r="902" spans="1:57" ht="14.25" customHeight="1" x14ac:dyDescent="0.3">
      <c r="A902" s="46"/>
      <c r="B902" s="37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  <c r="AB902" s="46"/>
      <c r="AC902" s="46"/>
      <c r="AD902" s="46"/>
      <c r="AE902" s="46"/>
      <c r="AF902" s="46"/>
      <c r="AG902" s="46"/>
      <c r="AH902" s="46"/>
      <c r="AI902" s="46"/>
      <c r="AJ902" s="46"/>
      <c r="AK902" s="46"/>
      <c r="AL902" s="46"/>
      <c r="AM902" s="46"/>
      <c r="AN902" s="46"/>
      <c r="AO902" s="46"/>
      <c r="AP902" s="46"/>
      <c r="AQ902" s="46"/>
      <c r="AR902" s="46"/>
      <c r="AS902" s="46"/>
      <c r="AT902" s="46"/>
      <c r="AU902" s="46"/>
      <c r="AV902" s="46"/>
      <c r="AW902" s="46"/>
      <c r="AX902" s="46"/>
      <c r="AY902" s="46"/>
      <c r="AZ902" s="46"/>
      <c r="BA902" s="46"/>
      <c r="BB902" s="46"/>
      <c r="BC902" s="46"/>
      <c r="BD902" s="46"/>
      <c r="BE902" s="46"/>
    </row>
    <row r="903" spans="1:57" ht="14.25" customHeight="1" x14ac:dyDescent="0.3">
      <c r="A903" s="46"/>
      <c r="B903" s="37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  <c r="AA903" s="46"/>
      <c r="AB903" s="46"/>
      <c r="AC903" s="46"/>
      <c r="AD903" s="46"/>
      <c r="AE903" s="46"/>
      <c r="AF903" s="46"/>
      <c r="AG903" s="46"/>
      <c r="AH903" s="46"/>
      <c r="AI903" s="46"/>
      <c r="AJ903" s="46"/>
      <c r="AK903" s="46"/>
      <c r="AL903" s="46"/>
      <c r="AM903" s="46"/>
      <c r="AN903" s="46"/>
      <c r="AO903" s="46"/>
      <c r="AP903" s="46"/>
      <c r="AQ903" s="46"/>
      <c r="AR903" s="46"/>
      <c r="AS903" s="46"/>
      <c r="AT903" s="46"/>
      <c r="AU903" s="46"/>
      <c r="AV903" s="46"/>
      <c r="AW903" s="46"/>
      <c r="AX903" s="46"/>
      <c r="AY903" s="46"/>
      <c r="AZ903" s="46"/>
      <c r="BA903" s="46"/>
      <c r="BB903" s="46"/>
      <c r="BC903" s="46"/>
      <c r="BD903" s="46"/>
      <c r="BE903" s="46"/>
    </row>
    <row r="904" spans="1:57" ht="14.25" customHeight="1" x14ac:dyDescent="0.3">
      <c r="A904" s="46"/>
      <c r="B904" s="37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  <c r="AA904" s="46"/>
      <c r="AB904" s="46"/>
      <c r="AC904" s="46"/>
      <c r="AD904" s="46"/>
      <c r="AE904" s="46"/>
      <c r="AF904" s="46"/>
      <c r="AG904" s="46"/>
      <c r="AH904" s="46"/>
      <c r="AI904" s="46"/>
      <c r="AJ904" s="46"/>
      <c r="AK904" s="46"/>
      <c r="AL904" s="46"/>
      <c r="AM904" s="46"/>
      <c r="AN904" s="46"/>
      <c r="AO904" s="46"/>
      <c r="AP904" s="46"/>
      <c r="AQ904" s="46"/>
      <c r="AR904" s="46"/>
      <c r="AS904" s="46"/>
      <c r="AT904" s="46"/>
      <c r="AU904" s="46"/>
      <c r="AV904" s="46"/>
      <c r="AW904" s="46"/>
      <c r="AX904" s="46"/>
      <c r="AY904" s="46"/>
      <c r="AZ904" s="46"/>
      <c r="BA904" s="46"/>
      <c r="BB904" s="46"/>
      <c r="BC904" s="46"/>
      <c r="BD904" s="46"/>
      <c r="BE904" s="46"/>
    </row>
    <row r="905" spans="1:57" ht="14.25" customHeight="1" x14ac:dyDescent="0.3">
      <c r="A905" s="46"/>
      <c r="B905" s="37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  <c r="AB905" s="46"/>
      <c r="AC905" s="46"/>
      <c r="AD905" s="46"/>
      <c r="AE905" s="46"/>
      <c r="AF905" s="46"/>
      <c r="AG905" s="46"/>
      <c r="AH905" s="46"/>
      <c r="AI905" s="46"/>
      <c r="AJ905" s="46"/>
      <c r="AK905" s="46"/>
      <c r="AL905" s="46"/>
      <c r="AM905" s="46"/>
      <c r="AN905" s="46"/>
      <c r="AO905" s="46"/>
      <c r="AP905" s="46"/>
      <c r="AQ905" s="46"/>
      <c r="AR905" s="46"/>
      <c r="AS905" s="46"/>
      <c r="AT905" s="46"/>
      <c r="AU905" s="46"/>
      <c r="AV905" s="46"/>
      <c r="AW905" s="46"/>
      <c r="AX905" s="46"/>
      <c r="AY905" s="46"/>
      <c r="AZ905" s="46"/>
      <c r="BA905" s="46"/>
      <c r="BB905" s="46"/>
      <c r="BC905" s="46"/>
      <c r="BD905" s="46"/>
      <c r="BE905" s="46"/>
    </row>
    <row r="906" spans="1:57" ht="14.25" customHeight="1" x14ac:dyDescent="0.3">
      <c r="A906" s="46"/>
      <c r="B906" s="37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  <c r="AA906" s="46"/>
      <c r="AB906" s="46"/>
      <c r="AC906" s="46"/>
      <c r="AD906" s="46"/>
      <c r="AE906" s="46"/>
      <c r="AF906" s="46"/>
      <c r="AG906" s="46"/>
      <c r="AH906" s="46"/>
      <c r="AI906" s="46"/>
      <c r="AJ906" s="46"/>
      <c r="AK906" s="46"/>
      <c r="AL906" s="46"/>
      <c r="AM906" s="46"/>
      <c r="AN906" s="46"/>
      <c r="AO906" s="46"/>
      <c r="AP906" s="46"/>
      <c r="AQ906" s="46"/>
      <c r="AR906" s="46"/>
      <c r="AS906" s="46"/>
      <c r="AT906" s="46"/>
      <c r="AU906" s="46"/>
      <c r="AV906" s="46"/>
      <c r="AW906" s="46"/>
      <c r="AX906" s="46"/>
      <c r="AY906" s="46"/>
      <c r="AZ906" s="46"/>
      <c r="BA906" s="46"/>
      <c r="BB906" s="46"/>
      <c r="BC906" s="46"/>
      <c r="BD906" s="46"/>
      <c r="BE906" s="46"/>
    </row>
    <row r="907" spans="1:57" ht="14.25" customHeight="1" x14ac:dyDescent="0.3">
      <c r="A907" s="46"/>
      <c r="B907" s="37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  <c r="AA907" s="46"/>
      <c r="AB907" s="46"/>
      <c r="AC907" s="46"/>
      <c r="AD907" s="46"/>
      <c r="AE907" s="46"/>
      <c r="AF907" s="46"/>
      <c r="AG907" s="46"/>
      <c r="AH907" s="46"/>
      <c r="AI907" s="46"/>
      <c r="AJ907" s="46"/>
      <c r="AK907" s="46"/>
      <c r="AL907" s="46"/>
      <c r="AM907" s="46"/>
      <c r="AN907" s="46"/>
      <c r="AO907" s="46"/>
      <c r="AP907" s="46"/>
      <c r="AQ907" s="46"/>
      <c r="AR907" s="46"/>
      <c r="AS907" s="46"/>
      <c r="AT907" s="46"/>
      <c r="AU907" s="46"/>
      <c r="AV907" s="46"/>
      <c r="AW907" s="46"/>
      <c r="AX907" s="46"/>
      <c r="AY907" s="46"/>
      <c r="AZ907" s="46"/>
      <c r="BA907" s="46"/>
      <c r="BB907" s="46"/>
      <c r="BC907" s="46"/>
      <c r="BD907" s="46"/>
      <c r="BE907" s="46"/>
    </row>
    <row r="908" spans="1:57" ht="14.25" customHeight="1" x14ac:dyDescent="0.3">
      <c r="A908" s="46"/>
      <c r="B908" s="37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  <c r="AA908" s="46"/>
      <c r="AB908" s="46"/>
      <c r="AC908" s="46"/>
      <c r="AD908" s="46"/>
      <c r="AE908" s="46"/>
      <c r="AF908" s="46"/>
      <c r="AG908" s="46"/>
      <c r="AH908" s="46"/>
      <c r="AI908" s="46"/>
      <c r="AJ908" s="46"/>
      <c r="AK908" s="46"/>
      <c r="AL908" s="46"/>
      <c r="AM908" s="46"/>
      <c r="AN908" s="46"/>
      <c r="AO908" s="46"/>
      <c r="AP908" s="46"/>
      <c r="AQ908" s="46"/>
      <c r="AR908" s="46"/>
      <c r="AS908" s="46"/>
      <c r="AT908" s="46"/>
      <c r="AU908" s="46"/>
      <c r="AV908" s="46"/>
      <c r="AW908" s="46"/>
      <c r="AX908" s="46"/>
      <c r="AY908" s="46"/>
      <c r="AZ908" s="46"/>
      <c r="BA908" s="46"/>
      <c r="BB908" s="46"/>
      <c r="BC908" s="46"/>
      <c r="BD908" s="46"/>
      <c r="BE908" s="46"/>
    </row>
    <row r="909" spans="1:57" ht="14.25" customHeight="1" x14ac:dyDescent="0.3">
      <c r="A909" s="46"/>
      <c r="B909" s="37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  <c r="AA909" s="46"/>
      <c r="AB909" s="46"/>
      <c r="AC909" s="46"/>
      <c r="AD909" s="46"/>
      <c r="AE909" s="46"/>
      <c r="AF909" s="46"/>
      <c r="AG909" s="46"/>
      <c r="AH909" s="46"/>
      <c r="AI909" s="46"/>
      <c r="AJ909" s="46"/>
      <c r="AK909" s="46"/>
      <c r="AL909" s="46"/>
      <c r="AM909" s="46"/>
      <c r="AN909" s="46"/>
      <c r="AO909" s="46"/>
      <c r="AP909" s="46"/>
      <c r="AQ909" s="46"/>
      <c r="AR909" s="46"/>
      <c r="AS909" s="46"/>
      <c r="AT909" s="46"/>
      <c r="AU909" s="46"/>
      <c r="AV909" s="46"/>
      <c r="AW909" s="46"/>
      <c r="AX909" s="46"/>
      <c r="AY909" s="46"/>
      <c r="AZ909" s="46"/>
      <c r="BA909" s="46"/>
      <c r="BB909" s="46"/>
      <c r="BC909" s="46"/>
      <c r="BD909" s="46"/>
      <c r="BE909" s="46"/>
    </row>
    <row r="910" spans="1:57" ht="14.25" customHeight="1" x14ac:dyDescent="0.3">
      <c r="A910" s="46"/>
      <c r="B910" s="37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  <c r="AA910" s="46"/>
      <c r="AB910" s="46"/>
      <c r="AC910" s="46"/>
      <c r="AD910" s="46"/>
      <c r="AE910" s="46"/>
      <c r="AF910" s="46"/>
      <c r="AG910" s="46"/>
      <c r="AH910" s="46"/>
      <c r="AI910" s="46"/>
      <c r="AJ910" s="46"/>
      <c r="AK910" s="46"/>
      <c r="AL910" s="46"/>
      <c r="AM910" s="46"/>
      <c r="AN910" s="46"/>
      <c r="AO910" s="46"/>
      <c r="AP910" s="46"/>
      <c r="AQ910" s="46"/>
      <c r="AR910" s="46"/>
      <c r="AS910" s="46"/>
      <c r="AT910" s="46"/>
      <c r="AU910" s="46"/>
      <c r="AV910" s="46"/>
      <c r="AW910" s="46"/>
      <c r="AX910" s="46"/>
      <c r="AY910" s="46"/>
      <c r="AZ910" s="46"/>
      <c r="BA910" s="46"/>
      <c r="BB910" s="46"/>
      <c r="BC910" s="46"/>
      <c r="BD910" s="46"/>
      <c r="BE910" s="46"/>
    </row>
    <row r="911" spans="1:57" ht="14.25" customHeight="1" x14ac:dyDescent="0.3">
      <c r="A911" s="46"/>
      <c r="B911" s="37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  <c r="AA911" s="46"/>
      <c r="AB911" s="46"/>
      <c r="AC911" s="46"/>
      <c r="AD911" s="46"/>
      <c r="AE911" s="46"/>
      <c r="AF911" s="46"/>
      <c r="AG911" s="46"/>
      <c r="AH911" s="46"/>
      <c r="AI911" s="46"/>
      <c r="AJ911" s="46"/>
      <c r="AK911" s="46"/>
      <c r="AL911" s="46"/>
      <c r="AM911" s="46"/>
      <c r="AN911" s="46"/>
      <c r="AO911" s="46"/>
      <c r="AP911" s="46"/>
      <c r="AQ911" s="46"/>
      <c r="AR911" s="46"/>
      <c r="AS911" s="46"/>
      <c r="AT911" s="46"/>
      <c r="AU911" s="46"/>
      <c r="AV911" s="46"/>
      <c r="AW911" s="46"/>
      <c r="AX911" s="46"/>
      <c r="AY911" s="46"/>
      <c r="AZ911" s="46"/>
      <c r="BA911" s="46"/>
      <c r="BB911" s="46"/>
      <c r="BC911" s="46"/>
      <c r="BD911" s="46"/>
      <c r="BE911" s="46"/>
    </row>
    <row r="912" spans="1:57" ht="14.25" customHeight="1" x14ac:dyDescent="0.3">
      <c r="A912" s="46"/>
      <c r="B912" s="37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  <c r="AA912" s="46"/>
      <c r="AB912" s="46"/>
      <c r="AC912" s="46"/>
      <c r="AD912" s="46"/>
      <c r="AE912" s="46"/>
      <c r="AF912" s="46"/>
      <c r="AG912" s="46"/>
      <c r="AH912" s="46"/>
      <c r="AI912" s="46"/>
      <c r="AJ912" s="46"/>
      <c r="AK912" s="46"/>
      <c r="AL912" s="46"/>
      <c r="AM912" s="46"/>
      <c r="AN912" s="46"/>
      <c r="AO912" s="46"/>
      <c r="AP912" s="46"/>
      <c r="AQ912" s="46"/>
      <c r="AR912" s="46"/>
      <c r="AS912" s="46"/>
      <c r="AT912" s="46"/>
      <c r="AU912" s="46"/>
      <c r="AV912" s="46"/>
      <c r="AW912" s="46"/>
      <c r="AX912" s="46"/>
      <c r="AY912" s="46"/>
      <c r="AZ912" s="46"/>
      <c r="BA912" s="46"/>
      <c r="BB912" s="46"/>
      <c r="BC912" s="46"/>
      <c r="BD912" s="46"/>
      <c r="BE912" s="46"/>
    </row>
    <row r="913" spans="1:57" ht="14.25" customHeight="1" x14ac:dyDescent="0.3">
      <c r="A913" s="46"/>
      <c r="B913" s="37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6"/>
      <c r="AB913" s="46"/>
      <c r="AC913" s="46"/>
      <c r="AD913" s="46"/>
      <c r="AE913" s="46"/>
      <c r="AF913" s="46"/>
      <c r="AG913" s="46"/>
      <c r="AH913" s="46"/>
      <c r="AI913" s="46"/>
      <c r="AJ913" s="46"/>
      <c r="AK913" s="46"/>
      <c r="AL913" s="46"/>
      <c r="AM913" s="46"/>
      <c r="AN913" s="46"/>
      <c r="AO913" s="46"/>
      <c r="AP913" s="46"/>
      <c r="AQ913" s="46"/>
      <c r="AR913" s="46"/>
      <c r="AS913" s="46"/>
      <c r="AT913" s="46"/>
      <c r="AU913" s="46"/>
      <c r="AV913" s="46"/>
      <c r="AW913" s="46"/>
      <c r="AX913" s="46"/>
      <c r="AY913" s="46"/>
      <c r="AZ913" s="46"/>
      <c r="BA913" s="46"/>
      <c r="BB913" s="46"/>
      <c r="BC913" s="46"/>
      <c r="BD913" s="46"/>
      <c r="BE913" s="46"/>
    </row>
    <row r="914" spans="1:57" ht="14.25" customHeight="1" x14ac:dyDescent="0.3">
      <c r="A914" s="46"/>
      <c r="B914" s="37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  <c r="AA914" s="46"/>
      <c r="AB914" s="46"/>
      <c r="AC914" s="46"/>
      <c r="AD914" s="46"/>
      <c r="AE914" s="46"/>
      <c r="AF914" s="46"/>
      <c r="AG914" s="46"/>
      <c r="AH914" s="46"/>
      <c r="AI914" s="46"/>
      <c r="AJ914" s="46"/>
      <c r="AK914" s="46"/>
      <c r="AL914" s="46"/>
      <c r="AM914" s="46"/>
      <c r="AN914" s="46"/>
      <c r="AO914" s="46"/>
      <c r="AP914" s="46"/>
      <c r="AQ914" s="46"/>
      <c r="AR914" s="46"/>
      <c r="AS914" s="46"/>
      <c r="AT914" s="46"/>
      <c r="AU914" s="46"/>
      <c r="AV914" s="46"/>
      <c r="AW914" s="46"/>
      <c r="AX914" s="46"/>
      <c r="AY914" s="46"/>
      <c r="AZ914" s="46"/>
      <c r="BA914" s="46"/>
      <c r="BB914" s="46"/>
      <c r="BC914" s="46"/>
      <c r="BD914" s="46"/>
      <c r="BE914" s="46"/>
    </row>
    <row r="915" spans="1:57" ht="14.25" customHeight="1" x14ac:dyDescent="0.3">
      <c r="A915" s="46"/>
      <c r="B915" s="37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  <c r="AA915" s="46"/>
      <c r="AB915" s="46"/>
      <c r="AC915" s="46"/>
      <c r="AD915" s="46"/>
      <c r="AE915" s="46"/>
      <c r="AF915" s="46"/>
      <c r="AG915" s="46"/>
      <c r="AH915" s="46"/>
      <c r="AI915" s="46"/>
      <c r="AJ915" s="46"/>
      <c r="AK915" s="46"/>
      <c r="AL915" s="46"/>
      <c r="AM915" s="46"/>
      <c r="AN915" s="46"/>
      <c r="AO915" s="46"/>
      <c r="AP915" s="46"/>
      <c r="AQ915" s="46"/>
      <c r="AR915" s="46"/>
      <c r="AS915" s="46"/>
      <c r="AT915" s="46"/>
      <c r="AU915" s="46"/>
      <c r="AV915" s="46"/>
      <c r="AW915" s="46"/>
      <c r="AX915" s="46"/>
      <c r="AY915" s="46"/>
      <c r="AZ915" s="46"/>
      <c r="BA915" s="46"/>
      <c r="BB915" s="46"/>
      <c r="BC915" s="46"/>
      <c r="BD915" s="46"/>
      <c r="BE915" s="46"/>
    </row>
    <row r="916" spans="1:57" ht="14.25" customHeight="1" x14ac:dyDescent="0.3">
      <c r="A916" s="46"/>
      <c r="B916" s="37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  <c r="AA916" s="46"/>
      <c r="AB916" s="46"/>
      <c r="AC916" s="46"/>
      <c r="AD916" s="46"/>
      <c r="AE916" s="46"/>
      <c r="AF916" s="46"/>
      <c r="AG916" s="46"/>
      <c r="AH916" s="46"/>
      <c r="AI916" s="46"/>
      <c r="AJ916" s="46"/>
      <c r="AK916" s="46"/>
      <c r="AL916" s="46"/>
      <c r="AM916" s="46"/>
      <c r="AN916" s="46"/>
      <c r="AO916" s="46"/>
      <c r="AP916" s="46"/>
      <c r="AQ916" s="46"/>
      <c r="AR916" s="46"/>
      <c r="AS916" s="46"/>
      <c r="AT916" s="46"/>
      <c r="AU916" s="46"/>
      <c r="AV916" s="46"/>
      <c r="AW916" s="46"/>
      <c r="AX916" s="46"/>
      <c r="AY916" s="46"/>
      <c r="AZ916" s="46"/>
      <c r="BA916" s="46"/>
      <c r="BB916" s="46"/>
      <c r="BC916" s="46"/>
      <c r="BD916" s="46"/>
      <c r="BE916" s="46"/>
    </row>
    <row r="917" spans="1:57" ht="14.25" customHeight="1" x14ac:dyDescent="0.3">
      <c r="A917" s="46"/>
      <c r="B917" s="37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  <c r="AA917" s="46"/>
      <c r="AB917" s="46"/>
      <c r="AC917" s="46"/>
      <c r="AD917" s="46"/>
      <c r="AE917" s="46"/>
      <c r="AF917" s="46"/>
      <c r="AG917" s="46"/>
      <c r="AH917" s="46"/>
      <c r="AI917" s="46"/>
      <c r="AJ917" s="46"/>
      <c r="AK917" s="46"/>
      <c r="AL917" s="46"/>
      <c r="AM917" s="46"/>
      <c r="AN917" s="46"/>
      <c r="AO917" s="46"/>
      <c r="AP917" s="46"/>
      <c r="AQ917" s="46"/>
      <c r="AR917" s="46"/>
      <c r="AS917" s="46"/>
      <c r="AT917" s="46"/>
      <c r="AU917" s="46"/>
      <c r="AV917" s="46"/>
      <c r="AW917" s="46"/>
      <c r="AX917" s="46"/>
      <c r="AY917" s="46"/>
      <c r="AZ917" s="46"/>
      <c r="BA917" s="46"/>
      <c r="BB917" s="46"/>
      <c r="BC917" s="46"/>
      <c r="BD917" s="46"/>
      <c r="BE917" s="46"/>
    </row>
    <row r="918" spans="1:57" ht="14.25" customHeight="1" x14ac:dyDescent="0.3">
      <c r="A918" s="46"/>
      <c r="B918" s="37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  <c r="AA918" s="46"/>
      <c r="AB918" s="46"/>
      <c r="AC918" s="46"/>
      <c r="AD918" s="46"/>
      <c r="AE918" s="46"/>
      <c r="AF918" s="46"/>
      <c r="AG918" s="46"/>
      <c r="AH918" s="46"/>
      <c r="AI918" s="46"/>
      <c r="AJ918" s="46"/>
      <c r="AK918" s="46"/>
      <c r="AL918" s="46"/>
      <c r="AM918" s="46"/>
      <c r="AN918" s="46"/>
      <c r="AO918" s="46"/>
      <c r="AP918" s="46"/>
      <c r="AQ918" s="46"/>
      <c r="AR918" s="46"/>
      <c r="AS918" s="46"/>
      <c r="AT918" s="46"/>
      <c r="AU918" s="46"/>
      <c r="AV918" s="46"/>
      <c r="AW918" s="46"/>
      <c r="AX918" s="46"/>
      <c r="AY918" s="46"/>
      <c r="AZ918" s="46"/>
      <c r="BA918" s="46"/>
      <c r="BB918" s="46"/>
      <c r="BC918" s="46"/>
      <c r="BD918" s="46"/>
      <c r="BE918" s="46"/>
    </row>
    <row r="919" spans="1:57" ht="14.25" customHeight="1" x14ac:dyDescent="0.3">
      <c r="A919" s="46"/>
      <c r="B919" s="37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  <c r="AA919" s="46"/>
      <c r="AB919" s="46"/>
      <c r="AC919" s="46"/>
      <c r="AD919" s="46"/>
      <c r="AE919" s="46"/>
      <c r="AF919" s="46"/>
      <c r="AG919" s="46"/>
      <c r="AH919" s="46"/>
      <c r="AI919" s="46"/>
      <c r="AJ919" s="46"/>
      <c r="AK919" s="46"/>
      <c r="AL919" s="46"/>
      <c r="AM919" s="46"/>
      <c r="AN919" s="46"/>
      <c r="AO919" s="46"/>
      <c r="AP919" s="46"/>
      <c r="AQ919" s="46"/>
      <c r="AR919" s="46"/>
      <c r="AS919" s="46"/>
      <c r="AT919" s="46"/>
      <c r="AU919" s="46"/>
      <c r="AV919" s="46"/>
      <c r="AW919" s="46"/>
      <c r="AX919" s="46"/>
      <c r="AY919" s="46"/>
      <c r="AZ919" s="46"/>
      <c r="BA919" s="46"/>
      <c r="BB919" s="46"/>
      <c r="BC919" s="46"/>
      <c r="BD919" s="46"/>
      <c r="BE919" s="46"/>
    </row>
    <row r="920" spans="1:57" ht="14.25" customHeight="1" x14ac:dyDescent="0.3">
      <c r="A920" s="46"/>
      <c r="B920" s="37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  <c r="AA920" s="46"/>
      <c r="AB920" s="46"/>
      <c r="AC920" s="46"/>
      <c r="AD920" s="46"/>
      <c r="AE920" s="46"/>
      <c r="AF920" s="46"/>
      <c r="AG920" s="46"/>
      <c r="AH920" s="46"/>
      <c r="AI920" s="46"/>
      <c r="AJ920" s="46"/>
      <c r="AK920" s="46"/>
      <c r="AL920" s="46"/>
      <c r="AM920" s="46"/>
      <c r="AN920" s="46"/>
      <c r="AO920" s="46"/>
      <c r="AP920" s="46"/>
      <c r="AQ920" s="46"/>
      <c r="AR920" s="46"/>
      <c r="AS920" s="46"/>
      <c r="AT920" s="46"/>
      <c r="AU920" s="46"/>
      <c r="AV920" s="46"/>
      <c r="AW920" s="46"/>
      <c r="AX920" s="46"/>
      <c r="AY920" s="46"/>
      <c r="AZ920" s="46"/>
      <c r="BA920" s="46"/>
      <c r="BB920" s="46"/>
      <c r="BC920" s="46"/>
      <c r="BD920" s="46"/>
      <c r="BE920" s="46"/>
    </row>
    <row r="921" spans="1:57" ht="14.25" customHeight="1" x14ac:dyDescent="0.3">
      <c r="A921" s="46"/>
      <c r="B921" s="37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  <c r="AA921" s="46"/>
      <c r="AB921" s="46"/>
      <c r="AC921" s="46"/>
      <c r="AD921" s="46"/>
      <c r="AE921" s="46"/>
      <c r="AF921" s="46"/>
      <c r="AG921" s="46"/>
      <c r="AH921" s="46"/>
      <c r="AI921" s="46"/>
      <c r="AJ921" s="46"/>
      <c r="AK921" s="46"/>
      <c r="AL921" s="46"/>
      <c r="AM921" s="46"/>
      <c r="AN921" s="46"/>
      <c r="AO921" s="46"/>
      <c r="AP921" s="46"/>
      <c r="AQ921" s="46"/>
      <c r="AR921" s="46"/>
      <c r="AS921" s="46"/>
      <c r="AT921" s="46"/>
      <c r="AU921" s="46"/>
      <c r="AV921" s="46"/>
      <c r="AW921" s="46"/>
      <c r="AX921" s="46"/>
      <c r="AY921" s="46"/>
      <c r="AZ921" s="46"/>
      <c r="BA921" s="46"/>
      <c r="BB921" s="46"/>
      <c r="BC921" s="46"/>
      <c r="BD921" s="46"/>
      <c r="BE921" s="46"/>
    </row>
    <row r="922" spans="1:57" ht="14.25" customHeight="1" x14ac:dyDescent="0.3">
      <c r="A922" s="46"/>
      <c r="B922" s="37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  <c r="AA922" s="46"/>
      <c r="AB922" s="46"/>
      <c r="AC922" s="46"/>
      <c r="AD922" s="46"/>
      <c r="AE922" s="46"/>
      <c r="AF922" s="46"/>
      <c r="AG922" s="46"/>
      <c r="AH922" s="46"/>
      <c r="AI922" s="46"/>
      <c r="AJ922" s="46"/>
      <c r="AK922" s="46"/>
      <c r="AL922" s="46"/>
      <c r="AM922" s="46"/>
      <c r="AN922" s="46"/>
      <c r="AO922" s="46"/>
      <c r="AP922" s="46"/>
      <c r="AQ922" s="46"/>
      <c r="AR922" s="46"/>
      <c r="AS922" s="46"/>
      <c r="AT922" s="46"/>
      <c r="AU922" s="46"/>
      <c r="AV922" s="46"/>
      <c r="AW922" s="46"/>
      <c r="AX922" s="46"/>
      <c r="AY922" s="46"/>
      <c r="AZ922" s="46"/>
      <c r="BA922" s="46"/>
      <c r="BB922" s="46"/>
      <c r="BC922" s="46"/>
      <c r="BD922" s="46"/>
      <c r="BE922" s="46"/>
    </row>
    <row r="923" spans="1:57" ht="14.25" customHeight="1" x14ac:dyDescent="0.3">
      <c r="A923" s="46"/>
      <c r="B923" s="37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  <c r="AA923" s="46"/>
      <c r="AB923" s="46"/>
      <c r="AC923" s="46"/>
      <c r="AD923" s="46"/>
      <c r="AE923" s="46"/>
      <c r="AF923" s="46"/>
      <c r="AG923" s="46"/>
      <c r="AH923" s="46"/>
      <c r="AI923" s="46"/>
      <c r="AJ923" s="46"/>
      <c r="AK923" s="46"/>
      <c r="AL923" s="46"/>
      <c r="AM923" s="46"/>
      <c r="AN923" s="46"/>
      <c r="AO923" s="46"/>
      <c r="AP923" s="46"/>
      <c r="AQ923" s="46"/>
      <c r="AR923" s="46"/>
      <c r="AS923" s="46"/>
      <c r="AT923" s="46"/>
      <c r="AU923" s="46"/>
      <c r="AV923" s="46"/>
      <c r="AW923" s="46"/>
      <c r="AX923" s="46"/>
      <c r="AY923" s="46"/>
      <c r="AZ923" s="46"/>
      <c r="BA923" s="46"/>
      <c r="BB923" s="46"/>
      <c r="BC923" s="46"/>
      <c r="BD923" s="46"/>
      <c r="BE923" s="46"/>
    </row>
    <row r="924" spans="1:57" ht="14.25" customHeight="1" x14ac:dyDescent="0.3">
      <c r="A924" s="46"/>
      <c r="B924" s="37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  <c r="AA924" s="46"/>
      <c r="AB924" s="46"/>
      <c r="AC924" s="46"/>
      <c r="AD924" s="46"/>
      <c r="AE924" s="46"/>
      <c r="AF924" s="46"/>
      <c r="AG924" s="46"/>
      <c r="AH924" s="46"/>
      <c r="AI924" s="46"/>
      <c r="AJ924" s="46"/>
      <c r="AK924" s="46"/>
      <c r="AL924" s="46"/>
      <c r="AM924" s="46"/>
      <c r="AN924" s="46"/>
      <c r="AO924" s="46"/>
      <c r="AP924" s="46"/>
      <c r="AQ924" s="46"/>
      <c r="AR924" s="46"/>
      <c r="AS924" s="46"/>
      <c r="AT924" s="46"/>
      <c r="AU924" s="46"/>
      <c r="AV924" s="46"/>
      <c r="AW924" s="46"/>
      <c r="AX924" s="46"/>
      <c r="AY924" s="46"/>
      <c r="AZ924" s="46"/>
      <c r="BA924" s="46"/>
      <c r="BB924" s="46"/>
      <c r="BC924" s="46"/>
      <c r="BD924" s="46"/>
      <c r="BE924" s="46"/>
    </row>
    <row r="925" spans="1:57" ht="14.25" customHeight="1" x14ac:dyDescent="0.3">
      <c r="A925" s="46"/>
      <c r="B925" s="37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  <c r="AA925" s="46"/>
      <c r="AB925" s="46"/>
      <c r="AC925" s="46"/>
      <c r="AD925" s="46"/>
      <c r="AE925" s="46"/>
      <c r="AF925" s="46"/>
      <c r="AG925" s="46"/>
      <c r="AH925" s="46"/>
      <c r="AI925" s="46"/>
      <c r="AJ925" s="46"/>
      <c r="AK925" s="46"/>
      <c r="AL925" s="46"/>
      <c r="AM925" s="46"/>
      <c r="AN925" s="46"/>
      <c r="AO925" s="46"/>
      <c r="AP925" s="46"/>
      <c r="AQ925" s="46"/>
      <c r="AR925" s="46"/>
      <c r="AS925" s="46"/>
      <c r="AT925" s="46"/>
      <c r="AU925" s="46"/>
      <c r="AV925" s="46"/>
      <c r="AW925" s="46"/>
      <c r="AX925" s="46"/>
      <c r="AY925" s="46"/>
      <c r="AZ925" s="46"/>
      <c r="BA925" s="46"/>
      <c r="BB925" s="46"/>
      <c r="BC925" s="46"/>
      <c r="BD925" s="46"/>
      <c r="BE925" s="46"/>
    </row>
    <row r="926" spans="1:57" ht="14.25" customHeight="1" x14ac:dyDescent="0.3">
      <c r="A926" s="46"/>
      <c r="B926" s="37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  <c r="AB926" s="46"/>
      <c r="AC926" s="46"/>
      <c r="AD926" s="46"/>
      <c r="AE926" s="46"/>
      <c r="AF926" s="46"/>
      <c r="AG926" s="46"/>
      <c r="AH926" s="46"/>
      <c r="AI926" s="46"/>
      <c r="AJ926" s="46"/>
      <c r="AK926" s="46"/>
      <c r="AL926" s="46"/>
      <c r="AM926" s="46"/>
      <c r="AN926" s="46"/>
      <c r="AO926" s="46"/>
      <c r="AP926" s="46"/>
      <c r="AQ926" s="46"/>
      <c r="AR926" s="46"/>
      <c r="AS926" s="46"/>
      <c r="AT926" s="46"/>
      <c r="AU926" s="46"/>
      <c r="AV926" s="46"/>
      <c r="AW926" s="46"/>
      <c r="AX926" s="46"/>
      <c r="AY926" s="46"/>
      <c r="AZ926" s="46"/>
      <c r="BA926" s="46"/>
      <c r="BB926" s="46"/>
      <c r="BC926" s="46"/>
      <c r="BD926" s="46"/>
      <c r="BE926" s="46"/>
    </row>
    <row r="927" spans="1:57" ht="14.25" customHeight="1" x14ac:dyDescent="0.3">
      <c r="A927" s="46"/>
      <c r="B927" s="37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  <c r="AB927" s="46"/>
      <c r="AC927" s="46"/>
      <c r="AD927" s="46"/>
      <c r="AE927" s="46"/>
      <c r="AF927" s="46"/>
      <c r="AG927" s="46"/>
      <c r="AH927" s="46"/>
      <c r="AI927" s="46"/>
      <c r="AJ927" s="46"/>
      <c r="AK927" s="46"/>
      <c r="AL927" s="46"/>
      <c r="AM927" s="46"/>
      <c r="AN927" s="46"/>
      <c r="AO927" s="46"/>
      <c r="AP927" s="46"/>
      <c r="AQ927" s="46"/>
      <c r="AR927" s="46"/>
      <c r="AS927" s="46"/>
      <c r="AT927" s="46"/>
      <c r="AU927" s="46"/>
      <c r="AV927" s="46"/>
      <c r="AW927" s="46"/>
      <c r="AX927" s="46"/>
      <c r="AY927" s="46"/>
      <c r="AZ927" s="46"/>
      <c r="BA927" s="46"/>
      <c r="BB927" s="46"/>
      <c r="BC927" s="46"/>
      <c r="BD927" s="46"/>
      <c r="BE927" s="46"/>
    </row>
    <row r="928" spans="1:57" ht="14.25" customHeight="1" x14ac:dyDescent="0.3">
      <c r="A928" s="46"/>
      <c r="B928" s="37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  <c r="AA928" s="46"/>
      <c r="AB928" s="46"/>
      <c r="AC928" s="46"/>
      <c r="AD928" s="46"/>
      <c r="AE928" s="46"/>
      <c r="AF928" s="46"/>
      <c r="AG928" s="46"/>
      <c r="AH928" s="46"/>
      <c r="AI928" s="46"/>
      <c r="AJ928" s="46"/>
      <c r="AK928" s="46"/>
      <c r="AL928" s="46"/>
      <c r="AM928" s="46"/>
      <c r="AN928" s="46"/>
      <c r="AO928" s="46"/>
      <c r="AP928" s="46"/>
      <c r="AQ928" s="46"/>
      <c r="AR928" s="46"/>
      <c r="AS928" s="46"/>
      <c r="AT928" s="46"/>
      <c r="AU928" s="46"/>
      <c r="AV928" s="46"/>
      <c r="AW928" s="46"/>
      <c r="AX928" s="46"/>
      <c r="AY928" s="46"/>
      <c r="AZ928" s="46"/>
      <c r="BA928" s="46"/>
      <c r="BB928" s="46"/>
      <c r="BC928" s="46"/>
      <c r="BD928" s="46"/>
      <c r="BE928" s="46"/>
    </row>
    <row r="929" spans="1:57" ht="14.25" customHeight="1" x14ac:dyDescent="0.3">
      <c r="A929" s="46"/>
      <c r="B929" s="37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  <c r="AB929" s="46"/>
      <c r="AC929" s="46"/>
      <c r="AD929" s="46"/>
      <c r="AE929" s="46"/>
      <c r="AF929" s="46"/>
      <c r="AG929" s="46"/>
      <c r="AH929" s="46"/>
      <c r="AI929" s="46"/>
      <c r="AJ929" s="46"/>
      <c r="AK929" s="46"/>
      <c r="AL929" s="46"/>
      <c r="AM929" s="46"/>
      <c r="AN929" s="46"/>
      <c r="AO929" s="46"/>
      <c r="AP929" s="46"/>
      <c r="AQ929" s="46"/>
      <c r="AR929" s="46"/>
      <c r="AS929" s="46"/>
      <c r="AT929" s="46"/>
      <c r="AU929" s="46"/>
      <c r="AV929" s="46"/>
      <c r="AW929" s="46"/>
      <c r="AX929" s="46"/>
      <c r="AY929" s="46"/>
      <c r="AZ929" s="46"/>
      <c r="BA929" s="46"/>
      <c r="BB929" s="46"/>
      <c r="BC929" s="46"/>
      <c r="BD929" s="46"/>
      <c r="BE929" s="46"/>
    </row>
    <row r="930" spans="1:57" ht="14.25" customHeight="1" x14ac:dyDescent="0.3">
      <c r="A930" s="46"/>
      <c r="B930" s="37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  <c r="AB930" s="46"/>
      <c r="AC930" s="46"/>
      <c r="AD930" s="46"/>
      <c r="AE930" s="46"/>
      <c r="AF930" s="46"/>
      <c r="AG930" s="46"/>
      <c r="AH930" s="46"/>
      <c r="AI930" s="46"/>
      <c r="AJ930" s="46"/>
      <c r="AK930" s="46"/>
      <c r="AL930" s="46"/>
      <c r="AM930" s="46"/>
      <c r="AN930" s="46"/>
      <c r="AO930" s="46"/>
      <c r="AP930" s="46"/>
      <c r="AQ930" s="46"/>
      <c r="AR930" s="46"/>
      <c r="AS930" s="46"/>
      <c r="AT930" s="46"/>
      <c r="AU930" s="46"/>
      <c r="AV930" s="46"/>
      <c r="AW930" s="46"/>
      <c r="AX930" s="46"/>
      <c r="AY930" s="46"/>
      <c r="AZ930" s="46"/>
      <c r="BA930" s="46"/>
      <c r="BB930" s="46"/>
      <c r="BC930" s="46"/>
      <c r="BD930" s="46"/>
      <c r="BE930" s="46"/>
    </row>
    <row r="931" spans="1:57" ht="14.25" customHeight="1" x14ac:dyDescent="0.3">
      <c r="A931" s="46"/>
      <c r="B931" s="37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  <c r="AB931" s="46"/>
      <c r="AC931" s="46"/>
      <c r="AD931" s="46"/>
      <c r="AE931" s="46"/>
      <c r="AF931" s="46"/>
      <c r="AG931" s="46"/>
      <c r="AH931" s="46"/>
      <c r="AI931" s="46"/>
      <c r="AJ931" s="46"/>
      <c r="AK931" s="46"/>
      <c r="AL931" s="46"/>
      <c r="AM931" s="46"/>
      <c r="AN931" s="46"/>
      <c r="AO931" s="46"/>
      <c r="AP931" s="46"/>
      <c r="AQ931" s="46"/>
      <c r="AR931" s="46"/>
      <c r="AS931" s="46"/>
      <c r="AT931" s="46"/>
      <c r="AU931" s="46"/>
      <c r="AV931" s="46"/>
      <c r="AW931" s="46"/>
      <c r="AX931" s="46"/>
      <c r="AY931" s="46"/>
      <c r="AZ931" s="46"/>
      <c r="BA931" s="46"/>
      <c r="BB931" s="46"/>
      <c r="BC931" s="46"/>
      <c r="BD931" s="46"/>
      <c r="BE931" s="46"/>
    </row>
    <row r="932" spans="1:57" ht="14.25" customHeight="1" x14ac:dyDescent="0.3">
      <c r="A932" s="46"/>
      <c r="B932" s="37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  <c r="AB932" s="46"/>
      <c r="AC932" s="46"/>
      <c r="AD932" s="46"/>
      <c r="AE932" s="46"/>
      <c r="AF932" s="46"/>
      <c r="AG932" s="46"/>
      <c r="AH932" s="46"/>
      <c r="AI932" s="46"/>
      <c r="AJ932" s="46"/>
      <c r="AK932" s="46"/>
      <c r="AL932" s="46"/>
      <c r="AM932" s="46"/>
      <c r="AN932" s="46"/>
      <c r="AO932" s="46"/>
      <c r="AP932" s="46"/>
      <c r="AQ932" s="46"/>
      <c r="AR932" s="46"/>
      <c r="AS932" s="46"/>
      <c r="AT932" s="46"/>
      <c r="AU932" s="46"/>
      <c r="AV932" s="46"/>
      <c r="AW932" s="46"/>
      <c r="AX932" s="46"/>
      <c r="AY932" s="46"/>
      <c r="AZ932" s="46"/>
      <c r="BA932" s="46"/>
      <c r="BB932" s="46"/>
      <c r="BC932" s="46"/>
      <c r="BD932" s="46"/>
      <c r="BE932" s="46"/>
    </row>
    <row r="933" spans="1:57" ht="14.25" customHeight="1" x14ac:dyDescent="0.3">
      <c r="A933" s="46"/>
      <c r="B933" s="37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  <c r="AB933" s="46"/>
      <c r="AC933" s="46"/>
      <c r="AD933" s="46"/>
      <c r="AE933" s="46"/>
      <c r="AF933" s="46"/>
      <c r="AG933" s="46"/>
      <c r="AH933" s="46"/>
      <c r="AI933" s="46"/>
      <c r="AJ933" s="46"/>
      <c r="AK933" s="46"/>
      <c r="AL933" s="46"/>
      <c r="AM933" s="46"/>
      <c r="AN933" s="46"/>
      <c r="AO933" s="46"/>
      <c r="AP933" s="46"/>
      <c r="AQ933" s="46"/>
      <c r="AR933" s="46"/>
      <c r="AS933" s="46"/>
      <c r="AT933" s="46"/>
      <c r="AU933" s="46"/>
      <c r="AV933" s="46"/>
      <c r="AW933" s="46"/>
      <c r="AX933" s="46"/>
      <c r="AY933" s="46"/>
      <c r="AZ933" s="46"/>
      <c r="BA933" s="46"/>
      <c r="BB933" s="46"/>
      <c r="BC933" s="46"/>
      <c r="BD933" s="46"/>
      <c r="BE933" s="46"/>
    </row>
    <row r="934" spans="1:57" ht="14.25" customHeight="1" x14ac:dyDescent="0.3">
      <c r="A934" s="46"/>
      <c r="B934" s="37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  <c r="AB934" s="46"/>
      <c r="AC934" s="46"/>
      <c r="AD934" s="46"/>
      <c r="AE934" s="46"/>
      <c r="AF934" s="46"/>
      <c r="AG934" s="46"/>
      <c r="AH934" s="46"/>
      <c r="AI934" s="46"/>
      <c r="AJ934" s="46"/>
      <c r="AK934" s="46"/>
      <c r="AL934" s="46"/>
      <c r="AM934" s="46"/>
      <c r="AN934" s="46"/>
      <c r="AO934" s="46"/>
      <c r="AP934" s="46"/>
      <c r="AQ934" s="46"/>
      <c r="AR934" s="46"/>
      <c r="AS934" s="46"/>
      <c r="AT934" s="46"/>
      <c r="AU934" s="46"/>
      <c r="AV934" s="46"/>
      <c r="AW934" s="46"/>
      <c r="AX934" s="46"/>
      <c r="AY934" s="46"/>
      <c r="AZ934" s="46"/>
      <c r="BA934" s="46"/>
      <c r="BB934" s="46"/>
      <c r="BC934" s="46"/>
      <c r="BD934" s="46"/>
      <c r="BE934" s="46"/>
    </row>
    <row r="935" spans="1:57" ht="14.25" customHeight="1" x14ac:dyDescent="0.3">
      <c r="A935" s="46"/>
      <c r="B935" s="37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  <c r="AB935" s="46"/>
      <c r="AC935" s="46"/>
      <c r="AD935" s="46"/>
      <c r="AE935" s="46"/>
      <c r="AF935" s="46"/>
      <c r="AG935" s="46"/>
      <c r="AH935" s="46"/>
      <c r="AI935" s="46"/>
      <c r="AJ935" s="46"/>
      <c r="AK935" s="46"/>
      <c r="AL935" s="46"/>
      <c r="AM935" s="46"/>
      <c r="AN935" s="46"/>
      <c r="AO935" s="46"/>
      <c r="AP935" s="46"/>
      <c r="AQ935" s="46"/>
      <c r="AR935" s="46"/>
      <c r="AS935" s="46"/>
      <c r="AT935" s="46"/>
      <c r="AU935" s="46"/>
      <c r="AV935" s="46"/>
      <c r="AW935" s="46"/>
      <c r="AX935" s="46"/>
      <c r="AY935" s="46"/>
      <c r="AZ935" s="46"/>
      <c r="BA935" s="46"/>
      <c r="BB935" s="46"/>
      <c r="BC935" s="46"/>
      <c r="BD935" s="46"/>
      <c r="BE935" s="46"/>
    </row>
    <row r="936" spans="1:57" ht="14.25" customHeight="1" x14ac:dyDescent="0.3">
      <c r="A936" s="46"/>
      <c r="B936" s="37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  <c r="AB936" s="46"/>
      <c r="AC936" s="46"/>
      <c r="AD936" s="46"/>
      <c r="AE936" s="46"/>
      <c r="AF936" s="46"/>
      <c r="AG936" s="46"/>
      <c r="AH936" s="46"/>
      <c r="AI936" s="46"/>
      <c r="AJ936" s="46"/>
      <c r="AK936" s="46"/>
      <c r="AL936" s="46"/>
      <c r="AM936" s="46"/>
      <c r="AN936" s="46"/>
      <c r="AO936" s="46"/>
      <c r="AP936" s="46"/>
      <c r="AQ936" s="46"/>
      <c r="AR936" s="46"/>
      <c r="AS936" s="46"/>
      <c r="AT936" s="46"/>
      <c r="AU936" s="46"/>
      <c r="AV936" s="46"/>
      <c r="AW936" s="46"/>
      <c r="AX936" s="46"/>
      <c r="AY936" s="46"/>
      <c r="AZ936" s="46"/>
      <c r="BA936" s="46"/>
      <c r="BB936" s="46"/>
      <c r="BC936" s="46"/>
      <c r="BD936" s="46"/>
      <c r="BE936" s="46"/>
    </row>
    <row r="937" spans="1:57" ht="14.25" customHeight="1" x14ac:dyDescent="0.3">
      <c r="A937" s="46"/>
      <c r="B937" s="37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  <c r="AB937" s="46"/>
      <c r="AC937" s="46"/>
      <c r="AD937" s="46"/>
      <c r="AE937" s="46"/>
      <c r="AF937" s="46"/>
      <c r="AG937" s="46"/>
      <c r="AH937" s="46"/>
      <c r="AI937" s="46"/>
      <c r="AJ937" s="46"/>
      <c r="AK937" s="46"/>
      <c r="AL937" s="46"/>
      <c r="AM937" s="46"/>
      <c r="AN937" s="46"/>
      <c r="AO937" s="46"/>
      <c r="AP937" s="46"/>
      <c r="AQ937" s="46"/>
      <c r="AR937" s="46"/>
      <c r="AS937" s="46"/>
      <c r="AT937" s="46"/>
      <c r="AU937" s="46"/>
      <c r="AV937" s="46"/>
      <c r="AW937" s="46"/>
      <c r="AX937" s="46"/>
      <c r="AY937" s="46"/>
      <c r="AZ937" s="46"/>
      <c r="BA937" s="46"/>
      <c r="BB937" s="46"/>
      <c r="BC937" s="46"/>
      <c r="BD937" s="46"/>
      <c r="BE937" s="46"/>
    </row>
    <row r="938" spans="1:57" ht="14.25" customHeight="1" x14ac:dyDescent="0.3">
      <c r="A938" s="46"/>
      <c r="B938" s="37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  <c r="AB938" s="46"/>
      <c r="AC938" s="46"/>
      <c r="AD938" s="46"/>
      <c r="AE938" s="46"/>
      <c r="AF938" s="46"/>
      <c r="AG938" s="46"/>
      <c r="AH938" s="46"/>
      <c r="AI938" s="46"/>
      <c r="AJ938" s="46"/>
      <c r="AK938" s="46"/>
      <c r="AL938" s="46"/>
      <c r="AM938" s="46"/>
      <c r="AN938" s="46"/>
      <c r="AO938" s="46"/>
      <c r="AP938" s="46"/>
      <c r="AQ938" s="46"/>
      <c r="AR938" s="46"/>
      <c r="AS938" s="46"/>
      <c r="AT938" s="46"/>
      <c r="AU938" s="46"/>
      <c r="AV938" s="46"/>
      <c r="AW938" s="46"/>
      <c r="AX938" s="46"/>
      <c r="AY938" s="46"/>
      <c r="AZ938" s="46"/>
      <c r="BA938" s="46"/>
      <c r="BB938" s="46"/>
      <c r="BC938" s="46"/>
      <c r="BD938" s="46"/>
      <c r="BE938" s="46"/>
    </row>
    <row r="939" spans="1:57" ht="14.25" customHeight="1" x14ac:dyDescent="0.3">
      <c r="A939" s="46"/>
      <c r="B939" s="37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  <c r="AB939" s="46"/>
      <c r="AC939" s="46"/>
      <c r="AD939" s="46"/>
      <c r="AE939" s="46"/>
      <c r="AF939" s="46"/>
      <c r="AG939" s="46"/>
      <c r="AH939" s="46"/>
      <c r="AI939" s="46"/>
      <c r="AJ939" s="46"/>
      <c r="AK939" s="46"/>
      <c r="AL939" s="46"/>
      <c r="AM939" s="46"/>
      <c r="AN939" s="46"/>
      <c r="AO939" s="46"/>
      <c r="AP939" s="46"/>
      <c r="AQ939" s="46"/>
      <c r="AR939" s="46"/>
      <c r="AS939" s="46"/>
      <c r="AT939" s="46"/>
      <c r="AU939" s="46"/>
      <c r="AV939" s="46"/>
      <c r="AW939" s="46"/>
      <c r="AX939" s="46"/>
      <c r="AY939" s="46"/>
      <c r="AZ939" s="46"/>
      <c r="BA939" s="46"/>
      <c r="BB939" s="46"/>
      <c r="BC939" s="46"/>
      <c r="BD939" s="46"/>
      <c r="BE939" s="46"/>
    </row>
    <row r="940" spans="1:57" ht="14.25" customHeight="1" x14ac:dyDescent="0.3">
      <c r="A940" s="46"/>
      <c r="B940" s="37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  <c r="AB940" s="46"/>
      <c r="AC940" s="46"/>
      <c r="AD940" s="46"/>
      <c r="AE940" s="46"/>
      <c r="AF940" s="46"/>
      <c r="AG940" s="46"/>
      <c r="AH940" s="46"/>
      <c r="AI940" s="46"/>
      <c r="AJ940" s="46"/>
      <c r="AK940" s="46"/>
      <c r="AL940" s="46"/>
      <c r="AM940" s="46"/>
      <c r="AN940" s="46"/>
      <c r="AO940" s="46"/>
      <c r="AP940" s="46"/>
      <c r="AQ940" s="46"/>
      <c r="AR940" s="46"/>
      <c r="AS940" s="46"/>
      <c r="AT940" s="46"/>
      <c r="AU940" s="46"/>
      <c r="AV940" s="46"/>
      <c r="AW940" s="46"/>
      <c r="AX940" s="46"/>
      <c r="AY940" s="46"/>
      <c r="AZ940" s="46"/>
      <c r="BA940" s="46"/>
      <c r="BB940" s="46"/>
      <c r="BC940" s="46"/>
      <c r="BD940" s="46"/>
      <c r="BE940" s="46"/>
    </row>
    <row r="941" spans="1:57" ht="14.25" customHeight="1" x14ac:dyDescent="0.3">
      <c r="A941" s="46"/>
      <c r="B941" s="37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  <c r="AA941" s="46"/>
      <c r="AB941" s="46"/>
      <c r="AC941" s="46"/>
      <c r="AD941" s="46"/>
      <c r="AE941" s="46"/>
      <c r="AF941" s="46"/>
      <c r="AG941" s="46"/>
      <c r="AH941" s="46"/>
      <c r="AI941" s="46"/>
      <c r="AJ941" s="46"/>
      <c r="AK941" s="46"/>
      <c r="AL941" s="46"/>
      <c r="AM941" s="46"/>
      <c r="AN941" s="46"/>
      <c r="AO941" s="46"/>
      <c r="AP941" s="46"/>
      <c r="AQ941" s="46"/>
      <c r="AR941" s="46"/>
      <c r="AS941" s="46"/>
      <c r="AT941" s="46"/>
      <c r="AU941" s="46"/>
      <c r="AV941" s="46"/>
      <c r="AW941" s="46"/>
      <c r="AX941" s="46"/>
      <c r="AY941" s="46"/>
      <c r="AZ941" s="46"/>
      <c r="BA941" s="46"/>
      <c r="BB941" s="46"/>
      <c r="BC941" s="46"/>
      <c r="BD941" s="46"/>
      <c r="BE941" s="46"/>
    </row>
    <row r="942" spans="1:57" ht="14.25" customHeight="1" x14ac:dyDescent="0.3">
      <c r="A942" s="46"/>
      <c r="B942" s="37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6"/>
      <c r="AB942" s="46"/>
      <c r="AC942" s="46"/>
      <c r="AD942" s="46"/>
      <c r="AE942" s="46"/>
      <c r="AF942" s="46"/>
      <c r="AG942" s="46"/>
      <c r="AH942" s="46"/>
      <c r="AI942" s="46"/>
      <c r="AJ942" s="46"/>
      <c r="AK942" s="46"/>
      <c r="AL942" s="46"/>
      <c r="AM942" s="46"/>
      <c r="AN942" s="46"/>
      <c r="AO942" s="46"/>
      <c r="AP942" s="46"/>
      <c r="AQ942" s="46"/>
      <c r="AR942" s="46"/>
      <c r="AS942" s="46"/>
      <c r="AT942" s="46"/>
      <c r="AU942" s="46"/>
      <c r="AV942" s="46"/>
      <c r="AW942" s="46"/>
      <c r="AX942" s="46"/>
      <c r="AY942" s="46"/>
      <c r="AZ942" s="46"/>
      <c r="BA942" s="46"/>
      <c r="BB942" s="46"/>
      <c r="BC942" s="46"/>
      <c r="BD942" s="46"/>
      <c r="BE942" s="46"/>
    </row>
    <row r="943" spans="1:57" ht="14.25" customHeight="1" x14ac:dyDescent="0.3">
      <c r="A943" s="46"/>
      <c r="B943" s="37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  <c r="AB943" s="46"/>
      <c r="AC943" s="46"/>
      <c r="AD943" s="46"/>
      <c r="AE943" s="46"/>
      <c r="AF943" s="46"/>
      <c r="AG943" s="46"/>
      <c r="AH943" s="46"/>
      <c r="AI943" s="46"/>
      <c r="AJ943" s="46"/>
      <c r="AK943" s="46"/>
      <c r="AL943" s="46"/>
      <c r="AM943" s="46"/>
      <c r="AN943" s="46"/>
      <c r="AO943" s="46"/>
      <c r="AP943" s="46"/>
      <c r="AQ943" s="46"/>
      <c r="AR943" s="46"/>
      <c r="AS943" s="46"/>
      <c r="AT943" s="46"/>
      <c r="AU943" s="46"/>
      <c r="AV943" s="46"/>
      <c r="AW943" s="46"/>
      <c r="AX943" s="46"/>
      <c r="AY943" s="46"/>
      <c r="AZ943" s="46"/>
      <c r="BA943" s="46"/>
      <c r="BB943" s="46"/>
      <c r="BC943" s="46"/>
      <c r="BD943" s="46"/>
      <c r="BE943" s="46"/>
    </row>
    <row r="944" spans="1:57" ht="14.25" customHeight="1" x14ac:dyDescent="0.3">
      <c r="A944" s="46"/>
      <c r="B944" s="37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  <c r="AA944" s="46"/>
      <c r="AB944" s="46"/>
      <c r="AC944" s="46"/>
      <c r="AD944" s="46"/>
      <c r="AE944" s="46"/>
      <c r="AF944" s="46"/>
      <c r="AG944" s="46"/>
      <c r="AH944" s="46"/>
      <c r="AI944" s="46"/>
      <c r="AJ944" s="46"/>
      <c r="AK944" s="46"/>
      <c r="AL944" s="46"/>
      <c r="AM944" s="46"/>
      <c r="AN944" s="46"/>
      <c r="AO944" s="46"/>
      <c r="AP944" s="46"/>
      <c r="AQ944" s="46"/>
      <c r="AR944" s="46"/>
      <c r="AS944" s="46"/>
      <c r="AT944" s="46"/>
      <c r="AU944" s="46"/>
      <c r="AV944" s="46"/>
      <c r="AW944" s="46"/>
      <c r="AX944" s="46"/>
      <c r="AY944" s="46"/>
      <c r="AZ944" s="46"/>
      <c r="BA944" s="46"/>
      <c r="BB944" s="46"/>
      <c r="BC944" s="46"/>
      <c r="BD944" s="46"/>
      <c r="BE944" s="46"/>
    </row>
    <row r="945" spans="1:57" ht="14.25" customHeight="1" x14ac:dyDescent="0.3">
      <c r="A945" s="46"/>
      <c r="B945" s="37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  <c r="AA945" s="46"/>
      <c r="AB945" s="46"/>
      <c r="AC945" s="46"/>
      <c r="AD945" s="46"/>
      <c r="AE945" s="46"/>
      <c r="AF945" s="46"/>
      <c r="AG945" s="46"/>
      <c r="AH945" s="46"/>
      <c r="AI945" s="46"/>
      <c r="AJ945" s="46"/>
      <c r="AK945" s="46"/>
      <c r="AL945" s="46"/>
      <c r="AM945" s="46"/>
      <c r="AN945" s="46"/>
      <c r="AO945" s="46"/>
      <c r="AP945" s="46"/>
      <c r="AQ945" s="46"/>
      <c r="AR945" s="46"/>
      <c r="AS945" s="46"/>
      <c r="AT945" s="46"/>
      <c r="AU945" s="46"/>
      <c r="AV945" s="46"/>
      <c r="AW945" s="46"/>
      <c r="AX945" s="46"/>
      <c r="AY945" s="46"/>
      <c r="AZ945" s="46"/>
      <c r="BA945" s="46"/>
      <c r="BB945" s="46"/>
      <c r="BC945" s="46"/>
      <c r="BD945" s="46"/>
      <c r="BE945" s="46"/>
    </row>
    <row r="946" spans="1:57" ht="14.25" customHeight="1" x14ac:dyDescent="0.3">
      <c r="A946" s="46"/>
      <c r="B946" s="37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  <c r="AA946" s="46"/>
      <c r="AB946" s="46"/>
      <c r="AC946" s="46"/>
      <c r="AD946" s="46"/>
      <c r="AE946" s="46"/>
      <c r="AF946" s="46"/>
      <c r="AG946" s="46"/>
      <c r="AH946" s="46"/>
      <c r="AI946" s="46"/>
      <c r="AJ946" s="46"/>
      <c r="AK946" s="46"/>
      <c r="AL946" s="46"/>
      <c r="AM946" s="46"/>
      <c r="AN946" s="46"/>
      <c r="AO946" s="46"/>
      <c r="AP946" s="46"/>
      <c r="AQ946" s="46"/>
      <c r="AR946" s="46"/>
      <c r="AS946" s="46"/>
      <c r="AT946" s="46"/>
      <c r="AU946" s="46"/>
      <c r="AV946" s="46"/>
      <c r="AW946" s="46"/>
      <c r="AX946" s="46"/>
      <c r="AY946" s="46"/>
      <c r="AZ946" s="46"/>
      <c r="BA946" s="46"/>
      <c r="BB946" s="46"/>
      <c r="BC946" s="46"/>
      <c r="BD946" s="46"/>
      <c r="BE946" s="46"/>
    </row>
    <row r="947" spans="1:57" ht="14.25" customHeight="1" x14ac:dyDescent="0.3">
      <c r="A947" s="46"/>
      <c r="B947" s="37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  <c r="AA947" s="46"/>
      <c r="AB947" s="46"/>
      <c r="AC947" s="46"/>
      <c r="AD947" s="46"/>
      <c r="AE947" s="46"/>
      <c r="AF947" s="46"/>
      <c r="AG947" s="46"/>
      <c r="AH947" s="46"/>
      <c r="AI947" s="46"/>
      <c r="AJ947" s="46"/>
      <c r="AK947" s="46"/>
      <c r="AL947" s="46"/>
      <c r="AM947" s="46"/>
      <c r="AN947" s="46"/>
      <c r="AO947" s="46"/>
      <c r="AP947" s="46"/>
      <c r="AQ947" s="46"/>
      <c r="AR947" s="46"/>
      <c r="AS947" s="46"/>
      <c r="AT947" s="46"/>
      <c r="AU947" s="46"/>
      <c r="AV947" s="46"/>
      <c r="AW947" s="46"/>
      <c r="AX947" s="46"/>
      <c r="AY947" s="46"/>
      <c r="AZ947" s="46"/>
      <c r="BA947" s="46"/>
      <c r="BB947" s="46"/>
      <c r="BC947" s="46"/>
      <c r="BD947" s="46"/>
      <c r="BE947" s="46"/>
    </row>
    <row r="948" spans="1:57" ht="14.25" customHeight="1" x14ac:dyDescent="0.3">
      <c r="A948" s="46"/>
      <c r="B948" s="37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  <c r="AA948" s="46"/>
      <c r="AB948" s="46"/>
      <c r="AC948" s="46"/>
      <c r="AD948" s="46"/>
      <c r="AE948" s="46"/>
      <c r="AF948" s="46"/>
      <c r="AG948" s="46"/>
      <c r="AH948" s="46"/>
      <c r="AI948" s="46"/>
      <c r="AJ948" s="46"/>
      <c r="AK948" s="46"/>
      <c r="AL948" s="46"/>
      <c r="AM948" s="46"/>
      <c r="AN948" s="46"/>
      <c r="AO948" s="46"/>
      <c r="AP948" s="46"/>
      <c r="AQ948" s="46"/>
      <c r="AR948" s="46"/>
      <c r="AS948" s="46"/>
      <c r="AT948" s="46"/>
      <c r="AU948" s="46"/>
      <c r="AV948" s="46"/>
      <c r="AW948" s="46"/>
      <c r="AX948" s="46"/>
      <c r="AY948" s="46"/>
      <c r="AZ948" s="46"/>
      <c r="BA948" s="46"/>
      <c r="BB948" s="46"/>
      <c r="BC948" s="46"/>
      <c r="BD948" s="46"/>
      <c r="BE948" s="46"/>
    </row>
    <row r="949" spans="1:57" ht="14.25" customHeight="1" x14ac:dyDescent="0.3">
      <c r="A949" s="46"/>
      <c r="B949" s="37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  <c r="AA949" s="46"/>
      <c r="AB949" s="46"/>
      <c r="AC949" s="46"/>
      <c r="AD949" s="46"/>
      <c r="AE949" s="46"/>
      <c r="AF949" s="46"/>
      <c r="AG949" s="46"/>
      <c r="AH949" s="46"/>
      <c r="AI949" s="46"/>
      <c r="AJ949" s="46"/>
      <c r="AK949" s="46"/>
      <c r="AL949" s="46"/>
      <c r="AM949" s="46"/>
      <c r="AN949" s="46"/>
      <c r="AO949" s="46"/>
      <c r="AP949" s="46"/>
      <c r="AQ949" s="46"/>
      <c r="AR949" s="46"/>
      <c r="AS949" s="46"/>
      <c r="AT949" s="46"/>
      <c r="AU949" s="46"/>
      <c r="AV949" s="46"/>
      <c r="AW949" s="46"/>
      <c r="AX949" s="46"/>
      <c r="AY949" s="46"/>
      <c r="AZ949" s="46"/>
      <c r="BA949" s="46"/>
      <c r="BB949" s="46"/>
      <c r="BC949" s="46"/>
      <c r="BD949" s="46"/>
      <c r="BE949" s="46"/>
    </row>
    <row r="950" spans="1:57" ht="14.25" customHeight="1" x14ac:dyDescent="0.3">
      <c r="A950" s="46"/>
      <c r="B950" s="37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  <c r="AA950" s="46"/>
      <c r="AB950" s="46"/>
      <c r="AC950" s="46"/>
      <c r="AD950" s="46"/>
      <c r="AE950" s="46"/>
      <c r="AF950" s="46"/>
      <c r="AG950" s="46"/>
      <c r="AH950" s="46"/>
      <c r="AI950" s="46"/>
      <c r="AJ950" s="46"/>
      <c r="AK950" s="46"/>
      <c r="AL950" s="46"/>
      <c r="AM950" s="46"/>
      <c r="AN950" s="46"/>
      <c r="AO950" s="46"/>
      <c r="AP950" s="46"/>
      <c r="AQ950" s="46"/>
      <c r="AR950" s="46"/>
      <c r="AS950" s="46"/>
      <c r="AT950" s="46"/>
      <c r="AU950" s="46"/>
      <c r="AV950" s="46"/>
      <c r="AW950" s="46"/>
      <c r="AX950" s="46"/>
      <c r="AY950" s="46"/>
      <c r="AZ950" s="46"/>
      <c r="BA950" s="46"/>
      <c r="BB950" s="46"/>
      <c r="BC950" s="46"/>
      <c r="BD950" s="46"/>
      <c r="BE950" s="46"/>
    </row>
    <row r="951" spans="1:57" ht="14.25" customHeight="1" x14ac:dyDescent="0.3">
      <c r="A951" s="46"/>
      <c r="B951" s="37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  <c r="AA951" s="46"/>
      <c r="AB951" s="46"/>
      <c r="AC951" s="46"/>
      <c r="AD951" s="46"/>
      <c r="AE951" s="46"/>
      <c r="AF951" s="46"/>
      <c r="AG951" s="46"/>
      <c r="AH951" s="46"/>
      <c r="AI951" s="46"/>
      <c r="AJ951" s="46"/>
      <c r="AK951" s="46"/>
      <c r="AL951" s="46"/>
      <c r="AM951" s="46"/>
      <c r="AN951" s="46"/>
      <c r="AO951" s="46"/>
      <c r="AP951" s="46"/>
      <c r="AQ951" s="46"/>
      <c r="AR951" s="46"/>
      <c r="AS951" s="46"/>
      <c r="AT951" s="46"/>
      <c r="AU951" s="46"/>
      <c r="AV951" s="46"/>
      <c r="AW951" s="46"/>
      <c r="AX951" s="46"/>
      <c r="AY951" s="46"/>
      <c r="AZ951" s="46"/>
      <c r="BA951" s="46"/>
      <c r="BB951" s="46"/>
      <c r="BC951" s="46"/>
      <c r="BD951" s="46"/>
      <c r="BE951" s="46"/>
    </row>
    <row r="952" spans="1:57" ht="14.25" customHeight="1" x14ac:dyDescent="0.3">
      <c r="A952" s="46"/>
      <c r="B952" s="37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  <c r="AA952" s="46"/>
      <c r="AB952" s="46"/>
      <c r="AC952" s="46"/>
      <c r="AD952" s="46"/>
      <c r="AE952" s="46"/>
      <c r="AF952" s="46"/>
      <c r="AG952" s="46"/>
      <c r="AH952" s="46"/>
      <c r="AI952" s="46"/>
      <c r="AJ952" s="46"/>
      <c r="AK952" s="46"/>
      <c r="AL952" s="46"/>
      <c r="AM952" s="46"/>
      <c r="AN952" s="46"/>
      <c r="AO952" s="46"/>
      <c r="AP952" s="46"/>
      <c r="AQ952" s="46"/>
      <c r="AR952" s="46"/>
      <c r="AS952" s="46"/>
      <c r="AT952" s="46"/>
      <c r="AU952" s="46"/>
      <c r="AV952" s="46"/>
      <c r="AW952" s="46"/>
      <c r="AX952" s="46"/>
      <c r="AY952" s="46"/>
      <c r="AZ952" s="46"/>
      <c r="BA952" s="46"/>
      <c r="BB952" s="46"/>
      <c r="BC952" s="46"/>
      <c r="BD952" s="46"/>
      <c r="BE952" s="46"/>
    </row>
    <row r="953" spans="1:57" ht="14.25" customHeight="1" x14ac:dyDescent="0.3">
      <c r="A953" s="46"/>
      <c r="B953" s="37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  <c r="AA953" s="46"/>
      <c r="AB953" s="46"/>
      <c r="AC953" s="46"/>
      <c r="AD953" s="46"/>
      <c r="AE953" s="46"/>
      <c r="AF953" s="46"/>
      <c r="AG953" s="46"/>
      <c r="AH953" s="46"/>
      <c r="AI953" s="46"/>
      <c r="AJ953" s="46"/>
      <c r="AK953" s="46"/>
      <c r="AL953" s="46"/>
      <c r="AM953" s="46"/>
      <c r="AN953" s="46"/>
      <c r="AO953" s="46"/>
      <c r="AP953" s="46"/>
      <c r="AQ953" s="46"/>
      <c r="AR953" s="46"/>
      <c r="AS953" s="46"/>
      <c r="AT953" s="46"/>
      <c r="AU953" s="46"/>
      <c r="AV953" s="46"/>
      <c r="AW953" s="46"/>
      <c r="AX953" s="46"/>
      <c r="AY953" s="46"/>
      <c r="AZ953" s="46"/>
      <c r="BA953" s="46"/>
      <c r="BB953" s="46"/>
      <c r="BC953" s="46"/>
      <c r="BD953" s="46"/>
      <c r="BE953" s="46"/>
    </row>
    <row r="954" spans="1:57" ht="14.25" customHeight="1" x14ac:dyDescent="0.3">
      <c r="A954" s="46"/>
      <c r="B954" s="37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  <c r="AA954" s="46"/>
      <c r="AB954" s="46"/>
      <c r="AC954" s="46"/>
      <c r="AD954" s="46"/>
      <c r="AE954" s="46"/>
      <c r="AF954" s="46"/>
      <c r="AG954" s="46"/>
      <c r="AH954" s="46"/>
      <c r="AI954" s="46"/>
      <c r="AJ954" s="46"/>
      <c r="AK954" s="46"/>
      <c r="AL954" s="46"/>
      <c r="AM954" s="46"/>
      <c r="AN954" s="46"/>
      <c r="AO954" s="46"/>
      <c r="AP954" s="46"/>
      <c r="AQ954" s="46"/>
      <c r="AR954" s="46"/>
      <c r="AS954" s="46"/>
      <c r="AT954" s="46"/>
      <c r="AU954" s="46"/>
      <c r="AV954" s="46"/>
      <c r="AW954" s="46"/>
      <c r="AX954" s="46"/>
      <c r="AY954" s="46"/>
      <c r="AZ954" s="46"/>
      <c r="BA954" s="46"/>
      <c r="BB954" s="46"/>
      <c r="BC954" s="46"/>
      <c r="BD954" s="46"/>
      <c r="BE954" s="46"/>
    </row>
    <row r="955" spans="1:57" ht="14.25" customHeight="1" x14ac:dyDescent="0.3">
      <c r="A955" s="46"/>
      <c r="B955" s="37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  <c r="AA955" s="46"/>
      <c r="AB955" s="46"/>
      <c r="AC955" s="46"/>
      <c r="AD955" s="46"/>
      <c r="AE955" s="46"/>
      <c r="AF955" s="46"/>
      <c r="AG955" s="46"/>
      <c r="AH955" s="46"/>
      <c r="AI955" s="46"/>
      <c r="AJ955" s="46"/>
      <c r="AK955" s="46"/>
      <c r="AL955" s="46"/>
      <c r="AM955" s="46"/>
      <c r="AN955" s="46"/>
      <c r="AO955" s="46"/>
      <c r="AP955" s="46"/>
      <c r="AQ955" s="46"/>
      <c r="AR955" s="46"/>
      <c r="AS955" s="46"/>
      <c r="AT955" s="46"/>
      <c r="AU955" s="46"/>
      <c r="AV955" s="46"/>
      <c r="AW955" s="46"/>
      <c r="AX955" s="46"/>
      <c r="AY955" s="46"/>
      <c r="AZ955" s="46"/>
      <c r="BA955" s="46"/>
      <c r="BB955" s="46"/>
      <c r="BC955" s="46"/>
      <c r="BD955" s="46"/>
      <c r="BE955" s="46"/>
    </row>
    <row r="956" spans="1:57" ht="14.25" customHeight="1" x14ac:dyDescent="0.3">
      <c r="A956" s="46"/>
      <c r="B956" s="37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  <c r="AA956" s="46"/>
      <c r="AB956" s="46"/>
      <c r="AC956" s="46"/>
      <c r="AD956" s="46"/>
      <c r="AE956" s="46"/>
      <c r="AF956" s="46"/>
      <c r="AG956" s="46"/>
      <c r="AH956" s="46"/>
      <c r="AI956" s="46"/>
      <c r="AJ956" s="46"/>
      <c r="AK956" s="46"/>
      <c r="AL956" s="46"/>
      <c r="AM956" s="46"/>
      <c r="AN956" s="46"/>
      <c r="AO956" s="46"/>
      <c r="AP956" s="46"/>
      <c r="AQ956" s="46"/>
      <c r="AR956" s="46"/>
      <c r="AS956" s="46"/>
      <c r="AT956" s="46"/>
      <c r="AU956" s="46"/>
      <c r="AV956" s="46"/>
      <c r="AW956" s="46"/>
      <c r="AX956" s="46"/>
      <c r="AY956" s="46"/>
      <c r="AZ956" s="46"/>
      <c r="BA956" s="46"/>
      <c r="BB956" s="46"/>
      <c r="BC956" s="46"/>
      <c r="BD956" s="46"/>
      <c r="BE956" s="46"/>
    </row>
    <row r="957" spans="1:57" ht="14.25" customHeight="1" x14ac:dyDescent="0.3">
      <c r="A957" s="46"/>
      <c r="B957" s="37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  <c r="AA957" s="46"/>
      <c r="AB957" s="46"/>
      <c r="AC957" s="46"/>
      <c r="AD957" s="46"/>
      <c r="AE957" s="46"/>
      <c r="AF957" s="46"/>
      <c r="AG957" s="46"/>
      <c r="AH957" s="46"/>
      <c r="AI957" s="46"/>
      <c r="AJ957" s="46"/>
      <c r="AK957" s="46"/>
      <c r="AL957" s="46"/>
      <c r="AM957" s="46"/>
      <c r="AN957" s="46"/>
      <c r="AO957" s="46"/>
      <c r="AP957" s="46"/>
      <c r="AQ957" s="46"/>
      <c r="AR957" s="46"/>
      <c r="AS957" s="46"/>
      <c r="AT957" s="46"/>
      <c r="AU957" s="46"/>
      <c r="AV957" s="46"/>
      <c r="AW957" s="46"/>
      <c r="AX957" s="46"/>
      <c r="AY957" s="46"/>
      <c r="AZ957" s="46"/>
      <c r="BA957" s="46"/>
      <c r="BB957" s="46"/>
      <c r="BC957" s="46"/>
      <c r="BD957" s="46"/>
      <c r="BE957" s="46"/>
    </row>
    <row r="958" spans="1:57" ht="14.25" customHeight="1" x14ac:dyDescent="0.3">
      <c r="A958" s="46"/>
      <c r="B958" s="37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  <c r="AA958" s="46"/>
      <c r="AB958" s="46"/>
      <c r="AC958" s="46"/>
      <c r="AD958" s="46"/>
      <c r="AE958" s="46"/>
      <c r="AF958" s="46"/>
      <c r="AG958" s="46"/>
      <c r="AH958" s="46"/>
      <c r="AI958" s="46"/>
      <c r="AJ958" s="46"/>
      <c r="AK958" s="46"/>
      <c r="AL958" s="46"/>
      <c r="AM958" s="46"/>
      <c r="AN958" s="46"/>
      <c r="AO958" s="46"/>
      <c r="AP958" s="46"/>
      <c r="AQ958" s="46"/>
      <c r="AR958" s="46"/>
      <c r="AS958" s="46"/>
      <c r="AT958" s="46"/>
      <c r="AU958" s="46"/>
      <c r="AV958" s="46"/>
      <c r="AW958" s="46"/>
      <c r="AX958" s="46"/>
      <c r="AY958" s="46"/>
      <c r="AZ958" s="46"/>
      <c r="BA958" s="46"/>
      <c r="BB958" s="46"/>
      <c r="BC958" s="46"/>
      <c r="BD958" s="46"/>
      <c r="BE958" s="46"/>
    </row>
    <row r="959" spans="1:57" ht="14.25" customHeight="1" x14ac:dyDescent="0.3">
      <c r="A959" s="46"/>
      <c r="B959" s="37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6"/>
      <c r="AB959" s="46"/>
      <c r="AC959" s="46"/>
      <c r="AD959" s="46"/>
      <c r="AE959" s="46"/>
      <c r="AF959" s="46"/>
      <c r="AG959" s="46"/>
      <c r="AH959" s="46"/>
      <c r="AI959" s="46"/>
      <c r="AJ959" s="46"/>
      <c r="AK959" s="46"/>
      <c r="AL959" s="46"/>
      <c r="AM959" s="46"/>
      <c r="AN959" s="46"/>
      <c r="AO959" s="46"/>
      <c r="AP959" s="46"/>
      <c r="AQ959" s="46"/>
      <c r="AR959" s="46"/>
      <c r="AS959" s="46"/>
      <c r="AT959" s="46"/>
      <c r="AU959" s="46"/>
      <c r="AV959" s="46"/>
      <c r="AW959" s="46"/>
      <c r="AX959" s="46"/>
      <c r="AY959" s="46"/>
      <c r="AZ959" s="46"/>
      <c r="BA959" s="46"/>
      <c r="BB959" s="46"/>
      <c r="BC959" s="46"/>
      <c r="BD959" s="46"/>
      <c r="BE959" s="46"/>
    </row>
    <row r="960" spans="1:57" ht="14.25" customHeight="1" x14ac:dyDescent="0.3">
      <c r="A960" s="46"/>
      <c r="B960" s="37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  <c r="AA960" s="46"/>
      <c r="AB960" s="46"/>
      <c r="AC960" s="46"/>
      <c r="AD960" s="46"/>
      <c r="AE960" s="46"/>
      <c r="AF960" s="46"/>
      <c r="AG960" s="46"/>
      <c r="AH960" s="46"/>
      <c r="AI960" s="46"/>
      <c r="AJ960" s="46"/>
      <c r="AK960" s="46"/>
      <c r="AL960" s="46"/>
      <c r="AM960" s="46"/>
      <c r="AN960" s="46"/>
      <c r="AO960" s="46"/>
      <c r="AP960" s="46"/>
      <c r="AQ960" s="46"/>
      <c r="AR960" s="46"/>
      <c r="AS960" s="46"/>
      <c r="AT960" s="46"/>
      <c r="AU960" s="46"/>
      <c r="AV960" s="46"/>
      <c r="AW960" s="46"/>
      <c r="AX960" s="46"/>
      <c r="AY960" s="46"/>
      <c r="AZ960" s="46"/>
      <c r="BA960" s="46"/>
      <c r="BB960" s="46"/>
      <c r="BC960" s="46"/>
      <c r="BD960" s="46"/>
      <c r="BE960" s="46"/>
    </row>
    <row r="961" spans="1:57" ht="14.25" customHeight="1" x14ac:dyDescent="0.3">
      <c r="A961" s="46"/>
      <c r="B961" s="37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  <c r="AA961" s="46"/>
      <c r="AB961" s="46"/>
      <c r="AC961" s="46"/>
      <c r="AD961" s="46"/>
      <c r="AE961" s="46"/>
      <c r="AF961" s="46"/>
      <c r="AG961" s="46"/>
      <c r="AH961" s="46"/>
      <c r="AI961" s="46"/>
      <c r="AJ961" s="46"/>
      <c r="AK961" s="46"/>
      <c r="AL961" s="46"/>
      <c r="AM961" s="46"/>
      <c r="AN961" s="46"/>
      <c r="AO961" s="46"/>
      <c r="AP961" s="46"/>
      <c r="AQ961" s="46"/>
      <c r="AR961" s="46"/>
      <c r="AS961" s="46"/>
      <c r="AT961" s="46"/>
      <c r="AU961" s="46"/>
      <c r="AV961" s="46"/>
      <c r="AW961" s="46"/>
      <c r="AX961" s="46"/>
      <c r="AY961" s="46"/>
      <c r="AZ961" s="46"/>
      <c r="BA961" s="46"/>
      <c r="BB961" s="46"/>
      <c r="BC961" s="46"/>
      <c r="BD961" s="46"/>
      <c r="BE961" s="46"/>
    </row>
    <row r="962" spans="1:57" ht="14.25" customHeight="1" x14ac:dyDescent="0.3">
      <c r="A962" s="46"/>
      <c r="B962" s="37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  <c r="AA962" s="46"/>
      <c r="AB962" s="46"/>
      <c r="AC962" s="46"/>
      <c r="AD962" s="46"/>
      <c r="AE962" s="46"/>
      <c r="AF962" s="46"/>
      <c r="AG962" s="46"/>
      <c r="AH962" s="46"/>
      <c r="AI962" s="46"/>
      <c r="AJ962" s="46"/>
      <c r="AK962" s="46"/>
      <c r="AL962" s="46"/>
      <c r="AM962" s="46"/>
      <c r="AN962" s="46"/>
      <c r="AO962" s="46"/>
      <c r="AP962" s="46"/>
      <c r="AQ962" s="46"/>
      <c r="AR962" s="46"/>
      <c r="AS962" s="46"/>
      <c r="AT962" s="46"/>
      <c r="AU962" s="46"/>
      <c r="AV962" s="46"/>
      <c r="AW962" s="46"/>
      <c r="AX962" s="46"/>
      <c r="AY962" s="46"/>
      <c r="AZ962" s="46"/>
      <c r="BA962" s="46"/>
      <c r="BB962" s="46"/>
      <c r="BC962" s="46"/>
      <c r="BD962" s="46"/>
      <c r="BE962" s="46"/>
    </row>
    <row r="963" spans="1:57" ht="14.25" customHeight="1" x14ac:dyDescent="0.3">
      <c r="A963" s="46"/>
      <c r="B963" s="37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6"/>
      <c r="AB963" s="46"/>
      <c r="AC963" s="46"/>
      <c r="AD963" s="46"/>
      <c r="AE963" s="46"/>
      <c r="AF963" s="46"/>
      <c r="AG963" s="46"/>
      <c r="AH963" s="46"/>
      <c r="AI963" s="46"/>
      <c r="AJ963" s="46"/>
      <c r="AK963" s="46"/>
      <c r="AL963" s="46"/>
      <c r="AM963" s="46"/>
      <c r="AN963" s="46"/>
      <c r="AO963" s="46"/>
      <c r="AP963" s="46"/>
      <c r="AQ963" s="46"/>
      <c r="AR963" s="46"/>
      <c r="AS963" s="46"/>
      <c r="AT963" s="46"/>
      <c r="AU963" s="46"/>
      <c r="AV963" s="46"/>
      <c r="AW963" s="46"/>
      <c r="AX963" s="46"/>
      <c r="AY963" s="46"/>
      <c r="AZ963" s="46"/>
      <c r="BA963" s="46"/>
      <c r="BB963" s="46"/>
      <c r="BC963" s="46"/>
      <c r="BD963" s="46"/>
      <c r="BE963" s="46"/>
    </row>
    <row r="964" spans="1:57" ht="14.25" customHeight="1" x14ac:dyDescent="0.3">
      <c r="A964" s="46"/>
      <c r="B964" s="37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6"/>
      <c r="AB964" s="46"/>
      <c r="AC964" s="46"/>
      <c r="AD964" s="46"/>
      <c r="AE964" s="46"/>
      <c r="AF964" s="46"/>
      <c r="AG964" s="46"/>
      <c r="AH964" s="46"/>
      <c r="AI964" s="46"/>
      <c r="AJ964" s="46"/>
      <c r="AK964" s="46"/>
      <c r="AL964" s="46"/>
      <c r="AM964" s="46"/>
      <c r="AN964" s="46"/>
      <c r="AO964" s="46"/>
      <c r="AP964" s="46"/>
      <c r="AQ964" s="46"/>
      <c r="AR964" s="46"/>
      <c r="AS964" s="46"/>
      <c r="AT964" s="46"/>
      <c r="AU964" s="46"/>
      <c r="AV964" s="46"/>
      <c r="AW964" s="46"/>
      <c r="AX964" s="46"/>
      <c r="AY964" s="46"/>
      <c r="AZ964" s="46"/>
      <c r="BA964" s="46"/>
      <c r="BB964" s="46"/>
      <c r="BC964" s="46"/>
      <c r="BD964" s="46"/>
      <c r="BE964" s="46"/>
    </row>
    <row r="965" spans="1:57" ht="14.25" customHeight="1" x14ac:dyDescent="0.3">
      <c r="A965" s="46"/>
      <c r="B965" s="37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  <c r="AA965" s="46"/>
      <c r="AB965" s="46"/>
      <c r="AC965" s="46"/>
      <c r="AD965" s="46"/>
      <c r="AE965" s="46"/>
      <c r="AF965" s="46"/>
      <c r="AG965" s="46"/>
      <c r="AH965" s="46"/>
      <c r="AI965" s="46"/>
      <c r="AJ965" s="46"/>
      <c r="AK965" s="46"/>
      <c r="AL965" s="46"/>
      <c r="AM965" s="46"/>
      <c r="AN965" s="46"/>
      <c r="AO965" s="46"/>
      <c r="AP965" s="46"/>
      <c r="AQ965" s="46"/>
      <c r="AR965" s="46"/>
      <c r="AS965" s="46"/>
      <c r="AT965" s="46"/>
      <c r="AU965" s="46"/>
      <c r="AV965" s="46"/>
      <c r="AW965" s="46"/>
      <c r="AX965" s="46"/>
      <c r="AY965" s="46"/>
      <c r="AZ965" s="46"/>
      <c r="BA965" s="46"/>
      <c r="BB965" s="46"/>
      <c r="BC965" s="46"/>
      <c r="BD965" s="46"/>
      <c r="BE965" s="46"/>
    </row>
    <row r="966" spans="1:57" ht="14.25" customHeight="1" x14ac:dyDescent="0.3">
      <c r="A966" s="46"/>
      <c r="B966" s="37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  <c r="AA966" s="46"/>
      <c r="AB966" s="46"/>
      <c r="AC966" s="46"/>
      <c r="AD966" s="46"/>
      <c r="AE966" s="46"/>
      <c r="AF966" s="46"/>
      <c r="AG966" s="46"/>
      <c r="AH966" s="46"/>
      <c r="AI966" s="46"/>
      <c r="AJ966" s="46"/>
      <c r="AK966" s="46"/>
      <c r="AL966" s="46"/>
      <c r="AM966" s="46"/>
      <c r="AN966" s="46"/>
      <c r="AO966" s="46"/>
      <c r="AP966" s="46"/>
      <c r="AQ966" s="46"/>
      <c r="AR966" s="46"/>
      <c r="AS966" s="46"/>
      <c r="AT966" s="46"/>
      <c r="AU966" s="46"/>
      <c r="AV966" s="46"/>
      <c r="AW966" s="46"/>
      <c r="AX966" s="46"/>
      <c r="AY966" s="46"/>
      <c r="AZ966" s="46"/>
      <c r="BA966" s="46"/>
      <c r="BB966" s="46"/>
      <c r="BC966" s="46"/>
      <c r="BD966" s="46"/>
      <c r="BE966" s="46"/>
    </row>
    <row r="967" spans="1:57" ht="14.25" customHeight="1" x14ac:dyDescent="0.3">
      <c r="A967" s="46"/>
      <c r="B967" s="37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  <c r="AA967" s="46"/>
      <c r="AB967" s="46"/>
      <c r="AC967" s="46"/>
      <c r="AD967" s="46"/>
      <c r="AE967" s="46"/>
      <c r="AF967" s="46"/>
      <c r="AG967" s="46"/>
      <c r="AH967" s="46"/>
      <c r="AI967" s="46"/>
      <c r="AJ967" s="46"/>
      <c r="AK967" s="46"/>
      <c r="AL967" s="46"/>
      <c r="AM967" s="46"/>
      <c r="AN967" s="46"/>
      <c r="AO967" s="46"/>
      <c r="AP967" s="46"/>
      <c r="AQ967" s="46"/>
      <c r="AR967" s="46"/>
      <c r="AS967" s="46"/>
      <c r="AT967" s="46"/>
      <c r="AU967" s="46"/>
      <c r="AV967" s="46"/>
      <c r="AW967" s="46"/>
      <c r="AX967" s="46"/>
      <c r="AY967" s="46"/>
      <c r="AZ967" s="46"/>
      <c r="BA967" s="46"/>
      <c r="BB967" s="46"/>
      <c r="BC967" s="46"/>
      <c r="BD967" s="46"/>
      <c r="BE967" s="46"/>
    </row>
    <row r="968" spans="1:57" ht="14.25" customHeight="1" x14ac:dyDescent="0.3">
      <c r="A968" s="46"/>
      <c r="B968" s="37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  <c r="AA968" s="46"/>
      <c r="AB968" s="46"/>
      <c r="AC968" s="46"/>
      <c r="AD968" s="46"/>
      <c r="AE968" s="46"/>
      <c r="AF968" s="46"/>
      <c r="AG968" s="46"/>
      <c r="AH968" s="46"/>
      <c r="AI968" s="46"/>
      <c r="AJ968" s="46"/>
      <c r="AK968" s="46"/>
      <c r="AL968" s="46"/>
      <c r="AM968" s="46"/>
      <c r="AN968" s="46"/>
      <c r="AO968" s="46"/>
      <c r="AP968" s="46"/>
      <c r="AQ968" s="46"/>
      <c r="AR968" s="46"/>
      <c r="AS968" s="46"/>
      <c r="AT968" s="46"/>
      <c r="AU968" s="46"/>
      <c r="AV968" s="46"/>
      <c r="AW968" s="46"/>
      <c r="AX968" s="46"/>
      <c r="AY968" s="46"/>
      <c r="AZ968" s="46"/>
      <c r="BA968" s="46"/>
      <c r="BB968" s="46"/>
      <c r="BC968" s="46"/>
      <c r="BD968" s="46"/>
      <c r="BE968" s="46"/>
    </row>
    <row r="969" spans="1:57" ht="14.25" customHeight="1" x14ac:dyDescent="0.3">
      <c r="A969" s="46"/>
      <c r="B969" s="37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  <c r="AA969" s="46"/>
      <c r="AB969" s="46"/>
      <c r="AC969" s="46"/>
      <c r="AD969" s="46"/>
      <c r="AE969" s="46"/>
      <c r="AF969" s="46"/>
      <c r="AG969" s="46"/>
      <c r="AH969" s="46"/>
      <c r="AI969" s="46"/>
      <c r="AJ969" s="46"/>
      <c r="AK969" s="46"/>
      <c r="AL969" s="46"/>
      <c r="AM969" s="46"/>
      <c r="AN969" s="46"/>
      <c r="AO969" s="46"/>
      <c r="AP969" s="46"/>
      <c r="AQ969" s="46"/>
      <c r="AR969" s="46"/>
      <c r="AS969" s="46"/>
      <c r="AT969" s="46"/>
      <c r="AU969" s="46"/>
      <c r="AV969" s="46"/>
      <c r="AW969" s="46"/>
      <c r="AX969" s="46"/>
      <c r="AY969" s="46"/>
      <c r="AZ969" s="46"/>
      <c r="BA969" s="46"/>
      <c r="BB969" s="46"/>
      <c r="BC969" s="46"/>
      <c r="BD969" s="46"/>
      <c r="BE969" s="46"/>
    </row>
    <row r="970" spans="1:57" ht="14.25" customHeight="1" x14ac:dyDescent="0.3">
      <c r="A970" s="46"/>
      <c r="B970" s="37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  <c r="AA970" s="46"/>
      <c r="AB970" s="46"/>
      <c r="AC970" s="46"/>
      <c r="AD970" s="46"/>
      <c r="AE970" s="46"/>
      <c r="AF970" s="46"/>
      <c r="AG970" s="46"/>
      <c r="AH970" s="46"/>
      <c r="AI970" s="46"/>
      <c r="AJ970" s="46"/>
      <c r="AK970" s="46"/>
      <c r="AL970" s="46"/>
      <c r="AM970" s="46"/>
      <c r="AN970" s="46"/>
      <c r="AO970" s="46"/>
      <c r="AP970" s="46"/>
      <c r="AQ970" s="46"/>
      <c r="AR970" s="46"/>
      <c r="AS970" s="46"/>
      <c r="AT970" s="46"/>
      <c r="AU970" s="46"/>
      <c r="AV970" s="46"/>
      <c r="AW970" s="46"/>
      <c r="AX970" s="46"/>
      <c r="AY970" s="46"/>
      <c r="AZ970" s="46"/>
      <c r="BA970" s="46"/>
      <c r="BB970" s="46"/>
      <c r="BC970" s="46"/>
      <c r="BD970" s="46"/>
      <c r="BE970" s="46"/>
    </row>
    <row r="971" spans="1:57" ht="14.25" customHeight="1" x14ac:dyDescent="0.3">
      <c r="A971" s="46"/>
      <c r="B971" s="37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  <c r="AA971" s="46"/>
      <c r="AB971" s="46"/>
      <c r="AC971" s="46"/>
      <c r="AD971" s="46"/>
      <c r="AE971" s="46"/>
      <c r="AF971" s="46"/>
      <c r="AG971" s="46"/>
      <c r="AH971" s="46"/>
      <c r="AI971" s="46"/>
      <c r="AJ971" s="46"/>
      <c r="AK971" s="46"/>
      <c r="AL971" s="46"/>
      <c r="AM971" s="46"/>
      <c r="AN971" s="46"/>
      <c r="AO971" s="46"/>
      <c r="AP971" s="46"/>
      <c r="AQ971" s="46"/>
      <c r="AR971" s="46"/>
      <c r="AS971" s="46"/>
      <c r="AT971" s="46"/>
      <c r="AU971" s="46"/>
      <c r="AV971" s="46"/>
      <c r="AW971" s="46"/>
      <c r="AX971" s="46"/>
      <c r="AY971" s="46"/>
      <c r="AZ971" s="46"/>
      <c r="BA971" s="46"/>
      <c r="BB971" s="46"/>
      <c r="BC971" s="46"/>
      <c r="BD971" s="46"/>
      <c r="BE971" s="46"/>
    </row>
    <row r="972" spans="1:57" ht="14.25" customHeight="1" x14ac:dyDescent="0.3">
      <c r="A972" s="46"/>
      <c r="B972" s="37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6"/>
      <c r="AB972" s="46"/>
      <c r="AC972" s="46"/>
      <c r="AD972" s="46"/>
      <c r="AE972" s="46"/>
      <c r="AF972" s="46"/>
      <c r="AG972" s="46"/>
      <c r="AH972" s="46"/>
      <c r="AI972" s="46"/>
      <c r="AJ972" s="46"/>
      <c r="AK972" s="46"/>
      <c r="AL972" s="46"/>
      <c r="AM972" s="46"/>
      <c r="AN972" s="46"/>
      <c r="AO972" s="46"/>
      <c r="AP972" s="46"/>
      <c r="AQ972" s="46"/>
      <c r="AR972" s="46"/>
      <c r="AS972" s="46"/>
      <c r="AT972" s="46"/>
      <c r="AU972" s="46"/>
      <c r="AV972" s="46"/>
      <c r="AW972" s="46"/>
      <c r="AX972" s="46"/>
      <c r="AY972" s="46"/>
      <c r="AZ972" s="46"/>
      <c r="BA972" s="46"/>
      <c r="BB972" s="46"/>
      <c r="BC972" s="46"/>
      <c r="BD972" s="46"/>
      <c r="BE972" s="46"/>
    </row>
    <row r="973" spans="1:57" ht="14.25" customHeight="1" x14ac:dyDescent="0.3">
      <c r="A973" s="46"/>
      <c r="B973" s="37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  <c r="AA973" s="46"/>
      <c r="AB973" s="46"/>
      <c r="AC973" s="46"/>
      <c r="AD973" s="46"/>
      <c r="AE973" s="46"/>
      <c r="AF973" s="46"/>
      <c r="AG973" s="46"/>
      <c r="AH973" s="46"/>
      <c r="AI973" s="46"/>
      <c r="AJ973" s="46"/>
      <c r="AK973" s="46"/>
      <c r="AL973" s="46"/>
      <c r="AM973" s="46"/>
      <c r="AN973" s="46"/>
      <c r="AO973" s="46"/>
      <c r="AP973" s="46"/>
      <c r="AQ973" s="46"/>
      <c r="AR973" s="46"/>
      <c r="AS973" s="46"/>
      <c r="AT973" s="46"/>
      <c r="AU973" s="46"/>
      <c r="AV973" s="46"/>
      <c r="AW973" s="46"/>
      <c r="AX973" s="46"/>
      <c r="AY973" s="46"/>
      <c r="AZ973" s="46"/>
      <c r="BA973" s="46"/>
      <c r="BB973" s="46"/>
      <c r="BC973" s="46"/>
      <c r="BD973" s="46"/>
      <c r="BE973" s="46"/>
    </row>
    <row r="974" spans="1:57" ht="14.25" customHeight="1" x14ac:dyDescent="0.3">
      <c r="A974" s="46"/>
      <c r="B974" s="37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  <c r="AA974" s="46"/>
      <c r="AB974" s="46"/>
      <c r="AC974" s="46"/>
      <c r="AD974" s="46"/>
      <c r="AE974" s="46"/>
      <c r="AF974" s="46"/>
      <c r="AG974" s="46"/>
      <c r="AH974" s="46"/>
      <c r="AI974" s="46"/>
      <c r="AJ974" s="46"/>
      <c r="AK974" s="46"/>
      <c r="AL974" s="46"/>
      <c r="AM974" s="46"/>
      <c r="AN974" s="46"/>
      <c r="AO974" s="46"/>
      <c r="AP974" s="46"/>
      <c r="AQ974" s="46"/>
      <c r="AR974" s="46"/>
      <c r="AS974" s="46"/>
      <c r="AT974" s="46"/>
      <c r="AU974" s="46"/>
      <c r="AV974" s="46"/>
      <c r="AW974" s="46"/>
      <c r="AX974" s="46"/>
      <c r="AY974" s="46"/>
      <c r="AZ974" s="46"/>
      <c r="BA974" s="46"/>
      <c r="BB974" s="46"/>
      <c r="BC974" s="46"/>
      <c r="BD974" s="46"/>
      <c r="BE974" s="46"/>
    </row>
    <row r="975" spans="1:57" ht="14.25" customHeight="1" x14ac:dyDescent="0.3">
      <c r="A975" s="46"/>
      <c r="B975" s="37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6"/>
      <c r="AB975" s="46"/>
      <c r="AC975" s="46"/>
      <c r="AD975" s="46"/>
      <c r="AE975" s="46"/>
      <c r="AF975" s="46"/>
      <c r="AG975" s="46"/>
      <c r="AH975" s="46"/>
      <c r="AI975" s="46"/>
      <c r="AJ975" s="46"/>
      <c r="AK975" s="46"/>
      <c r="AL975" s="46"/>
      <c r="AM975" s="46"/>
      <c r="AN975" s="46"/>
      <c r="AO975" s="46"/>
      <c r="AP975" s="46"/>
      <c r="AQ975" s="46"/>
      <c r="AR975" s="46"/>
      <c r="AS975" s="46"/>
      <c r="AT975" s="46"/>
      <c r="AU975" s="46"/>
      <c r="AV975" s="46"/>
      <c r="AW975" s="46"/>
      <c r="AX975" s="46"/>
      <c r="AY975" s="46"/>
      <c r="AZ975" s="46"/>
      <c r="BA975" s="46"/>
      <c r="BB975" s="46"/>
      <c r="BC975" s="46"/>
      <c r="BD975" s="46"/>
      <c r="BE975" s="46"/>
    </row>
    <row r="976" spans="1:57" ht="14.25" customHeight="1" x14ac:dyDescent="0.3">
      <c r="A976" s="46"/>
      <c r="B976" s="37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  <c r="AA976" s="46"/>
      <c r="AB976" s="46"/>
      <c r="AC976" s="46"/>
      <c r="AD976" s="46"/>
      <c r="AE976" s="46"/>
      <c r="AF976" s="46"/>
      <c r="AG976" s="46"/>
      <c r="AH976" s="46"/>
      <c r="AI976" s="46"/>
      <c r="AJ976" s="46"/>
      <c r="AK976" s="46"/>
      <c r="AL976" s="46"/>
      <c r="AM976" s="46"/>
      <c r="AN976" s="46"/>
      <c r="AO976" s="46"/>
      <c r="AP976" s="46"/>
      <c r="AQ976" s="46"/>
      <c r="AR976" s="46"/>
      <c r="AS976" s="46"/>
      <c r="AT976" s="46"/>
      <c r="AU976" s="46"/>
      <c r="AV976" s="46"/>
      <c r="AW976" s="46"/>
      <c r="AX976" s="46"/>
      <c r="AY976" s="46"/>
      <c r="AZ976" s="46"/>
      <c r="BA976" s="46"/>
      <c r="BB976" s="46"/>
      <c r="BC976" s="46"/>
      <c r="BD976" s="46"/>
      <c r="BE976" s="46"/>
    </row>
    <row r="977" spans="1:57" ht="14.25" customHeight="1" x14ac:dyDescent="0.3">
      <c r="A977" s="46"/>
      <c r="B977" s="37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  <c r="AA977" s="46"/>
      <c r="AB977" s="46"/>
      <c r="AC977" s="46"/>
      <c r="AD977" s="46"/>
      <c r="AE977" s="46"/>
      <c r="AF977" s="46"/>
      <c r="AG977" s="46"/>
      <c r="AH977" s="46"/>
      <c r="AI977" s="46"/>
      <c r="AJ977" s="46"/>
      <c r="AK977" s="46"/>
      <c r="AL977" s="46"/>
      <c r="AM977" s="46"/>
      <c r="AN977" s="46"/>
      <c r="AO977" s="46"/>
      <c r="AP977" s="46"/>
      <c r="AQ977" s="46"/>
      <c r="AR977" s="46"/>
      <c r="AS977" s="46"/>
      <c r="AT977" s="46"/>
      <c r="AU977" s="46"/>
      <c r="AV977" s="46"/>
      <c r="AW977" s="46"/>
      <c r="AX977" s="46"/>
      <c r="AY977" s="46"/>
      <c r="AZ977" s="46"/>
      <c r="BA977" s="46"/>
      <c r="BB977" s="46"/>
      <c r="BC977" s="46"/>
      <c r="BD977" s="46"/>
      <c r="BE977" s="46"/>
    </row>
    <row r="978" spans="1:57" ht="14.25" customHeight="1" x14ac:dyDescent="0.3">
      <c r="A978" s="46"/>
      <c r="B978" s="37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  <c r="AA978" s="46"/>
      <c r="AB978" s="46"/>
      <c r="AC978" s="46"/>
      <c r="AD978" s="46"/>
      <c r="AE978" s="46"/>
      <c r="AF978" s="46"/>
      <c r="AG978" s="46"/>
      <c r="AH978" s="46"/>
      <c r="AI978" s="46"/>
      <c r="AJ978" s="46"/>
      <c r="AK978" s="46"/>
      <c r="AL978" s="46"/>
      <c r="AM978" s="46"/>
      <c r="AN978" s="46"/>
      <c r="AO978" s="46"/>
      <c r="AP978" s="46"/>
      <c r="AQ978" s="46"/>
      <c r="AR978" s="46"/>
      <c r="AS978" s="46"/>
      <c r="AT978" s="46"/>
      <c r="AU978" s="46"/>
      <c r="AV978" s="46"/>
      <c r="AW978" s="46"/>
      <c r="AX978" s="46"/>
      <c r="AY978" s="46"/>
      <c r="AZ978" s="46"/>
      <c r="BA978" s="46"/>
      <c r="BB978" s="46"/>
      <c r="BC978" s="46"/>
      <c r="BD978" s="46"/>
      <c r="BE978" s="46"/>
    </row>
    <row r="979" spans="1:57" ht="14.25" customHeight="1" x14ac:dyDescent="0.3">
      <c r="A979" s="46"/>
      <c r="B979" s="37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  <c r="AA979" s="46"/>
      <c r="AB979" s="46"/>
      <c r="AC979" s="46"/>
      <c r="AD979" s="46"/>
      <c r="AE979" s="46"/>
      <c r="AF979" s="46"/>
      <c r="AG979" s="46"/>
      <c r="AH979" s="46"/>
      <c r="AI979" s="46"/>
      <c r="AJ979" s="46"/>
      <c r="AK979" s="46"/>
      <c r="AL979" s="46"/>
      <c r="AM979" s="46"/>
      <c r="AN979" s="46"/>
      <c r="AO979" s="46"/>
      <c r="AP979" s="46"/>
      <c r="AQ979" s="46"/>
      <c r="AR979" s="46"/>
      <c r="AS979" s="46"/>
      <c r="AT979" s="46"/>
      <c r="AU979" s="46"/>
      <c r="AV979" s="46"/>
      <c r="AW979" s="46"/>
      <c r="AX979" s="46"/>
      <c r="AY979" s="46"/>
      <c r="AZ979" s="46"/>
      <c r="BA979" s="46"/>
      <c r="BB979" s="46"/>
      <c r="BC979" s="46"/>
      <c r="BD979" s="46"/>
      <c r="BE979" s="46"/>
    </row>
    <row r="980" spans="1:57" ht="14.25" customHeight="1" x14ac:dyDescent="0.3">
      <c r="A980" s="46"/>
      <c r="B980" s="37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  <c r="AA980" s="46"/>
      <c r="AB980" s="46"/>
      <c r="AC980" s="46"/>
      <c r="AD980" s="46"/>
      <c r="AE980" s="46"/>
      <c r="AF980" s="46"/>
      <c r="AG980" s="46"/>
      <c r="AH980" s="46"/>
      <c r="AI980" s="46"/>
      <c r="AJ980" s="46"/>
      <c r="AK980" s="46"/>
      <c r="AL980" s="46"/>
      <c r="AM980" s="46"/>
      <c r="AN980" s="46"/>
      <c r="AO980" s="46"/>
      <c r="AP980" s="46"/>
      <c r="AQ980" s="46"/>
      <c r="AR980" s="46"/>
      <c r="AS980" s="46"/>
      <c r="AT980" s="46"/>
      <c r="AU980" s="46"/>
      <c r="AV980" s="46"/>
      <c r="AW980" s="46"/>
      <c r="AX980" s="46"/>
      <c r="AY980" s="46"/>
      <c r="AZ980" s="46"/>
      <c r="BA980" s="46"/>
      <c r="BB980" s="46"/>
      <c r="BC980" s="46"/>
      <c r="BD980" s="46"/>
      <c r="BE980" s="46"/>
    </row>
    <row r="981" spans="1:57" ht="14.25" customHeight="1" x14ac:dyDescent="0.3">
      <c r="A981" s="46"/>
      <c r="B981" s="37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  <c r="AA981" s="46"/>
      <c r="AB981" s="46"/>
      <c r="AC981" s="46"/>
      <c r="AD981" s="46"/>
      <c r="AE981" s="46"/>
      <c r="AF981" s="46"/>
      <c r="AG981" s="46"/>
      <c r="AH981" s="46"/>
      <c r="AI981" s="46"/>
      <c r="AJ981" s="46"/>
      <c r="AK981" s="46"/>
      <c r="AL981" s="46"/>
      <c r="AM981" s="46"/>
      <c r="AN981" s="46"/>
      <c r="AO981" s="46"/>
      <c r="AP981" s="46"/>
      <c r="AQ981" s="46"/>
      <c r="AR981" s="46"/>
      <c r="AS981" s="46"/>
      <c r="AT981" s="46"/>
      <c r="AU981" s="46"/>
      <c r="AV981" s="46"/>
      <c r="AW981" s="46"/>
      <c r="AX981" s="46"/>
      <c r="AY981" s="46"/>
      <c r="AZ981" s="46"/>
      <c r="BA981" s="46"/>
      <c r="BB981" s="46"/>
      <c r="BC981" s="46"/>
      <c r="BD981" s="46"/>
      <c r="BE981" s="46"/>
    </row>
    <row r="982" spans="1:57" ht="14.25" customHeight="1" x14ac:dyDescent="0.3">
      <c r="A982" s="46"/>
      <c r="B982" s="37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  <c r="AA982" s="46"/>
      <c r="AB982" s="46"/>
      <c r="AC982" s="46"/>
      <c r="AD982" s="46"/>
      <c r="AE982" s="46"/>
      <c r="AF982" s="46"/>
      <c r="AG982" s="46"/>
      <c r="AH982" s="46"/>
      <c r="AI982" s="46"/>
      <c r="AJ982" s="46"/>
      <c r="AK982" s="46"/>
      <c r="AL982" s="46"/>
      <c r="AM982" s="46"/>
      <c r="AN982" s="46"/>
      <c r="AO982" s="46"/>
      <c r="AP982" s="46"/>
      <c r="AQ982" s="46"/>
      <c r="AR982" s="46"/>
      <c r="AS982" s="46"/>
      <c r="AT982" s="46"/>
      <c r="AU982" s="46"/>
      <c r="AV982" s="46"/>
      <c r="AW982" s="46"/>
      <c r="AX982" s="46"/>
      <c r="AY982" s="46"/>
      <c r="AZ982" s="46"/>
      <c r="BA982" s="46"/>
      <c r="BB982" s="46"/>
      <c r="BC982" s="46"/>
      <c r="BD982" s="46"/>
      <c r="BE982" s="46"/>
    </row>
    <row r="983" spans="1:57" ht="14.25" customHeight="1" x14ac:dyDescent="0.3">
      <c r="A983" s="46"/>
      <c r="B983" s="37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  <c r="AA983" s="46"/>
      <c r="AB983" s="46"/>
      <c r="AC983" s="46"/>
      <c r="AD983" s="46"/>
      <c r="AE983" s="46"/>
      <c r="AF983" s="46"/>
      <c r="AG983" s="46"/>
      <c r="AH983" s="46"/>
      <c r="AI983" s="46"/>
      <c r="AJ983" s="46"/>
      <c r="AK983" s="46"/>
      <c r="AL983" s="46"/>
      <c r="AM983" s="46"/>
      <c r="AN983" s="46"/>
      <c r="AO983" s="46"/>
      <c r="AP983" s="46"/>
      <c r="AQ983" s="46"/>
      <c r="AR983" s="46"/>
      <c r="AS983" s="46"/>
      <c r="AT983" s="46"/>
      <c r="AU983" s="46"/>
      <c r="AV983" s="46"/>
      <c r="AW983" s="46"/>
      <c r="AX983" s="46"/>
      <c r="AY983" s="46"/>
      <c r="AZ983" s="46"/>
      <c r="BA983" s="46"/>
      <c r="BB983" s="46"/>
      <c r="BC983" s="46"/>
      <c r="BD983" s="46"/>
      <c r="BE983" s="46"/>
    </row>
    <row r="984" spans="1:57" ht="14.25" customHeight="1" x14ac:dyDescent="0.3">
      <c r="A984" s="46"/>
      <c r="B984" s="37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  <c r="AA984" s="46"/>
      <c r="AB984" s="46"/>
      <c r="AC984" s="46"/>
      <c r="AD984" s="46"/>
      <c r="AE984" s="46"/>
      <c r="AF984" s="46"/>
      <c r="AG984" s="46"/>
      <c r="AH984" s="46"/>
      <c r="AI984" s="46"/>
      <c r="AJ984" s="46"/>
      <c r="AK984" s="46"/>
      <c r="AL984" s="46"/>
      <c r="AM984" s="46"/>
      <c r="AN984" s="46"/>
      <c r="AO984" s="46"/>
      <c r="AP984" s="46"/>
      <c r="AQ984" s="46"/>
      <c r="AR984" s="46"/>
      <c r="AS984" s="46"/>
      <c r="AT984" s="46"/>
      <c r="AU984" s="46"/>
      <c r="AV984" s="46"/>
      <c r="AW984" s="46"/>
      <c r="AX984" s="46"/>
      <c r="AY984" s="46"/>
      <c r="AZ984" s="46"/>
      <c r="BA984" s="46"/>
      <c r="BB984" s="46"/>
      <c r="BC984" s="46"/>
      <c r="BD984" s="46"/>
      <c r="BE984" s="46"/>
    </row>
    <row r="985" spans="1:57" ht="14.25" customHeight="1" x14ac:dyDescent="0.3">
      <c r="A985" s="46"/>
      <c r="B985" s="37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  <c r="AA985" s="46"/>
      <c r="AB985" s="46"/>
      <c r="AC985" s="46"/>
      <c r="AD985" s="46"/>
      <c r="AE985" s="46"/>
      <c r="AF985" s="46"/>
      <c r="AG985" s="46"/>
      <c r="AH985" s="46"/>
      <c r="AI985" s="46"/>
      <c r="AJ985" s="46"/>
      <c r="AK985" s="46"/>
      <c r="AL985" s="46"/>
      <c r="AM985" s="46"/>
      <c r="AN985" s="46"/>
      <c r="AO985" s="46"/>
      <c r="AP985" s="46"/>
      <c r="AQ985" s="46"/>
      <c r="AR985" s="46"/>
      <c r="AS985" s="46"/>
      <c r="AT985" s="46"/>
      <c r="AU985" s="46"/>
      <c r="AV985" s="46"/>
      <c r="AW985" s="46"/>
      <c r="AX985" s="46"/>
      <c r="AY985" s="46"/>
      <c r="AZ985" s="46"/>
      <c r="BA985" s="46"/>
      <c r="BB985" s="46"/>
      <c r="BC985" s="46"/>
      <c r="BD985" s="46"/>
      <c r="BE985" s="46"/>
    </row>
    <row r="986" spans="1:57" ht="14.25" customHeight="1" x14ac:dyDescent="0.3">
      <c r="A986" s="46"/>
      <c r="B986" s="37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  <c r="AA986" s="46"/>
      <c r="AB986" s="46"/>
      <c r="AC986" s="46"/>
      <c r="AD986" s="46"/>
      <c r="AE986" s="46"/>
      <c r="AF986" s="46"/>
      <c r="AG986" s="46"/>
      <c r="AH986" s="46"/>
      <c r="AI986" s="46"/>
      <c r="AJ986" s="46"/>
      <c r="AK986" s="46"/>
      <c r="AL986" s="46"/>
      <c r="AM986" s="46"/>
      <c r="AN986" s="46"/>
      <c r="AO986" s="46"/>
      <c r="AP986" s="46"/>
      <c r="AQ986" s="46"/>
      <c r="AR986" s="46"/>
      <c r="AS986" s="46"/>
      <c r="AT986" s="46"/>
      <c r="AU986" s="46"/>
      <c r="AV986" s="46"/>
      <c r="AW986" s="46"/>
      <c r="AX986" s="46"/>
      <c r="AY986" s="46"/>
      <c r="AZ986" s="46"/>
      <c r="BA986" s="46"/>
      <c r="BB986" s="46"/>
      <c r="BC986" s="46"/>
      <c r="BD986" s="46"/>
      <c r="BE986" s="46"/>
    </row>
    <row r="987" spans="1:57" ht="14.25" customHeight="1" x14ac:dyDescent="0.3">
      <c r="A987" s="46"/>
      <c r="B987" s="37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  <c r="AA987" s="46"/>
      <c r="AB987" s="46"/>
      <c r="AC987" s="46"/>
      <c r="AD987" s="46"/>
      <c r="AE987" s="46"/>
      <c r="AF987" s="46"/>
      <c r="AG987" s="46"/>
      <c r="AH987" s="46"/>
      <c r="AI987" s="46"/>
      <c r="AJ987" s="46"/>
      <c r="AK987" s="46"/>
      <c r="AL987" s="46"/>
      <c r="AM987" s="46"/>
      <c r="AN987" s="46"/>
      <c r="AO987" s="46"/>
      <c r="AP987" s="46"/>
      <c r="AQ987" s="46"/>
      <c r="AR987" s="46"/>
      <c r="AS987" s="46"/>
      <c r="AT987" s="46"/>
      <c r="AU987" s="46"/>
      <c r="AV987" s="46"/>
      <c r="AW987" s="46"/>
      <c r="AX987" s="46"/>
      <c r="AY987" s="46"/>
      <c r="AZ987" s="46"/>
      <c r="BA987" s="46"/>
      <c r="BB987" s="46"/>
      <c r="BC987" s="46"/>
      <c r="BD987" s="46"/>
      <c r="BE987" s="46"/>
    </row>
    <row r="988" spans="1:57" ht="14.25" customHeight="1" x14ac:dyDescent="0.3">
      <c r="A988" s="46"/>
      <c r="B988" s="37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  <c r="AA988" s="46"/>
      <c r="AB988" s="46"/>
      <c r="AC988" s="46"/>
      <c r="AD988" s="46"/>
      <c r="AE988" s="46"/>
      <c r="AF988" s="46"/>
      <c r="AG988" s="46"/>
      <c r="AH988" s="46"/>
      <c r="AI988" s="46"/>
      <c r="AJ988" s="46"/>
      <c r="AK988" s="46"/>
      <c r="AL988" s="46"/>
      <c r="AM988" s="46"/>
      <c r="AN988" s="46"/>
      <c r="AO988" s="46"/>
      <c r="AP988" s="46"/>
      <c r="AQ988" s="46"/>
      <c r="AR988" s="46"/>
      <c r="AS988" s="46"/>
      <c r="AT988" s="46"/>
      <c r="AU988" s="46"/>
      <c r="AV988" s="46"/>
      <c r="AW988" s="46"/>
      <c r="AX988" s="46"/>
      <c r="AY988" s="46"/>
      <c r="AZ988" s="46"/>
      <c r="BA988" s="46"/>
      <c r="BB988" s="46"/>
      <c r="BC988" s="46"/>
      <c r="BD988" s="46"/>
      <c r="BE988" s="46"/>
    </row>
    <row r="989" spans="1:57" ht="14.25" customHeight="1" x14ac:dyDescent="0.3">
      <c r="A989" s="46"/>
      <c r="B989" s="37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  <c r="AA989" s="46"/>
      <c r="AB989" s="46"/>
      <c r="AC989" s="46"/>
      <c r="AD989" s="46"/>
      <c r="AE989" s="46"/>
      <c r="AF989" s="46"/>
      <c r="AG989" s="46"/>
      <c r="AH989" s="46"/>
      <c r="AI989" s="46"/>
      <c r="AJ989" s="46"/>
      <c r="AK989" s="46"/>
      <c r="AL989" s="46"/>
      <c r="AM989" s="46"/>
      <c r="AN989" s="46"/>
      <c r="AO989" s="46"/>
      <c r="AP989" s="46"/>
      <c r="AQ989" s="46"/>
      <c r="AR989" s="46"/>
      <c r="AS989" s="46"/>
      <c r="AT989" s="46"/>
      <c r="AU989" s="46"/>
      <c r="AV989" s="46"/>
      <c r="AW989" s="46"/>
      <c r="AX989" s="46"/>
      <c r="AY989" s="46"/>
      <c r="AZ989" s="46"/>
      <c r="BA989" s="46"/>
      <c r="BB989" s="46"/>
      <c r="BC989" s="46"/>
      <c r="BD989" s="46"/>
      <c r="BE989" s="46"/>
    </row>
    <row r="990" spans="1:57" ht="14.25" customHeight="1" x14ac:dyDescent="0.3">
      <c r="A990" s="46"/>
      <c r="B990" s="37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  <c r="AA990" s="46"/>
      <c r="AB990" s="46"/>
      <c r="AC990" s="46"/>
      <c r="AD990" s="46"/>
      <c r="AE990" s="46"/>
      <c r="AF990" s="46"/>
      <c r="AG990" s="46"/>
      <c r="AH990" s="46"/>
      <c r="AI990" s="46"/>
      <c r="AJ990" s="46"/>
      <c r="AK990" s="46"/>
      <c r="AL990" s="46"/>
      <c r="AM990" s="46"/>
      <c r="AN990" s="46"/>
      <c r="AO990" s="46"/>
      <c r="AP990" s="46"/>
      <c r="AQ990" s="46"/>
      <c r="AR990" s="46"/>
      <c r="AS990" s="46"/>
      <c r="AT990" s="46"/>
      <c r="AU990" s="46"/>
      <c r="AV990" s="46"/>
      <c r="AW990" s="46"/>
      <c r="AX990" s="46"/>
      <c r="AY990" s="46"/>
      <c r="AZ990" s="46"/>
      <c r="BA990" s="46"/>
      <c r="BB990" s="46"/>
      <c r="BC990" s="46"/>
      <c r="BD990" s="46"/>
      <c r="BE990" s="46"/>
    </row>
    <row r="991" spans="1:57" ht="14.25" customHeight="1" x14ac:dyDescent="0.3">
      <c r="A991" s="46"/>
      <c r="B991" s="37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  <c r="AA991" s="46"/>
      <c r="AB991" s="46"/>
      <c r="AC991" s="46"/>
      <c r="AD991" s="46"/>
      <c r="AE991" s="46"/>
      <c r="AF991" s="46"/>
      <c r="AG991" s="46"/>
      <c r="AH991" s="46"/>
      <c r="AI991" s="46"/>
      <c r="AJ991" s="46"/>
      <c r="AK991" s="46"/>
      <c r="AL991" s="46"/>
      <c r="AM991" s="46"/>
      <c r="AN991" s="46"/>
      <c r="AO991" s="46"/>
      <c r="AP991" s="46"/>
      <c r="AQ991" s="46"/>
      <c r="AR991" s="46"/>
      <c r="AS991" s="46"/>
      <c r="AT991" s="46"/>
      <c r="AU991" s="46"/>
      <c r="AV991" s="46"/>
      <c r="AW991" s="46"/>
      <c r="AX991" s="46"/>
      <c r="AY991" s="46"/>
      <c r="AZ991" s="46"/>
      <c r="BA991" s="46"/>
      <c r="BB991" s="46"/>
      <c r="BC991" s="46"/>
      <c r="BD991" s="46"/>
      <c r="BE991" s="46"/>
    </row>
    <row r="992" spans="1:57" ht="14.25" customHeight="1" x14ac:dyDescent="0.3">
      <c r="A992" s="46"/>
      <c r="B992" s="37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  <c r="AA992" s="46"/>
      <c r="AB992" s="46"/>
      <c r="AC992" s="46"/>
      <c r="AD992" s="46"/>
      <c r="AE992" s="46"/>
      <c r="AF992" s="46"/>
      <c r="AG992" s="46"/>
      <c r="AH992" s="46"/>
      <c r="AI992" s="46"/>
      <c r="AJ992" s="46"/>
      <c r="AK992" s="46"/>
      <c r="AL992" s="46"/>
      <c r="AM992" s="46"/>
      <c r="AN992" s="46"/>
      <c r="AO992" s="46"/>
      <c r="AP992" s="46"/>
      <c r="AQ992" s="46"/>
      <c r="AR992" s="46"/>
      <c r="AS992" s="46"/>
      <c r="AT992" s="46"/>
      <c r="AU992" s="46"/>
      <c r="AV992" s="46"/>
      <c r="AW992" s="46"/>
      <c r="AX992" s="46"/>
      <c r="AY992" s="46"/>
      <c r="AZ992" s="46"/>
      <c r="BA992" s="46"/>
      <c r="BB992" s="46"/>
      <c r="BC992" s="46"/>
      <c r="BD992" s="46"/>
      <c r="BE992" s="46"/>
    </row>
    <row r="993" spans="1:57" ht="14.25" customHeight="1" x14ac:dyDescent="0.3">
      <c r="A993" s="46"/>
      <c r="B993" s="37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  <c r="AA993" s="46"/>
      <c r="AB993" s="46"/>
      <c r="AC993" s="46"/>
      <c r="AD993" s="46"/>
      <c r="AE993" s="46"/>
      <c r="AF993" s="46"/>
      <c r="AG993" s="46"/>
      <c r="AH993" s="46"/>
      <c r="AI993" s="46"/>
      <c r="AJ993" s="46"/>
      <c r="AK993" s="46"/>
      <c r="AL993" s="46"/>
      <c r="AM993" s="46"/>
      <c r="AN993" s="46"/>
      <c r="AO993" s="46"/>
      <c r="AP993" s="46"/>
      <c r="AQ993" s="46"/>
      <c r="AR993" s="46"/>
      <c r="AS993" s="46"/>
      <c r="AT993" s="46"/>
      <c r="AU993" s="46"/>
      <c r="AV993" s="46"/>
      <c r="AW993" s="46"/>
      <c r="AX993" s="46"/>
      <c r="AY993" s="46"/>
      <c r="AZ993" s="46"/>
      <c r="BA993" s="46"/>
      <c r="BB993" s="46"/>
      <c r="BC993" s="46"/>
      <c r="BD993" s="46"/>
      <c r="BE993" s="46"/>
    </row>
    <row r="994" spans="1:57" ht="14.25" customHeight="1" x14ac:dyDescent="0.3">
      <c r="A994" s="46"/>
      <c r="B994" s="37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  <c r="AA994" s="46"/>
      <c r="AB994" s="46"/>
      <c r="AC994" s="46"/>
      <c r="AD994" s="46"/>
      <c r="AE994" s="46"/>
      <c r="AF994" s="46"/>
      <c r="AG994" s="46"/>
      <c r="AH994" s="46"/>
      <c r="AI994" s="46"/>
      <c r="AJ994" s="46"/>
      <c r="AK994" s="46"/>
      <c r="AL994" s="46"/>
      <c r="AM994" s="46"/>
      <c r="AN994" s="46"/>
      <c r="AO994" s="46"/>
      <c r="AP994" s="46"/>
      <c r="AQ994" s="46"/>
      <c r="AR994" s="46"/>
      <c r="AS994" s="46"/>
      <c r="AT994" s="46"/>
      <c r="AU994" s="46"/>
      <c r="AV994" s="46"/>
      <c r="AW994" s="46"/>
      <c r="AX994" s="46"/>
      <c r="AY994" s="46"/>
      <c r="AZ994" s="46"/>
      <c r="BA994" s="46"/>
      <c r="BB994" s="46"/>
      <c r="BC994" s="46"/>
      <c r="BD994" s="46"/>
      <c r="BE994" s="46"/>
    </row>
    <row r="995" spans="1:57" ht="14.25" customHeight="1" x14ac:dyDescent="0.3">
      <c r="A995" s="46"/>
      <c r="B995" s="37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  <c r="AA995" s="46"/>
      <c r="AB995" s="46"/>
      <c r="AC995" s="46"/>
      <c r="AD995" s="46"/>
      <c r="AE995" s="46"/>
      <c r="AF995" s="46"/>
      <c r="AG995" s="46"/>
      <c r="AH995" s="46"/>
      <c r="AI995" s="46"/>
      <c r="AJ995" s="46"/>
      <c r="AK995" s="46"/>
      <c r="AL995" s="46"/>
      <c r="AM995" s="46"/>
      <c r="AN995" s="46"/>
      <c r="AO995" s="46"/>
      <c r="AP995" s="46"/>
      <c r="AQ995" s="46"/>
      <c r="AR995" s="46"/>
      <c r="AS995" s="46"/>
      <c r="AT995" s="46"/>
      <c r="AU995" s="46"/>
      <c r="AV995" s="46"/>
      <c r="AW995" s="46"/>
      <c r="AX995" s="46"/>
      <c r="AY995" s="46"/>
      <c r="AZ995" s="46"/>
      <c r="BA995" s="46"/>
      <c r="BB995" s="46"/>
      <c r="BC995" s="46"/>
      <c r="BD995" s="46"/>
      <c r="BE995" s="46"/>
    </row>
    <row r="996" spans="1:57" ht="14.25" customHeight="1" x14ac:dyDescent="0.3">
      <c r="A996" s="46"/>
      <c r="B996" s="37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  <c r="AA996" s="46"/>
      <c r="AB996" s="46"/>
      <c r="AC996" s="46"/>
      <c r="AD996" s="46"/>
      <c r="AE996" s="46"/>
      <c r="AF996" s="46"/>
      <c r="AG996" s="46"/>
      <c r="AH996" s="46"/>
      <c r="AI996" s="46"/>
      <c r="AJ996" s="46"/>
      <c r="AK996" s="46"/>
      <c r="AL996" s="46"/>
      <c r="AM996" s="46"/>
      <c r="AN996" s="46"/>
      <c r="AO996" s="46"/>
      <c r="AP996" s="46"/>
      <c r="AQ996" s="46"/>
      <c r="AR996" s="46"/>
      <c r="AS996" s="46"/>
      <c r="AT996" s="46"/>
      <c r="AU996" s="46"/>
      <c r="AV996" s="46"/>
      <c r="AW996" s="46"/>
      <c r="AX996" s="46"/>
      <c r="AY996" s="46"/>
      <c r="AZ996" s="46"/>
      <c r="BA996" s="46"/>
      <c r="BB996" s="46"/>
      <c r="BC996" s="46"/>
      <c r="BD996" s="46"/>
      <c r="BE996" s="46"/>
    </row>
    <row r="997" spans="1:57" ht="14.25" customHeight="1" x14ac:dyDescent="0.3">
      <c r="A997" s="46"/>
      <c r="B997" s="37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  <c r="AA997" s="46"/>
      <c r="AB997" s="46"/>
      <c r="AC997" s="46"/>
      <c r="AD997" s="46"/>
      <c r="AE997" s="46"/>
      <c r="AF997" s="46"/>
      <c r="AG997" s="46"/>
      <c r="AH997" s="46"/>
      <c r="AI997" s="46"/>
      <c r="AJ997" s="46"/>
      <c r="AK997" s="46"/>
      <c r="AL997" s="46"/>
      <c r="AM997" s="46"/>
      <c r="AN997" s="46"/>
      <c r="AO997" s="46"/>
      <c r="AP997" s="46"/>
      <c r="AQ997" s="46"/>
      <c r="AR997" s="46"/>
      <c r="AS997" s="46"/>
      <c r="AT997" s="46"/>
      <c r="AU997" s="46"/>
      <c r="AV997" s="46"/>
      <c r="AW997" s="46"/>
      <c r="AX997" s="46"/>
      <c r="AY997" s="46"/>
      <c r="AZ997" s="46"/>
      <c r="BA997" s="46"/>
      <c r="BB997" s="46"/>
      <c r="BC997" s="46"/>
      <c r="BD997" s="46"/>
      <c r="BE997" s="46"/>
    </row>
    <row r="998" spans="1:57" ht="14.25" customHeight="1" x14ac:dyDescent="0.3">
      <c r="A998" s="46"/>
      <c r="B998" s="37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  <c r="AA998" s="46"/>
      <c r="AB998" s="46"/>
      <c r="AC998" s="46"/>
      <c r="AD998" s="46"/>
      <c r="AE998" s="46"/>
      <c r="AF998" s="46"/>
      <c r="AG998" s="46"/>
      <c r="AH998" s="46"/>
      <c r="AI998" s="46"/>
      <c r="AJ998" s="46"/>
      <c r="AK998" s="46"/>
      <c r="AL998" s="46"/>
      <c r="AM998" s="46"/>
      <c r="AN998" s="46"/>
      <c r="AO998" s="46"/>
      <c r="AP998" s="46"/>
      <c r="AQ998" s="46"/>
      <c r="AR998" s="46"/>
      <c r="AS998" s="46"/>
      <c r="AT998" s="46"/>
      <c r="AU998" s="46"/>
      <c r="AV998" s="46"/>
      <c r="AW998" s="46"/>
      <c r="AX998" s="46"/>
      <c r="AY998" s="46"/>
      <c r="AZ998" s="46"/>
      <c r="BA998" s="46"/>
      <c r="BB998" s="46"/>
      <c r="BC998" s="46"/>
      <c r="BD998" s="46"/>
      <c r="BE998" s="46"/>
    </row>
    <row r="999" spans="1:57" ht="14.25" customHeight="1" x14ac:dyDescent="0.3">
      <c r="A999" s="46"/>
      <c r="B999" s="37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  <c r="AA999" s="46"/>
      <c r="AB999" s="46"/>
      <c r="AC999" s="46"/>
      <c r="AD999" s="46"/>
      <c r="AE999" s="46"/>
      <c r="AF999" s="46"/>
      <c r="AG999" s="46"/>
      <c r="AH999" s="46"/>
      <c r="AI999" s="46"/>
      <c r="AJ999" s="46"/>
      <c r="AK999" s="46"/>
      <c r="AL999" s="46"/>
      <c r="AM999" s="46"/>
      <c r="AN999" s="46"/>
      <c r="AO999" s="46"/>
      <c r="AP999" s="46"/>
      <c r="AQ999" s="46"/>
      <c r="AR999" s="46"/>
      <c r="AS999" s="46"/>
      <c r="AT999" s="46"/>
      <c r="AU999" s="46"/>
      <c r="AV999" s="46"/>
      <c r="AW999" s="46"/>
      <c r="AX999" s="46"/>
      <c r="AY999" s="46"/>
      <c r="AZ999" s="46"/>
      <c r="BA999" s="46"/>
      <c r="BB999" s="46"/>
      <c r="BC999" s="46"/>
      <c r="BD999" s="46"/>
      <c r="BE999" s="46"/>
    </row>
    <row r="1000" spans="1:57" ht="14.25" customHeight="1" x14ac:dyDescent="0.3">
      <c r="A1000" s="46"/>
      <c r="B1000" s="37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  <c r="AA1000" s="46"/>
      <c r="AB1000" s="46"/>
      <c r="AC1000" s="46"/>
      <c r="AD1000" s="46"/>
      <c r="AE1000" s="46"/>
      <c r="AF1000" s="46"/>
      <c r="AG1000" s="46"/>
      <c r="AH1000" s="46"/>
      <c r="AI1000" s="46"/>
      <c r="AJ1000" s="46"/>
      <c r="AK1000" s="46"/>
      <c r="AL1000" s="46"/>
      <c r="AM1000" s="46"/>
      <c r="AN1000" s="46"/>
      <c r="AO1000" s="46"/>
      <c r="AP1000" s="46"/>
      <c r="AQ1000" s="46"/>
      <c r="AR1000" s="46"/>
      <c r="AS1000" s="46"/>
      <c r="AT1000" s="46"/>
      <c r="AU1000" s="46"/>
      <c r="AV1000" s="46"/>
      <c r="AW1000" s="46"/>
      <c r="AX1000" s="46"/>
      <c r="AY1000" s="46"/>
      <c r="AZ1000" s="46"/>
      <c r="BA1000" s="46"/>
      <c r="BB1000" s="46"/>
      <c r="BC1000" s="46"/>
      <c r="BD1000" s="46"/>
      <c r="BE1000" s="46"/>
    </row>
    <row r="1001" spans="1:57" ht="14.25" customHeight="1" x14ac:dyDescent="0.3">
      <c r="A1001" s="46"/>
      <c r="B1001" s="37"/>
      <c r="C1001" s="46"/>
      <c r="D1001" s="46"/>
      <c r="E1001" s="46"/>
      <c r="F1001" s="46"/>
      <c r="G1001" s="46"/>
      <c r="H1001" s="46"/>
      <c r="I1001" s="46"/>
      <c r="J1001" s="46"/>
      <c r="K1001" s="46"/>
      <c r="L1001" s="46"/>
      <c r="M1001" s="46"/>
      <c r="N1001" s="46"/>
      <c r="O1001" s="46"/>
      <c r="P1001" s="46"/>
      <c r="Q1001" s="46"/>
      <c r="R1001" s="46"/>
      <c r="S1001" s="46"/>
      <c r="T1001" s="46"/>
      <c r="U1001" s="46"/>
      <c r="V1001" s="46"/>
      <c r="W1001" s="46"/>
      <c r="X1001" s="46"/>
      <c r="Y1001" s="46"/>
      <c r="Z1001" s="46"/>
      <c r="AA1001" s="46"/>
      <c r="AB1001" s="46"/>
      <c r="AC1001" s="46"/>
      <c r="AD1001" s="46"/>
      <c r="AE1001" s="46"/>
      <c r="AF1001" s="46"/>
      <c r="AG1001" s="46"/>
      <c r="AH1001" s="46"/>
      <c r="AI1001" s="46"/>
      <c r="AJ1001" s="46"/>
      <c r="AK1001" s="46"/>
      <c r="AL1001" s="46"/>
      <c r="AM1001" s="46"/>
      <c r="AN1001" s="46"/>
      <c r="AO1001" s="46"/>
      <c r="AP1001" s="46"/>
      <c r="AQ1001" s="46"/>
      <c r="AR1001" s="46"/>
      <c r="AS1001" s="46"/>
      <c r="AT1001" s="46"/>
      <c r="AU1001" s="46"/>
      <c r="AV1001" s="46"/>
      <c r="AW1001" s="46"/>
      <c r="AX1001" s="46"/>
      <c r="AY1001" s="46"/>
      <c r="AZ1001" s="46"/>
      <c r="BA1001" s="46"/>
      <c r="BB1001" s="46"/>
      <c r="BC1001" s="46"/>
      <c r="BD1001" s="46"/>
      <c r="BE1001" s="46"/>
    </row>
    <row r="1002" spans="1:57" ht="14.25" customHeight="1" x14ac:dyDescent="0.3">
      <c r="A1002" s="46"/>
      <c r="B1002" s="37"/>
      <c r="C1002" s="46"/>
      <c r="D1002" s="46"/>
      <c r="E1002" s="46"/>
      <c r="F1002" s="46"/>
      <c r="G1002" s="46"/>
      <c r="H1002" s="46"/>
      <c r="I1002" s="46"/>
      <c r="J1002" s="46"/>
      <c r="K1002" s="46"/>
      <c r="L1002" s="46"/>
      <c r="M1002" s="46"/>
      <c r="N1002" s="46"/>
      <c r="O1002" s="46"/>
      <c r="P1002" s="46"/>
      <c r="Q1002" s="46"/>
      <c r="R1002" s="46"/>
      <c r="S1002" s="46"/>
      <c r="T1002" s="46"/>
      <c r="U1002" s="46"/>
      <c r="V1002" s="46"/>
      <c r="W1002" s="46"/>
      <c r="X1002" s="46"/>
      <c r="Y1002" s="46"/>
      <c r="Z1002" s="46"/>
      <c r="AA1002" s="46"/>
      <c r="AB1002" s="46"/>
      <c r="AC1002" s="46"/>
      <c r="AD1002" s="46"/>
      <c r="AE1002" s="46"/>
      <c r="AF1002" s="46"/>
      <c r="AG1002" s="46"/>
      <c r="AH1002" s="46"/>
      <c r="AI1002" s="46"/>
      <c r="AJ1002" s="46"/>
      <c r="AK1002" s="46"/>
      <c r="AL1002" s="46"/>
      <c r="AM1002" s="46"/>
      <c r="AN1002" s="46"/>
      <c r="AO1002" s="46"/>
      <c r="AP1002" s="46"/>
      <c r="AQ1002" s="46"/>
      <c r="AR1002" s="46"/>
      <c r="AS1002" s="46"/>
      <c r="AT1002" s="46"/>
      <c r="AU1002" s="46"/>
      <c r="AV1002" s="46"/>
      <c r="AW1002" s="46"/>
      <c r="AX1002" s="46"/>
      <c r="AY1002" s="46"/>
      <c r="AZ1002" s="46"/>
      <c r="BA1002" s="46"/>
      <c r="BB1002" s="46"/>
      <c r="BC1002" s="46"/>
      <c r="BD1002" s="46"/>
      <c r="BE1002" s="46"/>
    </row>
    <row r="1003" spans="1:57" ht="14.25" customHeight="1" x14ac:dyDescent="0.3">
      <c r="A1003" s="46"/>
      <c r="B1003" s="37"/>
      <c r="C1003" s="46"/>
      <c r="D1003" s="46"/>
      <c r="E1003" s="46"/>
      <c r="F1003" s="46"/>
      <c r="G1003" s="46"/>
      <c r="H1003" s="46"/>
      <c r="I1003" s="46"/>
      <c r="J1003" s="46"/>
      <c r="K1003" s="46"/>
      <c r="L1003" s="46"/>
      <c r="M1003" s="46"/>
      <c r="N1003" s="46"/>
      <c r="O1003" s="46"/>
      <c r="P1003" s="46"/>
      <c r="Q1003" s="46"/>
      <c r="R1003" s="46"/>
      <c r="S1003" s="46"/>
      <c r="T1003" s="46"/>
      <c r="U1003" s="46"/>
      <c r="V1003" s="46"/>
      <c r="W1003" s="46"/>
      <c r="X1003" s="46"/>
      <c r="Y1003" s="46"/>
      <c r="Z1003" s="46"/>
      <c r="AA1003" s="46"/>
      <c r="AB1003" s="46"/>
      <c r="AC1003" s="46"/>
      <c r="AD1003" s="46"/>
      <c r="AE1003" s="46"/>
      <c r="AF1003" s="46"/>
      <c r="AG1003" s="46"/>
      <c r="AH1003" s="46"/>
      <c r="AI1003" s="46"/>
      <c r="AJ1003" s="46"/>
      <c r="AK1003" s="46"/>
      <c r="AL1003" s="46"/>
      <c r="AM1003" s="46"/>
      <c r="AN1003" s="46"/>
      <c r="AO1003" s="46"/>
      <c r="AP1003" s="46"/>
      <c r="AQ1003" s="46"/>
      <c r="AR1003" s="46"/>
      <c r="AS1003" s="46"/>
      <c r="AT1003" s="46"/>
      <c r="AU1003" s="46"/>
      <c r="AV1003" s="46"/>
      <c r="AW1003" s="46"/>
      <c r="AX1003" s="46"/>
      <c r="AY1003" s="46"/>
      <c r="AZ1003" s="46"/>
      <c r="BA1003" s="46"/>
      <c r="BB1003" s="46"/>
      <c r="BC1003" s="46"/>
      <c r="BD1003" s="46"/>
      <c r="BE1003" s="46"/>
    </row>
    <row r="1004" spans="1:57" ht="14.25" customHeight="1" x14ac:dyDescent="0.3">
      <c r="A1004" s="46"/>
      <c r="B1004" s="37"/>
      <c r="C1004" s="46"/>
      <c r="D1004" s="46"/>
      <c r="E1004" s="46"/>
      <c r="F1004" s="46"/>
      <c r="G1004" s="46"/>
      <c r="H1004" s="46"/>
      <c r="I1004" s="46"/>
      <c r="J1004" s="46"/>
      <c r="K1004" s="46"/>
      <c r="L1004" s="46"/>
      <c r="M1004" s="46"/>
      <c r="N1004" s="46"/>
      <c r="O1004" s="46"/>
      <c r="P1004" s="46"/>
      <c r="Q1004" s="46"/>
      <c r="R1004" s="46"/>
      <c r="S1004" s="46"/>
      <c r="T1004" s="46"/>
      <c r="U1004" s="46"/>
      <c r="V1004" s="46"/>
      <c r="W1004" s="46"/>
      <c r="X1004" s="46"/>
      <c r="Y1004" s="46"/>
      <c r="Z1004" s="46"/>
      <c r="AA1004" s="46"/>
      <c r="AB1004" s="46"/>
      <c r="AC1004" s="46"/>
      <c r="AD1004" s="46"/>
      <c r="AE1004" s="46"/>
      <c r="AF1004" s="46"/>
      <c r="AG1004" s="46"/>
      <c r="AH1004" s="46"/>
      <c r="AI1004" s="46"/>
      <c r="AJ1004" s="46"/>
      <c r="AK1004" s="46"/>
      <c r="AL1004" s="46"/>
      <c r="AM1004" s="46"/>
      <c r="AN1004" s="46"/>
      <c r="AO1004" s="46"/>
      <c r="AP1004" s="46"/>
      <c r="AQ1004" s="46"/>
      <c r="AR1004" s="46"/>
      <c r="AS1004" s="46"/>
      <c r="AT1004" s="46"/>
      <c r="AU1004" s="46"/>
      <c r="AV1004" s="46"/>
      <c r="AW1004" s="46"/>
      <c r="AX1004" s="46"/>
      <c r="AY1004" s="46"/>
      <c r="AZ1004" s="46"/>
      <c r="BA1004" s="46"/>
      <c r="BB1004" s="46"/>
      <c r="BC1004" s="46"/>
      <c r="BD1004" s="46"/>
      <c r="BE1004" s="46"/>
    </row>
    <row r="1005" spans="1:57" ht="14.25" customHeight="1" x14ac:dyDescent="0.3">
      <c r="A1005" s="46"/>
      <c r="B1005" s="37"/>
      <c r="C1005" s="46"/>
      <c r="D1005" s="46"/>
      <c r="E1005" s="46"/>
      <c r="F1005" s="46"/>
      <c r="G1005" s="46"/>
      <c r="H1005" s="46"/>
      <c r="I1005" s="46"/>
      <c r="J1005" s="46"/>
      <c r="K1005" s="46"/>
      <c r="L1005" s="46"/>
      <c r="M1005" s="46"/>
      <c r="N1005" s="46"/>
      <c r="O1005" s="46"/>
      <c r="P1005" s="46"/>
      <c r="Q1005" s="46"/>
      <c r="R1005" s="46"/>
      <c r="S1005" s="46"/>
      <c r="T1005" s="46"/>
      <c r="U1005" s="46"/>
      <c r="V1005" s="46"/>
      <c r="W1005" s="46"/>
      <c r="X1005" s="46"/>
      <c r="Y1005" s="46"/>
      <c r="Z1005" s="46"/>
      <c r="AA1005" s="46"/>
      <c r="AB1005" s="46"/>
      <c r="AC1005" s="46"/>
      <c r="AD1005" s="46"/>
      <c r="AE1005" s="46"/>
      <c r="AF1005" s="46"/>
      <c r="AG1005" s="46"/>
      <c r="AH1005" s="46"/>
      <c r="AI1005" s="46"/>
      <c r="AJ1005" s="46"/>
      <c r="AK1005" s="46"/>
      <c r="AL1005" s="46"/>
      <c r="AM1005" s="46"/>
      <c r="AN1005" s="46"/>
      <c r="AO1005" s="46"/>
      <c r="AP1005" s="46"/>
      <c r="AQ1005" s="46"/>
      <c r="AR1005" s="46"/>
      <c r="AS1005" s="46"/>
      <c r="AT1005" s="46"/>
      <c r="AU1005" s="46"/>
      <c r="AV1005" s="46"/>
      <c r="AW1005" s="46"/>
      <c r="AX1005" s="46"/>
      <c r="AY1005" s="46"/>
      <c r="AZ1005" s="46"/>
      <c r="BA1005" s="46"/>
      <c r="BB1005" s="46"/>
      <c r="BC1005" s="46"/>
      <c r="BD1005" s="46"/>
      <c r="BE1005" s="46"/>
    </row>
    <row r="1006" spans="1:57" ht="14.25" customHeight="1" x14ac:dyDescent="0.3">
      <c r="A1006" s="46"/>
      <c r="B1006" s="37"/>
      <c r="C1006" s="46"/>
      <c r="D1006" s="46"/>
      <c r="E1006" s="46"/>
      <c r="F1006" s="46"/>
      <c r="G1006" s="46"/>
      <c r="H1006" s="46"/>
      <c r="I1006" s="46"/>
      <c r="J1006" s="46"/>
      <c r="K1006" s="46"/>
      <c r="L1006" s="46"/>
      <c r="M1006" s="46"/>
      <c r="N1006" s="46"/>
      <c r="O1006" s="46"/>
      <c r="P1006" s="46"/>
      <c r="Q1006" s="46"/>
      <c r="R1006" s="46"/>
      <c r="S1006" s="46"/>
      <c r="T1006" s="46"/>
      <c r="U1006" s="46"/>
      <c r="V1006" s="46"/>
      <c r="W1006" s="46"/>
      <c r="X1006" s="46"/>
      <c r="Y1006" s="46"/>
      <c r="Z1006" s="46"/>
      <c r="AA1006" s="46"/>
      <c r="AB1006" s="46"/>
      <c r="AC1006" s="46"/>
      <c r="AD1006" s="46"/>
      <c r="AE1006" s="46"/>
      <c r="AF1006" s="46"/>
      <c r="AG1006" s="46"/>
      <c r="AH1006" s="46"/>
      <c r="AI1006" s="46"/>
      <c r="AJ1006" s="46"/>
      <c r="AK1006" s="46"/>
      <c r="AL1006" s="46"/>
      <c r="AM1006" s="46"/>
      <c r="AN1006" s="46"/>
      <c r="AO1006" s="46"/>
      <c r="AP1006" s="46"/>
      <c r="AQ1006" s="46"/>
      <c r="AR1006" s="46"/>
      <c r="AS1006" s="46"/>
      <c r="AT1006" s="46"/>
      <c r="AU1006" s="46"/>
      <c r="AV1006" s="46"/>
      <c r="AW1006" s="46"/>
      <c r="AX1006" s="46"/>
      <c r="AY1006" s="46"/>
      <c r="AZ1006" s="46"/>
      <c r="BA1006" s="46"/>
      <c r="BB1006" s="46"/>
      <c r="BC1006" s="46"/>
      <c r="BD1006" s="46"/>
      <c r="BE1006" s="46"/>
    </row>
    <row r="1007" spans="1:57" ht="14.25" customHeight="1" x14ac:dyDescent="0.3">
      <c r="A1007" s="46"/>
      <c r="B1007" s="37"/>
      <c r="C1007" s="46"/>
      <c r="D1007" s="46"/>
      <c r="E1007" s="46"/>
      <c r="F1007" s="46"/>
      <c r="G1007" s="46"/>
      <c r="H1007" s="46"/>
      <c r="I1007" s="46"/>
      <c r="J1007" s="46"/>
      <c r="K1007" s="46"/>
      <c r="L1007" s="46"/>
      <c r="M1007" s="46"/>
      <c r="N1007" s="46"/>
      <c r="O1007" s="46"/>
      <c r="P1007" s="46"/>
      <c r="Q1007" s="46"/>
      <c r="R1007" s="46"/>
      <c r="S1007" s="46"/>
      <c r="T1007" s="46"/>
      <c r="U1007" s="46"/>
      <c r="V1007" s="46"/>
      <c r="W1007" s="46"/>
      <c r="X1007" s="46"/>
      <c r="Y1007" s="46"/>
      <c r="Z1007" s="46"/>
      <c r="AA1007" s="46"/>
      <c r="AB1007" s="46"/>
      <c r="AC1007" s="46"/>
      <c r="AD1007" s="46"/>
      <c r="AE1007" s="46"/>
      <c r="AF1007" s="46"/>
      <c r="AG1007" s="46"/>
      <c r="AH1007" s="46"/>
      <c r="AI1007" s="46"/>
      <c r="AJ1007" s="46"/>
      <c r="AK1007" s="46"/>
      <c r="AL1007" s="46"/>
      <c r="AM1007" s="46"/>
      <c r="AN1007" s="46"/>
      <c r="AO1007" s="46"/>
      <c r="AP1007" s="46"/>
      <c r="AQ1007" s="46"/>
      <c r="AR1007" s="46"/>
      <c r="AS1007" s="46"/>
      <c r="AT1007" s="46"/>
      <c r="AU1007" s="46"/>
      <c r="AV1007" s="46"/>
      <c r="AW1007" s="46"/>
      <c r="AX1007" s="46"/>
      <c r="AY1007" s="46"/>
      <c r="AZ1007" s="46"/>
      <c r="BA1007" s="46"/>
      <c r="BB1007" s="46"/>
      <c r="BC1007" s="46"/>
      <c r="BD1007" s="46"/>
      <c r="BE1007" s="46"/>
    </row>
    <row r="1008" spans="1:57" ht="14.25" customHeight="1" x14ac:dyDescent="0.3">
      <c r="A1008" s="46"/>
      <c r="B1008" s="37"/>
      <c r="C1008" s="46"/>
      <c r="D1008" s="46"/>
      <c r="E1008" s="46"/>
      <c r="F1008" s="46"/>
      <c r="G1008" s="46"/>
      <c r="H1008" s="46"/>
      <c r="I1008" s="46"/>
      <c r="J1008" s="46"/>
      <c r="K1008" s="46"/>
      <c r="L1008" s="46"/>
      <c r="M1008" s="46"/>
      <c r="N1008" s="46"/>
      <c r="O1008" s="46"/>
      <c r="P1008" s="46"/>
      <c r="Q1008" s="46"/>
      <c r="R1008" s="46"/>
      <c r="S1008" s="46"/>
      <c r="T1008" s="46"/>
      <c r="U1008" s="46"/>
      <c r="V1008" s="46"/>
      <c r="W1008" s="46"/>
      <c r="X1008" s="46"/>
      <c r="Y1008" s="46"/>
      <c r="Z1008" s="46"/>
      <c r="AA1008" s="46"/>
      <c r="AB1008" s="46"/>
      <c r="AC1008" s="46"/>
      <c r="AD1008" s="46"/>
      <c r="AE1008" s="46"/>
      <c r="AF1008" s="46"/>
      <c r="AG1008" s="46"/>
      <c r="AH1008" s="46"/>
      <c r="AI1008" s="46"/>
      <c r="AJ1008" s="46"/>
      <c r="AK1008" s="46"/>
      <c r="AL1008" s="46"/>
      <c r="AM1008" s="46"/>
      <c r="AN1008" s="46"/>
      <c r="AO1008" s="46"/>
      <c r="AP1008" s="46"/>
      <c r="AQ1008" s="46"/>
      <c r="AR1008" s="46"/>
      <c r="AS1008" s="46"/>
      <c r="AT1008" s="46"/>
      <c r="AU1008" s="46"/>
      <c r="AV1008" s="46"/>
      <c r="AW1008" s="46"/>
      <c r="AX1008" s="46"/>
      <c r="AY1008" s="46"/>
      <c r="AZ1008" s="46"/>
      <c r="BA1008" s="46"/>
      <c r="BB1008" s="46"/>
      <c r="BC1008" s="46"/>
      <c r="BD1008" s="46"/>
      <c r="BE1008" s="46"/>
    </row>
    <row r="1009" spans="1:57" ht="14.25" customHeight="1" x14ac:dyDescent="0.3">
      <c r="A1009" s="46"/>
      <c r="B1009" s="37"/>
      <c r="C1009" s="46"/>
      <c r="D1009" s="46"/>
      <c r="E1009" s="46"/>
      <c r="F1009" s="46"/>
      <c r="G1009" s="46"/>
      <c r="H1009" s="46"/>
      <c r="I1009" s="46"/>
      <c r="J1009" s="46"/>
      <c r="K1009" s="46"/>
      <c r="L1009" s="46"/>
      <c r="M1009" s="46"/>
      <c r="N1009" s="46"/>
      <c r="O1009" s="46"/>
      <c r="P1009" s="46"/>
      <c r="Q1009" s="46"/>
      <c r="R1009" s="46"/>
      <c r="S1009" s="46"/>
      <c r="T1009" s="46"/>
      <c r="U1009" s="46"/>
      <c r="V1009" s="46"/>
      <c r="W1009" s="46"/>
      <c r="X1009" s="46"/>
      <c r="Y1009" s="46"/>
      <c r="Z1009" s="46"/>
      <c r="AA1009" s="46"/>
      <c r="AB1009" s="46"/>
      <c r="AC1009" s="46"/>
      <c r="AD1009" s="46"/>
      <c r="AE1009" s="46"/>
      <c r="AF1009" s="46"/>
      <c r="AG1009" s="46"/>
      <c r="AH1009" s="46"/>
      <c r="AI1009" s="46"/>
      <c r="AJ1009" s="46"/>
      <c r="AK1009" s="46"/>
      <c r="AL1009" s="46"/>
      <c r="AM1009" s="46"/>
      <c r="AN1009" s="46"/>
      <c r="AO1009" s="46"/>
      <c r="AP1009" s="46"/>
      <c r="AQ1009" s="46"/>
      <c r="AR1009" s="46"/>
      <c r="AS1009" s="46"/>
      <c r="AT1009" s="46"/>
      <c r="AU1009" s="46"/>
      <c r="AV1009" s="46"/>
      <c r="AW1009" s="46"/>
      <c r="AX1009" s="46"/>
      <c r="AY1009" s="46"/>
      <c r="AZ1009" s="46"/>
      <c r="BA1009" s="46"/>
      <c r="BB1009" s="46"/>
      <c r="BC1009" s="46"/>
      <c r="BD1009" s="46"/>
      <c r="BE1009" s="46"/>
    </row>
    <row r="1010" spans="1:57" ht="14.25" customHeight="1" x14ac:dyDescent="0.3">
      <c r="A1010" s="46"/>
      <c r="B1010" s="37"/>
      <c r="C1010" s="46"/>
      <c r="D1010" s="46"/>
      <c r="E1010" s="46"/>
      <c r="F1010" s="46"/>
      <c r="G1010" s="46"/>
      <c r="H1010" s="46"/>
      <c r="I1010" s="46"/>
      <c r="J1010" s="46"/>
      <c r="K1010" s="46"/>
      <c r="L1010" s="46"/>
      <c r="M1010" s="46"/>
      <c r="N1010" s="46"/>
      <c r="O1010" s="46"/>
      <c r="P1010" s="46"/>
      <c r="Q1010" s="46"/>
      <c r="R1010" s="46"/>
      <c r="S1010" s="46"/>
      <c r="T1010" s="46"/>
      <c r="U1010" s="46"/>
      <c r="V1010" s="46"/>
      <c r="W1010" s="46"/>
      <c r="X1010" s="46"/>
      <c r="Y1010" s="46"/>
      <c r="Z1010" s="46"/>
      <c r="AA1010" s="46"/>
      <c r="AB1010" s="46"/>
      <c r="AC1010" s="46"/>
      <c r="AD1010" s="46"/>
      <c r="AE1010" s="46"/>
      <c r="AF1010" s="46"/>
      <c r="AG1010" s="46"/>
      <c r="AH1010" s="46"/>
      <c r="AI1010" s="46"/>
      <c r="AJ1010" s="46"/>
      <c r="AK1010" s="46"/>
      <c r="AL1010" s="46"/>
      <c r="AM1010" s="46"/>
      <c r="AN1010" s="46"/>
      <c r="AO1010" s="46"/>
      <c r="AP1010" s="46"/>
      <c r="AQ1010" s="46"/>
      <c r="AR1010" s="46"/>
      <c r="AS1010" s="46"/>
      <c r="AT1010" s="46"/>
      <c r="AU1010" s="46"/>
      <c r="AV1010" s="46"/>
      <c r="AW1010" s="46"/>
      <c r="AX1010" s="46"/>
      <c r="AY1010" s="46"/>
      <c r="AZ1010" s="46"/>
      <c r="BA1010" s="46"/>
      <c r="BB1010" s="46"/>
      <c r="BC1010" s="46"/>
      <c r="BD1010" s="46"/>
      <c r="BE1010" s="46"/>
    </row>
    <row r="1011" spans="1:57" ht="14.25" customHeight="1" x14ac:dyDescent="0.3">
      <c r="A1011" s="46"/>
      <c r="B1011" s="37"/>
      <c r="C1011" s="46"/>
      <c r="D1011" s="46"/>
      <c r="E1011" s="46"/>
      <c r="F1011" s="46"/>
      <c r="G1011" s="46"/>
      <c r="H1011" s="46"/>
      <c r="I1011" s="46"/>
      <c r="J1011" s="46"/>
      <c r="K1011" s="46"/>
      <c r="L1011" s="46"/>
      <c r="M1011" s="46"/>
      <c r="N1011" s="46"/>
      <c r="O1011" s="46"/>
      <c r="P1011" s="46"/>
      <c r="Q1011" s="46"/>
      <c r="R1011" s="46"/>
      <c r="S1011" s="46"/>
      <c r="T1011" s="46"/>
      <c r="U1011" s="46"/>
      <c r="V1011" s="46"/>
      <c r="W1011" s="46"/>
      <c r="X1011" s="46"/>
      <c r="Y1011" s="46"/>
      <c r="Z1011" s="46"/>
      <c r="AA1011" s="46"/>
      <c r="AB1011" s="46"/>
      <c r="AC1011" s="46"/>
      <c r="AD1011" s="46"/>
      <c r="AE1011" s="46"/>
      <c r="AF1011" s="46"/>
      <c r="AG1011" s="46"/>
      <c r="AH1011" s="46"/>
      <c r="AI1011" s="46"/>
      <c r="AJ1011" s="46"/>
      <c r="AK1011" s="46"/>
      <c r="AL1011" s="46"/>
      <c r="AM1011" s="46"/>
      <c r="AN1011" s="46"/>
      <c r="AO1011" s="46"/>
      <c r="AP1011" s="46"/>
      <c r="AQ1011" s="46"/>
      <c r="AR1011" s="46"/>
      <c r="AS1011" s="46"/>
      <c r="AT1011" s="46"/>
      <c r="AU1011" s="46"/>
      <c r="AV1011" s="46"/>
      <c r="AW1011" s="46"/>
      <c r="AX1011" s="46"/>
      <c r="AY1011" s="46"/>
      <c r="AZ1011" s="46"/>
      <c r="BA1011" s="46"/>
      <c r="BB1011" s="46"/>
      <c r="BC1011" s="46"/>
      <c r="BD1011" s="46"/>
      <c r="BE1011" s="46"/>
    </row>
    <row r="1012" spans="1:57" ht="14.25" customHeight="1" x14ac:dyDescent="0.3">
      <c r="A1012" s="46"/>
      <c r="B1012" s="37"/>
      <c r="C1012" s="46"/>
      <c r="D1012" s="46"/>
      <c r="E1012" s="46"/>
      <c r="F1012" s="46"/>
      <c r="G1012" s="46"/>
      <c r="H1012" s="46"/>
      <c r="I1012" s="46"/>
      <c r="J1012" s="46"/>
      <c r="K1012" s="46"/>
      <c r="L1012" s="46"/>
      <c r="M1012" s="46"/>
      <c r="N1012" s="46"/>
      <c r="O1012" s="46"/>
      <c r="P1012" s="46"/>
      <c r="Q1012" s="46"/>
      <c r="R1012" s="46"/>
      <c r="S1012" s="46"/>
      <c r="T1012" s="46"/>
      <c r="U1012" s="46"/>
      <c r="V1012" s="46"/>
      <c r="W1012" s="46"/>
      <c r="X1012" s="46"/>
      <c r="Y1012" s="46"/>
      <c r="Z1012" s="46"/>
      <c r="AA1012" s="46"/>
      <c r="AB1012" s="46"/>
      <c r="AC1012" s="46"/>
      <c r="AD1012" s="46"/>
      <c r="AE1012" s="46"/>
      <c r="AF1012" s="46"/>
      <c r="AG1012" s="46"/>
      <c r="AH1012" s="46"/>
      <c r="AI1012" s="46"/>
      <c r="AJ1012" s="46"/>
      <c r="AK1012" s="46"/>
      <c r="AL1012" s="46"/>
      <c r="AM1012" s="46"/>
      <c r="AN1012" s="46"/>
      <c r="AO1012" s="46"/>
      <c r="AP1012" s="46"/>
      <c r="AQ1012" s="46"/>
      <c r="AR1012" s="46"/>
      <c r="AS1012" s="46"/>
      <c r="AT1012" s="46"/>
      <c r="AU1012" s="46"/>
      <c r="AV1012" s="46"/>
      <c r="AW1012" s="46"/>
      <c r="AX1012" s="46"/>
      <c r="AY1012" s="46"/>
      <c r="AZ1012" s="46"/>
      <c r="BA1012" s="46"/>
      <c r="BB1012" s="46"/>
      <c r="BC1012" s="46"/>
      <c r="BD1012" s="46"/>
      <c r="BE1012" s="46"/>
    </row>
    <row r="1013" spans="1:57" ht="14.25" customHeight="1" x14ac:dyDescent="0.3">
      <c r="A1013" s="46"/>
      <c r="B1013" s="37"/>
      <c r="C1013" s="46"/>
      <c r="D1013" s="46"/>
      <c r="E1013" s="46"/>
      <c r="F1013" s="46"/>
      <c r="G1013" s="46"/>
      <c r="H1013" s="46"/>
      <c r="I1013" s="46"/>
      <c r="J1013" s="46"/>
      <c r="K1013" s="46"/>
      <c r="L1013" s="46"/>
      <c r="M1013" s="46"/>
      <c r="N1013" s="46"/>
      <c r="O1013" s="46"/>
      <c r="P1013" s="46"/>
      <c r="Q1013" s="46"/>
      <c r="R1013" s="46"/>
      <c r="S1013" s="46"/>
      <c r="T1013" s="46"/>
      <c r="U1013" s="46"/>
      <c r="V1013" s="46"/>
      <c r="W1013" s="46"/>
      <c r="X1013" s="46"/>
      <c r="Y1013" s="46"/>
      <c r="Z1013" s="46"/>
      <c r="AA1013" s="46"/>
      <c r="AB1013" s="46"/>
      <c r="AC1013" s="46"/>
      <c r="AD1013" s="46"/>
      <c r="AE1013" s="46"/>
      <c r="AF1013" s="46"/>
      <c r="AG1013" s="46"/>
      <c r="AH1013" s="46"/>
      <c r="AI1013" s="46"/>
      <c r="AJ1013" s="46"/>
      <c r="AK1013" s="46"/>
      <c r="AL1013" s="46"/>
      <c r="AM1013" s="46"/>
      <c r="AN1013" s="46"/>
      <c r="AO1013" s="46"/>
      <c r="AP1013" s="46"/>
      <c r="AQ1013" s="46"/>
      <c r="AR1013" s="46"/>
      <c r="AS1013" s="46"/>
      <c r="AT1013" s="46"/>
      <c r="AU1013" s="46"/>
      <c r="AV1013" s="46"/>
      <c r="AW1013" s="46"/>
      <c r="AX1013" s="46"/>
      <c r="AY1013" s="46"/>
      <c r="AZ1013" s="46"/>
      <c r="BA1013" s="46"/>
      <c r="BB1013" s="46"/>
      <c r="BC1013" s="46"/>
      <c r="BD1013" s="46"/>
      <c r="BE1013" s="46"/>
    </row>
    <row r="1014" spans="1:57" ht="14.25" customHeight="1" x14ac:dyDescent="0.3">
      <c r="A1014" s="46"/>
      <c r="B1014" s="37"/>
      <c r="C1014" s="46"/>
      <c r="D1014" s="46"/>
      <c r="E1014" s="46"/>
      <c r="F1014" s="46"/>
      <c r="G1014" s="46"/>
      <c r="H1014" s="46"/>
      <c r="I1014" s="46"/>
      <c r="J1014" s="46"/>
      <c r="K1014" s="46"/>
      <c r="L1014" s="46"/>
      <c r="M1014" s="46"/>
      <c r="N1014" s="46"/>
      <c r="O1014" s="46"/>
      <c r="P1014" s="46"/>
      <c r="Q1014" s="46"/>
      <c r="R1014" s="46"/>
      <c r="S1014" s="46"/>
      <c r="T1014" s="46"/>
      <c r="U1014" s="46"/>
      <c r="V1014" s="46"/>
      <c r="W1014" s="46"/>
      <c r="X1014" s="46"/>
      <c r="Y1014" s="46"/>
      <c r="Z1014" s="46"/>
      <c r="AA1014" s="46"/>
      <c r="AB1014" s="46"/>
      <c r="AC1014" s="46"/>
      <c r="AD1014" s="46"/>
      <c r="AE1014" s="46"/>
      <c r="AF1014" s="46"/>
      <c r="AG1014" s="46"/>
      <c r="AH1014" s="46"/>
      <c r="AI1014" s="46"/>
      <c r="AJ1014" s="46"/>
      <c r="AK1014" s="46"/>
      <c r="AL1014" s="46"/>
      <c r="AM1014" s="46"/>
      <c r="AN1014" s="46"/>
      <c r="AO1014" s="46"/>
      <c r="AP1014" s="46"/>
      <c r="AQ1014" s="46"/>
      <c r="AR1014" s="46"/>
      <c r="AS1014" s="46"/>
      <c r="AT1014" s="46"/>
      <c r="AU1014" s="46"/>
      <c r="AV1014" s="46"/>
      <c r="AW1014" s="46"/>
      <c r="AX1014" s="46"/>
      <c r="AY1014" s="46"/>
      <c r="AZ1014" s="46"/>
      <c r="BA1014" s="46"/>
      <c r="BB1014" s="46"/>
      <c r="BC1014" s="46"/>
      <c r="BD1014" s="46"/>
      <c r="BE1014" s="46"/>
    </row>
    <row r="1015" spans="1:57" ht="14.25" customHeight="1" x14ac:dyDescent="0.3">
      <c r="A1015" s="46"/>
      <c r="B1015" s="37"/>
      <c r="C1015" s="46"/>
      <c r="D1015" s="46"/>
      <c r="E1015" s="46"/>
      <c r="F1015" s="46"/>
      <c r="G1015" s="46"/>
      <c r="H1015" s="46"/>
      <c r="I1015" s="46"/>
      <c r="J1015" s="46"/>
      <c r="K1015" s="46"/>
      <c r="L1015" s="46"/>
      <c r="M1015" s="46"/>
      <c r="N1015" s="46"/>
      <c r="O1015" s="46"/>
      <c r="P1015" s="46"/>
      <c r="Q1015" s="46"/>
      <c r="R1015" s="46"/>
      <c r="S1015" s="46"/>
      <c r="T1015" s="46"/>
      <c r="U1015" s="46"/>
      <c r="V1015" s="46"/>
      <c r="W1015" s="46"/>
      <c r="X1015" s="46"/>
      <c r="Y1015" s="46"/>
      <c r="Z1015" s="46"/>
      <c r="AA1015" s="46"/>
      <c r="AB1015" s="46"/>
      <c r="AC1015" s="46"/>
      <c r="AD1015" s="46"/>
      <c r="AE1015" s="46"/>
      <c r="AF1015" s="46"/>
      <c r="AG1015" s="46"/>
      <c r="AH1015" s="46"/>
      <c r="AI1015" s="46"/>
      <c r="AJ1015" s="46"/>
      <c r="AK1015" s="46"/>
      <c r="AL1015" s="46"/>
      <c r="AM1015" s="46"/>
      <c r="AN1015" s="46"/>
      <c r="AO1015" s="46"/>
      <c r="AP1015" s="46"/>
      <c r="AQ1015" s="46"/>
      <c r="AR1015" s="46"/>
      <c r="AS1015" s="46"/>
      <c r="AT1015" s="46"/>
      <c r="AU1015" s="46"/>
      <c r="AV1015" s="46"/>
      <c r="AW1015" s="46"/>
      <c r="AX1015" s="46"/>
      <c r="AY1015" s="46"/>
      <c r="AZ1015" s="46"/>
      <c r="BA1015" s="46"/>
      <c r="BB1015" s="46"/>
      <c r="BC1015" s="46"/>
      <c r="BD1015" s="46"/>
      <c r="BE1015" s="46"/>
    </row>
    <row r="1016" spans="1:57" ht="14.25" customHeight="1" x14ac:dyDescent="0.3">
      <c r="A1016" s="46"/>
      <c r="B1016" s="37"/>
      <c r="C1016" s="46"/>
      <c r="D1016" s="46"/>
      <c r="E1016" s="46"/>
      <c r="F1016" s="46"/>
      <c r="G1016" s="46"/>
      <c r="H1016" s="46"/>
      <c r="I1016" s="46"/>
      <c r="J1016" s="46"/>
      <c r="K1016" s="46"/>
      <c r="L1016" s="46"/>
      <c r="M1016" s="46"/>
      <c r="N1016" s="46"/>
      <c r="O1016" s="46"/>
      <c r="P1016" s="46"/>
      <c r="Q1016" s="46"/>
      <c r="R1016" s="46"/>
      <c r="S1016" s="46"/>
      <c r="T1016" s="46"/>
      <c r="U1016" s="46"/>
      <c r="V1016" s="46"/>
      <c r="W1016" s="46"/>
      <c r="X1016" s="46"/>
      <c r="Y1016" s="46"/>
      <c r="Z1016" s="46"/>
      <c r="AA1016" s="46"/>
      <c r="AB1016" s="46"/>
      <c r="AC1016" s="46"/>
      <c r="AD1016" s="46"/>
      <c r="AE1016" s="46"/>
      <c r="AF1016" s="46"/>
      <c r="AG1016" s="46"/>
      <c r="AH1016" s="46"/>
      <c r="AI1016" s="46"/>
      <c r="AJ1016" s="46"/>
      <c r="AK1016" s="46"/>
      <c r="AL1016" s="46"/>
      <c r="AM1016" s="46"/>
      <c r="AN1016" s="46"/>
      <c r="AO1016" s="46"/>
      <c r="AP1016" s="46"/>
      <c r="AQ1016" s="46"/>
      <c r="AR1016" s="46"/>
      <c r="AS1016" s="46"/>
      <c r="AT1016" s="46"/>
      <c r="AU1016" s="46"/>
      <c r="AV1016" s="46"/>
      <c r="AW1016" s="46"/>
      <c r="AX1016" s="46"/>
      <c r="AY1016" s="46"/>
      <c r="AZ1016" s="46"/>
      <c r="BA1016" s="46"/>
      <c r="BB1016" s="46"/>
      <c r="BC1016" s="46"/>
      <c r="BD1016" s="46"/>
      <c r="BE1016" s="46"/>
    </row>
    <row r="1017" spans="1:57" ht="14.25" customHeight="1" x14ac:dyDescent="0.3">
      <c r="A1017" s="46"/>
      <c r="B1017" s="37"/>
      <c r="C1017" s="46"/>
      <c r="D1017" s="46"/>
      <c r="E1017" s="46"/>
      <c r="F1017" s="46"/>
      <c r="G1017" s="46"/>
      <c r="H1017" s="46"/>
      <c r="I1017" s="46"/>
      <c r="J1017" s="46"/>
      <c r="K1017" s="46"/>
      <c r="L1017" s="46"/>
      <c r="M1017" s="46"/>
      <c r="N1017" s="46"/>
      <c r="O1017" s="46"/>
      <c r="P1017" s="46"/>
      <c r="Q1017" s="46"/>
      <c r="R1017" s="46"/>
      <c r="S1017" s="46"/>
      <c r="T1017" s="46"/>
      <c r="U1017" s="46"/>
      <c r="V1017" s="46"/>
      <c r="W1017" s="46"/>
      <c r="X1017" s="46"/>
      <c r="Y1017" s="46"/>
      <c r="Z1017" s="46"/>
      <c r="AA1017" s="46"/>
      <c r="AB1017" s="46"/>
      <c r="AC1017" s="46"/>
      <c r="AD1017" s="46"/>
      <c r="AE1017" s="46"/>
      <c r="AF1017" s="46"/>
      <c r="AG1017" s="46"/>
      <c r="AH1017" s="46"/>
      <c r="AI1017" s="46"/>
      <c r="AJ1017" s="46"/>
      <c r="AK1017" s="46"/>
      <c r="AL1017" s="46"/>
      <c r="AM1017" s="46"/>
      <c r="AN1017" s="46"/>
      <c r="AO1017" s="46"/>
      <c r="AP1017" s="46"/>
      <c r="AQ1017" s="46"/>
      <c r="AR1017" s="46"/>
      <c r="AS1017" s="46"/>
      <c r="AT1017" s="46"/>
      <c r="AU1017" s="46"/>
      <c r="AV1017" s="46"/>
      <c r="AW1017" s="46"/>
      <c r="AX1017" s="46"/>
      <c r="AY1017" s="46"/>
      <c r="AZ1017" s="46"/>
      <c r="BA1017" s="46"/>
      <c r="BB1017" s="46"/>
      <c r="BC1017" s="46"/>
      <c r="BD1017" s="46"/>
      <c r="BE1017" s="46"/>
    </row>
    <row r="1018" spans="1:57" ht="14.25" customHeight="1" x14ac:dyDescent="0.3">
      <c r="A1018" s="46"/>
      <c r="B1018" s="37"/>
      <c r="C1018" s="46"/>
      <c r="D1018" s="46"/>
      <c r="E1018" s="46"/>
      <c r="F1018" s="46"/>
      <c r="G1018" s="46"/>
      <c r="H1018" s="46"/>
      <c r="I1018" s="46"/>
      <c r="J1018" s="46"/>
      <c r="K1018" s="46"/>
      <c r="L1018" s="46"/>
      <c r="M1018" s="46"/>
      <c r="N1018" s="46"/>
      <c r="O1018" s="46"/>
      <c r="P1018" s="46"/>
      <c r="Q1018" s="46"/>
      <c r="R1018" s="46"/>
      <c r="S1018" s="46"/>
      <c r="T1018" s="46"/>
      <c r="U1018" s="46"/>
      <c r="V1018" s="46"/>
      <c r="W1018" s="46"/>
      <c r="X1018" s="46"/>
      <c r="Y1018" s="46"/>
      <c r="Z1018" s="46"/>
      <c r="AA1018" s="46"/>
      <c r="AB1018" s="46"/>
      <c r="AC1018" s="46"/>
      <c r="AD1018" s="46"/>
      <c r="AE1018" s="46"/>
      <c r="AF1018" s="46"/>
      <c r="AG1018" s="46"/>
      <c r="AH1018" s="46"/>
      <c r="AI1018" s="46"/>
      <c r="AJ1018" s="46"/>
      <c r="AK1018" s="46"/>
      <c r="AL1018" s="46"/>
      <c r="AM1018" s="46"/>
      <c r="AN1018" s="46"/>
      <c r="AO1018" s="46"/>
      <c r="AP1018" s="46"/>
      <c r="AQ1018" s="46"/>
      <c r="AR1018" s="46"/>
      <c r="AS1018" s="46"/>
      <c r="AT1018" s="46"/>
      <c r="AU1018" s="46"/>
      <c r="AV1018" s="46"/>
      <c r="AW1018" s="46"/>
      <c r="AX1018" s="46"/>
      <c r="AY1018" s="46"/>
      <c r="AZ1018" s="46"/>
      <c r="BA1018" s="46"/>
      <c r="BB1018" s="46"/>
      <c r="BC1018" s="46"/>
      <c r="BD1018" s="46"/>
      <c r="BE1018" s="46"/>
    </row>
    <row r="1019" spans="1:57" ht="14.25" customHeight="1" x14ac:dyDescent="0.3">
      <c r="A1019" s="46"/>
      <c r="B1019" s="37"/>
      <c r="C1019" s="46"/>
      <c r="D1019" s="46"/>
      <c r="E1019" s="46"/>
      <c r="F1019" s="46"/>
      <c r="G1019" s="46"/>
      <c r="H1019" s="46"/>
      <c r="I1019" s="46"/>
      <c r="J1019" s="46"/>
      <c r="K1019" s="46"/>
      <c r="L1019" s="46"/>
      <c r="M1019" s="46"/>
      <c r="N1019" s="46"/>
      <c r="O1019" s="46"/>
      <c r="P1019" s="46"/>
      <c r="Q1019" s="46"/>
      <c r="R1019" s="46"/>
      <c r="S1019" s="46"/>
      <c r="T1019" s="46"/>
      <c r="U1019" s="46"/>
      <c r="V1019" s="46"/>
      <c r="W1019" s="46"/>
      <c r="X1019" s="46"/>
      <c r="Y1019" s="46"/>
      <c r="Z1019" s="46"/>
      <c r="AA1019" s="46"/>
      <c r="AB1019" s="46"/>
      <c r="AC1019" s="46"/>
      <c r="AD1019" s="46"/>
      <c r="AE1019" s="46"/>
      <c r="AF1019" s="46"/>
      <c r="AG1019" s="46"/>
      <c r="AH1019" s="46"/>
      <c r="AI1019" s="46"/>
      <c r="AJ1019" s="46"/>
      <c r="AK1019" s="46"/>
      <c r="AL1019" s="46"/>
      <c r="AM1019" s="46"/>
      <c r="AN1019" s="46"/>
      <c r="AO1019" s="46"/>
      <c r="AP1019" s="46"/>
      <c r="AQ1019" s="46"/>
      <c r="AR1019" s="46"/>
      <c r="AS1019" s="46"/>
      <c r="AT1019" s="46"/>
      <c r="AU1019" s="46"/>
      <c r="AV1019" s="46"/>
      <c r="AW1019" s="46"/>
      <c r="AX1019" s="46"/>
      <c r="AY1019" s="46"/>
      <c r="AZ1019" s="46"/>
      <c r="BA1019" s="46"/>
      <c r="BB1019" s="46"/>
      <c r="BC1019" s="46"/>
      <c r="BD1019" s="46"/>
      <c r="BE1019" s="46"/>
    </row>
    <row r="1020" spans="1:57" ht="14.25" customHeight="1" x14ac:dyDescent="0.3">
      <c r="A1020" s="46"/>
      <c r="B1020" s="37"/>
      <c r="C1020" s="46"/>
      <c r="D1020" s="46"/>
      <c r="E1020" s="46"/>
      <c r="F1020" s="46"/>
      <c r="G1020" s="46"/>
      <c r="H1020" s="46"/>
      <c r="I1020" s="46"/>
      <c r="J1020" s="46"/>
      <c r="K1020" s="46"/>
      <c r="L1020" s="46"/>
      <c r="M1020" s="46"/>
      <c r="N1020" s="46"/>
      <c r="O1020" s="46"/>
      <c r="P1020" s="46"/>
      <c r="Q1020" s="46"/>
      <c r="R1020" s="46"/>
      <c r="S1020" s="46"/>
      <c r="T1020" s="46"/>
      <c r="U1020" s="46"/>
      <c r="V1020" s="46"/>
      <c r="W1020" s="46"/>
      <c r="X1020" s="46"/>
      <c r="Y1020" s="46"/>
      <c r="Z1020" s="46"/>
      <c r="AA1020" s="46"/>
      <c r="AB1020" s="46"/>
      <c r="AC1020" s="46"/>
      <c r="AD1020" s="46"/>
      <c r="AE1020" s="46"/>
      <c r="AF1020" s="46"/>
      <c r="AG1020" s="46"/>
      <c r="AH1020" s="46"/>
      <c r="AI1020" s="46"/>
      <c r="AJ1020" s="46"/>
      <c r="AK1020" s="46"/>
      <c r="AL1020" s="46"/>
      <c r="AM1020" s="46"/>
      <c r="AN1020" s="46"/>
      <c r="AO1020" s="46"/>
      <c r="AP1020" s="46"/>
      <c r="AQ1020" s="46"/>
      <c r="AR1020" s="46"/>
      <c r="AS1020" s="46"/>
      <c r="AT1020" s="46"/>
      <c r="AU1020" s="46"/>
      <c r="AV1020" s="46"/>
      <c r="AW1020" s="46"/>
      <c r="AX1020" s="46"/>
      <c r="AY1020" s="46"/>
      <c r="AZ1020" s="46"/>
      <c r="BA1020" s="46"/>
      <c r="BB1020" s="46"/>
      <c r="BC1020" s="46"/>
      <c r="BD1020" s="46"/>
      <c r="BE1020" s="46"/>
    </row>
    <row r="1021" spans="1:57" ht="14.25" customHeight="1" x14ac:dyDescent="0.3">
      <c r="A1021" s="46"/>
      <c r="B1021" s="37"/>
      <c r="C1021" s="46"/>
      <c r="D1021" s="46"/>
      <c r="E1021" s="46"/>
      <c r="F1021" s="46"/>
      <c r="G1021" s="46"/>
      <c r="H1021" s="46"/>
      <c r="I1021" s="46"/>
      <c r="J1021" s="46"/>
      <c r="K1021" s="46"/>
      <c r="L1021" s="46"/>
      <c r="M1021" s="46"/>
      <c r="N1021" s="46"/>
      <c r="O1021" s="46"/>
      <c r="P1021" s="46"/>
      <c r="Q1021" s="46"/>
      <c r="R1021" s="46"/>
      <c r="S1021" s="46"/>
      <c r="T1021" s="46"/>
      <c r="U1021" s="46"/>
      <c r="V1021" s="46"/>
      <c r="W1021" s="46"/>
      <c r="X1021" s="46"/>
      <c r="Y1021" s="46"/>
      <c r="Z1021" s="46"/>
      <c r="AA1021" s="46"/>
      <c r="AB1021" s="46"/>
      <c r="AC1021" s="46"/>
      <c r="AD1021" s="46"/>
      <c r="AE1021" s="46"/>
      <c r="AF1021" s="46"/>
      <c r="AG1021" s="46"/>
      <c r="AH1021" s="46"/>
      <c r="AI1021" s="46"/>
      <c r="AJ1021" s="46"/>
      <c r="AK1021" s="46"/>
      <c r="AL1021" s="46"/>
      <c r="AM1021" s="46"/>
      <c r="AN1021" s="46"/>
      <c r="AO1021" s="46"/>
      <c r="AP1021" s="46"/>
      <c r="AQ1021" s="46"/>
      <c r="AR1021" s="46"/>
      <c r="AS1021" s="46"/>
      <c r="AT1021" s="46"/>
      <c r="AU1021" s="46"/>
      <c r="AV1021" s="46"/>
      <c r="AW1021" s="46"/>
      <c r="AX1021" s="46"/>
      <c r="AY1021" s="46"/>
      <c r="AZ1021" s="46"/>
      <c r="BA1021" s="46"/>
      <c r="BB1021" s="46"/>
      <c r="BC1021" s="46"/>
      <c r="BD1021" s="46"/>
      <c r="BE1021" s="46"/>
    </row>
    <row r="1022" spans="1:57" ht="14.25" customHeight="1" x14ac:dyDescent="0.3">
      <c r="A1022" s="46"/>
      <c r="B1022" s="37"/>
      <c r="C1022" s="46"/>
      <c r="D1022" s="46"/>
      <c r="E1022" s="46"/>
      <c r="F1022" s="46"/>
      <c r="G1022" s="46"/>
      <c r="H1022" s="46"/>
      <c r="I1022" s="46"/>
      <c r="J1022" s="46"/>
      <c r="K1022" s="46"/>
      <c r="L1022" s="46"/>
      <c r="M1022" s="46"/>
      <c r="N1022" s="46"/>
      <c r="O1022" s="46"/>
      <c r="P1022" s="46"/>
      <c r="Q1022" s="46"/>
      <c r="R1022" s="46"/>
      <c r="S1022" s="46"/>
      <c r="T1022" s="46"/>
      <c r="U1022" s="46"/>
      <c r="V1022" s="46"/>
      <c r="W1022" s="46"/>
      <c r="X1022" s="46"/>
      <c r="Y1022" s="46"/>
      <c r="Z1022" s="46"/>
      <c r="AA1022" s="46"/>
      <c r="AB1022" s="46"/>
      <c r="AC1022" s="46"/>
      <c r="AD1022" s="46"/>
      <c r="AE1022" s="46"/>
      <c r="AF1022" s="46"/>
      <c r="AG1022" s="46"/>
      <c r="AH1022" s="46"/>
      <c r="AI1022" s="46"/>
      <c r="AJ1022" s="46"/>
      <c r="AK1022" s="46"/>
      <c r="AL1022" s="46"/>
      <c r="AM1022" s="46"/>
      <c r="AN1022" s="46"/>
      <c r="AO1022" s="46"/>
      <c r="AP1022" s="46"/>
      <c r="AQ1022" s="46"/>
      <c r="AR1022" s="46"/>
      <c r="AS1022" s="46"/>
      <c r="AT1022" s="46"/>
      <c r="AU1022" s="46"/>
      <c r="AV1022" s="46"/>
      <c r="AW1022" s="46"/>
      <c r="AX1022" s="46"/>
      <c r="AY1022" s="46"/>
      <c r="AZ1022" s="46"/>
      <c r="BA1022" s="46"/>
      <c r="BB1022" s="46"/>
      <c r="BC1022" s="46"/>
      <c r="BD1022" s="46"/>
      <c r="BE1022" s="46"/>
    </row>
    <row r="1023" spans="1:57" ht="14.25" customHeight="1" x14ac:dyDescent="0.3">
      <c r="A1023" s="46"/>
      <c r="B1023" s="37"/>
      <c r="C1023" s="46"/>
      <c r="D1023" s="46"/>
      <c r="E1023" s="46"/>
      <c r="F1023" s="46"/>
      <c r="G1023" s="46"/>
      <c r="H1023" s="46"/>
      <c r="I1023" s="46"/>
      <c r="J1023" s="46"/>
      <c r="K1023" s="46"/>
      <c r="L1023" s="46"/>
      <c r="M1023" s="46"/>
      <c r="N1023" s="46"/>
      <c r="O1023" s="46"/>
      <c r="P1023" s="46"/>
      <c r="Q1023" s="46"/>
      <c r="R1023" s="46"/>
      <c r="S1023" s="46"/>
      <c r="T1023" s="46"/>
      <c r="U1023" s="46"/>
      <c r="V1023" s="46"/>
      <c r="W1023" s="46"/>
      <c r="X1023" s="46"/>
      <c r="Y1023" s="46"/>
      <c r="Z1023" s="46"/>
      <c r="AA1023" s="46"/>
      <c r="AB1023" s="46"/>
      <c r="AC1023" s="46"/>
      <c r="AD1023" s="46"/>
      <c r="AE1023" s="46"/>
      <c r="AF1023" s="46"/>
      <c r="AG1023" s="46"/>
      <c r="AH1023" s="46"/>
      <c r="AI1023" s="46"/>
      <c r="AJ1023" s="46"/>
      <c r="AK1023" s="46"/>
      <c r="AL1023" s="46"/>
      <c r="AM1023" s="46"/>
      <c r="AN1023" s="46"/>
      <c r="AO1023" s="46"/>
      <c r="AP1023" s="46"/>
      <c r="AQ1023" s="46"/>
      <c r="AR1023" s="46"/>
      <c r="AS1023" s="46"/>
      <c r="AT1023" s="46"/>
      <c r="AU1023" s="46"/>
      <c r="AV1023" s="46"/>
      <c r="AW1023" s="46"/>
      <c r="AX1023" s="46"/>
      <c r="AY1023" s="46"/>
      <c r="AZ1023" s="46"/>
      <c r="BA1023" s="46"/>
      <c r="BB1023" s="46"/>
      <c r="BC1023" s="46"/>
      <c r="BD1023" s="46"/>
      <c r="BE1023" s="46"/>
    </row>
    <row r="1024" spans="1:57" ht="14.25" customHeight="1" x14ac:dyDescent="0.3">
      <c r="A1024" s="46"/>
      <c r="B1024" s="37"/>
      <c r="C1024" s="46"/>
      <c r="D1024" s="46"/>
      <c r="E1024" s="46"/>
      <c r="F1024" s="46"/>
      <c r="G1024" s="46"/>
      <c r="H1024" s="46"/>
      <c r="I1024" s="46"/>
      <c r="J1024" s="46"/>
      <c r="K1024" s="46"/>
      <c r="L1024" s="46"/>
      <c r="M1024" s="46"/>
      <c r="N1024" s="46"/>
      <c r="O1024" s="46"/>
      <c r="P1024" s="46"/>
      <c r="Q1024" s="46"/>
      <c r="R1024" s="46"/>
      <c r="S1024" s="46"/>
      <c r="T1024" s="46"/>
      <c r="U1024" s="46"/>
      <c r="V1024" s="46"/>
      <c r="W1024" s="46"/>
      <c r="X1024" s="46"/>
      <c r="Y1024" s="46"/>
      <c r="Z1024" s="46"/>
      <c r="AA1024" s="46"/>
      <c r="AB1024" s="46"/>
      <c r="AC1024" s="46"/>
      <c r="AD1024" s="46"/>
      <c r="AE1024" s="46"/>
      <c r="AF1024" s="46"/>
      <c r="AG1024" s="46"/>
      <c r="AH1024" s="46"/>
      <c r="AI1024" s="46"/>
      <c r="AJ1024" s="46"/>
      <c r="AK1024" s="46"/>
      <c r="AL1024" s="46"/>
      <c r="AM1024" s="46"/>
      <c r="AN1024" s="46"/>
      <c r="AO1024" s="46"/>
      <c r="AP1024" s="46"/>
      <c r="AQ1024" s="46"/>
      <c r="AR1024" s="46"/>
      <c r="AS1024" s="46"/>
      <c r="AT1024" s="46"/>
      <c r="AU1024" s="46"/>
      <c r="AV1024" s="46"/>
      <c r="AW1024" s="46"/>
      <c r="AX1024" s="46"/>
      <c r="AY1024" s="46"/>
      <c r="AZ1024" s="46"/>
      <c r="BA1024" s="46"/>
      <c r="BB1024" s="46"/>
      <c r="BC1024" s="46"/>
      <c r="BD1024" s="46"/>
      <c r="BE1024" s="46"/>
    </row>
    <row r="1025" spans="1:57" ht="14.25" customHeight="1" x14ac:dyDescent="0.3">
      <c r="A1025" s="46"/>
      <c r="B1025" s="37"/>
      <c r="C1025" s="46"/>
      <c r="D1025" s="46"/>
      <c r="E1025" s="46"/>
      <c r="F1025" s="46"/>
      <c r="G1025" s="46"/>
      <c r="H1025" s="46"/>
      <c r="I1025" s="46"/>
      <c r="J1025" s="46"/>
      <c r="K1025" s="46"/>
      <c r="L1025" s="46"/>
      <c r="M1025" s="46"/>
      <c r="N1025" s="46"/>
      <c r="O1025" s="46"/>
      <c r="P1025" s="46"/>
      <c r="Q1025" s="46"/>
      <c r="R1025" s="46"/>
      <c r="S1025" s="46"/>
      <c r="T1025" s="46"/>
      <c r="U1025" s="46"/>
      <c r="V1025" s="46"/>
      <c r="W1025" s="46"/>
      <c r="X1025" s="46"/>
      <c r="Y1025" s="46"/>
      <c r="Z1025" s="46"/>
      <c r="AA1025" s="46"/>
      <c r="AB1025" s="46"/>
      <c r="AC1025" s="46"/>
      <c r="AD1025" s="46"/>
      <c r="AE1025" s="46"/>
      <c r="AF1025" s="46"/>
      <c r="AG1025" s="46"/>
      <c r="AH1025" s="46"/>
      <c r="AI1025" s="46"/>
      <c r="AJ1025" s="46"/>
      <c r="AK1025" s="46"/>
      <c r="AL1025" s="46"/>
      <c r="AM1025" s="46"/>
      <c r="AN1025" s="46"/>
      <c r="AO1025" s="46"/>
      <c r="AP1025" s="46"/>
      <c r="AQ1025" s="46"/>
      <c r="AR1025" s="46"/>
      <c r="AS1025" s="46"/>
      <c r="AT1025" s="46"/>
      <c r="AU1025" s="46"/>
      <c r="AV1025" s="46"/>
      <c r="AW1025" s="46"/>
      <c r="AX1025" s="46"/>
      <c r="AY1025" s="46"/>
      <c r="AZ1025" s="46"/>
      <c r="BA1025" s="46"/>
      <c r="BB1025" s="46"/>
      <c r="BC1025" s="46"/>
      <c r="BD1025" s="46"/>
      <c r="BE1025" s="46"/>
    </row>
    <row r="1026" spans="1:57" ht="14.25" customHeight="1" x14ac:dyDescent="0.3">
      <c r="A1026" s="46"/>
      <c r="B1026" s="37"/>
      <c r="C1026" s="46"/>
      <c r="D1026" s="46"/>
      <c r="E1026" s="46"/>
      <c r="F1026" s="46"/>
      <c r="G1026" s="46"/>
      <c r="H1026" s="46"/>
      <c r="I1026" s="46"/>
      <c r="J1026" s="46"/>
      <c r="K1026" s="46"/>
      <c r="L1026" s="46"/>
      <c r="M1026" s="46"/>
      <c r="N1026" s="46"/>
      <c r="O1026" s="46"/>
      <c r="P1026" s="46"/>
      <c r="Q1026" s="46"/>
      <c r="R1026" s="46"/>
      <c r="S1026" s="46"/>
      <c r="T1026" s="46"/>
      <c r="U1026" s="46"/>
      <c r="V1026" s="46"/>
      <c r="W1026" s="46"/>
      <c r="X1026" s="46"/>
      <c r="Y1026" s="46"/>
      <c r="Z1026" s="46"/>
      <c r="AA1026" s="46"/>
      <c r="AB1026" s="46"/>
      <c r="AC1026" s="46"/>
      <c r="AD1026" s="46"/>
      <c r="AE1026" s="46"/>
      <c r="AF1026" s="46"/>
      <c r="AG1026" s="46"/>
      <c r="AH1026" s="46"/>
      <c r="AI1026" s="46"/>
      <c r="AJ1026" s="46"/>
      <c r="AK1026" s="46"/>
      <c r="AL1026" s="46"/>
      <c r="AM1026" s="46"/>
      <c r="AN1026" s="46"/>
      <c r="AO1026" s="46"/>
      <c r="AP1026" s="46"/>
      <c r="AQ1026" s="46"/>
      <c r="AR1026" s="46"/>
      <c r="AS1026" s="46"/>
      <c r="AT1026" s="46"/>
      <c r="AU1026" s="46"/>
      <c r="AV1026" s="46"/>
      <c r="AW1026" s="46"/>
      <c r="AX1026" s="46"/>
      <c r="AY1026" s="46"/>
      <c r="AZ1026" s="46"/>
      <c r="BA1026" s="46"/>
      <c r="BB1026" s="46"/>
      <c r="BC1026" s="46"/>
      <c r="BD1026" s="46"/>
      <c r="BE1026" s="46"/>
    </row>
    <row r="1027" spans="1:57" ht="14.25" customHeight="1" x14ac:dyDescent="0.3">
      <c r="A1027" s="46"/>
      <c r="B1027" s="37"/>
      <c r="C1027" s="46"/>
      <c r="D1027" s="46"/>
      <c r="E1027" s="46"/>
      <c r="F1027" s="46"/>
      <c r="G1027" s="46"/>
      <c r="H1027" s="46"/>
      <c r="I1027" s="46"/>
      <c r="J1027" s="46"/>
      <c r="K1027" s="46"/>
      <c r="L1027" s="46"/>
      <c r="M1027" s="46"/>
      <c r="N1027" s="46"/>
      <c r="O1027" s="46"/>
      <c r="P1027" s="46"/>
      <c r="Q1027" s="46"/>
      <c r="R1027" s="46"/>
      <c r="S1027" s="46"/>
      <c r="T1027" s="46"/>
      <c r="U1027" s="46"/>
      <c r="V1027" s="46"/>
      <c r="W1027" s="46"/>
      <c r="X1027" s="46"/>
      <c r="Y1027" s="46"/>
      <c r="Z1027" s="46"/>
      <c r="AA1027" s="46"/>
      <c r="AB1027" s="46"/>
      <c r="AC1027" s="46"/>
      <c r="AD1027" s="46"/>
      <c r="AE1027" s="46"/>
      <c r="AF1027" s="46"/>
      <c r="AG1027" s="46"/>
      <c r="AH1027" s="46"/>
      <c r="AI1027" s="46"/>
      <c r="AJ1027" s="46"/>
      <c r="AK1027" s="46"/>
      <c r="AL1027" s="46"/>
      <c r="AM1027" s="46"/>
      <c r="AN1027" s="46"/>
      <c r="AO1027" s="46"/>
      <c r="AP1027" s="46"/>
      <c r="AQ1027" s="46"/>
      <c r="AR1027" s="46"/>
      <c r="AS1027" s="46"/>
      <c r="AT1027" s="46"/>
      <c r="AU1027" s="46"/>
      <c r="AV1027" s="46"/>
      <c r="AW1027" s="46"/>
      <c r="AX1027" s="46"/>
      <c r="AY1027" s="46"/>
      <c r="AZ1027" s="46"/>
      <c r="BA1027" s="46"/>
      <c r="BB1027" s="46"/>
      <c r="BC1027" s="46"/>
      <c r="BD1027" s="46"/>
      <c r="BE1027" s="46"/>
    </row>
    <row r="1028" spans="1:57" ht="14.25" customHeight="1" x14ac:dyDescent="0.3">
      <c r="A1028" s="46"/>
      <c r="B1028" s="37"/>
      <c r="C1028" s="46"/>
      <c r="D1028" s="46"/>
      <c r="E1028" s="46"/>
      <c r="F1028" s="46"/>
      <c r="G1028" s="46"/>
      <c r="H1028" s="46"/>
      <c r="I1028" s="46"/>
      <c r="J1028" s="46"/>
      <c r="K1028" s="46"/>
      <c r="L1028" s="46"/>
      <c r="M1028" s="46"/>
      <c r="N1028" s="46"/>
      <c r="O1028" s="46"/>
      <c r="P1028" s="46"/>
      <c r="Q1028" s="46"/>
      <c r="R1028" s="46"/>
      <c r="S1028" s="46"/>
      <c r="T1028" s="46"/>
      <c r="U1028" s="46"/>
      <c r="V1028" s="46"/>
      <c r="W1028" s="46"/>
      <c r="X1028" s="46"/>
      <c r="Y1028" s="46"/>
      <c r="Z1028" s="46"/>
      <c r="AA1028" s="46"/>
      <c r="AB1028" s="46"/>
      <c r="AC1028" s="46"/>
      <c r="AD1028" s="46"/>
      <c r="AE1028" s="46"/>
      <c r="AF1028" s="46"/>
      <c r="AG1028" s="46"/>
      <c r="AH1028" s="46"/>
      <c r="AI1028" s="46"/>
      <c r="AJ1028" s="46"/>
      <c r="AK1028" s="46"/>
      <c r="AL1028" s="46"/>
      <c r="AM1028" s="46"/>
      <c r="AN1028" s="46"/>
      <c r="AO1028" s="46"/>
      <c r="AP1028" s="46"/>
      <c r="AQ1028" s="46"/>
      <c r="AR1028" s="46"/>
      <c r="AS1028" s="46"/>
      <c r="AT1028" s="46"/>
      <c r="AU1028" s="46"/>
      <c r="AV1028" s="46"/>
      <c r="AW1028" s="46"/>
      <c r="AX1028" s="46"/>
      <c r="AY1028" s="46"/>
      <c r="AZ1028" s="46"/>
      <c r="BA1028" s="46"/>
      <c r="BB1028" s="46"/>
      <c r="BC1028" s="46"/>
      <c r="BD1028" s="46"/>
      <c r="BE1028" s="46"/>
    </row>
    <row r="1029" spans="1:57" ht="14.25" customHeight="1" x14ac:dyDescent="0.3">
      <c r="A1029" s="46"/>
      <c r="B1029" s="37"/>
      <c r="C1029" s="46"/>
      <c r="D1029" s="46"/>
      <c r="E1029" s="46"/>
      <c r="F1029" s="46"/>
      <c r="G1029" s="46"/>
      <c r="H1029" s="46"/>
      <c r="I1029" s="46"/>
      <c r="J1029" s="46"/>
      <c r="K1029" s="46"/>
      <c r="L1029" s="46"/>
      <c r="M1029" s="46"/>
      <c r="N1029" s="46"/>
      <c r="O1029" s="46"/>
      <c r="P1029" s="46"/>
      <c r="Q1029" s="46"/>
      <c r="R1029" s="46"/>
      <c r="S1029" s="46"/>
      <c r="T1029" s="46"/>
      <c r="U1029" s="46"/>
      <c r="V1029" s="46"/>
      <c r="W1029" s="46"/>
      <c r="X1029" s="46"/>
      <c r="Y1029" s="46"/>
      <c r="Z1029" s="46"/>
      <c r="AA1029" s="46"/>
      <c r="AB1029" s="46"/>
      <c r="AC1029" s="46"/>
      <c r="AD1029" s="46"/>
      <c r="AE1029" s="46"/>
      <c r="AF1029" s="46"/>
      <c r="AG1029" s="46"/>
      <c r="AH1029" s="46"/>
      <c r="AI1029" s="46"/>
      <c r="AJ1029" s="46"/>
      <c r="AK1029" s="46"/>
      <c r="AL1029" s="46"/>
      <c r="AM1029" s="46"/>
      <c r="AN1029" s="46"/>
      <c r="AO1029" s="46"/>
      <c r="AP1029" s="46"/>
      <c r="AQ1029" s="46"/>
      <c r="AR1029" s="46"/>
      <c r="AS1029" s="46"/>
      <c r="AT1029" s="46"/>
      <c r="AU1029" s="46"/>
      <c r="AV1029" s="46"/>
      <c r="AW1029" s="46"/>
      <c r="AX1029" s="46"/>
      <c r="AY1029" s="46"/>
      <c r="AZ1029" s="46"/>
      <c r="BA1029" s="46"/>
      <c r="BB1029" s="46"/>
      <c r="BC1029" s="46"/>
      <c r="BD1029" s="46"/>
      <c r="BE1029" s="46"/>
    </row>
    <row r="1030" spans="1:57" ht="14.25" customHeight="1" x14ac:dyDescent="0.3">
      <c r="A1030" s="46"/>
      <c r="B1030" s="37"/>
      <c r="C1030" s="46"/>
      <c r="D1030" s="46"/>
      <c r="E1030" s="46"/>
      <c r="F1030" s="46"/>
      <c r="G1030" s="46"/>
      <c r="H1030" s="46"/>
      <c r="I1030" s="46"/>
      <c r="J1030" s="46"/>
      <c r="K1030" s="46"/>
      <c r="L1030" s="46"/>
      <c r="M1030" s="46"/>
      <c r="N1030" s="46"/>
      <c r="O1030" s="46"/>
      <c r="P1030" s="46"/>
      <c r="Q1030" s="46"/>
      <c r="R1030" s="46"/>
      <c r="S1030" s="46"/>
      <c r="T1030" s="46"/>
      <c r="U1030" s="46"/>
      <c r="V1030" s="46"/>
      <c r="W1030" s="46"/>
      <c r="X1030" s="46"/>
      <c r="Y1030" s="46"/>
      <c r="Z1030" s="46"/>
      <c r="AA1030" s="46"/>
      <c r="AB1030" s="46"/>
      <c r="AC1030" s="46"/>
      <c r="AD1030" s="46"/>
      <c r="AE1030" s="46"/>
      <c r="AF1030" s="46"/>
      <c r="AG1030" s="46"/>
      <c r="AH1030" s="46"/>
      <c r="AI1030" s="46"/>
      <c r="AJ1030" s="46"/>
      <c r="AK1030" s="46"/>
      <c r="AL1030" s="46"/>
      <c r="AM1030" s="46"/>
      <c r="AN1030" s="46"/>
      <c r="AO1030" s="46"/>
      <c r="AP1030" s="46"/>
      <c r="AQ1030" s="46"/>
      <c r="AR1030" s="46"/>
      <c r="AS1030" s="46"/>
      <c r="AT1030" s="46"/>
      <c r="AU1030" s="46"/>
      <c r="AV1030" s="46"/>
      <c r="AW1030" s="46"/>
      <c r="AX1030" s="46"/>
      <c r="AY1030" s="46"/>
      <c r="AZ1030" s="46"/>
      <c r="BA1030" s="46"/>
      <c r="BB1030" s="46"/>
      <c r="BC1030" s="46"/>
      <c r="BD1030" s="46"/>
      <c r="BE1030" s="46"/>
    </row>
    <row r="1031" spans="1:57" ht="14.25" customHeight="1" x14ac:dyDescent="0.3">
      <c r="A1031" s="46"/>
      <c r="B1031" s="37"/>
      <c r="C1031" s="46"/>
      <c r="D1031" s="46"/>
      <c r="E1031" s="46"/>
      <c r="F1031" s="46"/>
      <c r="G1031" s="46"/>
      <c r="H1031" s="46"/>
      <c r="I1031" s="46"/>
      <c r="J1031" s="46"/>
      <c r="K1031" s="46"/>
      <c r="L1031" s="46"/>
      <c r="M1031" s="46"/>
      <c r="N1031" s="46"/>
      <c r="O1031" s="46"/>
      <c r="P1031" s="46"/>
      <c r="Q1031" s="46"/>
      <c r="R1031" s="46"/>
      <c r="S1031" s="46"/>
      <c r="T1031" s="46"/>
      <c r="U1031" s="46"/>
      <c r="V1031" s="46"/>
      <c r="W1031" s="46"/>
      <c r="X1031" s="46"/>
      <c r="Y1031" s="46"/>
      <c r="Z1031" s="46"/>
      <c r="AA1031" s="46"/>
      <c r="AB1031" s="46"/>
      <c r="AC1031" s="46"/>
      <c r="AD1031" s="46"/>
      <c r="AE1031" s="46"/>
      <c r="AF1031" s="46"/>
      <c r="AG1031" s="46"/>
      <c r="AH1031" s="46"/>
      <c r="AI1031" s="46"/>
      <c r="AJ1031" s="46"/>
      <c r="AK1031" s="46"/>
      <c r="AL1031" s="46"/>
      <c r="AM1031" s="46"/>
      <c r="AN1031" s="46"/>
      <c r="AO1031" s="46"/>
      <c r="AP1031" s="46"/>
      <c r="AQ1031" s="46"/>
      <c r="AR1031" s="46"/>
      <c r="AS1031" s="46"/>
      <c r="AT1031" s="46"/>
      <c r="AU1031" s="46"/>
      <c r="AV1031" s="46"/>
      <c r="AW1031" s="46"/>
      <c r="AX1031" s="46"/>
      <c r="AY1031" s="46"/>
      <c r="AZ1031" s="46"/>
      <c r="BA1031" s="46"/>
      <c r="BB1031" s="46"/>
      <c r="BC1031" s="46"/>
      <c r="BD1031" s="46"/>
      <c r="BE1031" s="46"/>
    </row>
    <row r="1032" spans="1:57" ht="14.25" customHeight="1" x14ac:dyDescent="0.3">
      <c r="A1032" s="46"/>
      <c r="B1032" s="37"/>
      <c r="C1032" s="46"/>
      <c r="D1032" s="46"/>
      <c r="E1032" s="46"/>
      <c r="F1032" s="46"/>
      <c r="G1032" s="46"/>
      <c r="H1032" s="46"/>
      <c r="I1032" s="46"/>
      <c r="J1032" s="46"/>
      <c r="K1032" s="46"/>
      <c r="L1032" s="46"/>
      <c r="M1032" s="46"/>
      <c r="N1032" s="46"/>
      <c r="O1032" s="46"/>
      <c r="P1032" s="46"/>
      <c r="Q1032" s="46"/>
      <c r="R1032" s="46"/>
      <c r="S1032" s="46"/>
      <c r="T1032" s="46"/>
      <c r="U1032" s="46"/>
      <c r="V1032" s="46"/>
      <c r="W1032" s="46"/>
      <c r="X1032" s="46"/>
      <c r="Y1032" s="46"/>
      <c r="Z1032" s="46"/>
      <c r="AA1032" s="46"/>
      <c r="AB1032" s="46"/>
      <c r="AC1032" s="46"/>
      <c r="AD1032" s="46"/>
      <c r="AE1032" s="46"/>
      <c r="AF1032" s="46"/>
      <c r="AG1032" s="46"/>
      <c r="AH1032" s="46"/>
      <c r="AI1032" s="46"/>
      <c r="AJ1032" s="46"/>
      <c r="AK1032" s="46"/>
      <c r="AL1032" s="46"/>
      <c r="AM1032" s="46"/>
      <c r="AN1032" s="46"/>
      <c r="AO1032" s="46"/>
      <c r="AP1032" s="46"/>
      <c r="AQ1032" s="46"/>
      <c r="AR1032" s="46"/>
      <c r="AS1032" s="46"/>
      <c r="AT1032" s="46"/>
      <c r="AU1032" s="46"/>
      <c r="AV1032" s="46"/>
      <c r="AW1032" s="46"/>
      <c r="AX1032" s="46"/>
      <c r="AY1032" s="46"/>
      <c r="AZ1032" s="46"/>
      <c r="BA1032" s="46"/>
      <c r="BB1032" s="46"/>
      <c r="BC1032" s="46"/>
      <c r="BD1032" s="46"/>
      <c r="BE1032" s="46"/>
    </row>
    <row r="1033" spans="1:57" ht="14.25" customHeight="1" x14ac:dyDescent="0.3">
      <c r="A1033" s="46"/>
      <c r="B1033" s="37"/>
      <c r="C1033" s="46"/>
      <c r="D1033" s="46"/>
      <c r="E1033" s="46"/>
      <c r="F1033" s="46"/>
      <c r="G1033" s="46"/>
      <c r="H1033" s="46"/>
      <c r="I1033" s="46"/>
      <c r="J1033" s="46"/>
      <c r="K1033" s="46"/>
      <c r="L1033" s="46"/>
      <c r="M1033" s="46"/>
      <c r="N1033" s="46"/>
      <c r="O1033" s="46"/>
      <c r="P1033" s="46"/>
      <c r="Q1033" s="46"/>
      <c r="R1033" s="46"/>
      <c r="S1033" s="46"/>
      <c r="T1033" s="46"/>
      <c r="U1033" s="46"/>
      <c r="V1033" s="46"/>
      <c r="W1033" s="46"/>
      <c r="X1033" s="46"/>
      <c r="Y1033" s="46"/>
      <c r="Z1033" s="46"/>
      <c r="AA1033" s="46"/>
      <c r="AB1033" s="46"/>
      <c r="AC1033" s="46"/>
      <c r="AD1033" s="46"/>
      <c r="AE1033" s="46"/>
      <c r="AF1033" s="46"/>
      <c r="AG1033" s="46"/>
      <c r="AH1033" s="46"/>
      <c r="AI1033" s="46"/>
      <c r="AJ1033" s="46"/>
      <c r="AK1033" s="46"/>
      <c r="AL1033" s="46"/>
      <c r="AM1033" s="46"/>
      <c r="AN1033" s="46"/>
      <c r="AO1033" s="46"/>
      <c r="AP1033" s="46"/>
      <c r="AQ1033" s="46"/>
      <c r="AR1033" s="46"/>
      <c r="AS1033" s="46"/>
      <c r="AT1033" s="46"/>
      <c r="AU1033" s="46"/>
      <c r="AV1033" s="46"/>
      <c r="AW1033" s="46"/>
      <c r="AX1033" s="46"/>
      <c r="AY1033" s="46"/>
      <c r="AZ1033" s="46"/>
      <c r="BA1033" s="46"/>
      <c r="BB1033" s="46"/>
      <c r="BC1033" s="46"/>
      <c r="BD1033" s="46"/>
      <c r="BE1033" s="46"/>
    </row>
    <row r="1034" spans="1:57" ht="14.25" customHeight="1" x14ac:dyDescent="0.3">
      <c r="A1034" s="46"/>
      <c r="B1034" s="37"/>
      <c r="C1034" s="46"/>
      <c r="D1034" s="46"/>
      <c r="E1034" s="46"/>
      <c r="F1034" s="46"/>
      <c r="G1034" s="46"/>
      <c r="H1034" s="46"/>
      <c r="I1034" s="46"/>
      <c r="J1034" s="46"/>
      <c r="K1034" s="46"/>
      <c r="L1034" s="46"/>
      <c r="M1034" s="46"/>
      <c r="N1034" s="46"/>
      <c r="O1034" s="46"/>
      <c r="P1034" s="46"/>
      <c r="Q1034" s="46"/>
      <c r="R1034" s="46"/>
      <c r="S1034" s="46"/>
      <c r="T1034" s="46"/>
      <c r="U1034" s="46"/>
      <c r="V1034" s="46"/>
      <c r="W1034" s="46"/>
      <c r="X1034" s="46"/>
      <c r="Y1034" s="46"/>
      <c r="Z1034" s="46"/>
      <c r="AA1034" s="46"/>
      <c r="AB1034" s="46"/>
      <c r="AC1034" s="46"/>
      <c r="AD1034" s="46"/>
      <c r="AE1034" s="46"/>
      <c r="AF1034" s="46"/>
      <c r="AG1034" s="46"/>
      <c r="AH1034" s="46"/>
      <c r="AI1034" s="46"/>
      <c r="AJ1034" s="46"/>
      <c r="AK1034" s="46"/>
      <c r="AL1034" s="46"/>
      <c r="AM1034" s="46"/>
      <c r="AN1034" s="46"/>
      <c r="AO1034" s="46"/>
      <c r="AP1034" s="46"/>
      <c r="AQ1034" s="46"/>
      <c r="AR1034" s="46"/>
      <c r="AS1034" s="46"/>
      <c r="AT1034" s="46"/>
      <c r="AU1034" s="46"/>
      <c r="AV1034" s="46"/>
      <c r="AW1034" s="46"/>
      <c r="AX1034" s="46"/>
      <c r="AY1034" s="46"/>
      <c r="AZ1034" s="46"/>
      <c r="BA1034" s="46"/>
      <c r="BB1034" s="46"/>
      <c r="BC1034" s="46"/>
      <c r="BD1034" s="46"/>
      <c r="BE1034" s="46"/>
    </row>
    <row r="1035" spans="1:57" ht="14.25" customHeight="1" x14ac:dyDescent="0.3">
      <c r="A1035" s="46"/>
      <c r="B1035" s="37"/>
      <c r="C1035" s="46"/>
      <c r="D1035" s="46"/>
      <c r="E1035" s="46"/>
      <c r="F1035" s="46"/>
      <c r="G1035" s="46"/>
      <c r="H1035" s="46"/>
      <c r="I1035" s="46"/>
      <c r="J1035" s="46"/>
      <c r="K1035" s="46"/>
      <c r="L1035" s="46"/>
      <c r="M1035" s="46"/>
      <c r="N1035" s="46"/>
      <c r="O1035" s="46"/>
      <c r="P1035" s="46"/>
      <c r="Q1035" s="46"/>
      <c r="R1035" s="46"/>
      <c r="S1035" s="46"/>
      <c r="T1035" s="46"/>
      <c r="U1035" s="46"/>
      <c r="V1035" s="46"/>
      <c r="W1035" s="46"/>
      <c r="X1035" s="46"/>
      <c r="Y1035" s="46"/>
      <c r="Z1035" s="46"/>
      <c r="AA1035" s="46"/>
      <c r="AB1035" s="46"/>
      <c r="AC1035" s="46"/>
      <c r="AD1035" s="46"/>
      <c r="AE1035" s="46"/>
      <c r="AF1035" s="46"/>
      <c r="AG1035" s="46"/>
      <c r="AH1035" s="46"/>
      <c r="AI1035" s="46"/>
      <c r="AJ1035" s="46"/>
      <c r="AK1035" s="46"/>
      <c r="AL1035" s="46"/>
      <c r="AM1035" s="46"/>
      <c r="AN1035" s="46"/>
      <c r="AO1035" s="46"/>
      <c r="AP1035" s="46"/>
      <c r="AQ1035" s="46"/>
      <c r="AR1035" s="46"/>
      <c r="AS1035" s="46"/>
      <c r="AT1035" s="46"/>
      <c r="AU1035" s="46"/>
      <c r="AV1035" s="46"/>
      <c r="AW1035" s="46"/>
      <c r="AX1035" s="46"/>
      <c r="AY1035" s="46"/>
      <c r="AZ1035" s="46"/>
      <c r="BA1035" s="46"/>
      <c r="BB1035" s="46"/>
      <c r="BC1035" s="46"/>
      <c r="BD1035" s="46"/>
      <c r="BE1035" s="46"/>
    </row>
    <row r="1036" spans="1:57" ht="14.25" customHeight="1" x14ac:dyDescent="0.3">
      <c r="A1036" s="46"/>
      <c r="B1036" s="37"/>
      <c r="C1036" s="46"/>
      <c r="D1036" s="46"/>
      <c r="E1036" s="46"/>
      <c r="F1036" s="46"/>
      <c r="G1036" s="46"/>
      <c r="H1036" s="46"/>
      <c r="I1036" s="46"/>
      <c r="J1036" s="46"/>
      <c r="K1036" s="46"/>
      <c r="L1036" s="46"/>
      <c r="M1036" s="46"/>
      <c r="N1036" s="46"/>
      <c r="O1036" s="46"/>
      <c r="P1036" s="46"/>
      <c r="Q1036" s="46"/>
      <c r="R1036" s="46"/>
      <c r="S1036" s="46"/>
      <c r="T1036" s="46"/>
      <c r="U1036" s="46"/>
      <c r="V1036" s="46"/>
      <c r="W1036" s="46"/>
      <c r="X1036" s="46"/>
      <c r="Y1036" s="46"/>
      <c r="Z1036" s="46"/>
      <c r="AA1036" s="46"/>
      <c r="AB1036" s="46"/>
      <c r="AC1036" s="46"/>
      <c r="AD1036" s="46"/>
      <c r="AE1036" s="46"/>
      <c r="AF1036" s="46"/>
      <c r="AG1036" s="46"/>
      <c r="AH1036" s="46"/>
      <c r="AI1036" s="46"/>
      <c r="AJ1036" s="46"/>
      <c r="AK1036" s="46"/>
      <c r="AL1036" s="46"/>
      <c r="AM1036" s="46"/>
      <c r="AN1036" s="46"/>
      <c r="AO1036" s="46"/>
      <c r="AP1036" s="46"/>
      <c r="AQ1036" s="46"/>
      <c r="AR1036" s="46"/>
      <c r="AS1036" s="46"/>
      <c r="AT1036" s="46"/>
      <c r="AU1036" s="46"/>
      <c r="AV1036" s="46"/>
      <c r="AW1036" s="46"/>
      <c r="AX1036" s="46"/>
      <c r="AY1036" s="46"/>
      <c r="AZ1036" s="46"/>
      <c r="BA1036" s="46"/>
      <c r="BB1036" s="46"/>
      <c r="BC1036" s="46"/>
      <c r="BD1036" s="46"/>
      <c r="BE1036" s="46"/>
    </row>
    <row r="1037" spans="1:57" ht="14.25" customHeight="1" x14ac:dyDescent="0.3">
      <c r="A1037" s="46"/>
      <c r="B1037" s="37"/>
      <c r="C1037" s="46"/>
      <c r="D1037" s="46"/>
      <c r="E1037" s="46"/>
      <c r="F1037" s="46"/>
      <c r="G1037" s="46"/>
      <c r="H1037" s="46"/>
      <c r="I1037" s="46"/>
      <c r="J1037" s="46"/>
      <c r="K1037" s="46"/>
      <c r="L1037" s="46"/>
      <c r="M1037" s="46"/>
      <c r="N1037" s="46"/>
      <c r="O1037" s="46"/>
      <c r="P1037" s="46"/>
      <c r="Q1037" s="46"/>
      <c r="R1037" s="46"/>
      <c r="S1037" s="46"/>
      <c r="T1037" s="46"/>
      <c r="U1037" s="46"/>
      <c r="V1037" s="46"/>
      <c r="W1037" s="46"/>
      <c r="X1037" s="46"/>
      <c r="Y1037" s="46"/>
      <c r="Z1037" s="46"/>
      <c r="AA1037" s="46"/>
      <c r="AB1037" s="46"/>
      <c r="AC1037" s="46"/>
      <c r="AD1037" s="46"/>
      <c r="AE1037" s="46"/>
      <c r="AF1037" s="46"/>
      <c r="AG1037" s="46"/>
      <c r="AH1037" s="46"/>
      <c r="AI1037" s="46"/>
      <c r="AJ1037" s="46"/>
      <c r="AK1037" s="46"/>
      <c r="AL1037" s="46"/>
      <c r="AM1037" s="46"/>
      <c r="AN1037" s="46"/>
      <c r="AO1037" s="46"/>
      <c r="AP1037" s="46"/>
      <c r="AQ1037" s="46"/>
      <c r="AR1037" s="46"/>
      <c r="AS1037" s="46"/>
      <c r="AT1037" s="46"/>
      <c r="AU1037" s="46"/>
      <c r="AV1037" s="46"/>
      <c r="AW1037" s="46"/>
      <c r="AX1037" s="46"/>
      <c r="AY1037" s="46"/>
      <c r="AZ1037" s="46"/>
      <c r="BA1037" s="46"/>
      <c r="BB1037" s="46"/>
      <c r="BC1037" s="46"/>
      <c r="BD1037" s="46"/>
      <c r="BE1037" s="46"/>
    </row>
    <row r="1038" spans="1:57" ht="14.25" customHeight="1" x14ac:dyDescent="0.3">
      <c r="A1038" s="46"/>
      <c r="B1038" s="37"/>
      <c r="C1038" s="46"/>
      <c r="D1038" s="46"/>
      <c r="E1038" s="46"/>
      <c r="F1038" s="46"/>
      <c r="G1038" s="46"/>
      <c r="H1038" s="46"/>
      <c r="I1038" s="46"/>
      <c r="J1038" s="46"/>
      <c r="K1038" s="46"/>
      <c r="L1038" s="46"/>
      <c r="M1038" s="46"/>
      <c r="N1038" s="46"/>
      <c r="O1038" s="46"/>
      <c r="P1038" s="46"/>
      <c r="Q1038" s="46"/>
      <c r="R1038" s="46"/>
      <c r="S1038" s="46"/>
      <c r="T1038" s="46"/>
      <c r="U1038" s="46"/>
      <c r="V1038" s="46"/>
      <c r="W1038" s="46"/>
      <c r="X1038" s="46"/>
      <c r="Y1038" s="46"/>
      <c r="Z1038" s="46"/>
      <c r="AA1038" s="46"/>
      <c r="AB1038" s="46"/>
      <c r="AC1038" s="46"/>
      <c r="AD1038" s="46"/>
      <c r="AE1038" s="46"/>
      <c r="AF1038" s="46"/>
      <c r="AG1038" s="46"/>
      <c r="AH1038" s="46"/>
      <c r="AI1038" s="46"/>
      <c r="AJ1038" s="46"/>
      <c r="AK1038" s="46"/>
      <c r="AL1038" s="46"/>
      <c r="AM1038" s="46"/>
      <c r="AN1038" s="46"/>
      <c r="AO1038" s="46"/>
      <c r="AP1038" s="46"/>
      <c r="AQ1038" s="46"/>
      <c r="AR1038" s="46"/>
      <c r="AS1038" s="46"/>
      <c r="AT1038" s="46"/>
      <c r="AU1038" s="46"/>
      <c r="AV1038" s="46"/>
      <c r="AW1038" s="46"/>
      <c r="AX1038" s="46"/>
      <c r="AY1038" s="46"/>
      <c r="AZ1038" s="46"/>
      <c r="BA1038" s="46"/>
      <c r="BB1038" s="46"/>
      <c r="BC1038" s="46"/>
      <c r="BD1038" s="46"/>
      <c r="BE1038" s="46"/>
    </row>
    <row r="1039" spans="1:57" ht="14.25" customHeight="1" x14ac:dyDescent="0.3">
      <c r="A1039" s="46"/>
      <c r="B1039" s="37"/>
      <c r="C1039" s="46"/>
      <c r="D1039" s="46"/>
      <c r="E1039" s="46"/>
      <c r="F1039" s="46"/>
      <c r="G1039" s="46"/>
      <c r="H1039" s="46"/>
      <c r="I1039" s="46"/>
      <c r="J1039" s="46"/>
      <c r="K1039" s="46"/>
      <c r="L1039" s="46"/>
      <c r="M1039" s="46"/>
      <c r="N1039" s="46"/>
      <c r="O1039" s="46"/>
      <c r="P1039" s="46"/>
      <c r="Q1039" s="46"/>
      <c r="R1039" s="46"/>
      <c r="S1039" s="46"/>
      <c r="T1039" s="46"/>
      <c r="U1039" s="46"/>
      <c r="V1039" s="46"/>
      <c r="W1039" s="46"/>
      <c r="X1039" s="46"/>
      <c r="Y1039" s="46"/>
      <c r="Z1039" s="46"/>
      <c r="AA1039" s="46"/>
      <c r="AB1039" s="46"/>
      <c r="AC1039" s="46"/>
      <c r="AD1039" s="46"/>
      <c r="AE1039" s="46"/>
      <c r="AF1039" s="46"/>
      <c r="AG1039" s="46"/>
      <c r="AH1039" s="46"/>
      <c r="AI1039" s="46"/>
      <c r="AJ1039" s="46"/>
      <c r="AK1039" s="46"/>
      <c r="AL1039" s="46"/>
      <c r="AM1039" s="46"/>
      <c r="AN1039" s="46"/>
      <c r="AO1039" s="46"/>
      <c r="AP1039" s="46"/>
      <c r="AQ1039" s="46"/>
      <c r="AR1039" s="46"/>
      <c r="AS1039" s="46"/>
      <c r="AT1039" s="46"/>
      <c r="AU1039" s="46"/>
      <c r="AV1039" s="46"/>
      <c r="AW1039" s="46"/>
      <c r="AX1039" s="46"/>
      <c r="AY1039" s="46"/>
      <c r="AZ1039" s="46"/>
      <c r="BA1039" s="46"/>
      <c r="BB1039" s="46"/>
      <c r="BC1039" s="46"/>
      <c r="BD1039" s="46"/>
      <c r="BE1039" s="46"/>
    </row>
    <row r="1040" spans="1:57" ht="14.25" customHeight="1" x14ac:dyDescent="0.3">
      <c r="A1040" s="46"/>
      <c r="B1040" s="37"/>
      <c r="C1040" s="46"/>
      <c r="D1040" s="46"/>
      <c r="E1040" s="46"/>
      <c r="F1040" s="46"/>
      <c r="G1040" s="46"/>
      <c r="H1040" s="46"/>
      <c r="I1040" s="46"/>
      <c r="J1040" s="46"/>
      <c r="K1040" s="46"/>
      <c r="L1040" s="46"/>
      <c r="M1040" s="46"/>
      <c r="N1040" s="46"/>
      <c r="O1040" s="46"/>
      <c r="P1040" s="46"/>
      <c r="Q1040" s="46"/>
      <c r="R1040" s="46"/>
      <c r="S1040" s="46"/>
      <c r="T1040" s="46"/>
      <c r="U1040" s="46"/>
      <c r="V1040" s="46"/>
      <c r="W1040" s="46"/>
      <c r="X1040" s="46"/>
      <c r="Y1040" s="46"/>
      <c r="Z1040" s="46"/>
      <c r="AA1040" s="46"/>
      <c r="AB1040" s="46"/>
      <c r="AC1040" s="46"/>
      <c r="AD1040" s="46"/>
      <c r="AE1040" s="46"/>
      <c r="AF1040" s="46"/>
      <c r="AG1040" s="46"/>
      <c r="AH1040" s="46"/>
      <c r="AI1040" s="46"/>
      <c r="AJ1040" s="46"/>
      <c r="AK1040" s="46"/>
      <c r="AL1040" s="46"/>
      <c r="AM1040" s="46"/>
      <c r="AN1040" s="46"/>
      <c r="AO1040" s="46"/>
      <c r="AP1040" s="46"/>
      <c r="AQ1040" s="46"/>
      <c r="AR1040" s="46"/>
      <c r="AS1040" s="46"/>
      <c r="AT1040" s="46"/>
      <c r="AU1040" s="46"/>
      <c r="AV1040" s="46"/>
      <c r="AW1040" s="46"/>
      <c r="AX1040" s="46"/>
      <c r="AY1040" s="46"/>
      <c r="AZ1040" s="46"/>
      <c r="BA1040" s="46"/>
      <c r="BB1040" s="46"/>
      <c r="BC1040" s="46"/>
      <c r="BD1040" s="46"/>
      <c r="BE1040" s="46"/>
    </row>
    <row r="1041" spans="1:57" ht="14.25" customHeight="1" x14ac:dyDescent="0.3">
      <c r="A1041" s="46"/>
      <c r="B1041" s="37"/>
      <c r="C1041" s="46"/>
      <c r="D1041" s="46"/>
      <c r="E1041" s="46"/>
      <c r="F1041" s="46"/>
      <c r="G1041" s="46"/>
      <c r="H1041" s="46"/>
      <c r="I1041" s="46"/>
      <c r="J1041" s="46"/>
      <c r="K1041" s="46"/>
      <c r="L1041" s="46"/>
      <c r="M1041" s="46"/>
      <c r="N1041" s="46"/>
      <c r="O1041" s="46"/>
      <c r="P1041" s="46"/>
      <c r="Q1041" s="46"/>
      <c r="R1041" s="46"/>
      <c r="S1041" s="46"/>
      <c r="T1041" s="46"/>
      <c r="U1041" s="46"/>
      <c r="V1041" s="46"/>
      <c r="W1041" s="46"/>
      <c r="X1041" s="46"/>
      <c r="Y1041" s="46"/>
      <c r="Z1041" s="46"/>
      <c r="AA1041" s="46"/>
      <c r="AB1041" s="46"/>
      <c r="AC1041" s="46"/>
      <c r="AD1041" s="46"/>
      <c r="AE1041" s="46"/>
      <c r="AF1041" s="46"/>
      <c r="AG1041" s="46"/>
      <c r="AH1041" s="46"/>
      <c r="AI1041" s="46"/>
      <c r="AJ1041" s="46"/>
      <c r="AK1041" s="46"/>
      <c r="AL1041" s="46"/>
      <c r="AM1041" s="46"/>
      <c r="AN1041" s="46"/>
      <c r="AO1041" s="46"/>
      <c r="AP1041" s="46"/>
      <c r="AQ1041" s="46"/>
      <c r="AR1041" s="46"/>
      <c r="AS1041" s="46"/>
      <c r="AT1041" s="46"/>
      <c r="AU1041" s="46"/>
      <c r="AV1041" s="46"/>
      <c r="AW1041" s="46"/>
      <c r="AX1041" s="46"/>
      <c r="AY1041" s="46"/>
      <c r="AZ1041" s="46"/>
      <c r="BA1041" s="46"/>
      <c r="BB1041" s="46"/>
      <c r="BC1041" s="46"/>
      <c r="BD1041" s="46"/>
      <c r="BE1041" s="46"/>
    </row>
    <row r="1042" spans="1:57" ht="14.25" customHeight="1" x14ac:dyDescent="0.3">
      <c r="A1042" s="46"/>
      <c r="B1042" s="37"/>
      <c r="C1042" s="46"/>
      <c r="D1042" s="46"/>
      <c r="E1042" s="46"/>
      <c r="F1042" s="46"/>
      <c r="G1042" s="46"/>
      <c r="H1042" s="46"/>
      <c r="I1042" s="46"/>
      <c r="J1042" s="46"/>
      <c r="K1042" s="46"/>
      <c r="L1042" s="46"/>
      <c r="M1042" s="46"/>
      <c r="N1042" s="46"/>
      <c r="O1042" s="46"/>
      <c r="P1042" s="46"/>
      <c r="Q1042" s="46"/>
      <c r="R1042" s="46"/>
      <c r="S1042" s="46"/>
      <c r="T1042" s="46"/>
      <c r="U1042" s="46"/>
      <c r="V1042" s="46"/>
      <c r="W1042" s="46"/>
      <c r="X1042" s="46"/>
      <c r="Y1042" s="46"/>
      <c r="Z1042" s="46"/>
      <c r="AA1042" s="46"/>
      <c r="AB1042" s="46"/>
      <c r="AC1042" s="46"/>
      <c r="AD1042" s="46"/>
      <c r="AE1042" s="46"/>
      <c r="AF1042" s="46"/>
      <c r="AG1042" s="46"/>
      <c r="AH1042" s="46"/>
      <c r="AI1042" s="46"/>
      <c r="AJ1042" s="46"/>
      <c r="AK1042" s="46"/>
      <c r="AL1042" s="46"/>
      <c r="AM1042" s="46"/>
      <c r="AN1042" s="46"/>
      <c r="AO1042" s="46"/>
      <c r="AP1042" s="46"/>
      <c r="AQ1042" s="46"/>
      <c r="AR1042" s="46"/>
      <c r="AS1042" s="46"/>
      <c r="AT1042" s="46"/>
      <c r="AU1042" s="46"/>
      <c r="AV1042" s="46"/>
      <c r="AW1042" s="46"/>
      <c r="AX1042" s="46"/>
      <c r="AY1042" s="46"/>
      <c r="AZ1042" s="46"/>
      <c r="BA1042" s="46"/>
      <c r="BB1042" s="46"/>
      <c r="BC1042" s="46"/>
      <c r="BD1042" s="46"/>
      <c r="BE1042" s="46"/>
    </row>
    <row r="1043" spans="1:57" ht="14.25" customHeight="1" x14ac:dyDescent="0.3">
      <c r="A1043" s="46"/>
      <c r="B1043" s="37"/>
      <c r="C1043" s="46"/>
      <c r="D1043" s="46"/>
      <c r="E1043" s="46"/>
      <c r="F1043" s="46"/>
      <c r="G1043" s="46"/>
      <c r="H1043" s="46"/>
      <c r="I1043" s="46"/>
      <c r="J1043" s="46"/>
      <c r="K1043" s="46"/>
      <c r="L1043" s="46"/>
      <c r="M1043" s="46"/>
      <c r="N1043" s="46"/>
      <c r="O1043" s="46"/>
      <c r="P1043" s="46"/>
      <c r="Q1043" s="46"/>
      <c r="R1043" s="46"/>
      <c r="S1043" s="46"/>
      <c r="T1043" s="46"/>
      <c r="U1043" s="46"/>
      <c r="V1043" s="46"/>
      <c r="W1043" s="46"/>
      <c r="X1043" s="46"/>
      <c r="Y1043" s="46"/>
      <c r="Z1043" s="46"/>
      <c r="AA1043" s="46"/>
      <c r="AB1043" s="46"/>
      <c r="AC1043" s="46"/>
      <c r="AD1043" s="46"/>
      <c r="AE1043" s="46"/>
      <c r="AF1043" s="46"/>
      <c r="AG1043" s="46"/>
      <c r="AH1043" s="46"/>
      <c r="AI1043" s="46"/>
      <c r="AJ1043" s="46"/>
      <c r="AK1043" s="46"/>
      <c r="AL1043" s="46"/>
      <c r="AM1043" s="46"/>
      <c r="AN1043" s="46"/>
      <c r="AO1043" s="46"/>
      <c r="AP1043" s="46"/>
      <c r="AQ1043" s="46"/>
      <c r="AR1043" s="46"/>
      <c r="AS1043" s="46"/>
      <c r="AT1043" s="46"/>
      <c r="AU1043" s="46"/>
      <c r="AV1043" s="46"/>
      <c r="AW1043" s="46"/>
      <c r="AX1043" s="46"/>
      <c r="AY1043" s="46"/>
      <c r="AZ1043" s="46"/>
      <c r="BA1043" s="46"/>
      <c r="BB1043" s="46"/>
      <c r="BC1043" s="46"/>
      <c r="BD1043" s="46"/>
      <c r="BE1043" s="46"/>
    </row>
    <row r="1044" spans="1:57" ht="14.25" customHeight="1" x14ac:dyDescent="0.3">
      <c r="A1044" s="46"/>
      <c r="B1044" s="37"/>
      <c r="C1044" s="46"/>
      <c r="D1044" s="46"/>
      <c r="E1044" s="46"/>
      <c r="F1044" s="46"/>
      <c r="G1044" s="46"/>
      <c r="H1044" s="46"/>
      <c r="I1044" s="46"/>
      <c r="J1044" s="46"/>
      <c r="K1044" s="46"/>
      <c r="L1044" s="46"/>
      <c r="M1044" s="46"/>
      <c r="N1044" s="46"/>
      <c r="O1044" s="46"/>
      <c r="P1044" s="46"/>
      <c r="Q1044" s="46"/>
      <c r="R1044" s="46"/>
      <c r="S1044" s="46"/>
      <c r="T1044" s="46"/>
      <c r="U1044" s="46"/>
      <c r="V1044" s="46"/>
      <c r="W1044" s="46"/>
      <c r="X1044" s="46"/>
      <c r="Y1044" s="46"/>
      <c r="Z1044" s="46"/>
      <c r="AA1044" s="46"/>
      <c r="AB1044" s="46"/>
      <c r="AC1044" s="46"/>
      <c r="AD1044" s="46"/>
      <c r="AE1044" s="46"/>
      <c r="AF1044" s="46"/>
      <c r="AG1044" s="46"/>
      <c r="AH1044" s="46"/>
      <c r="AI1044" s="46"/>
      <c r="AJ1044" s="46"/>
      <c r="AK1044" s="46"/>
      <c r="AL1044" s="46"/>
      <c r="AM1044" s="46"/>
      <c r="AN1044" s="46"/>
      <c r="AO1044" s="46"/>
      <c r="AP1044" s="46"/>
      <c r="AQ1044" s="46"/>
      <c r="AR1044" s="46"/>
      <c r="AS1044" s="46"/>
      <c r="AT1044" s="46"/>
      <c r="AU1044" s="46"/>
      <c r="AV1044" s="46"/>
      <c r="AW1044" s="46"/>
      <c r="AX1044" s="46"/>
      <c r="AY1044" s="46"/>
      <c r="AZ1044" s="46"/>
      <c r="BA1044" s="46"/>
      <c r="BB1044" s="46"/>
      <c r="BC1044" s="46"/>
      <c r="BD1044" s="46"/>
      <c r="BE1044" s="46"/>
    </row>
    <row r="1045" spans="1:57" ht="14.25" customHeight="1" x14ac:dyDescent="0.3">
      <c r="A1045" s="46"/>
      <c r="B1045" s="37"/>
      <c r="C1045" s="46"/>
      <c r="D1045" s="46"/>
      <c r="E1045" s="46"/>
      <c r="F1045" s="46"/>
      <c r="G1045" s="46"/>
      <c r="H1045" s="46"/>
      <c r="I1045" s="46"/>
      <c r="J1045" s="46"/>
      <c r="K1045" s="46"/>
      <c r="L1045" s="46"/>
      <c r="M1045" s="46"/>
      <c r="N1045" s="46"/>
      <c r="O1045" s="46"/>
      <c r="P1045" s="46"/>
      <c r="Q1045" s="46"/>
      <c r="R1045" s="46"/>
      <c r="S1045" s="46"/>
      <c r="T1045" s="46"/>
      <c r="U1045" s="46"/>
      <c r="V1045" s="46"/>
      <c r="W1045" s="46"/>
      <c r="X1045" s="46"/>
      <c r="Y1045" s="46"/>
      <c r="Z1045" s="46"/>
      <c r="AA1045" s="46"/>
      <c r="AB1045" s="46"/>
      <c r="AC1045" s="46"/>
      <c r="AD1045" s="46"/>
      <c r="AE1045" s="46"/>
      <c r="AF1045" s="46"/>
      <c r="AG1045" s="46"/>
      <c r="AH1045" s="46"/>
      <c r="AI1045" s="46"/>
      <c r="AJ1045" s="46"/>
      <c r="AK1045" s="46"/>
      <c r="AL1045" s="46"/>
      <c r="AM1045" s="46"/>
      <c r="AN1045" s="46"/>
      <c r="AO1045" s="46"/>
      <c r="AP1045" s="46"/>
      <c r="AQ1045" s="46"/>
      <c r="AR1045" s="46"/>
      <c r="AS1045" s="46"/>
      <c r="AT1045" s="46"/>
      <c r="AU1045" s="46"/>
      <c r="AV1045" s="46"/>
      <c r="AW1045" s="46"/>
      <c r="AX1045" s="46"/>
      <c r="AY1045" s="46"/>
      <c r="AZ1045" s="46"/>
      <c r="BA1045" s="46"/>
      <c r="BB1045" s="46"/>
      <c r="BC1045" s="46"/>
      <c r="BD1045" s="46"/>
      <c r="BE1045" s="46"/>
    </row>
    <row r="1046" spans="1:57" ht="14.25" customHeight="1" x14ac:dyDescent="0.3">
      <c r="A1046" s="46"/>
      <c r="B1046" s="37"/>
      <c r="C1046" s="46"/>
      <c r="D1046" s="46"/>
      <c r="E1046" s="46"/>
      <c r="F1046" s="46"/>
      <c r="G1046" s="46"/>
      <c r="H1046" s="46"/>
      <c r="I1046" s="46"/>
      <c r="J1046" s="46"/>
      <c r="K1046" s="46"/>
      <c r="L1046" s="46"/>
      <c r="M1046" s="46"/>
      <c r="N1046" s="46"/>
      <c r="O1046" s="46"/>
      <c r="P1046" s="46"/>
      <c r="Q1046" s="46"/>
      <c r="R1046" s="46"/>
      <c r="S1046" s="46"/>
      <c r="T1046" s="46"/>
      <c r="U1046" s="46"/>
      <c r="V1046" s="46"/>
      <c r="W1046" s="46"/>
      <c r="X1046" s="46"/>
      <c r="Y1046" s="46"/>
      <c r="Z1046" s="46"/>
      <c r="AA1046" s="46"/>
      <c r="AB1046" s="46"/>
      <c r="AC1046" s="46"/>
      <c r="AD1046" s="46"/>
      <c r="AE1046" s="46"/>
      <c r="AF1046" s="46"/>
      <c r="AG1046" s="46"/>
      <c r="AH1046" s="46"/>
      <c r="AI1046" s="46"/>
      <c r="AJ1046" s="46"/>
      <c r="AK1046" s="46"/>
      <c r="AL1046" s="46"/>
      <c r="AM1046" s="46"/>
      <c r="AN1046" s="46"/>
      <c r="AO1046" s="46"/>
      <c r="AP1046" s="46"/>
      <c r="AQ1046" s="46"/>
      <c r="AR1046" s="46"/>
      <c r="AS1046" s="46"/>
      <c r="AT1046" s="46"/>
      <c r="AU1046" s="46"/>
      <c r="AV1046" s="46"/>
      <c r="AW1046" s="46"/>
      <c r="AX1046" s="46"/>
      <c r="AY1046" s="46"/>
      <c r="AZ1046" s="46"/>
      <c r="BA1046" s="46"/>
      <c r="BB1046" s="46"/>
      <c r="BC1046" s="46"/>
      <c r="BD1046" s="46"/>
      <c r="BE1046" s="46"/>
    </row>
    <row r="1047" spans="1:57" ht="14.25" customHeight="1" x14ac:dyDescent="0.3">
      <c r="A1047" s="46"/>
      <c r="B1047" s="37"/>
      <c r="C1047" s="46"/>
      <c r="D1047" s="46"/>
      <c r="E1047" s="46"/>
      <c r="F1047" s="46"/>
      <c r="G1047" s="46"/>
      <c r="H1047" s="46"/>
      <c r="I1047" s="46"/>
      <c r="J1047" s="46"/>
      <c r="K1047" s="46"/>
      <c r="L1047" s="46"/>
      <c r="M1047" s="46"/>
      <c r="N1047" s="46"/>
      <c r="O1047" s="46"/>
      <c r="P1047" s="46"/>
      <c r="Q1047" s="46"/>
      <c r="R1047" s="46"/>
      <c r="S1047" s="46"/>
      <c r="T1047" s="46"/>
      <c r="U1047" s="46"/>
      <c r="V1047" s="46"/>
      <c r="W1047" s="46"/>
      <c r="X1047" s="46"/>
      <c r="Y1047" s="46"/>
      <c r="Z1047" s="46"/>
      <c r="AA1047" s="46"/>
      <c r="AB1047" s="46"/>
      <c r="AC1047" s="46"/>
      <c r="AD1047" s="46"/>
      <c r="AE1047" s="46"/>
      <c r="AF1047" s="46"/>
      <c r="AG1047" s="46"/>
      <c r="AH1047" s="46"/>
      <c r="AI1047" s="46"/>
      <c r="AJ1047" s="46"/>
      <c r="AK1047" s="46"/>
      <c r="AL1047" s="46"/>
      <c r="AM1047" s="46"/>
      <c r="AN1047" s="46"/>
      <c r="AO1047" s="46"/>
      <c r="AP1047" s="46"/>
      <c r="AQ1047" s="46"/>
      <c r="AR1047" s="46"/>
      <c r="AS1047" s="46"/>
      <c r="AT1047" s="46"/>
      <c r="AU1047" s="46"/>
      <c r="AV1047" s="46"/>
      <c r="AW1047" s="46"/>
      <c r="AX1047" s="46"/>
      <c r="AY1047" s="46"/>
      <c r="AZ1047" s="46"/>
      <c r="BA1047" s="46"/>
      <c r="BB1047" s="46"/>
      <c r="BC1047" s="46"/>
      <c r="BD1047" s="46"/>
      <c r="BE1047" s="46"/>
    </row>
    <row r="1048" spans="1:57" ht="14.25" customHeight="1" x14ac:dyDescent="0.3">
      <c r="A1048" s="46"/>
      <c r="B1048" s="37"/>
      <c r="C1048" s="46"/>
      <c r="D1048" s="46"/>
      <c r="E1048" s="46"/>
      <c r="F1048" s="46"/>
      <c r="G1048" s="46"/>
      <c r="H1048" s="46"/>
      <c r="I1048" s="46"/>
      <c r="J1048" s="46"/>
      <c r="K1048" s="46"/>
      <c r="L1048" s="46"/>
      <c r="M1048" s="46"/>
      <c r="N1048" s="46"/>
      <c r="O1048" s="46"/>
      <c r="P1048" s="46"/>
      <c r="Q1048" s="46"/>
      <c r="R1048" s="46"/>
      <c r="S1048" s="46"/>
      <c r="T1048" s="46"/>
      <c r="U1048" s="46"/>
      <c r="V1048" s="46"/>
      <c r="W1048" s="46"/>
      <c r="X1048" s="46"/>
      <c r="Y1048" s="46"/>
      <c r="Z1048" s="46"/>
      <c r="AA1048" s="46"/>
      <c r="AB1048" s="46"/>
      <c r="AC1048" s="46"/>
      <c r="AD1048" s="46"/>
      <c r="AE1048" s="46"/>
      <c r="AF1048" s="46"/>
      <c r="AG1048" s="46"/>
      <c r="AH1048" s="46"/>
      <c r="AI1048" s="46"/>
      <c r="AJ1048" s="46"/>
      <c r="AK1048" s="46"/>
      <c r="AL1048" s="46"/>
      <c r="AM1048" s="46"/>
      <c r="AN1048" s="46"/>
      <c r="AO1048" s="46"/>
      <c r="AP1048" s="46"/>
      <c r="AQ1048" s="46"/>
      <c r="AR1048" s="46"/>
      <c r="AS1048" s="46"/>
      <c r="AT1048" s="46"/>
      <c r="AU1048" s="46"/>
      <c r="AV1048" s="46"/>
      <c r="AW1048" s="46"/>
      <c r="AX1048" s="46"/>
      <c r="AY1048" s="46"/>
      <c r="AZ1048" s="46"/>
      <c r="BA1048" s="46"/>
      <c r="BB1048" s="46"/>
      <c r="BC1048" s="46"/>
      <c r="BD1048" s="46"/>
      <c r="BE1048" s="46"/>
    </row>
    <row r="1049" spans="1:57" ht="14.25" customHeight="1" x14ac:dyDescent="0.3">
      <c r="A1049" s="46"/>
      <c r="B1049" s="37"/>
      <c r="C1049" s="46"/>
      <c r="D1049" s="46"/>
      <c r="E1049" s="46"/>
      <c r="F1049" s="46"/>
      <c r="G1049" s="46"/>
      <c r="H1049" s="46"/>
      <c r="I1049" s="46"/>
      <c r="J1049" s="46"/>
      <c r="K1049" s="46"/>
      <c r="L1049" s="46"/>
      <c r="M1049" s="46"/>
      <c r="N1049" s="46"/>
      <c r="O1049" s="46"/>
      <c r="P1049" s="46"/>
      <c r="Q1049" s="46"/>
      <c r="R1049" s="46"/>
      <c r="S1049" s="46"/>
      <c r="T1049" s="46"/>
      <c r="U1049" s="46"/>
      <c r="V1049" s="46"/>
      <c r="W1049" s="46"/>
      <c r="X1049" s="46"/>
      <c r="Y1049" s="46"/>
      <c r="Z1049" s="46"/>
      <c r="AA1049" s="46"/>
      <c r="AB1049" s="46"/>
      <c r="AC1049" s="46"/>
      <c r="AD1049" s="46"/>
      <c r="AE1049" s="46"/>
      <c r="AF1049" s="46"/>
      <c r="AG1049" s="46"/>
      <c r="AH1049" s="46"/>
      <c r="AI1049" s="46"/>
      <c r="AJ1049" s="46"/>
      <c r="AK1049" s="46"/>
      <c r="AL1049" s="46"/>
      <c r="AM1049" s="46"/>
      <c r="AN1049" s="46"/>
      <c r="AO1049" s="46"/>
      <c r="AP1049" s="46"/>
      <c r="AQ1049" s="46"/>
      <c r="AR1049" s="46"/>
      <c r="AS1049" s="46"/>
      <c r="AT1049" s="46"/>
      <c r="AU1049" s="46"/>
      <c r="AV1049" s="46"/>
      <c r="AW1049" s="46"/>
      <c r="AX1049" s="46"/>
      <c r="AY1049" s="46"/>
      <c r="AZ1049" s="46"/>
      <c r="BA1049" s="46"/>
      <c r="BB1049" s="46"/>
      <c r="BC1049" s="46"/>
      <c r="BD1049" s="46"/>
      <c r="BE1049" s="46"/>
    </row>
    <row r="1050" spans="1:57" ht="14.25" customHeight="1" x14ac:dyDescent="0.3">
      <c r="A1050" s="46"/>
      <c r="B1050" s="37"/>
      <c r="C1050" s="46"/>
      <c r="D1050" s="46"/>
      <c r="E1050" s="46"/>
      <c r="F1050" s="46"/>
      <c r="G1050" s="46"/>
      <c r="H1050" s="46"/>
      <c r="I1050" s="46"/>
      <c r="J1050" s="46"/>
      <c r="K1050" s="46"/>
      <c r="L1050" s="46"/>
      <c r="M1050" s="46"/>
      <c r="N1050" s="46"/>
      <c r="O1050" s="46"/>
      <c r="P1050" s="46"/>
      <c r="Q1050" s="46"/>
      <c r="R1050" s="46"/>
      <c r="S1050" s="46"/>
      <c r="T1050" s="46"/>
      <c r="U1050" s="46"/>
      <c r="V1050" s="46"/>
      <c r="W1050" s="46"/>
      <c r="X1050" s="46"/>
      <c r="Y1050" s="46"/>
      <c r="Z1050" s="46"/>
      <c r="AA1050" s="46"/>
      <c r="AB1050" s="46"/>
      <c r="AC1050" s="46"/>
      <c r="AD1050" s="46"/>
      <c r="AE1050" s="46"/>
      <c r="AF1050" s="46"/>
      <c r="AG1050" s="46"/>
      <c r="AH1050" s="46"/>
      <c r="AI1050" s="46"/>
      <c r="AJ1050" s="46"/>
      <c r="AK1050" s="46"/>
      <c r="AL1050" s="46"/>
      <c r="AM1050" s="46"/>
      <c r="AN1050" s="46"/>
      <c r="AO1050" s="46"/>
      <c r="AP1050" s="46"/>
      <c r="AQ1050" s="46"/>
      <c r="AR1050" s="46"/>
      <c r="AS1050" s="46"/>
      <c r="AT1050" s="46"/>
      <c r="AU1050" s="46"/>
      <c r="AV1050" s="46"/>
      <c r="AW1050" s="46"/>
      <c r="AX1050" s="46"/>
      <c r="AY1050" s="46"/>
      <c r="AZ1050" s="46"/>
      <c r="BA1050" s="46"/>
      <c r="BB1050" s="46"/>
      <c r="BC1050" s="46"/>
      <c r="BD1050" s="46"/>
      <c r="BE1050" s="46"/>
    </row>
    <row r="1051" spans="1:57" ht="14.25" customHeight="1" x14ac:dyDescent="0.3">
      <c r="A1051" s="46"/>
      <c r="B1051" s="37"/>
      <c r="C1051" s="46"/>
      <c r="D1051" s="46"/>
      <c r="E1051" s="46"/>
      <c r="F1051" s="46"/>
      <c r="G1051" s="46"/>
      <c r="H1051" s="46"/>
      <c r="I1051" s="46"/>
      <c r="J1051" s="46"/>
      <c r="K1051" s="46"/>
      <c r="L1051" s="46"/>
      <c r="M1051" s="46"/>
      <c r="N1051" s="46"/>
      <c r="O1051" s="46"/>
      <c r="P1051" s="46"/>
      <c r="Q1051" s="46"/>
      <c r="R1051" s="46"/>
      <c r="S1051" s="46"/>
      <c r="T1051" s="46"/>
      <c r="U1051" s="46"/>
      <c r="V1051" s="46"/>
      <c r="W1051" s="46"/>
      <c r="X1051" s="46"/>
      <c r="Y1051" s="46"/>
      <c r="Z1051" s="46"/>
      <c r="AA1051" s="46"/>
      <c r="AB1051" s="46"/>
      <c r="AC1051" s="46"/>
      <c r="AD1051" s="46"/>
      <c r="AE1051" s="46"/>
      <c r="AF1051" s="46"/>
      <c r="AG1051" s="46"/>
      <c r="AH1051" s="46"/>
      <c r="AI1051" s="46"/>
      <c r="AJ1051" s="46"/>
      <c r="AK1051" s="46"/>
      <c r="AL1051" s="46"/>
      <c r="AM1051" s="46"/>
      <c r="AN1051" s="46"/>
      <c r="AO1051" s="46"/>
      <c r="AP1051" s="46"/>
      <c r="AQ1051" s="46"/>
      <c r="AR1051" s="46"/>
      <c r="AS1051" s="46"/>
      <c r="AT1051" s="46"/>
      <c r="AU1051" s="46"/>
      <c r="AV1051" s="46"/>
      <c r="AW1051" s="46"/>
      <c r="AX1051" s="46"/>
      <c r="AY1051" s="46"/>
      <c r="AZ1051" s="46"/>
      <c r="BA1051" s="46"/>
      <c r="BB1051" s="46"/>
      <c r="BC1051" s="46"/>
      <c r="BD1051" s="46"/>
      <c r="BE1051" s="46"/>
    </row>
    <row r="1052" spans="1:57" ht="14.25" customHeight="1" x14ac:dyDescent="0.3">
      <c r="A1052" s="46"/>
      <c r="B1052" s="37"/>
      <c r="C1052" s="46"/>
      <c r="D1052" s="46"/>
      <c r="E1052" s="46"/>
      <c r="F1052" s="46"/>
      <c r="G1052" s="46"/>
      <c r="H1052" s="46"/>
      <c r="I1052" s="46"/>
      <c r="J1052" s="46"/>
      <c r="K1052" s="46"/>
      <c r="L1052" s="46"/>
      <c r="M1052" s="46"/>
      <c r="N1052" s="46"/>
      <c r="O1052" s="46"/>
      <c r="P1052" s="46"/>
      <c r="Q1052" s="46"/>
      <c r="R1052" s="46"/>
      <c r="S1052" s="46"/>
      <c r="T1052" s="46"/>
      <c r="U1052" s="46"/>
      <c r="V1052" s="46"/>
      <c r="W1052" s="46"/>
      <c r="X1052" s="46"/>
      <c r="Y1052" s="46"/>
      <c r="Z1052" s="46"/>
      <c r="AA1052" s="46"/>
      <c r="AB1052" s="46"/>
      <c r="AC1052" s="46"/>
      <c r="AD1052" s="46"/>
      <c r="AE1052" s="46"/>
      <c r="AF1052" s="46"/>
      <c r="AG1052" s="46"/>
      <c r="AH1052" s="46"/>
      <c r="AI1052" s="46"/>
      <c r="AJ1052" s="46"/>
      <c r="AK1052" s="46"/>
      <c r="AL1052" s="46"/>
      <c r="AM1052" s="46"/>
      <c r="AN1052" s="46"/>
      <c r="AO1052" s="46"/>
      <c r="AP1052" s="46"/>
      <c r="AQ1052" s="46"/>
      <c r="AR1052" s="46"/>
      <c r="AS1052" s="46"/>
      <c r="AT1052" s="46"/>
      <c r="AU1052" s="46"/>
      <c r="AV1052" s="46"/>
      <c r="AW1052" s="46"/>
      <c r="AX1052" s="46"/>
      <c r="AY1052" s="46"/>
      <c r="AZ1052" s="46"/>
      <c r="BA1052" s="46"/>
      <c r="BB1052" s="46"/>
      <c r="BC1052" s="46"/>
      <c r="BD1052" s="46"/>
      <c r="BE1052" s="46"/>
    </row>
    <row r="1053" spans="1:57" ht="14.25" customHeight="1" x14ac:dyDescent="0.3">
      <c r="A1053" s="46"/>
      <c r="B1053" s="37"/>
      <c r="C1053" s="46"/>
      <c r="D1053" s="46"/>
      <c r="E1053" s="46"/>
      <c r="F1053" s="46"/>
      <c r="G1053" s="46"/>
      <c r="H1053" s="46"/>
      <c r="I1053" s="46"/>
      <c r="J1053" s="46"/>
      <c r="K1053" s="46"/>
      <c r="L1053" s="46"/>
      <c r="M1053" s="46"/>
      <c r="N1053" s="46"/>
      <c r="O1053" s="46"/>
      <c r="P1053" s="46"/>
      <c r="Q1053" s="46"/>
      <c r="R1053" s="46"/>
      <c r="S1053" s="46"/>
      <c r="T1053" s="46"/>
      <c r="U1053" s="46"/>
      <c r="V1053" s="46"/>
      <c r="W1053" s="46"/>
      <c r="X1053" s="46"/>
      <c r="Y1053" s="46"/>
      <c r="Z1053" s="46"/>
      <c r="AA1053" s="46"/>
      <c r="AB1053" s="46"/>
      <c r="AC1053" s="46"/>
      <c r="AD1053" s="46"/>
      <c r="AE1053" s="46"/>
      <c r="AF1053" s="46"/>
      <c r="AG1053" s="46"/>
      <c r="AH1053" s="46"/>
      <c r="AI1053" s="46"/>
      <c r="AJ1053" s="46"/>
      <c r="AK1053" s="46"/>
      <c r="AL1053" s="46"/>
      <c r="AM1053" s="46"/>
      <c r="AN1053" s="46"/>
      <c r="AO1053" s="46"/>
      <c r="AP1053" s="46"/>
      <c r="AQ1053" s="46"/>
      <c r="AR1053" s="46"/>
      <c r="AS1053" s="46"/>
      <c r="AT1053" s="46"/>
      <c r="AU1053" s="46"/>
      <c r="AV1053" s="46"/>
      <c r="AW1053" s="46"/>
      <c r="AX1053" s="46"/>
      <c r="AY1053" s="46"/>
      <c r="AZ1053" s="46"/>
      <c r="BA1053" s="46"/>
      <c r="BB1053" s="46"/>
      <c r="BC1053" s="46"/>
      <c r="BD1053" s="46"/>
      <c r="BE1053" s="46"/>
    </row>
    <row r="1054" spans="1:57" ht="14.25" customHeight="1" x14ac:dyDescent="0.3">
      <c r="A1054" s="46"/>
      <c r="B1054" s="37"/>
      <c r="C1054" s="46"/>
      <c r="D1054" s="46"/>
      <c r="E1054" s="46"/>
      <c r="F1054" s="46"/>
      <c r="G1054" s="46"/>
      <c r="H1054" s="46"/>
      <c r="I1054" s="46"/>
      <c r="J1054" s="46"/>
      <c r="K1054" s="46"/>
      <c r="L1054" s="46"/>
      <c r="M1054" s="46"/>
      <c r="N1054" s="46"/>
      <c r="O1054" s="46"/>
      <c r="P1054" s="46"/>
      <c r="Q1054" s="46"/>
      <c r="R1054" s="46"/>
      <c r="S1054" s="46"/>
      <c r="T1054" s="46"/>
      <c r="U1054" s="46"/>
      <c r="V1054" s="46"/>
      <c r="W1054" s="46"/>
      <c r="X1054" s="46"/>
      <c r="Y1054" s="46"/>
      <c r="Z1054" s="46"/>
      <c r="AA1054" s="46"/>
      <c r="AB1054" s="46"/>
      <c r="AC1054" s="46"/>
      <c r="AD1054" s="46"/>
      <c r="AE1054" s="46"/>
      <c r="AF1054" s="46"/>
      <c r="AG1054" s="46"/>
      <c r="AH1054" s="46"/>
      <c r="AI1054" s="46"/>
      <c r="AJ1054" s="46"/>
      <c r="AK1054" s="46"/>
      <c r="AL1054" s="46"/>
      <c r="AM1054" s="46"/>
      <c r="AN1054" s="46"/>
      <c r="AO1054" s="46"/>
      <c r="AP1054" s="46"/>
      <c r="AQ1054" s="46"/>
      <c r="AR1054" s="46"/>
      <c r="AS1054" s="46"/>
      <c r="AT1054" s="46"/>
      <c r="AU1054" s="46"/>
      <c r="AV1054" s="46"/>
      <c r="AW1054" s="46"/>
      <c r="AX1054" s="46"/>
      <c r="AY1054" s="46"/>
      <c r="AZ1054" s="46"/>
      <c r="BA1054" s="46"/>
      <c r="BB1054" s="46"/>
      <c r="BC1054" s="46"/>
      <c r="BD1054" s="46"/>
      <c r="BE1054" s="46"/>
    </row>
    <row r="1055" spans="1:57" ht="14.25" customHeight="1" x14ac:dyDescent="0.3">
      <c r="A1055" s="46"/>
      <c r="B1055" s="37"/>
      <c r="C1055" s="46"/>
      <c r="D1055" s="46"/>
      <c r="E1055" s="46"/>
      <c r="F1055" s="46"/>
      <c r="G1055" s="46"/>
      <c r="H1055" s="46"/>
      <c r="I1055" s="46"/>
      <c r="J1055" s="46"/>
      <c r="K1055" s="46"/>
      <c r="L1055" s="46"/>
      <c r="M1055" s="46"/>
      <c r="N1055" s="46"/>
      <c r="O1055" s="46"/>
      <c r="P1055" s="46"/>
      <c r="Q1055" s="46"/>
      <c r="R1055" s="46"/>
      <c r="S1055" s="46"/>
      <c r="T1055" s="46"/>
      <c r="U1055" s="46"/>
      <c r="V1055" s="46"/>
      <c r="W1055" s="46"/>
      <c r="X1055" s="46"/>
      <c r="Y1055" s="46"/>
      <c r="Z1055" s="46"/>
      <c r="AA1055" s="46"/>
      <c r="AB1055" s="46"/>
      <c r="AC1055" s="46"/>
      <c r="AD1055" s="46"/>
      <c r="AE1055" s="46"/>
      <c r="AF1055" s="46"/>
      <c r="AG1055" s="46"/>
      <c r="AH1055" s="46"/>
      <c r="AI1055" s="46"/>
      <c r="AJ1055" s="46"/>
      <c r="AK1055" s="46"/>
      <c r="AL1055" s="46"/>
      <c r="AM1055" s="46"/>
      <c r="AN1055" s="46"/>
      <c r="AO1055" s="46"/>
      <c r="AP1055" s="46"/>
      <c r="AQ1055" s="46"/>
      <c r="AR1055" s="46"/>
      <c r="AS1055" s="46"/>
      <c r="AT1055" s="46"/>
      <c r="AU1055" s="46"/>
      <c r="AV1055" s="46"/>
      <c r="AW1055" s="46"/>
      <c r="AX1055" s="46"/>
      <c r="AY1055" s="46"/>
      <c r="AZ1055" s="46"/>
      <c r="BA1055" s="46"/>
      <c r="BB1055" s="46"/>
      <c r="BC1055" s="46"/>
      <c r="BD1055" s="46"/>
      <c r="BE1055" s="46"/>
    </row>
    <row r="1056" spans="1:57" ht="14.25" customHeight="1" x14ac:dyDescent="0.3">
      <c r="A1056" s="46"/>
      <c r="B1056" s="37"/>
      <c r="C1056" s="46"/>
      <c r="D1056" s="46"/>
      <c r="E1056" s="46"/>
      <c r="F1056" s="46"/>
      <c r="G1056" s="46"/>
      <c r="H1056" s="46"/>
      <c r="I1056" s="46"/>
      <c r="J1056" s="46"/>
      <c r="K1056" s="46"/>
      <c r="L1056" s="46"/>
      <c r="M1056" s="46"/>
      <c r="N1056" s="46"/>
      <c r="O1056" s="46"/>
      <c r="P1056" s="46"/>
      <c r="Q1056" s="46"/>
      <c r="R1056" s="46"/>
      <c r="S1056" s="46"/>
      <c r="T1056" s="46"/>
      <c r="U1056" s="46"/>
      <c r="V1056" s="46"/>
      <c r="W1056" s="46"/>
      <c r="X1056" s="46"/>
      <c r="Y1056" s="46"/>
      <c r="Z1056" s="46"/>
      <c r="AA1056" s="46"/>
      <c r="AB1056" s="46"/>
      <c r="AC1056" s="46"/>
      <c r="AD1056" s="46"/>
      <c r="AE1056" s="46"/>
      <c r="AF1056" s="46"/>
      <c r="AG1056" s="46"/>
      <c r="AH1056" s="46"/>
      <c r="AI1056" s="46"/>
      <c r="AJ1056" s="46"/>
      <c r="AK1056" s="46"/>
      <c r="AL1056" s="46"/>
      <c r="AM1056" s="46"/>
      <c r="AN1056" s="46"/>
      <c r="AO1056" s="46"/>
      <c r="AP1056" s="46"/>
      <c r="AQ1056" s="46"/>
      <c r="AR1056" s="46"/>
      <c r="AS1056" s="46"/>
      <c r="AT1056" s="46"/>
      <c r="AU1056" s="46"/>
      <c r="AV1056" s="46"/>
      <c r="AW1056" s="46"/>
      <c r="AX1056" s="46"/>
      <c r="AY1056" s="46"/>
      <c r="AZ1056" s="46"/>
      <c r="BA1056" s="46"/>
      <c r="BB1056" s="46"/>
      <c r="BC1056" s="46"/>
      <c r="BD1056" s="46"/>
      <c r="BE1056" s="46"/>
    </row>
    <row r="1057" spans="1:57" ht="14.25" customHeight="1" x14ac:dyDescent="0.3">
      <c r="A1057" s="46"/>
      <c r="B1057" s="37"/>
      <c r="C1057" s="46"/>
      <c r="D1057" s="46"/>
      <c r="E1057" s="46"/>
      <c r="F1057" s="46"/>
      <c r="G1057" s="46"/>
      <c r="H1057" s="46"/>
      <c r="I1057" s="46"/>
      <c r="J1057" s="46"/>
      <c r="K1057" s="46"/>
      <c r="L1057" s="46"/>
      <c r="M1057" s="46"/>
      <c r="N1057" s="46"/>
      <c r="O1057" s="46"/>
      <c r="P1057" s="46"/>
      <c r="Q1057" s="46"/>
      <c r="R1057" s="46"/>
      <c r="S1057" s="46"/>
      <c r="T1057" s="46"/>
      <c r="U1057" s="46"/>
      <c r="V1057" s="46"/>
      <c r="W1057" s="46"/>
      <c r="X1057" s="46"/>
      <c r="Y1057" s="46"/>
      <c r="Z1057" s="46"/>
      <c r="AA1057" s="46"/>
      <c r="AB1057" s="46"/>
      <c r="AC1057" s="46"/>
      <c r="AD1057" s="46"/>
      <c r="AE1057" s="46"/>
      <c r="AF1057" s="46"/>
      <c r="AG1057" s="46"/>
      <c r="AH1057" s="46"/>
      <c r="AI1057" s="46"/>
      <c r="AJ1057" s="46"/>
      <c r="AK1057" s="46"/>
      <c r="AL1057" s="46"/>
      <c r="AM1057" s="46"/>
      <c r="AN1057" s="46"/>
      <c r="AO1057" s="46"/>
      <c r="AP1057" s="46"/>
      <c r="AQ1057" s="46"/>
      <c r="AR1057" s="46"/>
      <c r="AS1057" s="46"/>
      <c r="AT1057" s="46"/>
      <c r="AU1057" s="46"/>
      <c r="AV1057" s="46"/>
      <c r="AW1057" s="46"/>
      <c r="AX1057" s="46"/>
      <c r="AY1057" s="46"/>
      <c r="AZ1057" s="46"/>
      <c r="BA1057" s="46"/>
      <c r="BB1057" s="46"/>
      <c r="BC1057" s="46"/>
      <c r="BD1057" s="46"/>
      <c r="BE1057" s="46"/>
    </row>
    <row r="1058" spans="1:57" ht="14.25" customHeight="1" x14ac:dyDescent="0.3">
      <c r="A1058" s="46"/>
      <c r="B1058" s="37"/>
      <c r="C1058" s="46"/>
      <c r="D1058" s="46"/>
      <c r="E1058" s="46"/>
      <c r="F1058" s="46"/>
      <c r="G1058" s="46"/>
      <c r="H1058" s="46"/>
      <c r="I1058" s="46"/>
      <c r="J1058" s="46"/>
      <c r="K1058" s="46"/>
      <c r="L1058" s="46"/>
      <c r="M1058" s="46"/>
      <c r="N1058" s="46"/>
      <c r="O1058" s="46"/>
      <c r="P1058" s="46"/>
      <c r="Q1058" s="46"/>
      <c r="R1058" s="46"/>
      <c r="S1058" s="46"/>
      <c r="T1058" s="46"/>
      <c r="U1058" s="46"/>
      <c r="V1058" s="46"/>
      <c r="W1058" s="46"/>
      <c r="X1058" s="46"/>
      <c r="Y1058" s="46"/>
      <c r="Z1058" s="46"/>
      <c r="AA1058" s="46"/>
      <c r="AB1058" s="46"/>
      <c r="AC1058" s="46"/>
      <c r="AD1058" s="46"/>
      <c r="AE1058" s="46"/>
      <c r="AF1058" s="46"/>
      <c r="AG1058" s="46"/>
      <c r="AH1058" s="46"/>
      <c r="AI1058" s="46"/>
      <c r="AJ1058" s="46"/>
      <c r="AK1058" s="46"/>
      <c r="AL1058" s="46"/>
      <c r="AM1058" s="46"/>
      <c r="AN1058" s="46"/>
      <c r="AO1058" s="46"/>
      <c r="AP1058" s="46"/>
      <c r="AQ1058" s="46"/>
      <c r="AR1058" s="46"/>
      <c r="AS1058" s="46"/>
      <c r="AT1058" s="46"/>
      <c r="AU1058" s="46"/>
      <c r="AV1058" s="46"/>
      <c r="AW1058" s="46"/>
      <c r="AX1058" s="46"/>
      <c r="AY1058" s="46"/>
      <c r="AZ1058" s="46"/>
      <c r="BA1058" s="46"/>
      <c r="BB1058" s="46"/>
      <c r="BC1058" s="46"/>
      <c r="BD1058" s="46"/>
      <c r="BE1058" s="46"/>
    </row>
    <row r="1059" spans="1:57" ht="14.25" customHeight="1" x14ac:dyDescent="0.3">
      <c r="A1059" s="46"/>
      <c r="B1059" s="37"/>
      <c r="C1059" s="46"/>
      <c r="D1059" s="46"/>
      <c r="E1059" s="46"/>
      <c r="F1059" s="46"/>
      <c r="G1059" s="46"/>
      <c r="H1059" s="46"/>
      <c r="I1059" s="46"/>
      <c r="J1059" s="46"/>
      <c r="K1059" s="46"/>
      <c r="L1059" s="46"/>
      <c r="M1059" s="46"/>
      <c r="N1059" s="46"/>
      <c r="O1059" s="46"/>
      <c r="P1059" s="46"/>
      <c r="Q1059" s="46"/>
      <c r="R1059" s="46"/>
      <c r="S1059" s="46"/>
      <c r="T1059" s="46"/>
      <c r="U1059" s="46"/>
      <c r="V1059" s="46"/>
      <c r="W1059" s="46"/>
      <c r="X1059" s="46"/>
      <c r="Y1059" s="46"/>
      <c r="Z1059" s="46"/>
      <c r="AA1059" s="46"/>
      <c r="AB1059" s="46"/>
      <c r="AC1059" s="46"/>
      <c r="AD1059" s="46"/>
      <c r="AE1059" s="46"/>
      <c r="AF1059" s="46"/>
      <c r="AG1059" s="46"/>
      <c r="AH1059" s="46"/>
      <c r="AI1059" s="46"/>
      <c r="AJ1059" s="46"/>
      <c r="AK1059" s="46"/>
      <c r="AL1059" s="46"/>
      <c r="AM1059" s="46"/>
      <c r="AN1059" s="46"/>
      <c r="AO1059" s="46"/>
      <c r="AP1059" s="46"/>
      <c r="AQ1059" s="46"/>
      <c r="AR1059" s="46"/>
      <c r="AS1059" s="46"/>
      <c r="AT1059" s="46"/>
      <c r="AU1059" s="46"/>
      <c r="AV1059" s="46"/>
      <c r="AW1059" s="46"/>
      <c r="AX1059" s="46"/>
      <c r="AY1059" s="46"/>
      <c r="AZ1059" s="46"/>
      <c r="BA1059" s="46"/>
      <c r="BB1059" s="46"/>
      <c r="BC1059" s="46"/>
      <c r="BD1059" s="46"/>
      <c r="BE1059" s="46"/>
    </row>
    <row r="1060" spans="1:57" ht="14.25" customHeight="1" x14ac:dyDescent="0.3">
      <c r="A1060" s="46"/>
      <c r="B1060" s="37"/>
      <c r="C1060" s="46"/>
      <c r="D1060" s="46"/>
      <c r="E1060" s="46"/>
      <c r="F1060" s="46"/>
      <c r="G1060" s="46"/>
      <c r="H1060" s="46"/>
      <c r="I1060" s="46"/>
      <c r="J1060" s="46"/>
      <c r="K1060" s="46"/>
      <c r="L1060" s="46"/>
      <c r="M1060" s="46"/>
      <c r="N1060" s="46"/>
      <c r="O1060" s="46"/>
      <c r="P1060" s="46"/>
      <c r="Q1060" s="46"/>
      <c r="R1060" s="46"/>
      <c r="S1060" s="46"/>
      <c r="T1060" s="46"/>
      <c r="U1060" s="46"/>
      <c r="V1060" s="46"/>
      <c r="W1060" s="46"/>
      <c r="X1060" s="46"/>
      <c r="Y1060" s="46"/>
      <c r="Z1060" s="46"/>
      <c r="AA1060" s="46"/>
      <c r="AB1060" s="46"/>
      <c r="AC1060" s="46"/>
      <c r="AD1060" s="46"/>
      <c r="AE1060" s="46"/>
      <c r="AF1060" s="46"/>
      <c r="AG1060" s="46"/>
      <c r="AH1060" s="46"/>
      <c r="AI1060" s="46"/>
      <c r="AJ1060" s="46"/>
      <c r="AK1060" s="46"/>
      <c r="AL1060" s="46"/>
      <c r="AM1060" s="46"/>
      <c r="AN1060" s="46"/>
      <c r="AO1060" s="46"/>
      <c r="AP1060" s="46"/>
      <c r="AQ1060" s="46"/>
      <c r="AR1060" s="46"/>
      <c r="AS1060" s="46"/>
      <c r="AT1060" s="46"/>
      <c r="AU1060" s="46"/>
      <c r="AV1060" s="46"/>
      <c r="AW1060" s="46"/>
      <c r="AX1060" s="46"/>
      <c r="AY1060" s="46"/>
      <c r="AZ1060" s="46"/>
      <c r="BA1060" s="46"/>
      <c r="BB1060" s="46"/>
      <c r="BC1060" s="46"/>
      <c r="BD1060" s="46"/>
      <c r="BE1060" s="46"/>
    </row>
    <row r="1061" spans="1:57" ht="14.25" customHeight="1" x14ac:dyDescent="0.3">
      <c r="A1061" s="46"/>
      <c r="B1061" s="37"/>
      <c r="C1061" s="46"/>
      <c r="D1061" s="46"/>
      <c r="E1061" s="46"/>
      <c r="F1061" s="46"/>
      <c r="G1061" s="46"/>
      <c r="H1061" s="46"/>
      <c r="I1061" s="46"/>
      <c r="J1061" s="46"/>
      <c r="K1061" s="46"/>
      <c r="L1061" s="46"/>
      <c r="M1061" s="46"/>
      <c r="N1061" s="46"/>
      <c r="O1061" s="46"/>
      <c r="P1061" s="46"/>
      <c r="Q1061" s="46"/>
      <c r="R1061" s="46"/>
      <c r="S1061" s="46"/>
      <c r="T1061" s="46"/>
      <c r="U1061" s="46"/>
      <c r="V1061" s="46"/>
      <c r="W1061" s="46"/>
      <c r="X1061" s="46"/>
      <c r="Y1061" s="46"/>
      <c r="Z1061" s="46"/>
      <c r="AA1061" s="46"/>
      <c r="AB1061" s="46"/>
      <c r="AC1061" s="46"/>
      <c r="AD1061" s="46"/>
      <c r="AE1061" s="46"/>
      <c r="AF1061" s="46"/>
      <c r="AG1061" s="46"/>
      <c r="AH1061" s="46"/>
      <c r="AI1061" s="46"/>
      <c r="AJ1061" s="46"/>
      <c r="AK1061" s="46"/>
      <c r="AL1061" s="46"/>
      <c r="AM1061" s="46"/>
      <c r="AN1061" s="46"/>
      <c r="AO1061" s="46"/>
      <c r="AP1061" s="46"/>
      <c r="AQ1061" s="46"/>
      <c r="AR1061" s="46"/>
      <c r="AS1061" s="46"/>
      <c r="AT1061" s="46"/>
      <c r="AU1061" s="46"/>
      <c r="AV1061" s="46"/>
      <c r="AW1061" s="46"/>
      <c r="AX1061" s="46"/>
      <c r="AY1061" s="46"/>
      <c r="AZ1061" s="46"/>
      <c r="BA1061" s="46"/>
      <c r="BB1061" s="46"/>
      <c r="BC1061" s="46"/>
      <c r="BD1061" s="46"/>
      <c r="BE1061" s="46"/>
    </row>
    <row r="1062" spans="1:57" ht="14.25" customHeight="1" x14ac:dyDescent="0.3">
      <c r="A1062" s="46"/>
      <c r="B1062" s="37"/>
      <c r="C1062" s="46"/>
      <c r="D1062" s="46"/>
      <c r="E1062" s="46"/>
      <c r="F1062" s="46"/>
      <c r="G1062" s="46"/>
      <c r="H1062" s="46"/>
      <c r="I1062" s="46"/>
      <c r="J1062" s="46"/>
      <c r="K1062" s="46"/>
      <c r="L1062" s="46"/>
      <c r="M1062" s="46"/>
      <c r="N1062" s="46"/>
      <c r="O1062" s="46"/>
      <c r="P1062" s="46"/>
      <c r="Q1062" s="46"/>
      <c r="R1062" s="46"/>
      <c r="S1062" s="46"/>
      <c r="T1062" s="46"/>
      <c r="U1062" s="46"/>
      <c r="V1062" s="46"/>
      <c r="W1062" s="46"/>
      <c r="X1062" s="46"/>
      <c r="Y1062" s="46"/>
      <c r="Z1062" s="46"/>
      <c r="AA1062" s="46"/>
      <c r="AB1062" s="46"/>
      <c r="AC1062" s="46"/>
      <c r="AD1062" s="46"/>
      <c r="AE1062" s="46"/>
      <c r="AF1062" s="46"/>
      <c r="AG1062" s="46"/>
      <c r="AH1062" s="46"/>
      <c r="AI1062" s="46"/>
      <c r="AJ1062" s="46"/>
      <c r="AK1062" s="46"/>
      <c r="AL1062" s="46"/>
      <c r="AM1062" s="46"/>
      <c r="AN1062" s="46"/>
      <c r="AO1062" s="46"/>
      <c r="AP1062" s="46"/>
      <c r="AQ1062" s="46"/>
      <c r="AR1062" s="46"/>
      <c r="AS1062" s="46"/>
      <c r="AT1062" s="46"/>
      <c r="AU1062" s="46"/>
      <c r="AV1062" s="46"/>
      <c r="AW1062" s="46"/>
      <c r="AX1062" s="46"/>
      <c r="AY1062" s="46"/>
      <c r="AZ1062" s="46"/>
      <c r="BA1062" s="46"/>
      <c r="BB1062" s="46"/>
      <c r="BC1062" s="46"/>
      <c r="BD1062" s="46"/>
      <c r="BE1062" s="46"/>
    </row>
    <row r="1063" spans="1:57" ht="14.25" customHeight="1" x14ac:dyDescent="0.3">
      <c r="A1063" s="46"/>
      <c r="B1063" s="37"/>
      <c r="C1063" s="46"/>
      <c r="D1063" s="46"/>
      <c r="E1063" s="46"/>
      <c r="F1063" s="46"/>
      <c r="G1063" s="46"/>
      <c r="H1063" s="46"/>
      <c r="I1063" s="46"/>
      <c r="J1063" s="46"/>
      <c r="K1063" s="46"/>
      <c r="L1063" s="46"/>
      <c r="M1063" s="46"/>
      <c r="N1063" s="46"/>
      <c r="O1063" s="46"/>
      <c r="P1063" s="46"/>
      <c r="Q1063" s="46"/>
      <c r="R1063" s="46"/>
      <c r="S1063" s="46"/>
      <c r="T1063" s="46"/>
      <c r="U1063" s="46"/>
      <c r="V1063" s="46"/>
      <c r="W1063" s="46"/>
      <c r="X1063" s="46"/>
      <c r="Y1063" s="46"/>
      <c r="Z1063" s="46"/>
      <c r="AA1063" s="46"/>
      <c r="AB1063" s="46"/>
      <c r="AC1063" s="46"/>
      <c r="AD1063" s="46"/>
      <c r="AE1063" s="46"/>
      <c r="AF1063" s="46"/>
      <c r="AG1063" s="46"/>
      <c r="AH1063" s="46"/>
      <c r="AI1063" s="46"/>
      <c r="AJ1063" s="46"/>
      <c r="AK1063" s="46"/>
      <c r="AL1063" s="46"/>
      <c r="AM1063" s="46"/>
      <c r="AN1063" s="46"/>
      <c r="AO1063" s="46"/>
      <c r="AP1063" s="46"/>
      <c r="AQ1063" s="46"/>
      <c r="AR1063" s="46"/>
      <c r="AS1063" s="46"/>
      <c r="AT1063" s="46"/>
      <c r="AU1063" s="46"/>
      <c r="AV1063" s="46"/>
      <c r="AW1063" s="46"/>
      <c r="AX1063" s="46"/>
      <c r="AY1063" s="46"/>
      <c r="AZ1063" s="46"/>
      <c r="BA1063" s="46"/>
      <c r="BB1063" s="46"/>
      <c r="BC1063" s="46"/>
      <c r="BD1063" s="46"/>
      <c r="BE1063" s="46"/>
    </row>
    <row r="1064" spans="1:57" ht="14.25" customHeight="1" x14ac:dyDescent="0.3">
      <c r="A1064" s="46"/>
      <c r="B1064" s="37"/>
      <c r="C1064" s="46"/>
      <c r="D1064" s="46"/>
      <c r="E1064" s="46"/>
      <c r="F1064" s="46"/>
      <c r="G1064" s="46"/>
      <c r="H1064" s="46"/>
      <c r="I1064" s="46"/>
      <c r="J1064" s="46"/>
      <c r="K1064" s="46"/>
      <c r="L1064" s="46"/>
      <c r="M1064" s="46"/>
      <c r="N1064" s="46"/>
      <c r="O1064" s="46"/>
      <c r="P1064" s="46"/>
      <c r="Q1064" s="46"/>
      <c r="R1064" s="46"/>
      <c r="S1064" s="46"/>
      <c r="T1064" s="46"/>
      <c r="U1064" s="46"/>
      <c r="V1064" s="46"/>
      <c r="W1064" s="46"/>
      <c r="X1064" s="46"/>
      <c r="Y1064" s="46"/>
      <c r="Z1064" s="46"/>
      <c r="AA1064" s="46"/>
      <c r="AB1064" s="46"/>
      <c r="AC1064" s="46"/>
      <c r="AD1064" s="46"/>
      <c r="AE1064" s="46"/>
      <c r="AF1064" s="46"/>
      <c r="AG1064" s="46"/>
      <c r="AH1064" s="46"/>
      <c r="AI1064" s="46"/>
      <c r="AJ1064" s="46"/>
      <c r="AK1064" s="46"/>
      <c r="AL1064" s="46"/>
      <c r="AM1064" s="46"/>
      <c r="AN1064" s="46"/>
      <c r="AO1064" s="46"/>
      <c r="AP1064" s="46"/>
      <c r="AQ1064" s="46"/>
      <c r="AR1064" s="46"/>
      <c r="AS1064" s="46"/>
      <c r="AT1064" s="46"/>
      <c r="AU1064" s="46"/>
      <c r="AV1064" s="46"/>
      <c r="AW1064" s="46"/>
      <c r="AX1064" s="46"/>
      <c r="AY1064" s="46"/>
      <c r="AZ1064" s="46"/>
      <c r="BA1064" s="46"/>
      <c r="BB1064" s="46"/>
      <c r="BC1064" s="46"/>
      <c r="BD1064" s="46"/>
      <c r="BE1064" s="46"/>
    </row>
    <row r="1065" spans="1:57" ht="14.25" customHeight="1" x14ac:dyDescent="0.3">
      <c r="A1065" s="46"/>
      <c r="B1065" s="37"/>
      <c r="C1065" s="46"/>
      <c r="D1065" s="46"/>
      <c r="E1065" s="46"/>
      <c r="F1065" s="46"/>
      <c r="G1065" s="46"/>
      <c r="H1065" s="46"/>
      <c r="I1065" s="46"/>
      <c r="J1065" s="46"/>
      <c r="K1065" s="46"/>
      <c r="L1065" s="46"/>
      <c r="M1065" s="46"/>
      <c r="N1065" s="46"/>
      <c r="O1065" s="46"/>
      <c r="P1065" s="46"/>
      <c r="Q1065" s="46"/>
      <c r="R1065" s="46"/>
      <c r="S1065" s="46"/>
      <c r="T1065" s="46"/>
      <c r="U1065" s="46"/>
      <c r="V1065" s="46"/>
      <c r="W1065" s="46"/>
      <c r="X1065" s="46"/>
      <c r="Y1065" s="46"/>
      <c r="Z1065" s="46"/>
      <c r="AA1065" s="46"/>
      <c r="AB1065" s="46"/>
      <c r="AC1065" s="46"/>
      <c r="AD1065" s="46"/>
      <c r="AE1065" s="46"/>
      <c r="AF1065" s="46"/>
      <c r="AG1065" s="46"/>
      <c r="AH1065" s="46"/>
      <c r="AI1065" s="46"/>
      <c r="AJ1065" s="46"/>
      <c r="AK1065" s="46"/>
      <c r="AL1065" s="46"/>
      <c r="AM1065" s="46"/>
      <c r="AN1065" s="46"/>
      <c r="AO1065" s="46"/>
      <c r="AP1065" s="46"/>
      <c r="AQ1065" s="46"/>
      <c r="AR1065" s="46"/>
      <c r="AS1065" s="46"/>
      <c r="AT1065" s="46"/>
      <c r="AU1065" s="46"/>
      <c r="AV1065" s="46"/>
      <c r="AW1065" s="46"/>
      <c r="AX1065" s="46"/>
      <c r="AY1065" s="46"/>
      <c r="AZ1065" s="46"/>
      <c r="BA1065" s="46"/>
      <c r="BB1065" s="46"/>
      <c r="BC1065" s="46"/>
      <c r="BD1065" s="46"/>
      <c r="BE1065" s="46"/>
    </row>
    <row r="1066" spans="1:57" ht="14.25" customHeight="1" x14ac:dyDescent="0.3">
      <c r="A1066" s="46"/>
      <c r="B1066" s="37"/>
      <c r="C1066" s="46"/>
      <c r="D1066" s="46"/>
      <c r="E1066" s="46"/>
      <c r="F1066" s="46"/>
      <c r="G1066" s="46"/>
      <c r="H1066" s="46"/>
      <c r="I1066" s="46"/>
      <c r="J1066" s="46"/>
      <c r="K1066" s="46"/>
      <c r="L1066" s="46"/>
      <c r="M1066" s="46"/>
      <c r="N1066" s="46"/>
      <c r="O1066" s="46"/>
      <c r="P1066" s="46"/>
      <c r="Q1066" s="46"/>
      <c r="R1066" s="46"/>
      <c r="S1066" s="46"/>
      <c r="T1066" s="46"/>
      <c r="U1066" s="46"/>
      <c r="V1066" s="46"/>
      <c r="W1066" s="46"/>
      <c r="X1066" s="46"/>
      <c r="Y1066" s="46"/>
      <c r="Z1066" s="46"/>
      <c r="AA1066" s="46"/>
      <c r="AB1066" s="46"/>
      <c r="AC1066" s="46"/>
      <c r="AD1066" s="46"/>
      <c r="AE1066" s="46"/>
      <c r="AF1066" s="46"/>
      <c r="AG1066" s="46"/>
      <c r="AH1066" s="46"/>
      <c r="AI1066" s="46"/>
      <c r="AJ1066" s="46"/>
      <c r="AK1066" s="46"/>
      <c r="AL1066" s="46"/>
      <c r="AM1066" s="46"/>
      <c r="AN1066" s="46"/>
      <c r="AO1066" s="46"/>
      <c r="AP1066" s="46"/>
      <c r="AQ1066" s="46"/>
      <c r="AR1066" s="46"/>
      <c r="AS1066" s="46"/>
      <c r="AT1066" s="46"/>
      <c r="AU1066" s="46"/>
      <c r="AV1066" s="46"/>
      <c r="AW1066" s="46"/>
      <c r="AX1066" s="46"/>
      <c r="AY1066" s="46"/>
      <c r="AZ1066" s="46"/>
      <c r="BA1066" s="46"/>
      <c r="BB1066" s="46"/>
      <c r="BC1066" s="46"/>
      <c r="BD1066" s="46"/>
      <c r="BE1066" s="46"/>
    </row>
    <row r="1067" spans="1:57" ht="14.25" customHeight="1" x14ac:dyDescent="0.3">
      <c r="A1067" s="46"/>
      <c r="B1067" s="37"/>
      <c r="C1067" s="46"/>
      <c r="D1067" s="46"/>
      <c r="E1067" s="46"/>
      <c r="F1067" s="46"/>
      <c r="G1067" s="46"/>
      <c r="H1067" s="46"/>
      <c r="I1067" s="46"/>
      <c r="J1067" s="46"/>
      <c r="K1067" s="46"/>
      <c r="L1067" s="46"/>
      <c r="M1067" s="46"/>
      <c r="N1067" s="46"/>
      <c r="O1067" s="46"/>
      <c r="P1067" s="46"/>
      <c r="Q1067" s="46"/>
      <c r="R1067" s="46"/>
      <c r="S1067" s="46"/>
      <c r="T1067" s="46"/>
      <c r="U1067" s="46"/>
      <c r="V1067" s="46"/>
      <c r="W1067" s="46"/>
      <c r="X1067" s="46"/>
      <c r="Y1067" s="46"/>
      <c r="Z1067" s="46"/>
      <c r="AA1067" s="46"/>
      <c r="AB1067" s="46"/>
      <c r="AC1067" s="46"/>
      <c r="AD1067" s="46"/>
      <c r="AE1067" s="46"/>
      <c r="AF1067" s="46"/>
      <c r="AG1067" s="46"/>
      <c r="AH1067" s="46"/>
      <c r="AI1067" s="46"/>
      <c r="AJ1067" s="46"/>
      <c r="AK1067" s="46"/>
      <c r="AL1067" s="46"/>
      <c r="AM1067" s="46"/>
      <c r="AN1067" s="46"/>
      <c r="AO1067" s="46"/>
      <c r="AP1067" s="46"/>
      <c r="AQ1067" s="46"/>
      <c r="AR1067" s="46"/>
      <c r="AS1067" s="46"/>
      <c r="AT1067" s="46"/>
      <c r="AU1067" s="46"/>
      <c r="AV1067" s="46"/>
      <c r="AW1067" s="46"/>
      <c r="AX1067" s="46"/>
      <c r="AY1067" s="46"/>
      <c r="AZ1067" s="46"/>
      <c r="BA1067" s="46"/>
      <c r="BB1067" s="46"/>
      <c r="BC1067" s="46"/>
      <c r="BD1067" s="46"/>
      <c r="BE1067" s="46"/>
    </row>
    <row r="1068" spans="1:57" ht="14.25" customHeight="1" x14ac:dyDescent="0.3">
      <c r="A1068" s="46"/>
      <c r="B1068" s="37"/>
      <c r="C1068" s="46"/>
      <c r="D1068" s="46"/>
      <c r="E1068" s="46"/>
      <c r="F1068" s="46"/>
      <c r="G1068" s="46"/>
      <c r="H1068" s="46"/>
      <c r="I1068" s="46"/>
      <c r="J1068" s="46"/>
      <c r="K1068" s="46"/>
      <c r="L1068" s="46"/>
      <c r="M1068" s="46"/>
      <c r="N1068" s="46"/>
      <c r="O1068" s="46"/>
      <c r="P1068" s="46"/>
      <c r="Q1068" s="46"/>
      <c r="R1068" s="46"/>
      <c r="S1068" s="46"/>
      <c r="T1068" s="46"/>
      <c r="U1068" s="46"/>
      <c r="V1068" s="46"/>
      <c r="W1068" s="46"/>
      <c r="X1068" s="46"/>
      <c r="Y1068" s="46"/>
      <c r="Z1068" s="46"/>
      <c r="AA1068" s="46"/>
      <c r="AB1068" s="46"/>
      <c r="AC1068" s="46"/>
      <c r="AD1068" s="46"/>
      <c r="AE1068" s="46"/>
      <c r="AF1068" s="46"/>
      <c r="AG1068" s="46"/>
      <c r="AH1068" s="46"/>
      <c r="AI1068" s="46"/>
      <c r="AJ1068" s="46"/>
      <c r="AK1068" s="46"/>
      <c r="AL1068" s="46"/>
      <c r="AM1068" s="46"/>
      <c r="AN1068" s="46"/>
      <c r="AO1068" s="46"/>
      <c r="AP1068" s="46"/>
      <c r="AQ1068" s="46"/>
      <c r="AR1068" s="46"/>
      <c r="AS1068" s="46"/>
      <c r="AT1068" s="46"/>
      <c r="AU1068" s="46"/>
      <c r="AV1068" s="46"/>
      <c r="AW1068" s="46"/>
      <c r="AX1068" s="46"/>
      <c r="AY1068" s="46"/>
      <c r="AZ1068" s="46"/>
      <c r="BA1068" s="46"/>
      <c r="BB1068" s="46"/>
      <c r="BC1068" s="46"/>
      <c r="BD1068" s="46"/>
      <c r="BE1068" s="46"/>
    </row>
    <row r="1069" spans="1:57" ht="14.25" customHeight="1" x14ac:dyDescent="0.3">
      <c r="A1069" s="46"/>
      <c r="B1069" s="37"/>
      <c r="C1069" s="46"/>
      <c r="D1069" s="46"/>
      <c r="E1069" s="46"/>
      <c r="F1069" s="46"/>
      <c r="G1069" s="46"/>
      <c r="H1069" s="46"/>
      <c r="I1069" s="46"/>
      <c r="J1069" s="46"/>
      <c r="K1069" s="46"/>
      <c r="L1069" s="46"/>
      <c r="M1069" s="46"/>
      <c r="N1069" s="46"/>
      <c r="O1069" s="46"/>
      <c r="P1069" s="46"/>
      <c r="Q1069" s="46"/>
      <c r="R1069" s="46"/>
      <c r="S1069" s="46"/>
      <c r="T1069" s="46"/>
      <c r="U1069" s="46"/>
      <c r="V1069" s="46"/>
      <c r="W1069" s="46"/>
      <c r="X1069" s="46"/>
      <c r="Y1069" s="46"/>
      <c r="Z1069" s="46"/>
      <c r="AA1069" s="46"/>
      <c r="AB1069" s="46"/>
      <c r="AC1069" s="46"/>
      <c r="AD1069" s="46"/>
      <c r="AE1069" s="46"/>
      <c r="AF1069" s="46"/>
      <c r="AG1069" s="46"/>
      <c r="AH1069" s="46"/>
      <c r="AI1069" s="46"/>
      <c r="AJ1069" s="46"/>
      <c r="AK1069" s="46"/>
      <c r="AL1069" s="46"/>
      <c r="AM1069" s="46"/>
      <c r="AN1069" s="46"/>
      <c r="AO1069" s="46"/>
      <c r="AP1069" s="46"/>
      <c r="AQ1069" s="46"/>
      <c r="AR1069" s="46"/>
      <c r="AS1069" s="46"/>
      <c r="AT1069" s="46"/>
      <c r="AU1069" s="46"/>
      <c r="AV1069" s="46"/>
      <c r="AW1069" s="46"/>
      <c r="AX1069" s="46"/>
      <c r="AY1069" s="46"/>
      <c r="AZ1069" s="46"/>
      <c r="BA1069" s="46"/>
      <c r="BB1069" s="46"/>
      <c r="BC1069" s="46"/>
      <c r="BD1069" s="46"/>
      <c r="BE1069" s="46"/>
    </row>
    <row r="1070" spans="1:57" ht="14.25" customHeight="1" x14ac:dyDescent="0.3">
      <c r="A1070" s="46"/>
      <c r="B1070" s="37"/>
      <c r="C1070" s="46"/>
      <c r="D1070" s="46"/>
      <c r="E1070" s="46"/>
      <c r="F1070" s="46"/>
      <c r="G1070" s="46"/>
      <c r="H1070" s="46"/>
      <c r="I1070" s="46"/>
      <c r="J1070" s="46"/>
      <c r="K1070" s="46"/>
      <c r="L1070" s="46"/>
      <c r="M1070" s="46"/>
      <c r="N1070" s="46"/>
      <c r="O1070" s="46"/>
      <c r="P1070" s="46"/>
      <c r="Q1070" s="46"/>
      <c r="R1070" s="46"/>
      <c r="S1070" s="46"/>
      <c r="T1070" s="46"/>
      <c r="U1070" s="46"/>
      <c r="V1070" s="46"/>
      <c r="W1070" s="46"/>
      <c r="X1070" s="46"/>
      <c r="Y1070" s="46"/>
      <c r="Z1070" s="46"/>
      <c r="AA1070" s="46"/>
      <c r="AB1070" s="46"/>
      <c r="AC1070" s="46"/>
      <c r="AD1070" s="46"/>
      <c r="AE1070" s="46"/>
      <c r="AF1070" s="46"/>
      <c r="AG1070" s="46"/>
      <c r="AH1070" s="46"/>
      <c r="AI1070" s="46"/>
      <c r="AJ1070" s="46"/>
      <c r="AK1070" s="46"/>
      <c r="AL1070" s="46"/>
      <c r="AM1070" s="46"/>
      <c r="AN1070" s="46"/>
      <c r="AO1070" s="46"/>
      <c r="AP1070" s="46"/>
      <c r="AQ1070" s="46"/>
      <c r="AR1070" s="46"/>
      <c r="AS1070" s="46"/>
      <c r="AT1070" s="46"/>
      <c r="AU1070" s="46"/>
      <c r="AV1070" s="46"/>
      <c r="AW1070" s="46"/>
      <c r="AX1070" s="46"/>
      <c r="AY1070" s="46"/>
      <c r="AZ1070" s="46"/>
      <c r="BA1070" s="46"/>
      <c r="BB1070" s="46"/>
      <c r="BC1070" s="46"/>
      <c r="BD1070" s="46"/>
      <c r="BE1070" s="46"/>
    </row>
    <row r="1071" spans="1:57" ht="14.25" customHeight="1" x14ac:dyDescent="0.3">
      <c r="A1071" s="46"/>
      <c r="B1071" s="37"/>
      <c r="C1071" s="46"/>
      <c r="D1071" s="46"/>
      <c r="E1071" s="46"/>
      <c r="F1071" s="46"/>
      <c r="G1071" s="46"/>
      <c r="H1071" s="46"/>
      <c r="I1071" s="46"/>
      <c r="J1071" s="46"/>
      <c r="K1071" s="46"/>
      <c r="L1071" s="46"/>
      <c r="M1071" s="46"/>
      <c r="N1071" s="46"/>
      <c r="O1071" s="46"/>
      <c r="P1071" s="46"/>
      <c r="Q1071" s="46"/>
      <c r="R1071" s="46"/>
      <c r="S1071" s="46"/>
      <c r="T1071" s="46"/>
      <c r="U1071" s="46"/>
      <c r="V1071" s="46"/>
      <c r="W1071" s="46"/>
      <c r="X1071" s="46"/>
      <c r="Y1071" s="46"/>
      <c r="Z1071" s="46"/>
      <c r="AA1071" s="46"/>
      <c r="AB1071" s="46"/>
      <c r="AC1071" s="46"/>
      <c r="AD1071" s="46"/>
      <c r="AE1071" s="46"/>
      <c r="AF1071" s="46"/>
      <c r="AG1071" s="46"/>
      <c r="AH1071" s="46"/>
      <c r="AI1071" s="46"/>
      <c r="AJ1071" s="46"/>
      <c r="AK1071" s="46"/>
      <c r="AL1071" s="46"/>
      <c r="AM1071" s="46"/>
      <c r="AN1071" s="46"/>
      <c r="AO1071" s="46"/>
      <c r="AP1071" s="46"/>
      <c r="AQ1071" s="46"/>
      <c r="AR1071" s="46"/>
      <c r="AS1071" s="46"/>
      <c r="AT1071" s="46"/>
      <c r="AU1071" s="46"/>
      <c r="AV1071" s="46"/>
      <c r="AW1071" s="46"/>
      <c r="AX1071" s="46"/>
      <c r="AY1071" s="46"/>
      <c r="AZ1071" s="46"/>
      <c r="BA1071" s="46"/>
      <c r="BB1071" s="46"/>
      <c r="BC1071" s="46"/>
      <c r="BD1071" s="46"/>
      <c r="BE1071" s="46"/>
    </row>
    <row r="1072" spans="1:57" ht="14.25" customHeight="1" x14ac:dyDescent="0.3">
      <c r="A1072" s="46"/>
      <c r="B1072" s="37"/>
      <c r="C1072" s="46"/>
      <c r="D1072" s="46"/>
      <c r="E1072" s="46"/>
      <c r="F1072" s="46"/>
      <c r="G1072" s="46"/>
      <c r="H1072" s="46"/>
      <c r="I1072" s="46"/>
      <c r="J1072" s="46"/>
      <c r="K1072" s="46"/>
      <c r="L1072" s="46"/>
      <c r="M1072" s="46"/>
      <c r="N1072" s="46"/>
      <c r="O1072" s="46"/>
      <c r="P1072" s="46"/>
      <c r="Q1072" s="46"/>
      <c r="R1072" s="46"/>
      <c r="S1072" s="46"/>
      <c r="T1072" s="46"/>
      <c r="U1072" s="46"/>
      <c r="V1072" s="46"/>
      <c r="W1072" s="46"/>
      <c r="X1072" s="46"/>
      <c r="Y1072" s="46"/>
      <c r="Z1072" s="46"/>
      <c r="AA1072" s="46"/>
      <c r="AB1072" s="46"/>
      <c r="AC1072" s="46"/>
      <c r="AD1072" s="46"/>
      <c r="AE1072" s="46"/>
      <c r="AF1072" s="46"/>
      <c r="AG1072" s="46"/>
      <c r="AH1072" s="46"/>
      <c r="AI1072" s="46"/>
      <c r="AJ1072" s="46"/>
      <c r="AK1072" s="46"/>
      <c r="AL1072" s="46"/>
      <c r="AM1072" s="46"/>
      <c r="AN1072" s="46"/>
      <c r="AO1072" s="46"/>
      <c r="AP1072" s="46"/>
      <c r="AQ1072" s="46"/>
      <c r="AR1072" s="46"/>
      <c r="AS1072" s="46"/>
      <c r="AT1072" s="46"/>
      <c r="AU1072" s="46"/>
      <c r="AV1072" s="46"/>
      <c r="AW1072" s="46"/>
      <c r="AX1072" s="46"/>
      <c r="AY1072" s="46"/>
      <c r="AZ1072" s="46"/>
      <c r="BA1072" s="46"/>
      <c r="BB1072" s="46"/>
      <c r="BC1072" s="46"/>
      <c r="BD1072" s="46"/>
      <c r="BE1072" s="46"/>
    </row>
    <row r="1073" spans="1:57" ht="14.25" customHeight="1" x14ac:dyDescent="0.3">
      <c r="A1073" s="46"/>
      <c r="B1073" s="37"/>
      <c r="C1073" s="46"/>
      <c r="D1073" s="46"/>
      <c r="E1073" s="46"/>
      <c r="F1073" s="46"/>
      <c r="G1073" s="46"/>
      <c r="H1073" s="46"/>
      <c r="I1073" s="46"/>
      <c r="J1073" s="46"/>
      <c r="K1073" s="46"/>
      <c r="L1073" s="46"/>
      <c r="M1073" s="46"/>
      <c r="N1073" s="46"/>
      <c r="O1073" s="46"/>
      <c r="P1073" s="46"/>
      <c r="Q1073" s="46"/>
      <c r="R1073" s="46"/>
      <c r="S1073" s="46"/>
      <c r="T1073" s="46"/>
      <c r="U1073" s="46"/>
      <c r="V1073" s="46"/>
      <c r="W1073" s="46"/>
      <c r="X1073" s="46"/>
      <c r="Y1073" s="46"/>
      <c r="Z1073" s="46"/>
      <c r="AA1073" s="46"/>
      <c r="AB1073" s="46"/>
      <c r="AC1073" s="46"/>
      <c r="AD1073" s="46"/>
      <c r="AE1073" s="46"/>
      <c r="AF1073" s="46"/>
      <c r="AG1073" s="46"/>
      <c r="AH1073" s="46"/>
      <c r="AI1073" s="46"/>
      <c r="AJ1073" s="46"/>
      <c r="AK1073" s="46"/>
      <c r="AL1073" s="46"/>
      <c r="AM1073" s="46"/>
      <c r="AN1073" s="46"/>
      <c r="AO1073" s="46"/>
      <c r="AP1073" s="46"/>
      <c r="AQ1073" s="46"/>
      <c r="AR1073" s="46"/>
      <c r="AS1073" s="46"/>
      <c r="AT1073" s="46"/>
      <c r="AU1073" s="46"/>
      <c r="AV1073" s="46"/>
      <c r="AW1073" s="46"/>
      <c r="AX1073" s="46"/>
      <c r="AY1073" s="46"/>
      <c r="AZ1073" s="46"/>
      <c r="BA1073" s="46"/>
      <c r="BB1073" s="46"/>
      <c r="BC1073" s="46"/>
      <c r="BD1073" s="46"/>
      <c r="BE1073" s="46"/>
    </row>
    <row r="1074" spans="1:57" ht="14.25" customHeight="1" x14ac:dyDescent="0.3">
      <c r="A1074" s="46"/>
      <c r="B1074" s="37"/>
      <c r="C1074" s="46"/>
      <c r="D1074" s="46"/>
      <c r="E1074" s="46"/>
      <c r="F1074" s="46"/>
      <c r="G1074" s="46"/>
      <c r="H1074" s="46"/>
      <c r="I1074" s="46"/>
      <c r="J1074" s="46"/>
      <c r="K1074" s="46"/>
      <c r="L1074" s="46"/>
      <c r="M1074" s="46"/>
      <c r="N1074" s="46"/>
      <c r="O1074" s="46"/>
      <c r="P1074" s="46"/>
      <c r="Q1074" s="46"/>
      <c r="R1074" s="46"/>
      <c r="S1074" s="46"/>
      <c r="T1074" s="46"/>
      <c r="U1074" s="46"/>
      <c r="V1074" s="46"/>
      <c r="W1074" s="46"/>
      <c r="X1074" s="46"/>
      <c r="Y1074" s="46"/>
      <c r="Z1074" s="46"/>
      <c r="AA1074" s="46"/>
      <c r="AB1074" s="46"/>
      <c r="AC1074" s="46"/>
      <c r="AD1074" s="46"/>
      <c r="AE1074" s="46"/>
      <c r="AF1074" s="46"/>
      <c r="AG1074" s="46"/>
      <c r="AH1074" s="46"/>
      <c r="AI1074" s="46"/>
      <c r="AJ1074" s="46"/>
      <c r="AK1074" s="46"/>
      <c r="AL1074" s="46"/>
      <c r="AM1074" s="46"/>
      <c r="AN1074" s="46"/>
      <c r="AO1074" s="46"/>
      <c r="AP1074" s="46"/>
      <c r="AQ1074" s="46"/>
      <c r="AR1074" s="46"/>
      <c r="AS1074" s="46"/>
      <c r="AT1074" s="46"/>
      <c r="AU1074" s="46"/>
      <c r="AV1074" s="46"/>
      <c r="AW1074" s="46"/>
      <c r="AX1074" s="46"/>
      <c r="AY1074" s="46"/>
      <c r="AZ1074" s="46"/>
      <c r="BA1074" s="46"/>
      <c r="BB1074" s="46"/>
      <c r="BC1074" s="46"/>
      <c r="BD1074" s="46"/>
      <c r="BE1074" s="46"/>
    </row>
    <row r="1075" spans="1:57" ht="14.25" customHeight="1" x14ac:dyDescent="0.3">
      <c r="A1075" s="46"/>
      <c r="B1075" s="37"/>
      <c r="C1075" s="46"/>
      <c r="D1075" s="46"/>
      <c r="E1075" s="46"/>
      <c r="F1075" s="46"/>
      <c r="G1075" s="46"/>
      <c r="H1075" s="46"/>
      <c r="I1075" s="46"/>
      <c r="J1075" s="46"/>
      <c r="K1075" s="46"/>
      <c r="L1075" s="46"/>
      <c r="M1075" s="46"/>
      <c r="N1075" s="46"/>
      <c r="O1075" s="46"/>
      <c r="P1075" s="46"/>
      <c r="Q1075" s="46"/>
      <c r="R1075" s="46"/>
      <c r="S1075" s="46"/>
      <c r="T1075" s="46"/>
      <c r="U1075" s="46"/>
      <c r="V1075" s="46"/>
      <c r="W1075" s="46"/>
      <c r="X1075" s="46"/>
      <c r="Y1075" s="46"/>
      <c r="Z1075" s="46"/>
      <c r="AA1075" s="46"/>
      <c r="AB1075" s="46"/>
      <c r="AC1075" s="46"/>
      <c r="AD1075" s="46"/>
      <c r="AE1075" s="46"/>
      <c r="AF1075" s="46"/>
      <c r="AG1075" s="46"/>
      <c r="AH1075" s="46"/>
      <c r="AI1075" s="46"/>
      <c r="AJ1075" s="46"/>
      <c r="AK1075" s="46"/>
      <c r="AL1075" s="46"/>
      <c r="AM1075" s="46"/>
      <c r="AN1075" s="46"/>
      <c r="AO1075" s="46"/>
      <c r="AP1075" s="46"/>
      <c r="AQ1075" s="46"/>
      <c r="AR1075" s="46"/>
      <c r="AS1075" s="46"/>
      <c r="AT1075" s="46"/>
      <c r="AU1075" s="46"/>
      <c r="AV1075" s="46"/>
      <c r="AW1075" s="46"/>
      <c r="AX1075" s="46"/>
      <c r="AY1075" s="46"/>
      <c r="AZ1075" s="46"/>
      <c r="BA1075" s="46"/>
      <c r="BB1075" s="46"/>
      <c r="BC1075" s="46"/>
      <c r="BD1075" s="46"/>
      <c r="BE1075" s="46"/>
    </row>
    <row r="1076" spans="1:57" ht="14.25" customHeight="1" x14ac:dyDescent="0.3">
      <c r="A1076" s="46"/>
      <c r="B1076" s="37"/>
      <c r="C1076" s="46"/>
      <c r="D1076" s="46"/>
      <c r="E1076" s="46"/>
      <c r="F1076" s="46"/>
      <c r="G1076" s="46"/>
      <c r="H1076" s="46"/>
      <c r="I1076" s="46"/>
      <c r="J1076" s="46"/>
      <c r="K1076" s="46"/>
      <c r="L1076" s="46"/>
      <c r="M1076" s="46"/>
      <c r="N1076" s="46"/>
      <c r="O1076" s="46"/>
      <c r="P1076" s="46"/>
      <c r="Q1076" s="46"/>
      <c r="R1076" s="46"/>
      <c r="S1076" s="46"/>
      <c r="T1076" s="46"/>
      <c r="U1076" s="46"/>
      <c r="V1076" s="46"/>
      <c r="W1076" s="46"/>
      <c r="X1076" s="46"/>
      <c r="Y1076" s="46"/>
      <c r="Z1076" s="46"/>
      <c r="AA1076" s="46"/>
      <c r="AB1076" s="46"/>
      <c r="AC1076" s="46"/>
      <c r="AD1076" s="46"/>
      <c r="AE1076" s="46"/>
      <c r="AF1076" s="46"/>
      <c r="AG1076" s="46"/>
      <c r="AH1076" s="46"/>
      <c r="AI1076" s="46"/>
      <c r="AJ1076" s="46"/>
      <c r="AK1076" s="46"/>
      <c r="AL1076" s="46"/>
      <c r="AM1076" s="46"/>
      <c r="AN1076" s="46"/>
      <c r="AO1076" s="46"/>
      <c r="AP1076" s="46"/>
      <c r="AQ1076" s="46"/>
      <c r="AR1076" s="46"/>
      <c r="AS1076" s="46"/>
      <c r="AT1076" s="46"/>
      <c r="AU1076" s="46"/>
      <c r="AV1076" s="46"/>
      <c r="AW1076" s="46"/>
      <c r="AX1076" s="46"/>
      <c r="AY1076" s="46"/>
      <c r="AZ1076" s="46"/>
      <c r="BA1076" s="46"/>
      <c r="BB1076" s="46"/>
      <c r="BC1076" s="46"/>
      <c r="BD1076" s="46"/>
      <c r="BE1076" s="46"/>
    </row>
    <row r="1077" spans="1:57" ht="14.25" customHeight="1" x14ac:dyDescent="0.3">
      <c r="A1077" s="46"/>
      <c r="B1077" s="37"/>
      <c r="C1077" s="46"/>
      <c r="D1077" s="46"/>
      <c r="E1077" s="46"/>
      <c r="F1077" s="46"/>
      <c r="G1077" s="46"/>
      <c r="H1077" s="46"/>
      <c r="I1077" s="46"/>
      <c r="J1077" s="46"/>
      <c r="K1077" s="46"/>
      <c r="L1077" s="46"/>
      <c r="M1077" s="46"/>
      <c r="N1077" s="46"/>
      <c r="O1077" s="46"/>
      <c r="P1077" s="46"/>
      <c r="Q1077" s="46"/>
      <c r="R1077" s="46"/>
      <c r="S1077" s="46"/>
      <c r="T1077" s="46"/>
      <c r="U1077" s="46"/>
      <c r="V1077" s="46"/>
      <c r="W1077" s="46"/>
      <c r="X1077" s="46"/>
      <c r="Y1077" s="46"/>
      <c r="Z1077" s="46"/>
      <c r="AA1077" s="46"/>
      <c r="AB1077" s="46"/>
      <c r="AC1077" s="46"/>
      <c r="AD1077" s="46"/>
      <c r="AE1077" s="46"/>
      <c r="AF1077" s="46"/>
      <c r="AG1077" s="46"/>
      <c r="AH1077" s="46"/>
      <c r="AI1077" s="46"/>
      <c r="AJ1077" s="46"/>
      <c r="AK1077" s="46"/>
      <c r="AL1077" s="46"/>
      <c r="AM1077" s="46"/>
      <c r="AN1077" s="46"/>
      <c r="AO1077" s="46"/>
      <c r="AP1077" s="46"/>
      <c r="AQ1077" s="46"/>
      <c r="AR1077" s="46"/>
      <c r="AS1077" s="46"/>
      <c r="AT1077" s="46"/>
      <c r="AU1077" s="46"/>
      <c r="AV1077" s="46"/>
      <c r="AW1077" s="46"/>
      <c r="AX1077" s="46"/>
      <c r="AY1077" s="46"/>
      <c r="AZ1077" s="46"/>
      <c r="BA1077" s="46"/>
      <c r="BB1077" s="46"/>
      <c r="BC1077" s="46"/>
      <c r="BD1077" s="46"/>
      <c r="BE1077" s="46"/>
    </row>
    <row r="1078" spans="1:57" ht="14.25" customHeight="1" x14ac:dyDescent="0.3">
      <c r="A1078" s="46"/>
      <c r="B1078" s="37"/>
      <c r="C1078" s="46"/>
      <c r="D1078" s="46"/>
      <c r="E1078" s="46"/>
      <c r="F1078" s="46"/>
      <c r="G1078" s="46"/>
      <c r="H1078" s="46"/>
      <c r="I1078" s="46"/>
      <c r="J1078" s="46"/>
      <c r="K1078" s="46"/>
      <c r="L1078" s="46"/>
      <c r="M1078" s="46"/>
      <c r="N1078" s="46"/>
      <c r="O1078" s="46"/>
      <c r="P1078" s="46"/>
      <c r="Q1078" s="46"/>
      <c r="R1078" s="46"/>
      <c r="S1078" s="46"/>
      <c r="T1078" s="46"/>
      <c r="U1078" s="46"/>
      <c r="V1078" s="46"/>
      <c r="W1078" s="46"/>
      <c r="X1078" s="46"/>
      <c r="Y1078" s="46"/>
      <c r="Z1078" s="46"/>
      <c r="AA1078" s="46"/>
      <c r="AB1078" s="46"/>
      <c r="AC1078" s="46"/>
      <c r="AD1078" s="46"/>
      <c r="AE1078" s="46"/>
      <c r="AF1078" s="46"/>
      <c r="AG1078" s="46"/>
      <c r="AH1078" s="46"/>
      <c r="AI1078" s="46"/>
      <c r="AJ1078" s="46"/>
      <c r="AK1078" s="46"/>
      <c r="AL1078" s="46"/>
      <c r="AM1078" s="46"/>
      <c r="AN1078" s="46"/>
      <c r="AO1078" s="46"/>
      <c r="AP1078" s="46"/>
      <c r="AQ1078" s="46"/>
      <c r="AR1078" s="46"/>
      <c r="AS1078" s="46"/>
      <c r="AT1078" s="46"/>
      <c r="AU1078" s="46"/>
      <c r="AV1078" s="46"/>
      <c r="AW1078" s="46"/>
      <c r="AX1078" s="46"/>
      <c r="AY1078" s="46"/>
      <c r="AZ1078" s="46"/>
      <c r="BA1078" s="46"/>
      <c r="BB1078" s="46"/>
      <c r="BC1078" s="46"/>
      <c r="BD1078" s="46"/>
      <c r="BE1078" s="46"/>
    </row>
    <row r="1079" spans="1:57" ht="14.25" customHeight="1" x14ac:dyDescent="0.3">
      <c r="A1079" s="46"/>
      <c r="B1079" s="37"/>
      <c r="C1079" s="46"/>
      <c r="D1079" s="46"/>
      <c r="E1079" s="46"/>
      <c r="F1079" s="46"/>
      <c r="G1079" s="46"/>
      <c r="H1079" s="46"/>
      <c r="I1079" s="46"/>
      <c r="J1079" s="46"/>
      <c r="K1079" s="46"/>
      <c r="L1079" s="46"/>
      <c r="M1079" s="46"/>
      <c r="N1079" s="46"/>
      <c r="O1079" s="46"/>
      <c r="P1079" s="46"/>
      <c r="Q1079" s="46"/>
      <c r="R1079" s="46"/>
      <c r="S1079" s="46"/>
      <c r="T1079" s="46"/>
      <c r="U1079" s="46"/>
      <c r="V1079" s="46"/>
      <c r="W1079" s="46"/>
      <c r="X1079" s="46"/>
      <c r="Y1079" s="46"/>
      <c r="Z1079" s="46"/>
      <c r="AA1079" s="46"/>
      <c r="AB1079" s="46"/>
      <c r="AC1079" s="46"/>
      <c r="AD1079" s="46"/>
      <c r="AE1079" s="46"/>
      <c r="AF1079" s="46"/>
      <c r="AG1079" s="46"/>
      <c r="AH1079" s="46"/>
      <c r="AI1079" s="46"/>
      <c r="AJ1079" s="46"/>
      <c r="AK1079" s="46"/>
      <c r="AL1079" s="46"/>
      <c r="AM1079" s="46"/>
      <c r="AN1079" s="46"/>
      <c r="AO1079" s="46"/>
      <c r="AP1079" s="46"/>
      <c r="AQ1079" s="46"/>
      <c r="AR1079" s="46"/>
      <c r="AS1079" s="46"/>
      <c r="AT1079" s="46"/>
      <c r="AU1079" s="46"/>
      <c r="AV1079" s="46"/>
      <c r="AW1079" s="46"/>
      <c r="AX1079" s="46"/>
      <c r="AY1079" s="46"/>
      <c r="AZ1079" s="46"/>
      <c r="BA1079" s="46"/>
      <c r="BB1079" s="46"/>
      <c r="BC1079" s="46"/>
      <c r="BD1079" s="46"/>
      <c r="BE1079" s="46"/>
    </row>
    <row r="1080" spans="1:57" ht="14.25" customHeight="1" x14ac:dyDescent="0.3">
      <c r="A1080" s="46"/>
      <c r="B1080" s="37"/>
      <c r="C1080" s="46"/>
      <c r="D1080" s="46"/>
      <c r="E1080" s="46"/>
      <c r="F1080" s="46"/>
      <c r="G1080" s="46"/>
      <c r="H1080" s="46"/>
      <c r="I1080" s="46"/>
      <c r="J1080" s="46"/>
      <c r="K1080" s="46"/>
      <c r="L1080" s="46"/>
      <c r="M1080" s="46"/>
      <c r="N1080" s="46"/>
      <c r="O1080" s="46"/>
      <c r="P1080" s="46"/>
      <c r="Q1080" s="46"/>
      <c r="R1080" s="46"/>
      <c r="S1080" s="46"/>
      <c r="T1080" s="46"/>
      <c r="U1080" s="46"/>
      <c r="V1080" s="46"/>
      <c r="W1080" s="46"/>
      <c r="X1080" s="46"/>
      <c r="Y1080" s="46"/>
      <c r="Z1080" s="46"/>
      <c r="AA1080" s="46"/>
      <c r="AB1080" s="46"/>
      <c r="AC1080" s="46"/>
      <c r="AD1080" s="46"/>
      <c r="AE1080" s="46"/>
      <c r="AF1080" s="46"/>
      <c r="AG1080" s="46"/>
      <c r="AH1080" s="46"/>
      <c r="AI1080" s="46"/>
      <c r="AJ1080" s="46"/>
      <c r="AK1080" s="46"/>
      <c r="AL1080" s="46"/>
      <c r="AM1080" s="46"/>
      <c r="AN1080" s="46"/>
      <c r="AO1080" s="46"/>
      <c r="AP1080" s="46"/>
      <c r="AQ1080" s="46"/>
      <c r="AR1080" s="46"/>
      <c r="AS1080" s="46"/>
      <c r="AT1080" s="46"/>
      <c r="AU1080" s="46"/>
      <c r="AV1080" s="46"/>
      <c r="AW1080" s="46"/>
      <c r="AX1080" s="46"/>
      <c r="AY1080" s="46"/>
      <c r="AZ1080" s="46"/>
      <c r="BA1080" s="46"/>
      <c r="BB1080" s="46"/>
      <c r="BC1080" s="46"/>
      <c r="BD1080" s="46"/>
      <c r="BE1080" s="46"/>
    </row>
    <row r="1081" spans="1:57" ht="14.25" customHeight="1" x14ac:dyDescent="0.3">
      <c r="A1081" s="46"/>
      <c r="B1081" s="37"/>
      <c r="C1081" s="46"/>
      <c r="D1081" s="46"/>
      <c r="E1081" s="46"/>
      <c r="F1081" s="46"/>
      <c r="G1081" s="46"/>
      <c r="H1081" s="46"/>
      <c r="I1081" s="46"/>
      <c r="J1081" s="46"/>
      <c r="K1081" s="46"/>
      <c r="L1081" s="46"/>
      <c r="M1081" s="46"/>
      <c r="N1081" s="46"/>
      <c r="O1081" s="46"/>
      <c r="P1081" s="46"/>
      <c r="Q1081" s="46"/>
      <c r="R1081" s="46"/>
      <c r="S1081" s="46"/>
      <c r="T1081" s="46"/>
      <c r="U1081" s="46"/>
      <c r="V1081" s="46"/>
      <c r="W1081" s="46"/>
      <c r="X1081" s="46"/>
      <c r="Y1081" s="46"/>
      <c r="Z1081" s="46"/>
      <c r="AA1081" s="46"/>
      <c r="AB1081" s="46"/>
      <c r="AC1081" s="46"/>
      <c r="AD1081" s="46"/>
      <c r="AE1081" s="46"/>
      <c r="AF1081" s="46"/>
      <c r="AG1081" s="46"/>
      <c r="AH1081" s="46"/>
      <c r="AI1081" s="46"/>
      <c r="AJ1081" s="46"/>
      <c r="AK1081" s="46"/>
      <c r="AL1081" s="46"/>
      <c r="AM1081" s="46"/>
      <c r="AN1081" s="46"/>
      <c r="AO1081" s="46"/>
      <c r="AP1081" s="46"/>
      <c r="AQ1081" s="46"/>
      <c r="AR1081" s="46"/>
      <c r="AS1081" s="46"/>
      <c r="AT1081" s="46"/>
      <c r="AU1081" s="46"/>
      <c r="AV1081" s="46"/>
      <c r="AW1081" s="46"/>
      <c r="AX1081" s="46"/>
      <c r="AY1081" s="46"/>
      <c r="AZ1081" s="46"/>
      <c r="BA1081" s="46"/>
      <c r="BB1081" s="46"/>
      <c r="BC1081" s="46"/>
      <c r="BD1081" s="46"/>
      <c r="BE1081" s="46"/>
    </row>
    <row r="1082" spans="1:57" ht="14.25" customHeight="1" x14ac:dyDescent="0.3">
      <c r="A1082" s="46"/>
      <c r="B1082" s="37"/>
      <c r="C1082" s="46"/>
      <c r="D1082" s="46"/>
      <c r="E1082" s="46"/>
      <c r="F1082" s="46"/>
      <c r="G1082" s="46"/>
      <c r="H1082" s="46"/>
      <c r="I1082" s="46"/>
      <c r="J1082" s="46"/>
      <c r="K1082" s="46"/>
      <c r="L1082" s="46"/>
      <c r="M1082" s="46"/>
      <c r="N1082" s="46"/>
      <c r="O1082" s="46"/>
      <c r="P1082" s="46"/>
      <c r="Q1082" s="46"/>
      <c r="R1082" s="46"/>
      <c r="S1082" s="46"/>
      <c r="T1082" s="46"/>
      <c r="U1082" s="46"/>
      <c r="V1082" s="46"/>
      <c r="W1082" s="46"/>
      <c r="X1082" s="46"/>
      <c r="Y1082" s="46"/>
      <c r="Z1082" s="46"/>
      <c r="AA1082" s="46"/>
      <c r="AB1082" s="46"/>
      <c r="AC1082" s="46"/>
      <c r="AD1082" s="46"/>
      <c r="AE1082" s="46"/>
      <c r="AF1082" s="46"/>
      <c r="AG1082" s="46"/>
      <c r="AH1082" s="46"/>
      <c r="AI1082" s="46"/>
      <c r="AJ1082" s="46"/>
      <c r="AK1082" s="46"/>
      <c r="AL1082" s="46"/>
      <c r="AM1082" s="46"/>
      <c r="AN1082" s="46"/>
      <c r="AO1082" s="46"/>
      <c r="AP1082" s="46"/>
      <c r="AQ1082" s="46"/>
      <c r="AR1082" s="46"/>
      <c r="AS1082" s="46"/>
      <c r="AT1082" s="46"/>
      <c r="AU1082" s="46"/>
      <c r="AV1082" s="46"/>
      <c r="AW1082" s="46"/>
      <c r="AX1082" s="46"/>
      <c r="AY1082" s="46"/>
      <c r="AZ1082" s="46"/>
      <c r="BA1082" s="46"/>
      <c r="BB1082" s="46"/>
      <c r="BC1082" s="46"/>
      <c r="BD1082" s="46"/>
      <c r="BE1082" s="46"/>
    </row>
    <row r="1083" spans="1:57" ht="14.25" customHeight="1" x14ac:dyDescent="0.3">
      <c r="A1083" s="46"/>
      <c r="B1083" s="37"/>
      <c r="C1083" s="46"/>
      <c r="D1083" s="46"/>
      <c r="E1083" s="46"/>
      <c r="F1083" s="46"/>
      <c r="G1083" s="46"/>
      <c r="H1083" s="46"/>
      <c r="I1083" s="46"/>
      <c r="J1083" s="46"/>
      <c r="K1083" s="46"/>
      <c r="L1083" s="46"/>
      <c r="M1083" s="46"/>
      <c r="N1083" s="46"/>
      <c r="O1083" s="46"/>
      <c r="P1083" s="46"/>
      <c r="Q1083" s="46"/>
      <c r="R1083" s="46"/>
      <c r="S1083" s="46"/>
      <c r="T1083" s="46"/>
      <c r="U1083" s="46"/>
      <c r="V1083" s="46"/>
      <c r="W1083" s="46"/>
      <c r="X1083" s="46"/>
      <c r="Y1083" s="46"/>
      <c r="Z1083" s="46"/>
      <c r="AA1083" s="46"/>
      <c r="AB1083" s="46"/>
      <c r="AC1083" s="46"/>
      <c r="AD1083" s="46"/>
      <c r="AE1083" s="46"/>
      <c r="AF1083" s="46"/>
      <c r="AG1083" s="46"/>
      <c r="AH1083" s="46"/>
      <c r="AI1083" s="46"/>
      <c r="AJ1083" s="46"/>
      <c r="AK1083" s="46"/>
      <c r="AL1083" s="46"/>
      <c r="AM1083" s="46"/>
      <c r="AN1083" s="46"/>
      <c r="AO1083" s="46"/>
      <c r="AP1083" s="46"/>
      <c r="AQ1083" s="46"/>
      <c r="AR1083" s="46"/>
      <c r="AS1083" s="46"/>
      <c r="AT1083" s="46"/>
      <c r="AU1083" s="46"/>
      <c r="AV1083" s="46"/>
      <c r="AW1083" s="46"/>
      <c r="AX1083" s="46"/>
      <c r="AY1083" s="46"/>
      <c r="AZ1083" s="46"/>
      <c r="BA1083" s="46"/>
      <c r="BB1083" s="46"/>
      <c r="BC1083" s="46"/>
      <c r="BD1083" s="46"/>
      <c r="BE1083" s="46"/>
    </row>
    <row r="1084" spans="1:57" ht="14.25" customHeight="1" x14ac:dyDescent="0.3">
      <c r="A1084" s="46"/>
      <c r="B1084" s="37"/>
      <c r="C1084" s="46"/>
      <c r="D1084" s="46"/>
      <c r="E1084" s="46"/>
      <c r="F1084" s="46"/>
      <c r="G1084" s="46"/>
      <c r="H1084" s="46"/>
      <c r="I1084" s="46"/>
      <c r="J1084" s="46"/>
      <c r="K1084" s="46"/>
      <c r="L1084" s="46"/>
      <c r="M1084" s="46"/>
      <c r="N1084" s="46"/>
      <c r="O1084" s="46"/>
      <c r="P1084" s="46"/>
      <c r="Q1084" s="46"/>
      <c r="R1084" s="46"/>
      <c r="S1084" s="46"/>
      <c r="T1084" s="46"/>
      <c r="U1084" s="46"/>
      <c r="V1084" s="46"/>
      <c r="W1084" s="46"/>
      <c r="X1084" s="46"/>
      <c r="Y1084" s="46"/>
      <c r="Z1084" s="46"/>
      <c r="AA1084" s="46"/>
      <c r="AB1084" s="46"/>
      <c r="AC1084" s="46"/>
      <c r="AD1084" s="46"/>
      <c r="AE1084" s="46"/>
      <c r="AF1084" s="46"/>
      <c r="AG1084" s="46"/>
      <c r="AH1084" s="46"/>
      <c r="AI1084" s="46"/>
      <c r="AJ1084" s="46"/>
      <c r="AK1084" s="46"/>
      <c r="AL1084" s="46"/>
      <c r="AM1084" s="46"/>
      <c r="AN1084" s="46"/>
      <c r="AO1084" s="46"/>
      <c r="AP1084" s="46"/>
      <c r="AQ1084" s="46"/>
      <c r="AR1084" s="46"/>
      <c r="AS1084" s="46"/>
      <c r="AT1084" s="46"/>
      <c r="AU1084" s="46"/>
      <c r="AV1084" s="46"/>
      <c r="AW1084" s="46"/>
      <c r="AX1084" s="46"/>
      <c r="AY1084" s="46"/>
      <c r="AZ1084" s="46"/>
      <c r="BA1084" s="46"/>
      <c r="BB1084" s="46"/>
      <c r="BC1084" s="46"/>
      <c r="BD1084" s="46"/>
      <c r="BE1084" s="46"/>
    </row>
    <row r="1085" spans="1:57" ht="14.25" customHeight="1" x14ac:dyDescent="0.3">
      <c r="A1085" s="46"/>
      <c r="B1085" s="37"/>
      <c r="C1085" s="46"/>
      <c r="D1085" s="46"/>
      <c r="E1085" s="46"/>
      <c r="F1085" s="46"/>
      <c r="G1085" s="46"/>
      <c r="H1085" s="46"/>
      <c r="I1085" s="46"/>
      <c r="J1085" s="46"/>
      <c r="K1085" s="46"/>
      <c r="L1085" s="46"/>
      <c r="M1085" s="46"/>
      <c r="N1085" s="46"/>
      <c r="O1085" s="46"/>
      <c r="P1085" s="46"/>
      <c r="Q1085" s="46"/>
      <c r="R1085" s="46"/>
      <c r="S1085" s="46"/>
      <c r="T1085" s="46"/>
      <c r="U1085" s="46"/>
      <c r="V1085" s="46"/>
      <c r="W1085" s="46"/>
      <c r="X1085" s="46"/>
      <c r="Y1085" s="46"/>
      <c r="Z1085" s="46"/>
      <c r="AA1085" s="46"/>
      <c r="AB1085" s="46"/>
      <c r="AC1085" s="46"/>
      <c r="AD1085" s="46"/>
      <c r="AE1085" s="46"/>
      <c r="AF1085" s="46"/>
      <c r="AG1085" s="46"/>
      <c r="AH1085" s="46"/>
      <c r="AI1085" s="46"/>
      <c r="AJ1085" s="46"/>
      <c r="AK1085" s="46"/>
      <c r="AL1085" s="46"/>
      <c r="AM1085" s="46"/>
      <c r="AN1085" s="46"/>
      <c r="AO1085" s="46"/>
      <c r="AP1085" s="46"/>
      <c r="AQ1085" s="46"/>
      <c r="AR1085" s="46"/>
      <c r="AS1085" s="46"/>
      <c r="AT1085" s="46"/>
      <c r="AU1085" s="46"/>
      <c r="AV1085" s="46"/>
      <c r="AW1085" s="46"/>
      <c r="AX1085" s="46"/>
      <c r="AY1085" s="46"/>
      <c r="AZ1085" s="46"/>
      <c r="BA1085" s="46"/>
      <c r="BB1085" s="46"/>
      <c r="BC1085" s="46"/>
      <c r="BD1085" s="46"/>
      <c r="BE1085" s="46"/>
    </row>
    <row r="1086" spans="1:57" ht="14.25" customHeight="1" x14ac:dyDescent="0.3">
      <c r="A1086" s="46"/>
      <c r="B1086" s="37"/>
      <c r="C1086" s="46"/>
      <c r="D1086" s="46"/>
      <c r="E1086" s="46"/>
      <c r="F1086" s="46"/>
      <c r="G1086" s="46"/>
      <c r="H1086" s="46"/>
      <c r="I1086" s="46"/>
      <c r="J1086" s="46"/>
      <c r="K1086" s="46"/>
      <c r="L1086" s="46"/>
      <c r="M1086" s="46"/>
      <c r="N1086" s="46"/>
      <c r="O1086" s="46"/>
      <c r="P1086" s="46"/>
      <c r="Q1086" s="46"/>
      <c r="R1086" s="46"/>
      <c r="S1086" s="46"/>
      <c r="T1086" s="46"/>
      <c r="U1086" s="46"/>
      <c r="V1086" s="46"/>
      <c r="W1086" s="46"/>
      <c r="X1086" s="46"/>
      <c r="Y1086" s="46"/>
      <c r="Z1086" s="46"/>
      <c r="AA1086" s="46"/>
      <c r="AB1086" s="46"/>
      <c r="AC1086" s="46"/>
      <c r="AD1086" s="46"/>
      <c r="AE1086" s="46"/>
      <c r="AF1086" s="46"/>
      <c r="AG1086" s="46"/>
      <c r="AH1086" s="46"/>
      <c r="AI1086" s="46"/>
      <c r="AJ1086" s="46"/>
      <c r="AK1086" s="46"/>
      <c r="AL1086" s="46"/>
      <c r="AM1086" s="46"/>
      <c r="AN1086" s="46"/>
      <c r="AO1086" s="46"/>
      <c r="AP1086" s="46"/>
      <c r="AQ1086" s="46"/>
      <c r="AR1086" s="46"/>
      <c r="AS1086" s="46"/>
      <c r="AT1086" s="46"/>
      <c r="AU1086" s="46"/>
      <c r="AV1086" s="46"/>
      <c r="AW1086" s="46"/>
      <c r="AX1086" s="46"/>
      <c r="AY1086" s="46"/>
      <c r="AZ1086" s="46"/>
      <c r="BA1086" s="46"/>
      <c r="BB1086" s="46"/>
      <c r="BC1086" s="46"/>
      <c r="BD1086" s="46"/>
      <c r="BE1086" s="46"/>
    </row>
    <row r="1087" spans="1:57" ht="14.25" customHeight="1" x14ac:dyDescent="0.3">
      <c r="A1087" s="46"/>
      <c r="B1087" s="37"/>
      <c r="C1087" s="46"/>
      <c r="D1087" s="46"/>
      <c r="E1087" s="46"/>
      <c r="F1087" s="46"/>
      <c r="G1087" s="46"/>
      <c r="H1087" s="46"/>
      <c r="I1087" s="46"/>
      <c r="J1087" s="46"/>
      <c r="K1087" s="46"/>
      <c r="L1087" s="46"/>
      <c r="M1087" s="46"/>
      <c r="N1087" s="46"/>
      <c r="O1087" s="46"/>
      <c r="P1087" s="46"/>
      <c r="Q1087" s="46"/>
      <c r="R1087" s="46"/>
      <c r="S1087" s="46"/>
      <c r="T1087" s="46"/>
      <c r="U1087" s="46"/>
      <c r="V1087" s="46"/>
      <c r="W1087" s="46"/>
      <c r="X1087" s="46"/>
      <c r="Y1087" s="46"/>
      <c r="Z1087" s="46"/>
      <c r="AA1087" s="46"/>
      <c r="AB1087" s="46"/>
      <c r="AC1087" s="46"/>
      <c r="AD1087" s="46"/>
      <c r="AE1087" s="46"/>
      <c r="AF1087" s="46"/>
      <c r="AG1087" s="46"/>
      <c r="AH1087" s="46"/>
      <c r="AI1087" s="46"/>
      <c r="AJ1087" s="46"/>
      <c r="AK1087" s="46"/>
      <c r="AL1087" s="46"/>
      <c r="AM1087" s="46"/>
      <c r="AN1087" s="46"/>
      <c r="AO1087" s="46"/>
      <c r="AP1087" s="46"/>
      <c r="AQ1087" s="46"/>
      <c r="AR1087" s="46"/>
      <c r="AS1087" s="46"/>
      <c r="AT1087" s="46"/>
      <c r="AU1087" s="46"/>
      <c r="AV1087" s="46"/>
      <c r="AW1087" s="46"/>
      <c r="AX1087" s="46"/>
      <c r="AY1087" s="46"/>
      <c r="AZ1087" s="46"/>
      <c r="BA1087" s="46"/>
      <c r="BB1087" s="46"/>
      <c r="BC1087" s="46"/>
      <c r="BD1087" s="46"/>
      <c r="BE1087" s="46"/>
    </row>
    <row r="1088" spans="1:57" ht="14.25" customHeight="1" x14ac:dyDescent="0.3">
      <c r="A1088" s="46"/>
      <c r="B1088" s="37"/>
      <c r="C1088" s="46"/>
      <c r="D1088" s="46"/>
      <c r="E1088" s="46"/>
      <c r="F1088" s="46"/>
      <c r="G1088" s="46"/>
      <c r="H1088" s="46"/>
      <c r="I1088" s="46"/>
      <c r="J1088" s="46"/>
      <c r="K1088" s="46"/>
      <c r="L1088" s="46"/>
      <c r="M1088" s="46"/>
      <c r="N1088" s="46"/>
      <c r="O1088" s="46"/>
      <c r="P1088" s="46"/>
      <c r="Q1088" s="46"/>
      <c r="R1088" s="46"/>
      <c r="S1088" s="46"/>
      <c r="T1088" s="46"/>
      <c r="U1088" s="46"/>
      <c r="V1088" s="46"/>
      <c r="W1088" s="46"/>
      <c r="X1088" s="46"/>
      <c r="Y1088" s="46"/>
      <c r="Z1088" s="46"/>
      <c r="AA1088" s="46"/>
      <c r="AB1088" s="46"/>
      <c r="AC1088" s="46"/>
      <c r="AD1088" s="46"/>
      <c r="AE1088" s="46"/>
      <c r="AF1088" s="46"/>
      <c r="AG1088" s="46"/>
      <c r="AH1088" s="46"/>
      <c r="AI1088" s="46"/>
      <c r="AJ1088" s="46"/>
      <c r="AK1088" s="46"/>
      <c r="AL1088" s="46"/>
      <c r="AM1088" s="46"/>
      <c r="AN1088" s="46"/>
      <c r="AO1088" s="46"/>
      <c r="AP1088" s="46"/>
      <c r="AQ1088" s="46"/>
      <c r="AR1088" s="46"/>
      <c r="AS1088" s="46"/>
      <c r="AT1088" s="46"/>
      <c r="AU1088" s="46"/>
      <c r="AV1088" s="46"/>
      <c r="AW1088" s="46"/>
      <c r="AX1088" s="46"/>
      <c r="AY1088" s="46"/>
      <c r="AZ1088" s="46"/>
      <c r="BA1088" s="46"/>
      <c r="BB1088" s="46"/>
      <c r="BC1088" s="46"/>
      <c r="BD1088" s="46"/>
      <c r="BE1088" s="46"/>
    </row>
    <row r="1089" spans="1:57" ht="14.25" customHeight="1" x14ac:dyDescent="0.3">
      <c r="A1089" s="46"/>
      <c r="B1089" s="37"/>
      <c r="C1089" s="46"/>
      <c r="D1089" s="46"/>
      <c r="E1089" s="46"/>
      <c r="F1089" s="46"/>
      <c r="G1089" s="46"/>
      <c r="H1089" s="46"/>
      <c r="I1089" s="46"/>
      <c r="J1089" s="46"/>
      <c r="K1089" s="46"/>
      <c r="L1089" s="46"/>
      <c r="M1089" s="46"/>
      <c r="N1089" s="46"/>
      <c r="O1089" s="46"/>
      <c r="P1089" s="46"/>
      <c r="Q1089" s="46"/>
      <c r="R1089" s="46"/>
      <c r="S1089" s="46"/>
      <c r="T1089" s="46"/>
      <c r="U1089" s="46"/>
      <c r="V1089" s="46"/>
      <c r="W1089" s="46"/>
      <c r="X1089" s="46"/>
      <c r="Y1089" s="46"/>
      <c r="Z1089" s="46"/>
      <c r="AA1089" s="46"/>
      <c r="AB1089" s="46"/>
      <c r="AC1089" s="46"/>
      <c r="AD1089" s="46"/>
      <c r="AE1089" s="46"/>
      <c r="AF1089" s="46"/>
      <c r="AG1089" s="46"/>
      <c r="AH1089" s="46"/>
      <c r="AI1089" s="46"/>
      <c r="AJ1089" s="46"/>
      <c r="AK1089" s="46"/>
      <c r="AL1089" s="46"/>
      <c r="AM1089" s="46"/>
      <c r="AN1089" s="46"/>
      <c r="AO1089" s="46"/>
      <c r="AP1089" s="46"/>
      <c r="AQ1089" s="46"/>
      <c r="AR1089" s="46"/>
      <c r="AS1089" s="46"/>
      <c r="AT1089" s="46"/>
      <c r="AU1089" s="46"/>
      <c r="AV1089" s="46"/>
      <c r="AW1089" s="46"/>
      <c r="AX1089" s="46"/>
      <c r="AY1089" s="46"/>
      <c r="AZ1089" s="46"/>
      <c r="BA1089" s="46"/>
      <c r="BB1089" s="46"/>
      <c r="BC1089" s="46"/>
      <c r="BD1089" s="46"/>
      <c r="BE1089" s="46"/>
    </row>
    <row r="1090" spans="1:57" ht="14.25" customHeight="1" x14ac:dyDescent="0.3">
      <c r="A1090" s="46"/>
      <c r="B1090" s="37"/>
      <c r="C1090" s="46"/>
      <c r="D1090" s="46"/>
      <c r="E1090" s="46"/>
      <c r="F1090" s="46"/>
      <c r="G1090" s="46"/>
      <c r="H1090" s="46"/>
      <c r="I1090" s="46"/>
      <c r="J1090" s="46"/>
      <c r="K1090" s="46"/>
      <c r="L1090" s="46"/>
      <c r="M1090" s="46"/>
      <c r="N1090" s="46"/>
      <c r="O1090" s="46"/>
      <c r="P1090" s="46"/>
      <c r="Q1090" s="46"/>
      <c r="R1090" s="46"/>
      <c r="S1090" s="46"/>
      <c r="T1090" s="46"/>
      <c r="U1090" s="46"/>
      <c r="V1090" s="46"/>
      <c r="W1090" s="46"/>
      <c r="X1090" s="46"/>
      <c r="Y1090" s="46"/>
      <c r="Z1090" s="46"/>
      <c r="AA1090" s="46"/>
      <c r="AB1090" s="46"/>
      <c r="AC1090" s="46"/>
      <c r="AD1090" s="46"/>
      <c r="AE1090" s="46"/>
      <c r="AF1090" s="46"/>
      <c r="AG1090" s="46"/>
      <c r="AH1090" s="46"/>
      <c r="AI1090" s="46"/>
      <c r="AJ1090" s="46"/>
      <c r="AK1090" s="46"/>
      <c r="AL1090" s="46"/>
      <c r="AM1090" s="46"/>
      <c r="AN1090" s="46"/>
      <c r="AO1090" s="46"/>
      <c r="AP1090" s="46"/>
      <c r="AQ1090" s="46"/>
      <c r="AR1090" s="46"/>
      <c r="AS1090" s="46"/>
      <c r="AT1090" s="46"/>
      <c r="AU1090" s="46"/>
      <c r="AV1090" s="46"/>
      <c r="AW1090" s="46"/>
      <c r="AX1090" s="46"/>
      <c r="AY1090" s="46"/>
      <c r="AZ1090" s="46"/>
      <c r="BA1090" s="46"/>
      <c r="BB1090" s="46"/>
      <c r="BC1090" s="46"/>
      <c r="BD1090" s="46"/>
      <c r="BE1090" s="46"/>
    </row>
    <row r="1091" spans="1:57" ht="14.25" customHeight="1" x14ac:dyDescent="0.3">
      <c r="A1091" s="46"/>
      <c r="B1091" s="37"/>
      <c r="C1091" s="46"/>
      <c r="D1091" s="46"/>
      <c r="E1091" s="46"/>
      <c r="F1091" s="46"/>
      <c r="G1091" s="46"/>
      <c r="H1091" s="46"/>
      <c r="I1091" s="46"/>
      <c r="J1091" s="46"/>
      <c r="K1091" s="46"/>
      <c r="L1091" s="46"/>
      <c r="M1091" s="46"/>
      <c r="N1091" s="46"/>
      <c r="O1091" s="46"/>
      <c r="P1091" s="46"/>
      <c r="Q1091" s="46"/>
      <c r="R1091" s="46"/>
      <c r="S1091" s="46"/>
      <c r="T1091" s="46"/>
      <c r="U1091" s="46"/>
      <c r="V1091" s="46"/>
      <c r="W1091" s="46"/>
      <c r="X1091" s="46"/>
      <c r="Y1091" s="46"/>
      <c r="Z1091" s="46"/>
      <c r="AA1091" s="46"/>
      <c r="AB1091" s="46"/>
      <c r="AC1091" s="46"/>
      <c r="AD1091" s="46"/>
      <c r="AE1091" s="46"/>
      <c r="AF1091" s="46"/>
      <c r="AG1091" s="46"/>
      <c r="AH1091" s="46"/>
      <c r="AI1091" s="46"/>
      <c r="AJ1091" s="46"/>
      <c r="AK1091" s="46"/>
      <c r="AL1091" s="46"/>
      <c r="AM1091" s="46"/>
      <c r="AN1091" s="46"/>
      <c r="AO1091" s="46"/>
      <c r="AP1091" s="46"/>
      <c r="AQ1091" s="46"/>
      <c r="AR1091" s="46"/>
      <c r="AS1091" s="46"/>
      <c r="AT1091" s="46"/>
      <c r="AU1091" s="46"/>
      <c r="AV1091" s="46"/>
      <c r="AW1091" s="46"/>
      <c r="AX1091" s="46"/>
      <c r="AY1091" s="46"/>
      <c r="AZ1091" s="46"/>
      <c r="BA1091" s="46"/>
      <c r="BB1091" s="46"/>
      <c r="BC1091" s="46"/>
      <c r="BD1091" s="46"/>
      <c r="BE1091" s="46"/>
    </row>
    <row r="1092" spans="1:57" ht="14.25" customHeight="1" x14ac:dyDescent="0.3">
      <c r="A1092" s="46"/>
      <c r="B1092" s="37"/>
      <c r="C1092" s="46"/>
      <c r="D1092" s="46"/>
      <c r="E1092" s="46"/>
      <c r="F1092" s="46"/>
      <c r="G1092" s="46"/>
      <c r="H1092" s="46"/>
      <c r="I1092" s="46"/>
      <c r="J1092" s="46"/>
      <c r="K1092" s="46"/>
      <c r="L1092" s="46"/>
      <c r="M1092" s="46"/>
      <c r="N1092" s="46"/>
      <c r="O1092" s="46"/>
      <c r="P1092" s="46"/>
      <c r="Q1092" s="46"/>
      <c r="R1092" s="46"/>
      <c r="S1092" s="46"/>
      <c r="T1092" s="46"/>
      <c r="U1092" s="46"/>
      <c r="V1092" s="46"/>
      <c r="W1092" s="46"/>
      <c r="X1092" s="46"/>
      <c r="Y1092" s="46"/>
      <c r="Z1092" s="46"/>
      <c r="AA1092" s="46"/>
      <c r="AB1092" s="46"/>
      <c r="AC1092" s="46"/>
      <c r="AD1092" s="46"/>
      <c r="AE1092" s="46"/>
      <c r="AF1092" s="46"/>
      <c r="AG1092" s="46"/>
      <c r="AH1092" s="46"/>
      <c r="AI1092" s="46"/>
      <c r="AJ1092" s="46"/>
      <c r="AK1092" s="46"/>
      <c r="AL1092" s="46"/>
      <c r="AM1092" s="46"/>
      <c r="AN1092" s="46"/>
      <c r="AO1092" s="46"/>
      <c r="AP1092" s="46"/>
      <c r="AQ1092" s="46"/>
      <c r="AR1092" s="46"/>
      <c r="AS1092" s="46"/>
      <c r="AT1092" s="46"/>
      <c r="AU1092" s="46"/>
      <c r="AV1092" s="46"/>
      <c r="AW1092" s="46"/>
      <c r="AX1092" s="46"/>
      <c r="AY1092" s="46"/>
      <c r="AZ1092" s="46"/>
      <c r="BA1092" s="46"/>
      <c r="BB1092" s="46"/>
      <c r="BC1092" s="46"/>
      <c r="BD1092" s="46"/>
      <c r="BE1092" s="46"/>
    </row>
    <row r="1093" spans="1:57" ht="14.25" customHeight="1" x14ac:dyDescent="0.3">
      <c r="A1093" s="46"/>
      <c r="B1093" s="37"/>
      <c r="D1093" s="46"/>
      <c r="E1093" s="46"/>
      <c r="F1093" s="46"/>
      <c r="G1093" s="46"/>
      <c r="H1093" s="46"/>
      <c r="I1093" s="46"/>
      <c r="J1093" s="46"/>
      <c r="K1093" s="46"/>
      <c r="L1093" s="46"/>
      <c r="M1093" s="46"/>
      <c r="N1093" s="46"/>
      <c r="O1093" s="46"/>
      <c r="P1093" s="46"/>
      <c r="Q1093" s="46"/>
      <c r="R1093" s="46"/>
      <c r="S1093" s="46"/>
      <c r="T1093" s="46"/>
      <c r="U1093" s="46"/>
      <c r="V1093" s="46"/>
      <c r="W1093" s="46"/>
      <c r="X1093" s="46"/>
      <c r="Y1093" s="46"/>
      <c r="Z1093" s="46"/>
      <c r="AA1093" s="46"/>
      <c r="AB1093" s="46"/>
      <c r="AC1093" s="46"/>
      <c r="AD1093" s="46"/>
      <c r="AE1093" s="46"/>
      <c r="AF1093" s="46"/>
      <c r="AG1093" s="46"/>
      <c r="AH1093" s="46"/>
      <c r="AI1093" s="46"/>
      <c r="AJ1093" s="46"/>
      <c r="AK1093" s="46"/>
      <c r="AL1093" s="46"/>
      <c r="AM1093" s="46"/>
      <c r="AN1093" s="46"/>
      <c r="AO1093" s="46"/>
      <c r="AP1093" s="46"/>
      <c r="AQ1093" s="46"/>
      <c r="AR1093" s="46"/>
      <c r="AS1093" s="46"/>
      <c r="AT1093" s="46"/>
      <c r="AU1093" s="46"/>
      <c r="AV1093" s="46"/>
      <c r="AW1093" s="46"/>
      <c r="AX1093" s="46"/>
      <c r="AY1093" s="46"/>
      <c r="AZ1093" s="46"/>
      <c r="BA1093" s="46"/>
      <c r="BB1093" s="46"/>
      <c r="BC1093" s="46"/>
      <c r="BD1093" s="46"/>
      <c r="BE1093" s="46"/>
    </row>
  </sheetData>
  <conditionalFormatting sqref="I361:BD361">
    <cfRule type="cellIs" dxfId="3" priority="1" operator="lessThan">
      <formula>0</formula>
    </cfRule>
  </conditionalFormatting>
  <pageMargins left="0.7" right="0.7" top="0.75" bottom="0.75" header="0.511811023622047" footer="0.511811023622047"/>
  <pageSetup orientation="portrait" horizontalDpi="300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1596F-8A78-4E09-9D3F-EBC816FED3DE}">
  <dimension ref="A1:P69"/>
  <sheetViews>
    <sheetView showGridLines="0" zoomScaleNormal="100" workbookViewId="0">
      <selection activeCell="I13" sqref="I13"/>
    </sheetView>
  </sheetViews>
  <sheetFormatPr defaultRowHeight="11.4" x14ac:dyDescent="0.2"/>
  <cols>
    <col min="1" max="1" width="44.375" style="121" customWidth="1"/>
    <col min="2" max="2" width="10.625" style="121" customWidth="1"/>
    <col min="3" max="3" width="12.5" style="121" customWidth="1"/>
    <col min="4" max="4" width="10.625" style="121" customWidth="1"/>
    <col min="5" max="6" width="14.125" style="121" customWidth="1"/>
    <col min="7" max="10" width="9" style="121"/>
    <col min="11" max="11" width="50.875" style="121" bestFit="1" customWidth="1"/>
    <col min="12" max="12" width="9" style="121"/>
    <col min="13" max="13" width="13.25" style="121" customWidth="1"/>
    <col min="14" max="14" width="12.75" style="121" customWidth="1"/>
    <col min="15" max="15" width="10.75" style="121" customWidth="1"/>
    <col min="16" max="16384" width="9" style="121"/>
  </cols>
  <sheetData>
    <row r="1" spans="1:16" s="134" customFormat="1" ht="16.649999999999999" customHeight="1" x14ac:dyDescent="0.3">
      <c r="A1" s="135" t="s">
        <v>251</v>
      </c>
      <c r="B1" s="135"/>
      <c r="C1" s="135"/>
      <c r="D1" s="135"/>
      <c r="E1" s="135"/>
      <c r="F1" s="135"/>
      <c r="K1" s="154" t="s">
        <v>438</v>
      </c>
      <c r="L1" s="154"/>
      <c r="M1" s="154"/>
      <c r="N1" s="154"/>
      <c r="O1" s="154"/>
      <c r="P1" s="121"/>
    </row>
    <row r="2" spans="1:16" s="132" customFormat="1" ht="14.4" customHeight="1" x14ac:dyDescent="0.25">
      <c r="A2" s="133" t="s">
        <v>417</v>
      </c>
      <c r="B2" s="133"/>
      <c r="C2" s="133"/>
      <c r="D2" s="133"/>
      <c r="E2" s="133"/>
      <c r="F2" s="133"/>
      <c r="K2" s="155" t="s">
        <v>417</v>
      </c>
      <c r="L2" s="155"/>
      <c r="M2" s="155"/>
      <c r="N2" s="155"/>
      <c r="O2" s="155"/>
      <c r="P2" s="121"/>
    </row>
    <row r="3" spans="1:16" s="132" customFormat="1" ht="14.4" customHeight="1" x14ac:dyDescent="0.25">
      <c r="A3" s="133" t="s">
        <v>435</v>
      </c>
      <c r="B3" s="133"/>
      <c r="C3" s="133"/>
      <c r="D3" s="133"/>
      <c r="E3" s="133"/>
      <c r="F3" s="133"/>
      <c r="K3" s="155" t="s">
        <v>439</v>
      </c>
      <c r="L3" s="155"/>
      <c r="M3" s="155"/>
      <c r="N3" s="155"/>
      <c r="O3" s="155"/>
      <c r="P3" s="121"/>
    </row>
    <row r="4" spans="1:16" ht="13.35" customHeight="1" x14ac:dyDescent="0.2">
      <c r="K4" s="75"/>
      <c r="L4" s="75"/>
      <c r="M4" s="75"/>
      <c r="N4" s="75"/>
      <c r="O4" s="75"/>
    </row>
    <row r="5" spans="1:16" s="128" customFormat="1" ht="26.4" customHeight="1" x14ac:dyDescent="0.25">
      <c r="A5" s="140" t="s">
        <v>7</v>
      </c>
      <c r="B5" s="140" t="s">
        <v>436</v>
      </c>
      <c r="C5" s="140" t="s">
        <v>437</v>
      </c>
      <c r="D5" s="140"/>
      <c r="E5" s="140" t="s">
        <v>198</v>
      </c>
      <c r="F5" s="140" t="s">
        <v>433</v>
      </c>
      <c r="K5" s="169" t="s">
        <v>421</v>
      </c>
      <c r="L5" s="169" t="s">
        <v>422</v>
      </c>
      <c r="M5" s="169" t="s">
        <v>423</v>
      </c>
      <c r="N5" s="169" t="s">
        <v>424</v>
      </c>
      <c r="O5" s="169" t="s">
        <v>425</v>
      </c>
      <c r="P5" s="121"/>
    </row>
    <row r="6" spans="1:16" ht="13.35" customHeight="1" thickBot="1" x14ac:dyDescent="0.25">
      <c r="K6" s="157"/>
      <c r="L6" s="157"/>
      <c r="M6" s="157"/>
      <c r="N6" s="157"/>
      <c r="O6" s="157"/>
    </row>
    <row r="7" spans="1:16" s="128" customFormat="1" ht="12.15" customHeight="1" x14ac:dyDescent="0.25">
      <c r="A7" s="129" t="s">
        <v>416</v>
      </c>
      <c r="B7" s="129"/>
      <c r="C7" s="129"/>
      <c r="D7" s="129"/>
      <c r="E7" s="129"/>
      <c r="F7" s="129"/>
      <c r="K7" s="173" t="s">
        <v>440</v>
      </c>
      <c r="L7" s="174">
        <v>510</v>
      </c>
      <c r="M7" s="175">
        <v>1</v>
      </c>
      <c r="N7" s="174">
        <v>500</v>
      </c>
      <c r="O7" s="176">
        <f t="shared" ref="O7:O18" si="0">IF(ISERROR(N7/M7),"",N7/M7)</f>
        <v>500</v>
      </c>
      <c r="P7" s="121"/>
    </row>
    <row r="8" spans="1:16" ht="10.95" customHeight="1" x14ac:dyDescent="0.25">
      <c r="A8" s="127" t="s">
        <v>10</v>
      </c>
      <c r="B8" s="126">
        <v>87974</v>
      </c>
      <c r="C8" s="126">
        <f>'UK V4'!W260</f>
        <v>136170.11489413475</v>
      </c>
      <c r="D8" s="126"/>
      <c r="E8" s="126">
        <v>492815</v>
      </c>
      <c r="F8" s="126">
        <f>SUM('UK V4'!O260:W260)</f>
        <v>753524.19416491594</v>
      </c>
      <c r="K8" s="159" t="s">
        <v>441</v>
      </c>
      <c r="L8" s="160">
        <v>195</v>
      </c>
      <c r="M8" s="161">
        <v>17</v>
      </c>
      <c r="N8" s="160">
        <v>3315</v>
      </c>
      <c r="O8" s="162">
        <f t="shared" si="0"/>
        <v>195</v>
      </c>
      <c r="P8" s="128"/>
    </row>
    <row r="9" spans="1:16" ht="10.95" customHeight="1" x14ac:dyDescent="0.2">
      <c r="A9" s="131" t="s">
        <v>415</v>
      </c>
      <c r="B9" s="130">
        <v>3711</v>
      </c>
      <c r="C9" s="130"/>
      <c r="D9" s="130"/>
      <c r="E9" s="130">
        <v>5250</v>
      </c>
      <c r="F9" s="130"/>
      <c r="K9" s="159" t="s">
        <v>442</v>
      </c>
      <c r="L9" s="160">
        <v>375</v>
      </c>
      <c r="M9" s="161">
        <v>27</v>
      </c>
      <c r="N9" s="160">
        <v>9750</v>
      </c>
      <c r="O9" s="162">
        <f t="shared" si="0"/>
        <v>361.11111111111109</v>
      </c>
    </row>
    <row r="10" spans="1:16" ht="10.95" customHeight="1" x14ac:dyDescent="0.2">
      <c r="A10" s="131" t="s">
        <v>414</v>
      </c>
      <c r="B10" s="130">
        <v>210</v>
      </c>
      <c r="C10" s="130"/>
      <c r="D10" s="130"/>
      <c r="E10" s="130">
        <v>180625</v>
      </c>
      <c r="F10" s="130"/>
      <c r="K10" s="159" t="s">
        <v>443</v>
      </c>
      <c r="L10" s="160">
        <v>100</v>
      </c>
      <c r="M10" s="161">
        <v>40</v>
      </c>
      <c r="N10" s="160">
        <v>4000</v>
      </c>
      <c r="O10" s="162">
        <f t="shared" si="0"/>
        <v>100</v>
      </c>
    </row>
    <row r="11" spans="1:16" ht="10.95" customHeight="1" x14ac:dyDescent="0.2">
      <c r="A11" s="125" t="s">
        <v>413</v>
      </c>
      <c r="B11" s="124">
        <f>SUM(B8:B10)</f>
        <v>91895</v>
      </c>
      <c r="C11" s="124">
        <f>SUM(C8:C10)</f>
        <v>136170.11489413475</v>
      </c>
      <c r="D11" s="124"/>
      <c r="E11" s="124">
        <f>SUM(E8:E10)</f>
        <v>678690</v>
      </c>
      <c r="F11" s="124">
        <f>SUM(F8:F10)</f>
        <v>753524.19416491594</v>
      </c>
      <c r="K11" s="159" t="s">
        <v>444</v>
      </c>
      <c r="L11" s="160">
        <v>200</v>
      </c>
      <c r="M11" s="161">
        <v>22</v>
      </c>
      <c r="N11" s="160">
        <v>4400</v>
      </c>
      <c r="O11" s="162">
        <f t="shared" si="0"/>
        <v>200</v>
      </c>
    </row>
    <row r="12" spans="1:16" ht="13.35" customHeight="1" x14ac:dyDescent="0.2">
      <c r="K12" s="159" t="s">
        <v>445</v>
      </c>
      <c r="L12" s="160">
        <v>125</v>
      </c>
      <c r="M12" s="161">
        <v>70</v>
      </c>
      <c r="N12" s="160">
        <v>8375</v>
      </c>
      <c r="O12" s="162">
        <f t="shared" si="0"/>
        <v>119.64285714285714</v>
      </c>
    </row>
    <row r="13" spans="1:16" s="128" customFormat="1" ht="12.15" customHeight="1" x14ac:dyDescent="0.25">
      <c r="A13" s="129" t="s">
        <v>12</v>
      </c>
      <c r="B13" s="129"/>
      <c r="C13" s="129"/>
      <c r="D13" s="129"/>
      <c r="E13" s="129"/>
      <c r="F13" s="129"/>
      <c r="J13" s="121"/>
      <c r="K13" s="159" t="s">
        <v>446</v>
      </c>
      <c r="L13" s="160">
        <v>300</v>
      </c>
      <c r="M13" s="161">
        <v>22</v>
      </c>
      <c r="N13" s="160">
        <v>5400</v>
      </c>
      <c r="O13" s="162">
        <f t="shared" si="0"/>
        <v>245.45454545454547</v>
      </c>
      <c r="P13" s="121"/>
    </row>
    <row r="14" spans="1:16" ht="10.95" customHeight="1" x14ac:dyDescent="0.2">
      <c r="A14" s="127" t="s">
        <v>13</v>
      </c>
      <c r="B14" s="126">
        <v>7302</v>
      </c>
      <c r="C14" s="126">
        <f>-SUM('UK V4'!W262:W268)</f>
        <v>16976.09061425781</v>
      </c>
      <c r="D14" s="126"/>
      <c r="E14" s="126">
        <v>68706</v>
      </c>
      <c r="F14" s="126">
        <f>-SUM('UK V4'!O262:W268)</f>
        <v>102454.2752470703</v>
      </c>
      <c r="K14" s="159" t="s">
        <v>447</v>
      </c>
      <c r="L14" s="160">
        <v>450</v>
      </c>
      <c r="M14" s="161">
        <v>59</v>
      </c>
      <c r="N14" s="160">
        <v>24970</v>
      </c>
      <c r="O14" s="162">
        <f t="shared" si="0"/>
        <v>423.22033898305085</v>
      </c>
    </row>
    <row r="15" spans="1:16" ht="10.95" customHeight="1" x14ac:dyDescent="0.2">
      <c r="A15" s="131" t="s">
        <v>412</v>
      </c>
      <c r="B15" s="130">
        <v>0</v>
      </c>
      <c r="C15" s="130"/>
      <c r="D15" s="130"/>
      <c r="E15" s="130">
        <v>1250</v>
      </c>
      <c r="F15" s="130"/>
      <c r="K15" s="159" t="s">
        <v>448</v>
      </c>
      <c r="L15" s="160">
        <v>69</v>
      </c>
      <c r="M15" s="161">
        <v>1</v>
      </c>
      <c r="N15" s="160">
        <v>69</v>
      </c>
      <c r="O15" s="162">
        <f t="shared" si="0"/>
        <v>69</v>
      </c>
    </row>
    <row r="16" spans="1:16" ht="10.95" customHeight="1" x14ac:dyDescent="0.25">
      <c r="A16" s="131" t="s">
        <v>411</v>
      </c>
      <c r="B16" s="130">
        <v>2557</v>
      </c>
      <c r="C16" s="130"/>
      <c r="D16" s="130"/>
      <c r="E16" s="130">
        <v>176565</v>
      </c>
      <c r="F16" s="130"/>
      <c r="J16" s="128"/>
      <c r="K16" s="159" t="s">
        <v>449</v>
      </c>
      <c r="L16" s="160"/>
      <c r="M16" s="161"/>
      <c r="N16" s="160">
        <v>3711.48</v>
      </c>
      <c r="O16" s="162"/>
    </row>
    <row r="17" spans="1:16" ht="10.95" customHeight="1" x14ac:dyDescent="0.25">
      <c r="A17" s="125" t="s">
        <v>14</v>
      </c>
      <c r="B17" s="124">
        <f>SUM(B14:B16)</f>
        <v>9859</v>
      </c>
      <c r="C17" s="124">
        <f>SUM(C14:C16)</f>
        <v>16976.09061425781</v>
      </c>
      <c r="D17" s="124"/>
      <c r="E17" s="124">
        <f>SUM(E14:E16)</f>
        <v>246521</v>
      </c>
      <c r="F17" s="124">
        <f>SUM(F14:F16)</f>
        <v>102454.2752470703</v>
      </c>
      <c r="K17" s="159" t="s">
        <v>450</v>
      </c>
      <c r="L17" s="160">
        <v>50</v>
      </c>
      <c r="M17" s="161">
        <v>3</v>
      </c>
      <c r="N17" s="160">
        <v>150</v>
      </c>
      <c r="O17" s="162">
        <f t="shared" si="0"/>
        <v>50</v>
      </c>
      <c r="P17" s="128"/>
    </row>
    <row r="18" spans="1:16" ht="13.35" customHeight="1" x14ac:dyDescent="0.2">
      <c r="K18" s="177" t="s">
        <v>424</v>
      </c>
      <c r="L18" s="170"/>
      <c r="M18" s="171">
        <f>SUM(M7:M17)</f>
        <v>262</v>
      </c>
      <c r="N18" s="172">
        <f>SUM(N7:N17)</f>
        <v>64640.480000000003</v>
      </c>
      <c r="O18" s="178">
        <f t="shared" si="0"/>
        <v>246.71938931297711</v>
      </c>
    </row>
    <row r="19" spans="1:16" ht="10.95" customHeight="1" x14ac:dyDescent="0.2">
      <c r="A19" s="123" t="s">
        <v>15</v>
      </c>
      <c r="B19" s="122">
        <f>(B11 - B17)</f>
        <v>82036</v>
      </c>
      <c r="C19" s="122">
        <f>(C11 - C17)</f>
        <v>119194.02427987693</v>
      </c>
      <c r="D19" s="122"/>
      <c r="E19" s="122">
        <f>(E11 - E17)</f>
        <v>432169</v>
      </c>
      <c r="F19" s="122">
        <f>(F11 - F17)</f>
        <v>651069.9189178457</v>
      </c>
      <c r="K19" s="156"/>
      <c r="L19" s="157"/>
      <c r="M19" s="157"/>
      <c r="N19" s="157"/>
      <c r="O19" s="158"/>
    </row>
    <row r="20" spans="1:16" ht="13.35" customHeight="1" x14ac:dyDescent="0.2">
      <c r="K20" s="163" t="s">
        <v>426</v>
      </c>
      <c r="L20" s="157"/>
      <c r="M20" s="157"/>
      <c r="N20" s="157"/>
      <c r="O20" s="158"/>
    </row>
    <row r="21" spans="1:16" ht="13.35" customHeight="1" x14ac:dyDescent="0.2">
      <c r="K21" s="159" t="s">
        <v>427</v>
      </c>
      <c r="L21" s="160"/>
      <c r="M21" s="161"/>
      <c r="N21" s="160">
        <f>N18</f>
        <v>64640.480000000003</v>
      </c>
      <c r="O21" s="162"/>
    </row>
    <row r="22" spans="1:16" ht="13.35" customHeight="1" x14ac:dyDescent="0.2">
      <c r="A22" s="121" t="s">
        <v>419</v>
      </c>
      <c r="B22" s="136">
        <f>SUM(B41:B45)</f>
        <v>44294.280000000006</v>
      </c>
      <c r="C22" s="139">
        <f>-'UK V4'!W280</f>
        <v>60171.132392223764</v>
      </c>
      <c r="E22" s="136">
        <f>SUM(E41:E45)</f>
        <v>202536.90000000002</v>
      </c>
      <c r="F22" s="139">
        <f>-SUM('UK V4'!O280:W280)</f>
        <v>332362.73153001384</v>
      </c>
      <c r="K22" s="159" t="s">
        <v>428</v>
      </c>
      <c r="L22" s="160"/>
      <c r="M22" s="161"/>
      <c r="N22" s="160">
        <f>27044.56+375</f>
        <v>27419.56</v>
      </c>
      <c r="O22" s="162"/>
    </row>
    <row r="23" spans="1:16" ht="13.35" customHeight="1" x14ac:dyDescent="0.2">
      <c r="A23" s="121" t="s">
        <v>323</v>
      </c>
      <c r="B23" s="136">
        <f>B66</f>
        <v>23750</v>
      </c>
      <c r="C23" s="121">
        <f>-'UK V4'!W282</f>
        <v>28500</v>
      </c>
      <c r="E23" s="136">
        <f>E66</f>
        <v>213750</v>
      </c>
      <c r="F23" s="121">
        <f>-SUM('UK V4'!O282:W282)</f>
        <v>133995</v>
      </c>
      <c r="K23" s="159" t="s">
        <v>414</v>
      </c>
      <c r="L23" s="160"/>
      <c r="M23" s="161"/>
      <c r="N23" s="160">
        <v>209.7</v>
      </c>
      <c r="O23" s="162"/>
    </row>
    <row r="24" spans="1:16" x14ac:dyDescent="0.2">
      <c r="A24" s="121" t="s">
        <v>324</v>
      </c>
      <c r="B24" s="136">
        <f>B68</f>
        <v>13250.62</v>
      </c>
      <c r="C24" s="121">
        <f>-'UK V4'!W283</f>
        <v>16589</v>
      </c>
      <c r="E24" s="136">
        <f>E68</f>
        <v>114639.98</v>
      </c>
      <c r="F24" s="121">
        <f>-SUM('UK V4'!O283:W283)</f>
        <v>128667</v>
      </c>
      <c r="K24" s="159" t="s">
        <v>429</v>
      </c>
      <c r="L24" s="160"/>
      <c r="M24" s="161"/>
      <c r="N24" s="160">
        <v>-375</v>
      </c>
      <c r="O24" s="162"/>
    </row>
    <row r="25" spans="1:16" ht="13.8" thickBot="1" x14ac:dyDescent="0.3">
      <c r="A25" s="121" t="s">
        <v>326</v>
      </c>
      <c r="B25" s="136">
        <f>SUM(B46:B64)</f>
        <v>14408.33</v>
      </c>
      <c r="C25" s="138">
        <f>-'UK V4'!W286-'UK V4'!W288</f>
        <v>12000</v>
      </c>
      <c r="E25" s="136">
        <f>SUM(E46:E64)</f>
        <v>93650.689999999988</v>
      </c>
      <c r="F25" s="121">
        <f>-SUM('UK V4'!O286:W286)-SUM('UK V4'!O288:W288)</f>
        <v>87782</v>
      </c>
      <c r="J25" s="128"/>
      <c r="K25" s="164" t="s">
        <v>430</v>
      </c>
      <c r="L25" s="165"/>
      <c r="M25" s="166"/>
      <c r="N25" s="167">
        <f>SUM(N21:N24)</f>
        <v>91894.74</v>
      </c>
      <c r="O25" s="168"/>
    </row>
    <row r="26" spans="1:16" x14ac:dyDescent="0.2">
      <c r="A26" s="121" t="s">
        <v>420</v>
      </c>
      <c r="B26" s="136">
        <f>B65+B67</f>
        <v>101.87</v>
      </c>
      <c r="C26" s="121">
        <v>0</v>
      </c>
      <c r="E26" s="136">
        <f>E65+E67</f>
        <v>768.6</v>
      </c>
    </row>
    <row r="27" spans="1:16" ht="12" x14ac:dyDescent="0.2">
      <c r="A27" s="125" t="s">
        <v>400</v>
      </c>
      <c r="B27" s="124">
        <f>SUM(B22:B26)</f>
        <v>95805.099999999991</v>
      </c>
      <c r="C27" s="124">
        <f>SUM(C22:C26)</f>
        <v>117260.13239222376</v>
      </c>
      <c r="D27" s="124"/>
      <c r="E27" s="124">
        <f>SUM(E22:E26)</f>
        <v>625346.16999999993</v>
      </c>
      <c r="F27" s="124">
        <f>SUM(F22:F26)</f>
        <v>682806.73153001384</v>
      </c>
    </row>
    <row r="29" spans="1:16" ht="10.95" customHeight="1" x14ac:dyDescent="0.2">
      <c r="A29" s="123" t="s">
        <v>399</v>
      </c>
      <c r="B29" s="122">
        <f>B19-B27</f>
        <v>-13769.099999999991</v>
      </c>
      <c r="C29" s="122">
        <f>C19-C27</f>
        <v>1933.8918876531679</v>
      </c>
      <c r="D29" s="122"/>
      <c r="E29" s="122">
        <f>E19-E27</f>
        <v>-193177.16999999993</v>
      </c>
      <c r="F29" s="122">
        <f>F19-F27</f>
        <v>-31736.812612168142</v>
      </c>
    </row>
    <row r="30" spans="1:16" ht="13.35" customHeight="1" x14ac:dyDescent="0.2"/>
    <row r="31" spans="1:16" s="128" customFormat="1" ht="12.15" customHeight="1" x14ac:dyDescent="0.25">
      <c r="A31" s="129" t="s">
        <v>398</v>
      </c>
      <c r="B31" s="129"/>
      <c r="C31" s="129"/>
      <c r="D31" s="129"/>
      <c r="E31" s="129"/>
      <c r="F31" s="129"/>
      <c r="J31" s="121"/>
      <c r="K31" s="121"/>
      <c r="L31" s="121"/>
      <c r="M31" s="121"/>
      <c r="N31" s="121"/>
      <c r="O31" s="121"/>
      <c r="P31" s="121"/>
    </row>
    <row r="32" spans="1:16" ht="10.95" customHeight="1" x14ac:dyDescent="0.2">
      <c r="A32" s="127" t="s">
        <v>397</v>
      </c>
      <c r="B32" s="126">
        <v>0</v>
      </c>
      <c r="C32" s="126">
        <v>0</v>
      </c>
      <c r="D32" s="126"/>
      <c r="E32" s="126">
        <v>633.41</v>
      </c>
      <c r="F32" s="126"/>
    </row>
    <row r="33" spans="1:16" ht="10.95" customHeight="1" x14ac:dyDescent="0.2">
      <c r="A33" s="125" t="s">
        <v>396</v>
      </c>
      <c r="B33" s="124">
        <f>B32</f>
        <v>0</v>
      </c>
      <c r="C33" s="124"/>
      <c r="D33" s="124"/>
      <c r="E33" s="124">
        <f>E32</f>
        <v>633.41</v>
      </c>
      <c r="F33" s="124"/>
      <c r="H33" s="136"/>
    </row>
    <row r="34" spans="1:16" ht="13.35" customHeight="1" x14ac:dyDescent="0.2"/>
    <row r="35" spans="1:16" ht="10.95" customHeight="1" x14ac:dyDescent="0.2">
      <c r="A35" s="123" t="s">
        <v>395</v>
      </c>
      <c r="B35" s="122">
        <f>(B29 + B33)</f>
        <v>-13769.099999999991</v>
      </c>
      <c r="C35" s="122"/>
      <c r="D35" s="122"/>
      <c r="E35" s="122">
        <f>(E29 + E33)</f>
        <v>-192543.75999999992</v>
      </c>
      <c r="F35" s="122"/>
    </row>
    <row r="36" spans="1:16" ht="13.35" customHeight="1" x14ac:dyDescent="0.2"/>
    <row r="37" spans="1:16" ht="10.95" customHeight="1" x14ac:dyDescent="0.2">
      <c r="A37" s="123" t="s">
        <v>394</v>
      </c>
      <c r="B37" s="122">
        <f>(B35 - 0)</f>
        <v>-13769.099999999991</v>
      </c>
      <c r="C37" s="122"/>
      <c r="D37" s="122"/>
      <c r="E37" s="122">
        <f>(E35 - 0)</f>
        <v>-192543.75999999992</v>
      </c>
      <c r="F37" s="122"/>
    </row>
    <row r="39" spans="1:16" ht="12" x14ac:dyDescent="0.25">
      <c r="A39" s="137" t="s">
        <v>418</v>
      </c>
    </row>
    <row r="40" spans="1:16" s="128" customFormat="1" ht="12.15" customHeight="1" x14ac:dyDescent="0.25">
      <c r="A40" s="129" t="s">
        <v>410</v>
      </c>
      <c r="B40" s="129"/>
      <c r="C40" s="129"/>
      <c r="D40" s="129"/>
      <c r="E40" s="129"/>
      <c r="F40" s="129"/>
      <c r="J40" s="121"/>
      <c r="K40" s="121"/>
      <c r="L40" s="121"/>
      <c r="M40" s="121"/>
      <c r="N40" s="121"/>
      <c r="O40" s="121"/>
      <c r="P40" s="121"/>
    </row>
    <row r="41" spans="1:16" ht="10.95" customHeight="1" x14ac:dyDescent="0.2">
      <c r="A41" s="73" t="s">
        <v>404</v>
      </c>
      <c r="B41" s="72">
        <v>21305</v>
      </c>
      <c r="C41" s="130"/>
      <c r="D41" s="130"/>
      <c r="E41" s="72">
        <v>63379.22</v>
      </c>
      <c r="F41" s="130"/>
    </row>
    <row r="42" spans="1:16" ht="10.95" customHeight="1" x14ac:dyDescent="0.2">
      <c r="A42" s="73" t="s">
        <v>408</v>
      </c>
      <c r="B42" s="72">
        <v>3775</v>
      </c>
      <c r="C42" s="130"/>
      <c r="D42" s="130"/>
      <c r="E42" s="72">
        <v>33975</v>
      </c>
      <c r="F42" s="130"/>
    </row>
    <row r="43" spans="1:16" ht="10.95" customHeight="1" x14ac:dyDescent="0.2">
      <c r="A43" s="73" t="s">
        <v>409</v>
      </c>
      <c r="B43" s="72">
        <v>13986.94</v>
      </c>
      <c r="C43" s="130"/>
      <c r="D43" s="130"/>
      <c r="E43" s="72">
        <v>70175.98</v>
      </c>
      <c r="F43" s="130"/>
    </row>
    <row r="44" spans="1:16" ht="10.95" customHeight="1" x14ac:dyDescent="0.2">
      <c r="A44" s="73" t="s">
        <v>407</v>
      </c>
      <c r="B44" s="72">
        <v>4918.12</v>
      </c>
      <c r="C44" s="130"/>
      <c r="D44" s="130"/>
      <c r="E44" s="72">
        <v>32847.279999999999</v>
      </c>
      <c r="F44" s="130"/>
    </row>
    <row r="45" spans="1:16" ht="10.95" customHeight="1" x14ac:dyDescent="0.2">
      <c r="A45" s="73" t="s">
        <v>406</v>
      </c>
      <c r="B45" s="72">
        <v>309.22000000000003</v>
      </c>
      <c r="C45" s="130"/>
      <c r="D45" s="130"/>
      <c r="E45" s="72">
        <v>2159.42</v>
      </c>
      <c r="F45" s="130"/>
    </row>
    <row r="46" spans="1:16" ht="10.95" customHeight="1" x14ac:dyDescent="0.2">
      <c r="A46" s="75" t="s">
        <v>405</v>
      </c>
      <c r="B46" s="74">
        <v>0</v>
      </c>
      <c r="C46" s="126"/>
      <c r="D46" s="126"/>
      <c r="E46" s="74">
        <v>1000</v>
      </c>
      <c r="F46" s="126"/>
    </row>
    <row r="47" spans="1:16" ht="10.95" customHeight="1" x14ac:dyDescent="0.2">
      <c r="A47" s="73" t="s">
        <v>18</v>
      </c>
      <c r="B47" s="72">
        <v>924.51</v>
      </c>
      <c r="C47" s="130"/>
      <c r="D47" s="130"/>
      <c r="E47" s="72">
        <v>2474.3000000000002</v>
      </c>
      <c r="F47" s="130"/>
    </row>
    <row r="48" spans="1:16" ht="10.95" customHeight="1" x14ac:dyDescent="0.2">
      <c r="A48" s="73" t="s">
        <v>19</v>
      </c>
      <c r="B48" s="72">
        <v>3107.17</v>
      </c>
      <c r="C48" s="130"/>
      <c r="D48" s="130"/>
      <c r="E48" s="72">
        <v>30076.57</v>
      </c>
      <c r="F48" s="130"/>
    </row>
    <row r="49" spans="1:6" ht="10.95" customHeight="1" x14ac:dyDescent="0.2">
      <c r="A49" s="73" t="s">
        <v>20</v>
      </c>
      <c r="B49" s="72">
        <v>3152.89</v>
      </c>
      <c r="C49" s="130"/>
      <c r="D49" s="130"/>
      <c r="E49" s="72">
        <v>19169.63</v>
      </c>
      <c r="F49" s="130"/>
    </row>
    <row r="50" spans="1:6" ht="10.95" customHeight="1" x14ac:dyDescent="0.2">
      <c r="A50" s="73" t="s">
        <v>213</v>
      </c>
      <c r="B50" s="72">
        <v>0</v>
      </c>
      <c r="C50" s="130"/>
      <c r="D50" s="130"/>
      <c r="E50" s="72">
        <v>169.8</v>
      </c>
      <c r="F50" s="130"/>
    </row>
    <row r="51" spans="1:6" ht="10.95" customHeight="1" x14ac:dyDescent="0.2">
      <c r="A51" s="73" t="s">
        <v>155</v>
      </c>
      <c r="B51" s="72">
        <v>1000</v>
      </c>
      <c r="C51" s="130"/>
      <c r="D51" s="130"/>
      <c r="E51" s="72">
        <v>6000</v>
      </c>
      <c r="F51" s="130"/>
    </row>
    <row r="52" spans="1:6" ht="10.95" customHeight="1" x14ac:dyDescent="0.2">
      <c r="A52" s="73" t="s">
        <v>23</v>
      </c>
      <c r="B52" s="72">
        <v>902.25</v>
      </c>
      <c r="C52" s="130"/>
      <c r="D52" s="130"/>
      <c r="E52" s="72">
        <v>10109.16</v>
      </c>
      <c r="F52" s="130"/>
    </row>
    <row r="53" spans="1:6" ht="10.95" customHeight="1" x14ac:dyDescent="0.2">
      <c r="A53" s="73" t="s">
        <v>403</v>
      </c>
      <c r="B53" s="72">
        <v>0</v>
      </c>
      <c r="C53" s="130"/>
      <c r="D53" s="130"/>
      <c r="E53" s="72">
        <v>2160</v>
      </c>
      <c r="F53" s="130"/>
    </row>
    <row r="54" spans="1:6" ht="10.95" customHeight="1" x14ac:dyDescent="0.2">
      <c r="A54" s="73" t="s">
        <v>25</v>
      </c>
      <c r="B54" s="72">
        <v>0</v>
      </c>
      <c r="C54" s="130"/>
      <c r="D54" s="130"/>
      <c r="E54" s="72">
        <v>983.5</v>
      </c>
      <c r="F54" s="130"/>
    </row>
    <row r="55" spans="1:6" ht="10.95" customHeight="1" x14ac:dyDescent="0.2">
      <c r="A55" s="73" t="s">
        <v>26</v>
      </c>
      <c r="B55" s="72">
        <v>277</v>
      </c>
      <c r="C55" s="130"/>
      <c r="D55" s="130"/>
      <c r="E55" s="72">
        <v>277</v>
      </c>
      <c r="F55" s="130"/>
    </row>
    <row r="56" spans="1:6" ht="10.95" customHeight="1" x14ac:dyDescent="0.2">
      <c r="A56" s="73" t="s">
        <v>192</v>
      </c>
      <c r="B56" s="72">
        <v>3177.51</v>
      </c>
      <c r="C56" s="130"/>
      <c r="D56" s="130"/>
      <c r="E56" s="72">
        <v>16173.76</v>
      </c>
      <c r="F56" s="130"/>
    </row>
    <row r="57" spans="1:6" ht="10.95" customHeight="1" x14ac:dyDescent="0.2">
      <c r="A57" s="73" t="s">
        <v>158</v>
      </c>
      <c r="B57" s="72">
        <v>0</v>
      </c>
      <c r="C57" s="130"/>
      <c r="D57" s="130"/>
      <c r="E57" s="72">
        <v>608.65</v>
      </c>
      <c r="F57" s="130"/>
    </row>
    <row r="58" spans="1:6" ht="10.95" customHeight="1" x14ac:dyDescent="0.2">
      <c r="A58" s="73" t="s">
        <v>402</v>
      </c>
      <c r="B58" s="72">
        <v>0</v>
      </c>
      <c r="C58" s="130"/>
      <c r="D58" s="130"/>
      <c r="E58" s="72">
        <v>216</v>
      </c>
      <c r="F58" s="130"/>
    </row>
    <row r="59" spans="1:6" ht="10.95" customHeight="1" x14ac:dyDescent="0.2">
      <c r="A59" s="73" t="s">
        <v>401</v>
      </c>
      <c r="B59" s="72">
        <v>0</v>
      </c>
      <c r="C59" s="130"/>
      <c r="D59" s="130"/>
      <c r="E59" s="72">
        <v>1380</v>
      </c>
      <c r="F59" s="130"/>
    </row>
    <row r="60" spans="1:6" ht="10.95" customHeight="1" x14ac:dyDescent="0.2">
      <c r="A60" s="73" t="s">
        <v>33</v>
      </c>
      <c r="B60" s="72">
        <v>0</v>
      </c>
      <c r="C60" s="130"/>
      <c r="D60" s="130"/>
      <c r="E60" s="72">
        <v>358.9</v>
      </c>
      <c r="F60" s="130"/>
    </row>
    <row r="61" spans="1:6" ht="10.95" customHeight="1" x14ac:dyDescent="0.2">
      <c r="A61" s="73" t="s">
        <v>191</v>
      </c>
      <c r="B61" s="72">
        <v>0</v>
      </c>
      <c r="C61" s="130"/>
      <c r="D61" s="130"/>
      <c r="E61" s="72">
        <v>399.86</v>
      </c>
      <c r="F61" s="130"/>
    </row>
    <row r="62" spans="1:6" ht="10.95" customHeight="1" x14ac:dyDescent="0.2">
      <c r="A62" s="73" t="s">
        <v>34</v>
      </c>
      <c r="B62" s="72">
        <v>1867</v>
      </c>
      <c r="C62" s="130"/>
      <c r="D62" s="130"/>
      <c r="E62" s="72">
        <v>1867</v>
      </c>
      <c r="F62" s="130"/>
    </row>
    <row r="63" spans="1:6" ht="10.95" customHeight="1" x14ac:dyDescent="0.2">
      <c r="A63" s="73" t="s">
        <v>35</v>
      </c>
      <c r="B63" s="72">
        <v>0</v>
      </c>
      <c r="C63" s="130"/>
      <c r="D63" s="130"/>
      <c r="E63" s="72">
        <v>50</v>
      </c>
      <c r="F63" s="130"/>
    </row>
    <row r="64" spans="1:6" ht="10.95" customHeight="1" x14ac:dyDescent="0.2">
      <c r="A64" s="73" t="s">
        <v>37</v>
      </c>
      <c r="B64" s="72">
        <v>0</v>
      </c>
      <c r="C64" s="130"/>
      <c r="D64" s="130"/>
      <c r="E64" s="72">
        <v>176.56</v>
      </c>
      <c r="F64" s="130"/>
    </row>
    <row r="65" spans="1:6" ht="10.95" customHeight="1" x14ac:dyDescent="0.2">
      <c r="A65" s="73" t="s">
        <v>28</v>
      </c>
      <c r="B65" s="72">
        <v>131.22</v>
      </c>
      <c r="C65" s="130"/>
      <c r="D65" s="130"/>
      <c r="E65" s="72">
        <v>730.02</v>
      </c>
      <c r="F65" s="130"/>
    </row>
    <row r="66" spans="1:6" ht="10.95" customHeight="1" x14ac:dyDescent="0.2">
      <c r="A66" s="73" t="s">
        <v>30</v>
      </c>
      <c r="B66" s="72">
        <v>23750</v>
      </c>
      <c r="C66" s="130"/>
      <c r="D66" s="130"/>
      <c r="E66" s="72">
        <v>213750</v>
      </c>
      <c r="F66" s="130"/>
    </row>
    <row r="67" spans="1:6" ht="10.95" customHeight="1" x14ac:dyDescent="0.2">
      <c r="A67" s="73" t="s">
        <v>190</v>
      </c>
      <c r="B67" s="72">
        <v>-29.35</v>
      </c>
      <c r="C67" s="124"/>
      <c r="D67" s="124"/>
      <c r="E67" s="72">
        <v>38.58</v>
      </c>
      <c r="F67" s="124"/>
    </row>
    <row r="68" spans="1:6" ht="13.35" customHeight="1" x14ac:dyDescent="0.2">
      <c r="A68" s="73" t="s">
        <v>220</v>
      </c>
      <c r="B68" s="72">
        <v>13250.62</v>
      </c>
      <c r="E68" s="72">
        <v>114639.98</v>
      </c>
    </row>
    <row r="69" spans="1:6" ht="12" x14ac:dyDescent="0.2">
      <c r="A69" s="144" t="s">
        <v>400</v>
      </c>
      <c r="B69" s="143">
        <f>SUM(B41:B68)</f>
        <v>95805.1</v>
      </c>
      <c r="E69" s="143">
        <f>SUM(E41:E68)</f>
        <v>625346.17000000004</v>
      </c>
    </row>
  </sheetData>
  <mergeCells count="3">
    <mergeCell ref="K1:O1"/>
    <mergeCell ref="K2:O2"/>
    <mergeCell ref="K3:O3"/>
  </mergeCells>
  <pageMargins left="0.7" right="0.7" top="0.75" bottom="0.75" header="0.3" footer="0.3"/>
  <pageSetup paperSize="9" fitToWidth="0" fitToHeight="0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25411-8CE9-4008-B9E0-B3631731B27A}">
  <sheetPr>
    <tabColor theme="6" tint="0.79998168889431442"/>
  </sheetPr>
  <dimension ref="A1:BH1152"/>
  <sheetViews>
    <sheetView zoomScale="85" zoomScaleNormal="85" workbookViewId="0">
      <pane xSplit="9" ySplit="3" topLeftCell="V277" activePane="bottomRight" state="frozen"/>
      <selection pane="topRight" activeCell="I1" sqref="I1"/>
      <selection pane="bottomLeft" activeCell="A85" sqref="A85"/>
      <selection pane="bottomRight" activeCell="O286" sqref="O286:V288"/>
    </sheetView>
  </sheetViews>
  <sheetFormatPr defaultColWidth="16.25" defaultRowHeight="14.4" x14ac:dyDescent="0.3"/>
  <cols>
    <col min="1" max="1" width="2.375" style="32" customWidth="1"/>
    <col min="2" max="2" width="4.5" style="32" customWidth="1"/>
    <col min="3" max="3" width="44.375" style="32" customWidth="1"/>
    <col min="4" max="8" width="17.25" style="32" customWidth="1"/>
    <col min="9" max="9" width="1.875" style="32" customWidth="1"/>
    <col min="10" max="60" width="14.25" style="32" customWidth="1"/>
    <col min="61" max="16384" width="16.25" style="32"/>
  </cols>
  <sheetData>
    <row r="1" spans="1:60" ht="14.25" customHeight="1" x14ac:dyDescent="0.3">
      <c r="A1" s="33"/>
      <c r="B1" s="33"/>
      <c r="C1" s="33"/>
      <c r="E1" s="33"/>
      <c r="F1" s="33"/>
      <c r="G1" s="33"/>
      <c r="H1" s="33"/>
      <c r="I1" s="33"/>
      <c r="J1" s="33">
        <f t="shared" ref="J1:BH1" si="0">YEAR(J3)</f>
        <v>2024</v>
      </c>
      <c r="K1" s="33">
        <f t="shared" si="0"/>
        <v>2024</v>
      </c>
      <c r="L1" s="33">
        <f t="shared" si="0"/>
        <v>2024</v>
      </c>
      <c r="M1" s="33">
        <f t="shared" si="0"/>
        <v>2025</v>
      </c>
      <c r="N1" s="33">
        <f t="shared" si="0"/>
        <v>2025</v>
      </c>
      <c r="O1" s="33">
        <f t="shared" si="0"/>
        <v>2025</v>
      </c>
      <c r="P1" s="33">
        <f t="shared" si="0"/>
        <v>2025</v>
      </c>
      <c r="Q1" s="33">
        <f t="shared" si="0"/>
        <v>2025</v>
      </c>
      <c r="R1" s="33">
        <f t="shared" si="0"/>
        <v>2025</v>
      </c>
      <c r="S1" s="33">
        <f t="shared" si="0"/>
        <v>2025</v>
      </c>
      <c r="T1" s="33">
        <f t="shared" si="0"/>
        <v>2025</v>
      </c>
      <c r="U1" s="33">
        <f t="shared" si="0"/>
        <v>2025</v>
      </c>
      <c r="V1" s="33">
        <f t="shared" si="0"/>
        <v>2025</v>
      </c>
      <c r="W1" s="33">
        <f t="shared" si="0"/>
        <v>2025</v>
      </c>
      <c r="X1" s="33">
        <f t="shared" si="0"/>
        <v>2025</v>
      </c>
      <c r="Y1" s="33">
        <f t="shared" si="0"/>
        <v>2026</v>
      </c>
      <c r="Z1" s="33">
        <f t="shared" si="0"/>
        <v>2026</v>
      </c>
      <c r="AA1" s="33">
        <f t="shared" si="0"/>
        <v>2026</v>
      </c>
      <c r="AB1" s="33">
        <f t="shared" si="0"/>
        <v>2026</v>
      </c>
      <c r="AC1" s="33">
        <f t="shared" si="0"/>
        <v>2026</v>
      </c>
      <c r="AD1" s="33">
        <f t="shared" si="0"/>
        <v>2026</v>
      </c>
      <c r="AE1" s="33">
        <f t="shared" si="0"/>
        <v>2026</v>
      </c>
      <c r="AF1" s="33">
        <f t="shared" si="0"/>
        <v>2026</v>
      </c>
      <c r="AG1" s="33">
        <f t="shared" si="0"/>
        <v>2026</v>
      </c>
      <c r="AH1" s="33">
        <f t="shared" si="0"/>
        <v>2026</v>
      </c>
      <c r="AI1" s="33">
        <f t="shared" si="0"/>
        <v>2026</v>
      </c>
      <c r="AJ1" s="33">
        <f t="shared" si="0"/>
        <v>2026</v>
      </c>
      <c r="AK1" s="33">
        <f t="shared" si="0"/>
        <v>2027</v>
      </c>
      <c r="AL1" s="33">
        <f t="shared" si="0"/>
        <v>2027</v>
      </c>
      <c r="AM1" s="33">
        <f t="shared" si="0"/>
        <v>2027</v>
      </c>
      <c r="AN1" s="33">
        <f t="shared" si="0"/>
        <v>2027</v>
      </c>
      <c r="AO1" s="33">
        <f t="shared" si="0"/>
        <v>2027</v>
      </c>
      <c r="AP1" s="33">
        <f t="shared" si="0"/>
        <v>2027</v>
      </c>
      <c r="AQ1" s="33">
        <f t="shared" si="0"/>
        <v>2027</v>
      </c>
      <c r="AR1" s="33">
        <f t="shared" si="0"/>
        <v>2027</v>
      </c>
      <c r="AS1" s="33">
        <f t="shared" si="0"/>
        <v>2027</v>
      </c>
      <c r="AT1" s="33">
        <f t="shared" si="0"/>
        <v>2027</v>
      </c>
      <c r="AU1" s="33">
        <f t="shared" si="0"/>
        <v>2027</v>
      </c>
      <c r="AV1" s="33">
        <f t="shared" si="0"/>
        <v>2027</v>
      </c>
      <c r="AW1" s="33">
        <f t="shared" si="0"/>
        <v>2028</v>
      </c>
      <c r="AX1" s="33">
        <f t="shared" si="0"/>
        <v>2028</v>
      </c>
      <c r="AY1" s="33">
        <f t="shared" si="0"/>
        <v>2028</v>
      </c>
      <c r="AZ1" s="33">
        <f t="shared" si="0"/>
        <v>2028</v>
      </c>
      <c r="BA1" s="33">
        <f t="shared" si="0"/>
        <v>2028</v>
      </c>
      <c r="BB1" s="33">
        <f t="shared" si="0"/>
        <v>2028</v>
      </c>
      <c r="BC1" s="33">
        <f t="shared" si="0"/>
        <v>2028</v>
      </c>
      <c r="BD1" s="33">
        <f t="shared" si="0"/>
        <v>2028</v>
      </c>
      <c r="BE1" s="33">
        <f t="shared" si="0"/>
        <v>2028</v>
      </c>
      <c r="BF1" s="33">
        <f t="shared" si="0"/>
        <v>2028</v>
      </c>
      <c r="BG1" s="33">
        <f t="shared" si="0"/>
        <v>2028</v>
      </c>
      <c r="BH1" s="33">
        <f t="shared" si="0"/>
        <v>2028</v>
      </c>
    </row>
    <row r="2" spans="1:60" ht="14.25" customHeight="1" x14ac:dyDescent="0.3">
      <c r="A2" s="36"/>
      <c r="B2" s="37"/>
      <c r="C2" s="37" t="s">
        <v>181</v>
      </c>
      <c r="D2" s="38">
        <f>D$331</f>
        <v>-715914.81666666677</v>
      </c>
      <c r="E2" s="38">
        <f>E$331</f>
        <v>-1271416.8171703184</v>
      </c>
      <c r="F2" s="38">
        <f>F$331</f>
        <v>417810.76467502711</v>
      </c>
      <c r="G2" s="38">
        <f>G$331</f>
        <v>1711821.7430975283</v>
      </c>
      <c r="H2" s="38">
        <f>H$331</f>
        <v>2670817.3983413535</v>
      </c>
      <c r="I2" s="37"/>
      <c r="J2" s="37" t="s">
        <v>222</v>
      </c>
      <c r="K2" s="37" t="s">
        <v>222</v>
      </c>
      <c r="L2" s="37" t="s">
        <v>222</v>
      </c>
      <c r="M2" s="37" t="s">
        <v>266</v>
      </c>
      <c r="N2" s="37" t="s">
        <v>266</v>
      </c>
      <c r="O2" s="37" t="s">
        <v>266</v>
      </c>
      <c r="P2" s="37" t="s">
        <v>266</v>
      </c>
      <c r="Q2" s="37" t="s">
        <v>266</v>
      </c>
      <c r="R2" s="37" t="s">
        <v>266</v>
      </c>
      <c r="S2" s="37" t="s">
        <v>266</v>
      </c>
      <c r="T2" s="37" t="s">
        <v>223</v>
      </c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7"/>
      <c r="BD2" s="37"/>
      <c r="BE2" s="37"/>
      <c r="BF2" s="37"/>
      <c r="BG2" s="37"/>
      <c r="BH2" s="37"/>
    </row>
    <row r="3" spans="1:60" ht="14.25" customHeight="1" x14ac:dyDescent="0.3">
      <c r="A3" s="39"/>
      <c r="B3" s="39"/>
      <c r="C3" s="33" t="s">
        <v>42</v>
      </c>
      <c r="D3" s="40">
        <v>2024</v>
      </c>
      <c r="E3" s="40">
        <f>D3+1</f>
        <v>2025</v>
      </c>
      <c r="F3" s="40">
        <f>E3+1</f>
        <v>2026</v>
      </c>
      <c r="G3" s="40">
        <f>F3+1</f>
        <v>2027</v>
      </c>
      <c r="H3" s="40">
        <f>G3+1</f>
        <v>2028</v>
      </c>
      <c r="I3" s="39"/>
      <c r="J3" s="41">
        <v>45596</v>
      </c>
      <c r="K3" s="39">
        <f t="shared" ref="K3:BH3" si="1">EOMONTH(J3,1)</f>
        <v>45626</v>
      </c>
      <c r="L3" s="39">
        <f t="shared" si="1"/>
        <v>45657</v>
      </c>
      <c r="M3" s="39">
        <f t="shared" si="1"/>
        <v>45688</v>
      </c>
      <c r="N3" s="39">
        <f t="shared" si="1"/>
        <v>45716</v>
      </c>
      <c r="O3" s="39">
        <f t="shared" si="1"/>
        <v>45747</v>
      </c>
      <c r="P3" s="39">
        <f t="shared" si="1"/>
        <v>45777</v>
      </c>
      <c r="Q3" s="39">
        <f t="shared" si="1"/>
        <v>45808</v>
      </c>
      <c r="R3" s="39">
        <f t="shared" si="1"/>
        <v>45838</v>
      </c>
      <c r="S3" s="39">
        <f t="shared" si="1"/>
        <v>45869</v>
      </c>
      <c r="T3" s="39">
        <f t="shared" si="1"/>
        <v>45900</v>
      </c>
      <c r="U3" s="39">
        <f t="shared" si="1"/>
        <v>45930</v>
      </c>
      <c r="V3" s="39">
        <f t="shared" si="1"/>
        <v>45961</v>
      </c>
      <c r="W3" s="39">
        <f t="shared" si="1"/>
        <v>45991</v>
      </c>
      <c r="X3" s="39">
        <f t="shared" si="1"/>
        <v>46022</v>
      </c>
      <c r="Y3" s="39">
        <f>EOMONTH(X3,1)</f>
        <v>46053</v>
      </c>
      <c r="Z3" s="39">
        <f t="shared" si="1"/>
        <v>46081</v>
      </c>
      <c r="AA3" s="39">
        <f t="shared" si="1"/>
        <v>46112</v>
      </c>
      <c r="AB3" s="39">
        <f t="shared" si="1"/>
        <v>46142</v>
      </c>
      <c r="AC3" s="39">
        <f t="shared" si="1"/>
        <v>46173</v>
      </c>
      <c r="AD3" s="39">
        <f t="shared" si="1"/>
        <v>46203</v>
      </c>
      <c r="AE3" s="39">
        <f t="shared" si="1"/>
        <v>46234</v>
      </c>
      <c r="AF3" s="39">
        <f t="shared" si="1"/>
        <v>46265</v>
      </c>
      <c r="AG3" s="39">
        <f t="shared" si="1"/>
        <v>46295</v>
      </c>
      <c r="AH3" s="39">
        <f t="shared" si="1"/>
        <v>46326</v>
      </c>
      <c r="AI3" s="39">
        <f t="shared" si="1"/>
        <v>46356</v>
      </c>
      <c r="AJ3" s="39">
        <f t="shared" si="1"/>
        <v>46387</v>
      </c>
      <c r="AK3" s="39">
        <f t="shared" si="1"/>
        <v>46418</v>
      </c>
      <c r="AL3" s="39">
        <f t="shared" si="1"/>
        <v>46446</v>
      </c>
      <c r="AM3" s="39">
        <f t="shared" si="1"/>
        <v>46477</v>
      </c>
      <c r="AN3" s="39">
        <f t="shared" si="1"/>
        <v>46507</v>
      </c>
      <c r="AO3" s="39">
        <f t="shared" si="1"/>
        <v>46538</v>
      </c>
      <c r="AP3" s="39">
        <f t="shared" si="1"/>
        <v>46568</v>
      </c>
      <c r="AQ3" s="39">
        <f t="shared" si="1"/>
        <v>46599</v>
      </c>
      <c r="AR3" s="39">
        <f t="shared" si="1"/>
        <v>46630</v>
      </c>
      <c r="AS3" s="39">
        <f t="shared" si="1"/>
        <v>46660</v>
      </c>
      <c r="AT3" s="39">
        <f t="shared" si="1"/>
        <v>46691</v>
      </c>
      <c r="AU3" s="39">
        <f t="shared" si="1"/>
        <v>46721</v>
      </c>
      <c r="AV3" s="39">
        <f t="shared" si="1"/>
        <v>46752</v>
      </c>
      <c r="AW3" s="39">
        <f t="shared" si="1"/>
        <v>46783</v>
      </c>
      <c r="AX3" s="39">
        <f t="shared" si="1"/>
        <v>46812</v>
      </c>
      <c r="AY3" s="39">
        <f t="shared" si="1"/>
        <v>46843</v>
      </c>
      <c r="AZ3" s="39">
        <f t="shared" si="1"/>
        <v>46873</v>
      </c>
      <c r="BA3" s="39">
        <f t="shared" si="1"/>
        <v>46904</v>
      </c>
      <c r="BB3" s="39">
        <f t="shared" si="1"/>
        <v>46934</v>
      </c>
      <c r="BC3" s="39">
        <f t="shared" si="1"/>
        <v>46965</v>
      </c>
      <c r="BD3" s="39">
        <f t="shared" si="1"/>
        <v>46996</v>
      </c>
      <c r="BE3" s="39">
        <f t="shared" si="1"/>
        <v>47026</v>
      </c>
      <c r="BF3" s="39">
        <f t="shared" si="1"/>
        <v>47057</v>
      </c>
      <c r="BG3" s="39">
        <f t="shared" si="1"/>
        <v>47087</v>
      </c>
      <c r="BH3" s="39">
        <f t="shared" si="1"/>
        <v>47118</v>
      </c>
    </row>
    <row r="4" spans="1:60" ht="14.25" customHeight="1" x14ac:dyDescent="0.3">
      <c r="A4" s="42"/>
      <c r="B4" s="43" t="s">
        <v>45</v>
      </c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42"/>
      <c r="AV4" s="42"/>
      <c r="AW4" s="42"/>
      <c r="AX4" s="42"/>
      <c r="AY4" s="42"/>
      <c r="AZ4" s="42"/>
      <c r="BA4" s="42"/>
      <c r="BB4" s="42"/>
      <c r="BC4" s="42"/>
      <c r="BD4" s="42"/>
      <c r="BE4" s="42"/>
      <c r="BF4" s="42"/>
      <c r="BG4" s="42"/>
      <c r="BH4" s="42"/>
    </row>
    <row r="5" spans="1:60" ht="14.25" customHeight="1" x14ac:dyDescent="0.3">
      <c r="A5" s="44"/>
      <c r="B5" s="45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  <c r="BC5" s="44"/>
      <c r="BD5" s="44"/>
      <c r="BE5" s="44"/>
      <c r="BF5" s="44"/>
      <c r="BG5" s="44"/>
      <c r="BH5" s="44"/>
    </row>
    <row r="6" spans="1:60" ht="14.25" customHeight="1" x14ac:dyDescent="0.3">
      <c r="A6" s="46"/>
      <c r="B6" s="37" t="s">
        <v>46</v>
      </c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</row>
    <row r="7" spans="1:60" ht="14.25" customHeight="1" x14ac:dyDescent="0.3">
      <c r="A7" s="46"/>
      <c r="B7" s="37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6"/>
    </row>
    <row r="8" spans="1:60" ht="14.25" customHeight="1" x14ac:dyDescent="0.3">
      <c r="A8" s="46"/>
      <c r="B8" s="37"/>
      <c r="C8" s="46" t="s">
        <v>47</v>
      </c>
      <c r="D8" s="107">
        <f>R3</f>
        <v>45838</v>
      </c>
      <c r="E8" s="46"/>
      <c r="F8" s="46"/>
      <c r="G8" s="46"/>
      <c r="H8" s="46"/>
      <c r="I8" s="46"/>
      <c r="J8" s="46">
        <f t="shared" ref="J8:BH8" si="2">IF(J3&gt;=$D$8,1,0)</f>
        <v>0</v>
      </c>
      <c r="K8" s="46">
        <f t="shared" si="2"/>
        <v>0</v>
      </c>
      <c r="L8" s="46">
        <f t="shared" si="2"/>
        <v>0</v>
      </c>
      <c r="M8" s="46">
        <f t="shared" si="2"/>
        <v>0</v>
      </c>
      <c r="N8" s="46">
        <f t="shared" si="2"/>
        <v>0</v>
      </c>
      <c r="O8" s="46">
        <f t="shared" si="2"/>
        <v>0</v>
      </c>
      <c r="P8" s="46">
        <f t="shared" si="2"/>
        <v>0</v>
      </c>
      <c r="Q8" s="46">
        <f t="shared" si="2"/>
        <v>0</v>
      </c>
      <c r="R8" s="46">
        <f t="shared" si="2"/>
        <v>1</v>
      </c>
      <c r="S8" s="46">
        <f t="shared" si="2"/>
        <v>1</v>
      </c>
      <c r="T8" s="46">
        <f t="shared" si="2"/>
        <v>1</v>
      </c>
      <c r="U8" s="46">
        <f t="shared" si="2"/>
        <v>1</v>
      </c>
      <c r="V8" s="46">
        <f t="shared" si="2"/>
        <v>1</v>
      </c>
      <c r="W8" s="46">
        <f t="shared" si="2"/>
        <v>1</v>
      </c>
      <c r="X8" s="46">
        <f t="shared" si="2"/>
        <v>1</v>
      </c>
      <c r="Y8" s="46">
        <f t="shared" si="2"/>
        <v>1</v>
      </c>
      <c r="Z8" s="46">
        <f t="shared" si="2"/>
        <v>1</v>
      </c>
      <c r="AA8" s="46">
        <f t="shared" si="2"/>
        <v>1</v>
      </c>
      <c r="AB8" s="46">
        <f t="shared" si="2"/>
        <v>1</v>
      </c>
      <c r="AC8" s="46">
        <f t="shared" si="2"/>
        <v>1</v>
      </c>
      <c r="AD8" s="46">
        <f t="shared" si="2"/>
        <v>1</v>
      </c>
      <c r="AE8" s="46">
        <f t="shared" si="2"/>
        <v>1</v>
      </c>
      <c r="AF8" s="46">
        <f t="shared" si="2"/>
        <v>1</v>
      </c>
      <c r="AG8" s="46">
        <f t="shared" si="2"/>
        <v>1</v>
      </c>
      <c r="AH8" s="46">
        <f t="shared" si="2"/>
        <v>1</v>
      </c>
      <c r="AI8" s="46">
        <f t="shared" si="2"/>
        <v>1</v>
      </c>
      <c r="AJ8" s="46">
        <f t="shared" si="2"/>
        <v>1</v>
      </c>
      <c r="AK8" s="46">
        <f t="shared" si="2"/>
        <v>1</v>
      </c>
      <c r="AL8" s="46">
        <f t="shared" si="2"/>
        <v>1</v>
      </c>
      <c r="AM8" s="46">
        <f t="shared" si="2"/>
        <v>1</v>
      </c>
      <c r="AN8" s="46">
        <f t="shared" si="2"/>
        <v>1</v>
      </c>
      <c r="AO8" s="46">
        <f t="shared" si="2"/>
        <v>1</v>
      </c>
      <c r="AP8" s="46">
        <f t="shared" si="2"/>
        <v>1</v>
      </c>
      <c r="AQ8" s="46">
        <f t="shared" si="2"/>
        <v>1</v>
      </c>
      <c r="AR8" s="46">
        <f t="shared" si="2"/>
        <v>1</v>
      </c>
      <c r="AS8" s="46">
        <f t="shared" si="2"/>
        <v>1</v>
      </c>
      <c r="AT8" s="46">
        <f t="shared" si="2"/>
        <v>1</v>
      </c>
      <c r="AU8" s="46">
        <f t="shared" si="2"/>
        <v>1</v>
      </c>
      <c r="AV8" s="46">
        <f t="shared" si="2"/>
        <v>1</v>
      </c>
      <c r="AW8" s="46">
        <f t="shared" si="2"/>
        <v>1</v>
      </c>
      <c r="AX8" s="46">
        <f t="shared" si="2"/>
        <v>1</v>
      </c>
      <c r="AY8" s="46">
        <f t="shared" si="2"/>
        <v>1</v>
      </c>
      <c r="AZ8" s="46">
        <f t="shared" si="2"/>
        <v>1</v>
      </c>
      <c r="BA8" s="46">
        <f t="shared" si="2"/>
        <v>1</v>
      </c>
      <c r="BB8" s="46">
        <f t="shared" si="2"/>
        <v>1</v>
      </c>
      <c r="BC8" s="46">
        <f t="shared" si="2"/>
        <v>1</v>
      </c>
      <c r="BD8" s="46">
        <f t="shared" si="2"/>
        <v>1</v>
      </c>
      <c r="BE8" s="46">
        <f t="shared" si="2"/>
        <v>1</v>
      </c>
      <c r="BF8" s="46">
        <f t="shared" si="2"/>
        <v>1</v>
      </c>
      <c r="BG8" s="46">
        <f t="shared" si="2"/>
        <v>1</v>
      </c>
      <c r="BH8" s="46">
        <f t="shared" si="2"/>
        <v>1</v>
      </c>
    </row>
    <row r="9" spans="1:60" ht="14.25" customHeight="1" x14ac:dyDescent="0.3">
      <c r="A9" s="46"/>
      <c r="B9" s="37"/>
      <c r="C9" s="46"/>
      <c r="D9" s="48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6"/>
    </row>
    <row r="10" spans="1:60" ht="14.25" customHeight="1" x14ac:dyDescent="0.3">
      <c r="A10" s="46"/>
      <c r="B10" s="37"/>
      <c r="C10" s="46"/>
      <c r="D10" s="48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</row>
    <row r="11" spans="1:60" ht="14.25" customHeight="1" x14ac:dyDescent="0.3">
      <c r="A11" s="46"/>
      <c r="B11" s="37"/>
      <c r="C11" s="37" t="s">
        <v>48</v>
      </c>
      <c r="D11" s="46" t="s">
        <v>49</v>
      </c>
      <c r="E11" s="46" t="s">
        <v>50</v>
      </c>
      <c r="F11" s="46" t="s">
        <v>51</v>
      </c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</row>
    <row r="12" spans="1:60" ht="14.25" customHeight="1" x14ac:dyDescent="0.3">
      <c r="A12" s="46"/>
      <c r="B12" s="37"/>
      <c r="C12" s="46" t="s">
        <v>52</v>
      </c>
      <c r="D12" s="49">
        <v>30</v>
      </c>
      <c r="E12" s="49">
        <v>320</v>
      </c>
      <c r="F12" s="50">
        <v>7.4999999999999997E-2</v>
      </c>
      <c r="G12" s="46"/>
      <c r="H12" s="46"/>
      <c r="I12" s="46"/>
      <c r="J12" s="46">
        <v>0</v>
      </c>
      <c r="K12" s="46">
        <v>0</v>
      </c>
      <c r="L12" s="46">
        <v>0</v>
      </c>
      <c r="M12" s="46">
        <v>0</v>
      </c>
      <c r="N12" s="46">
        <v>0</v>
      </c>
      <c r="O12" s="46">
        <v>0</v>
      </c>
      <c r="P12" s="46">
        <v>0</v>
      </c>
      <c r="Q12" s="46">
        <v>0</v>
      </c>
      <c r="R12" s="46">
        <v>13</v>
      </c>
      <c r="S12" s="46">
        <v>16</v>
      </c>
      <c r="T12" s="46">
        <f t="shared" ref="T12:AI13" si="3">MIN(MAX($D12,S12)*(1+$F12)*T$8,$E12)</f>
        <v>32.25</v>
      </c>
      <c r="U12" s="46">
        <f t="shared" si="3"/>
        <v>34.668749999999996</v>
      </c>
      <c r="V12" s="46">
        <f t="shared" si="3"/>
        <v>37.268906249999993</v>
      </c>
      <c r="W12" s="46">
        <f t="shared" si="3"/>
        <v>40.064074218749994</v>
      </c>
      <c r="X12" s="46">
        <f t="shared" si="3"/>
        <v>43.068879785156241</v>
      </c>
      <c r="Y12" s="46">
        <f t="shared" si="3"/>
        <v>46.299045769042955</v>
      </c>
      <c r="Z12" s="46">
        <f t="shared" si="3"/>
        <v>49.771474201721176</v>
      </c>
      <c r="AA12" s="46">
        <f t="shared" si="3"/>
        <v>53.504334766850263</v>
      </c>
      <c r="AB12" s="46">
        <f t="shared" si="3"/>
        <v>57.517159874364033</v>
      </c>
      <c r="AC12" s="46">
        <f t="shared" si="3"/>
        <v>61.830946864941332</v>
      </c>
      <c r="AD12" s="46">
        <f t="shared" si="3"/>
        <v>66.468267879811933</v>
      </c>
      <c r="AE12" s="46">
        <f t="shared" si="3"/>
        <v>71.45338797079782</v>
      </c>
      <c r="AF12" s="46">
        <f t="shared" si="3"/>
        <v>76.81239206860765</v>
      </c>
      <c r="AG12" s="46">
        <f t="shared" si="3"/>
        <v>82.573321473753225</v>
      </c>
      <c r="AH12" s="46">
        <f t="shared" si="3"/>
        <v>88.766320584284713</v>
      </c>
      <c r="AI12" s="46">
        <f t="shared" si="3"/>
        <v>95.423794628106066</v>
      </c>
      <c r="AJ12" s="46">
        <f t="shared" ref="AJ12:AY13" si="4">MIN(MAX($D12,AI12)*(1+$F12)*AJ$8,$E12)</f>
        <v>102.58057922521402</v>
      </c>
      <c r="AK12" s="46">
        <f t="shared" si="4"/>
        <v>110.27412266710508</v>
      </c>
      <c r="AL12" s="46">
        <f t="shared" si="4"/>
        <v>118.54468186713795</v>
      </c>
      <c r="AM12" s="46">
        <f t="shared" si="4"/>
        <v>127.43553300717329</v>
      </c>
      <c r="AN12" s="46">
        <f t="shared" si="4"/>
        <v>136.99319798271128</v>
      </c>
      <c r="AO12" s="46">
        <f t="shared" si="4"/>
        <v>147.26768783141463</v>
      </c>
      <c r="AP12" s="46">
        <f t="shared" si="4"/>
        <v>158.31276441877071</v>
      </c>
      <c r="AQ12" s="46">
        <f t="shared" si="4"/>
        <v>170.1862217501785</v>
      </c>
      <c r="AR12" s="46">
        <f t="shared" si="4"/>
        <v>182.95018838144188</v>
      </c>
      <c r="AS12" s="46">
        <f t="shared" si="4"/>
        <v>196.67145251005002</v>
      </c>
      <c r="AT12" s="46">
        <f t="shared" si="4"/>
        <v>211.42181144830377</v>
      </c>
      <c r="AU12" s="46">
        <f t="shared" si="4"/>
        <v>227.27844730692655</v>
      </c>
      <c r="AV12" s="46">
        <f t="shared" si="4"/>
        <v>244.32433085494603</v>
      </c>
      <c r="AW12" s="46">
        <f t="shared" si="4"/>
        <v>262.64865566906695</v>
      </c>
      <c r="AX12" s="46">
        <f t="shared" si="4"/>
        <v>282.34730484424699</v>
      </c>
      <c r="AY12" s="46">
        <f t="shared" si="4"/>
        <v>303.52335270756549</v>
      </c>
      <c r="AZ12" s="46">
        <f t="shared" ref="AZ12:BH13" si="5">MIN(MAX($D12,AY12)*(1+$F12)*AZ$8,$E12)</f>
        <v>320</v>
      </c>
      <c r="BA12" s="46">
        <f t="shared" si="5"/>
        <v>320</v>
      </c>
      <c r="BB12" s="46">
        <f t="shared" si="5"/>
        <v>320</v>
      </c>
      <c r="BC12" s="46">
        <f t="shared" si="5"/>
        <v>320</v>
      </c>
      <c r="BD12" s="46">
        <f t="shared" si="5"/>
        <v>320</v>
      </c>
      <c r="BE12" s="46">
        <f t="shared" si="5"/>
        <v>320</v>
      </c>
      <c r="BF12" s="46">
        <f t="shared" si="5"/>
        <v>320</v>
      </c>
      <c r="BG12" s="46">
        <f t="shared" si="5"/>
        <v>320</v>
      </c>
      <c r="BH12" s="46">
        <f t="shared" si="5"/>
        <v>320</v>
      </c>
    </row>
    <row r="13" spans="1:60" ht="14.25" customHeight="1" x14ac:dyDescent="0.3">
      <c r="A13" s="46"/>
      <c r="B13" s="37"/>
      <c r="C13" s="46" t="s">
        <v>53</v>
      </c>
      <c r="D13" s="49">
        <v>450</v>
      </c>
      <c r="E13" s="49">
        <v>500</v>
      </c>
      <c r="F13" s="50">
        <v>0.02</v>
      </c>
      <c r="G13" s="46"/>
      <c r="H13" s="46"/>
      <c r="I13" s="46"/>
      <c r="J13" s="46">
        <f>MIN(MAX($D13,I13)*(1+$F13)*J$8,$E13)</f>
        <v>0</v>
      </c>
      <c r="K13" s="46">
        <f t="shared" ref="K13:Y13" si="6">MIN(MAX($D13,J13)*(1+$F13)*K$8,$E13)</f>
        <v>0</v>
      </c>
      <c r="L13" s="46">
        <f t="shared" si="6"/>
        <v>0</v>
      </c>
      <c r="M13" s="46">
        <f t="shared" si="6"/>
        <v>0</v>
      </c>
      <c r="N13" s="46">
        <f t="shared" si="6"/>
        <v>0</v>
      </c>
      <c r="O13" s="46">
        <f t="shared" si="6"/>
        <v>0</v>
      </c>
      <c r="P13" s="46">
        <f t="shared" si="6"/>
        <v>0</v>
      </c>
      <c r="Q13" s="46">
        <f t="shared" si="6"/>
        <v>0</v>
      </c>
      <c r="R13" s="46">
        <v>609</v>
      </c>
      <c r="S13" s="46">
        <v>474</v>
      </c>
      <c r="T13" s="46">
        <f t="shared" si="6"/>
        <v>483.48</v>
      </c>
      <c r="U13" s="46">
        <f t="shared" si="6"/>
        <v>493.14960000000002</v>
      </c>
      <c r="V13" s="46">
        <f t="shared" si="6"/>
        <v>500</v>
      </c>
      <c r="W13" s="46">
        <f t="shared" si="6"/>
        <v>500</v>
      </c>
      <c r="X13" s="46">
        <f t="shared" si="6"/>
        <v>500</v>
      </c>
      <c r="Y13" s="46">
        <f t="shared" si="6"/>
        <v>500</v>
      </c>
      <c r="Z13" s="46">
        <f t="shared" si="3"/>
        <v>500</v>
      </c>
      <c r="AA13" s="46">
        <f t="shared" si="3"/>
        <v>500</v>
      </c>
      <c r="AB13" s="46">
        <f t="shared" si="3"/>
        <v>500</v>
      </c>
      <c r="AC13" s="46">
        <f t="shared" si="3"/>
        <v>500</v>
      </c>
      <c r="AD13" s="46">
        <f t="shared" si="3"/>
        <v>500</v>
      </c>
      <c r="AE13" s="46">
        <f t="shared" si="3"/>
        <v>500</v>
      </c>
      <c r="AF13" s="46">
        <f t="shared" si="3"/>
        <v>500</v>
      </c>
      <c r="AG13" s="46">
        <f t="shared" si="3"/>
        <v>500</v>
      </c>
      <c r="AH13" s="46">
        <f t="shared" si="3"/>
        <v>500</v>
      </c>
      <c r="AI13" s="46">
        <f t="shared" si="3"/>
        <v>500</v>
      </c>
      <c r="AJ13" s="46">
        <f t="shared" si="4"/>
        <v>500</v>
      </c>
      <c r="AK13" s="46">
        <f t="shared" si="4"/>
        <v>500</v>
      </c>
      <c r="AL13" s="46">
        <f t="shared" si="4"/>
        <v>500</v>
      </c>
      <c r="AM13" s="46">
        <f t="shared" si="4"/>
        <v>500</v>
      </c>
      <c r="AN13" s="46">
        <f t="shared" si="4"/>
        <v>500</v>
      </c>
      <c r="AO13" s="46">
        <f t="shared" si="4"/>
        <v>500</v>
      </c>
      <c r="AP13" s="46">
        <f t="shared" si="4"/>
        <v>500</v>
      </c>
      <c r="AQ13" s="46">
        <f t="shared" si="4"/>
        <v>500</v>
      </c>
      <c r="AR13" s="46">
        <f t="shared" si="4"/>
        <v>500</v>
      </c>
      <c r="AS13" s="46">
        <f t="shared" si="4"/>
        <v>500</v>
      </c>
      <c r="AT13" s="46">
        <f t="shared" si="4"/>
        <v>500</v>
      </c>
      <c r="AU13" s="46">
        <f t="shared" si="4"/>
        <v>500</v>
      </c>
      <c r="AV13" s="46">
        <f t="shared" si="4"/>
        <v>500</v>
      </c>
      <c r="AW13" s="46">
        <f t="shared" si="4"/>
        <v>500</v>
      </c>
      <c r="AX13" s="46">
        <f t="shared" si="4"/>
        <v>500</v>
      </c>
      <c r="AY13" s="46">
        <f t="shared" si="4"/>
        <v>500</v>
      </c>
      <c r="AZ13" s="46">
        <f t="shared" si="5"/>
        <v>500</v>
      </c>
      <c r="BA13" s="46">
        <f t="shared" si="5"/>
        <v>500</v>
      </c>
      <c r="BB13" s="46">
        <f t="shared" si="5"/>
        <v>500</v>
      </c>
      <c r="BC13" s="46">
        <f t="shared" si="5"/>
        <v>500</v>
      </c>
      <c r="BD13" s="46">
        <f t="shared" si="5"/>
        <v>500</v>
      </c>
      <c r="BE13" s="46">
        <f t="shared" si="5"/>
        <v>500</v>
      </c>
      <c r="BF13" s="46">
        <f t="shared" si="5"/>
        <v>500</v>
      </c>
      <c r="BG13" s="46">
        <f t="shared" si="5"/>
        <v>500</v>
      </c>
      <c r="BH13" s="46">
        <f t="shared" si="5"/>
        <v>500</v>
      </c>
    </row>
    <row r="14" spans="1:60" ht="14.25" customHeight="1" x14ac:dyDescent="0.3">
      <c r="A14" s="46"/>
      <c r="B14" s="37"/>
      <c r="C14" s="46" t="s">
        <v>54</v>
      </c>
      <c r="D14" s="46"/>
      <c r="E14" s="46"/>
      <c r="F14" s="46"/>
      <c r="G14" s="46"/>
      <c r="H14" s="46"/>
      <c r="I14" s="46"/>
      <c r="J14" s="51">
        <f t="shared" ref="J14:BH14" si="7">J12*J13</f>
        <v>0</v>
      </c>
      <c r="K14" s="51">
        <f t="shared" si="7"/>
        <v>0</v>
      </c>
      <c r="L14" s="51">
        <f t="shared" si="7"/>
        <v>0</v>
      </c>
      <c r="M14" s="51">
        <f t="shared" si="7"/>
        <v>0</v>
      </c>
      <c r="N14" s="51">
        <f t="shared" si="7"/>
        <v>0</v>
      </c>
      <c r="O14" s="51">
        <f t="shared" si="7"/>
        <v>0</v>
      </c>
      <c r="P14" s="51">
        <f t="shared" si="7"/>
        <v>0</v>
      </c>
      <c r="Q14" s="51">
        <f t="shared" si="7"/>
        <v>0</v>
      </c>
      <c r="R14" s="51">
        <f t="shared" si="7"/>
        <v>7917</v>
      </c>
      <c r="S14" s="51">
        <f t="shared" si="7"/>
        <v>7584</v>
      </c>
      <c r="T14" s="51">
        <f t="shared" si="7"/>
        <v>15592.230000000001</v>
      </c>
      <c r="U14" s="51">
        <f t="shared" si="7"/>
        <v>17096.880194999998</v>
      </c>
      <c r="V14" s="51">
        <f t="shared" si="7"/>
        <v>18634.453124999996</v>
      </c>
      <c r="W14" s="51">
        <f t="shared" si="7"/>
        <v>20032.037109374996</v>
      </c>
      <c r="X14" s="51">
        <f t="shared" si="7"/>
        <v>21534.439892578121</v>
      </c>
      <c r="Y14" s="51">
        <f t="shared" si="7"/>
        <v>23149.522884521477</v>
      </c>
      <c r="Z14" s="51">
        <f t="shared" si="7"/>
        <v>24885.737100860588</v>
      </c>
      <c r="AA14" s="51">
        <f t="shared" si="7"/>
        <v>26752.167383425131</v>
      </c>
      <c r="AB14" s="51">
        <f t="shared" si="7"/>
        <v>28758.579937182018</v>
      </c>
      <c r="AC14" s="51">
        <f t="shared" si="7"/>
        <v>30915.473432470666</v>
      </c>
      <c r="AD14" s="51">
        <f t="shared" si="7"/>
        <v>33234.133939905965</v>
      </c>
      <c r="AE14" s="51">
        <f t="shared" si="7"/>
        <v>35726.69398539891</v>
      </c>
      <c r="AF14" s="51">
        <f t="shared" si="7"/>
        <v>38406.196034303823</v>
      </c>
      <c r="AG14" s="51">
        <f t="shared" si="7"/>
        <v>41286.660736876613</v>
      </c>
      <c r="AH14" s="51">
        <f t="shared" si="7"/>
        <v>44383.160292142355</v>
      </c>
      <c r="AI14" s="51">
        <f t="shared" si="7"/>
        <v>47711.897314053036</v>
      </c>
      <c r="AJ14" s="51">
        <f t="shared" si="7"/>
        <v>51290.289612607012</v>
      </c>
      <c r="AK14" s="51">
        <f t="shared" si="7"/>
        <v>55137.061333552541</v>
      </c>
      <c r="AL14" s="51">
        <f t="shared" si="7"/>
        <v>59272.340933568979</v>
      </c>
      <c r="AM14" s="51">
        <f t="shared" si="7"/>
        <v>63717.766503586645</v>
      </c>
      <c r="AN14" s="51">
        <f t="shared" si="7"/>
        <v>68496.59899135564</v>
      </c>
      <c r="AO14" s="51">
        <f t="shared" si="7"/>
        <v>73633.843915707315</v>
      </c>
      <c r="AP14" s="51">
        <f t="shared" si="7"/>
        <v>79156.382209385352</v>
      </c>
      <c r="AQ14" s="51">
        <f t="shared" si="7"/>
        <v>85093.110875089245</v>
      </c>
      <c r="AR14" s="51">
        <f t="shared" si="7"/>
        <v>91475.094190720934</v>
      </c>
      <c r="AS14" s="51">
        <f t="shared" si="7"/>
        <v>98335.726255025002</v>
      </c>
      <c r="AT14" s="51">
        <f t="shared" si="7"/>
        <v>105710.90572415189</v>
      </c>
      <c r="AU14" s="51">
        <f t="shared" si="7"/>
        <v>113639.22365346328</v>
      </c>
      <c r="AV14" s="51">
        <f t="shared" si="7"/>
        <v>122162.16542747301</v>
      </c>
      <c r="AW14" s="51">
        <f t="shared" si="7"/>
        <v>131324.32783453347</v>
      </c>
      <c r="AX14" s="51">
        <f t="shared" si="7"/>
        <v>141173.6524221235</v>
      </c>
      <c r="AY14" s="51">
        <f t="shared" si="7"/>
        <v>151761.67635378274</v>
      </c>
      <c r="AZ14" s="51">
        <f t="shared" si="7"/>
        <v>160000</v>
      </c>
      <c r="BA14" s="51">
        <f t="shared" si="7"/>
        <v>160000</v>
      </c>
      <c r="BB14" s="51">
        <f t="shared" si="7"/>
        <v>160000</v>
      </c>
      <c r="BC14" s="51">
        <f t="shared" si="7"/>
        <v>160000</v>
      </c>
      <c r="BD14" s="51">
        <f t="shared" si="7"/>
        <v>160000</v>
      </c>
      <c r="BE14" s="51">
        <f t="shared" si="7"/>
        <v>160000</v>
      </c>
      <c r="BF14" s="51">
        <f t="shared" si="7"/>
        <v>160000</v>
      </c>
      <c r="BG14" s="51">
        <f t="shared" si="7"/>
        <v>160000</v>
      </c>
      <c r="BH14" s="51">
        <f t="shared" si="7"/>
        <v>160000</v>
      </c>
    </row>
    <row r="15" spans="1:60" ht="14.25" customHeight="1" x14ac:dyDescent="0.3">
      <c r="A15" s="46"/>
      <c r="B15" s="37"/>
      <c r="C15" s="46"/>
      <c r="D15" s="48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</row>
    <row r="16" spans="1:60" ht="14.25" customHeight="1" x14ac:dyDescent="0.3">
      <c r="A16" s="46"/>
      <c r="B16" s="37"/>
      <c r="C16" s="46" t="s">
        <v>55</v>
      </c>
      <c r="D16" s="49">
        <f>-D13*0.3</f>
        <v>-135</v>
      </c>
      <c r="E16" s="46"/>
      <c r="F16" s="46"/>
      <c r="G16" s="46"/>
      <c r="H16" s="46"/>
      <c r="I16" s="46"/>
      <c r="J16" s="46">
        <f t="shared" ref="J16:R16" si="8">-J14*0.4</f>
        <v>0</v>
      </c>
      <c r="K16" s="46">
        <f t="shared" si="8"/>
        <v>0</v>
      </c>
      <c r="L16" s="46">
        <f t="shared" si="8"/>
        <v>0</v>
      </c>
      <c r="M16" s="46">
        <f t="shared" si="8"/>
        <v>0</v>
      </c>
      <c r="N16" s="46">
        <f t="shared" si="8"/>
        <v>0</v>
      </c>
      <c r="O16" s="46">
        <f t="shared" si="8"/>
        <v>0</v>
      </c>
      <c r="P16" s="46">
        <f t="shared" si="8"/>
        <v>0</v>
      </c>
      <c r="Q16" s="46">
        <f t="shared" si="8"/>
        <v>0</v>
      </c>
      <c r="R16" s="46">
        <f t="shared" si="8"/>
        <v>-3166.8</v>
      </c>
      <c r="S16" s="46">
        <f>-S14*0.4</f>
        <v>-3033.6000000000004</v>
      </c>
      <c r="T16" s="46">
        <f t="shared" ref="T16:BH16" si="9">T12*$D16</f>
        <v>-4353.75</v>
      </c>
      <c r="U16" s="46">
        <f t="shared" si="9"/>
        <v>-4680.2812499999991</v>
      </c>
      <c r="V16" s="46">
        <f t="shared" si="9"/>
        <v>-5031.3023437499987</v>
      </c>
      <c r="W16" s="46">
        <f t="shared" si="9"/>
        <v>-5408.6500195312492</v>
      </c>
      <c r="X16" s="46">
        <f t="shared" si="9"/>
        <v>-5814.2987709960926</v>
      </c>
      <c r="Y16" s="46">
        <f t="shared" si="9"/>
        <v>-6250.3711788207993</v>
      </c>
      <c r="Z16" s="46">
        <f t="shared" si="9"/>
        <v>-6719.1490172323583</v>
      </c>
      <c r="AA16" s="46">
        <f t="shared" si="9"/>
        <v>-7223.0851935247856</v>
      </c>
      <c r="AB16" s="46">
        <f t="shared" si="9"/>
        <v>-7764.8165830391445</v>
      </c>
      <c r="AC16" s="46">
        <f t="shared" si="9"/>
        <v>-8347.1778267670798</v>
      </c>
      <c r="AD16" s="46">
        <f t="shared" si="9"/>
        <v>-8973.2161637746103</v>
      </c>
      <c r="AE16" s="46">
        <f t="shared" si="9"/>
        <v>-9646.2073760577059</v>
      </c>
      <c r="AF16" s="46">
        <f t="shared" si="9"/>
        <v>-10369.672929262033</v>
      </c>
      <c r="AG16" s="46">
        <f t="shared" si="9"/>
        <v>-11147.398398956686</v>
      </c>
      <c r="AH16" s="46">
        <f t="shared" si="9"/>
        <v>-11983.453278878436</v>
      </c>
      <c r="AI16" s="46">
        <f t="shared" si="9"/>
        <v>-12882.212274794319</v>
      </c>
      <c r="AJ16" s="46">
        <f t="shared" si="9"/>
        <v>-13848.378195403893</v>
      </c>
      <c r="AK16" s="46">
        <f t="shared" si="9"/>
        <v>-14887.006560059184</v>
      </c>
      <c r="AL16" s="46">
        <f t="shared" si="9"/>
        <v>-16003.532052063623</v>
      </c>
      <c r="AM16" s="46">
        <f t="shared" si="9"/>
        <v>-17203.796955968395</v>
      </c>
      <c r="AN16" s="46">
        <f t="shared" si="9"/>
        <v>-18494.081727666024</v>
      </c>
      <c r="AO16" s="46">
        <f t="shared" si="9"/>
        <v>-19881.137857240974</v>
      </c>
      <c r="AP16" s="46">
        <f t="shared" si="9"/>
        <v>-21372.223196534047</v>
      </c>
      <c r="AQ16" s="46">
        <f t="shared" si="9"/>
        <v>-22975.139936274099</v>
      </c>
      <c r="AR16" s="46">
        <f t="shared" si="9"/>
        <v>-24698.275431494654</v>
      </c>
      <c r="AS16" s="46">
        <f t="shared" si="9"/>
        <v>-26550.646088856753</v>
      </c>
      <c r="AT16" s="46">
        <f t="shared" si="9"/>
        <v>-28541.944545521008</v>
      </c>
      <c r="AU16" s="46">
        <f t="shared" si="9"/>
        <v>-30682.590386435084</v>
      </c>
      <c r="AV16" s="46">
        <f t="shared" si="9"/>
        <v>-32983.784665417712</v>
      </c>
      <c r="AW16" s="46">
        <f t="shared" si="9"/>
        <v>-35457.568515324041</v>
      </c>
      <c r="AX16" s="46">
        <f t="shared" si="9"/>
        <v>-38116.886153973341</v>
      </c>
      <c r="AY16" s="46">
        <f t="shared" si="9"/>
        <v>-40975.652615521343</v>
      </c>
      <c r="AZ16" s="46">
        <f t="shared" si="9"/>
        <v>-43200</v>
      </c>
      <c r="BA16" s="46">
        <f t="shared" si="9"/>
        <v>-43200</v>
      </c>
      <c r="BB16" s="46">
        <f t="shared" si="9"/>
        <v>-43200</v>
      </c>
      <c r="BC16" s="46">
        <f t="shared" si="9"/>
        <v>-43200</v>
      </c>
      <c r="BD16" s="46">
        <f t="shared" si="9"/>
        <v>-43200</v>
      </c>
      <c r="BE16" s="46">
        <f t="shared" si="9"/>
        <v>-43200</v>
      </c>
      <c r="BF16" s="46">
        <f t="shared" si="9"/>
        <v>-43200</v>
      </c>
      <c r="BG16" s="46">
        <f t="shared" si="9"/>
        <v>-43200</v>
      </c>
      <c r="BH16" s="46">
        <f t="shared" si="9"/>
        <v>-43200</v>
      </c>
    </row>
    <row r="17" spans="1:60" ht="14.25" customHeight="1" x14ac:dyDescent="0.3">
      <c r="A17" s="46"/>
      <c r="B17" s="37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</row>
    <row r="18" spans="1:60" ht="14.25" customHeight="1" x14ac:dyDescent="0.3">
      <c r="A18" s="46"/>
      <c r="B18" s="37"/>
      <c r="C18" s="37" t="s">
        <v>267</v>
      </c>
      <c r="D18" s="46" t="s">
        <v>49</v>
      </c>
      <c r="E18" s="46" t="s">
        <v>50</v>
      </c>
      <c r="F18" s="46" t="s">
        <v>51</v>
      </c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</row>
    <row r="19" spans="1:60" ht="14.25" customHeight="1" x14ac:dyDescent="0.3">
      <c r="A19" s="46"/>
      <c r="B19" s="37"/>
      <c r="C19" s="46" t="s">
        <v>268</v>
      </c>
      <c r="D19" s="49">
        <v>10</v>
      </c>
      <c r="E19" s="49">
        <v>80</v>
      </c>
      <c r="F19" s="50">
        <v>2.5000000000000001E-2</v>
      </c>
      <c r="G19" s="46"/>
      <c r="H19" s="46"/>
      <c r="I19" s="46"/>
      <c r="J19" s="46">
        <v>0</v>
      </c>
      <c r="K19" s="46">
        <v>0</v>
      </c>
      <c r="L19" s="46">
        <v>0</v>
      </c>
      <c r="M19" s="46">
        <v>0</v>
      </c>
      <c r="N19" s="46">
        <v>0</v>
      </c>
      <c r="O19" s="46">
        <v>0</v>
      </c>
      <c r="P19" s="46">
        <v>0</v>
      </c>
      <c r="Q19" s="46">
        <v>27</v>
      </c>
      <c r="R19" s="46">
        <v>22</v>
      </c>
      <c r="S19" s="46">
        <v>37</v>
      </c>
      <c r="T19" s="46">
        <f t="shared" ref="T19:AI20" si="10">MIN(MAX($D19,S19)*(1+$F19)*T$8,$E19)</f>
        <v>37.924999999999997</v>
      </c>
      <c r="U19" s="46">
        <f t="shared" si="10"/>
        <v>38.873124999999995</v>
      </c>
      <c r="V19" s="46">
        <f t="shared" si="10"/>
        <v>39.844953124999989</v>
      </c>
      <c r="W19" s="46">
        <f t="shared" si="10"/>
        <v>40.841076953124983</v>
      </c>
      <c r="X19" s="46">
        <f t="shared" si="10"/>
        <v>41.862103876953107</v>
      </c>
      <c r="Y19" s="46">
        <f t="shared" si="10"/>
        <v>42.908656473876931</v>
      </c>
      <c r="Z19" s="46">
        <f t="shared" si="10"/>
        <v>43.98137288572385</v>
      </c>
      <c r="AA19" s="46">
        <f t="shared" si="10"/>
        <v>45.080907207866943</v>
      </c>
      <c r="AB19" s="46">
        <f t="shared" si="10"/>
        <v>46.20792988806361</v>
      </c>
      <c r="AC19" s="46">
        <f t="shared" si="10"/>
        <v>47.3631281352652</v>
      </c>
      <c r="AD19" s="46">
        <f t="shared" si="10"/>
        <v>48.547206338646824</v>
      </c>
      <c r="AE19" s="46">
        <f t="shared" si="10"/>
        <v>49.760886497112992</v>
      </c>
      <c r="AF19" s="46">
        <f t="shared" si="10"/>
        <v>51.00490865954081</v>
      </c>
      <c r="AG19" s="46">
        <f t="shared" si="10"/>
        <v>52.280031376029328</v>
      </c>
      <c r="AH19" s="46">
        <f t="shared" si="10"/>
        <v>53.587032160430056</v>
      </c>
      <c r="AI19" s="46">
        <f t="shared" si="10"/>
        <v>54.926707964440801</v>
      </c>
      <c r="AJ19" s="46">
        <f t="shared" ref="AJ19:AY20" si="11">MIN(MAX($D19,AI19)*(1+$F19)*AJ$8,$E19)</f>
        <v>56.299875663551816</v>
      </c>
      <c r="AK19" s="46">
        <f t="shared" si="11"/>
        <v>57.707372555140608</v>
      </c>
      <c r="AL19" s="46">
        <f t="shared" si="11"/>
        <v>59.150056869019117</v>
      </c>
      <c r="AM19" s="46">
        <f t="shared" si="11"/>
        <v>60.628808290744587</v>
      </c>
      <c r="AN19" s="46">
        <f t="shared" si="11"/>
        <v>62.144528498013194</v>
      </c>
      <c r="AO19" s="46">
        <f t="shared" si="11"/>
        <v>63.698141710463517</v>
      </c>
      <c r="AP19" s="46">
        <f t="shared" si="11"/>
        <v>65.290595253225106</v>
      </c>
      <c r="AQ19" s="46">
        <f t="shared" si="11"/>
        <v>66.922860134555734</v>
      </c>
      <c r="AR19" s="46">
        <f t="shared" si="11"/>
        <v>68.59593163791962</v>
      </c>
      <c r="AS19" s="46">
        <f t="shared" si="11"/>
        <v>70.310829928867605</v>
      </c>
      <c r="AT19" s="46">
        <f t="shared" si="11"/>
        <v>72.068600677089293</v>
      </c>
      <c r="AU19" s="46">
        <f t="shared" si="11"/>
        <v>73.870315694016526</v>
      </c>
      <c r="AV19" s="46">
        <f t="shared" si="11"/>
        <v>75.717073586366936</v>
      </c>
      <c r="AW19" s="46">
        <f t="shared" si="11"/>
        <v>77.610000426026104</v>
      </c>
      <c r="AX19" s="46">
        <f t="shared" si="11"/>
        <v>79.550250436676748</v>
      </c>
      <c r="AY19" s="46">
        <f t="shared" si="11"/>
        <v>80</v>
      </c>
      <c r="AZ19" s="46">
        <f t="shared" ref="AZ19:BH20" si="12">MIN(MAX($D19,AY19)*(1+$F19)*AZ$8,$E19)</f>
        <v>80</v>
      </c>
      <c r="BA19" s="46">
        <f t="shared" si="12"/>
        <v>80</v>
      </c>
      <c r="BB19" s="46">
        <f t="shared" si="12"/>
        <v>80</v>
      </c>
      <c r="BC19" s="46">
        <f t="shared" si="12"/>
        <v>80</v>
      </c>
      <c r="BD19" s="46">
        <f t="shared" si="12"/>
        <v>80</v>
      </c>
      <c r="BE19" s="46">
        <f t="shared" si="12"/>
        <v>80</v>
      </c>
      <c r="BF19" s="46">
        <f t="shared" si="12"/>
        <v>80</v>
      </c>
      <c r="BG19" s="46">
        <f t="shared" si="12"/>
        <v>80</v>
      </c>
      <c r="BH19" s="46">
        <f t="shared" si="12"/>
        <v>80</v>
      </c>
    </row>
    <row r="20" spans="1:60" ht="14.25" customHeight="1" x14ac:dyDescent="0.3">
      <c r="A20" s="46"/>
      <c r="B20" s="37"/>
      <c r="C20" s="46" t="s">
        <v>53</v>
      </c>
      <c r="D20" s="49">
        <v>375</v>
      </c>
      <c r="E20" s="49">
        <v>375</v>
      </c>
      <c r="F20" s="50">
        <v>0</v>
      </c>
      <c r="G20" s="46"/>
      <c r="H20" s="46"/>
      <c r="I20" s="46"/>
      <c r="J20" s="46">
        <f>MIN(MAX($D20,I20)*(1+$F20)*J$8,$E20)</f>
        <v>0</v>
      </c>
      <c r="K20" s="46">
        <f t="shared" ref="K20:Y20" si="13">MIN(MAX($D20,J20)*(1+$F20)*K$8,$E20)</f>
        <v>0</v>
      </c>
      <c r="L20" s="46">
        <f t="shared" si="13"/>
        <v>0</v>
      </c>
      <c r="M20" s="46">
        <f t="shared" si="13"/>
        <v>0</v>
      </c>
      <c r="N20" s="46">
        <f t="shared" si="13"/>
        <v>0</v>
      </c>
      <c r="O20" s="46">
        <f t="shared" si="13"/>
        <v>0</v>
      </c>
      <c r="P20" s="46">
        <f t="shared" si="13"/>
        <v>0</v>
      </c>
      <c r="Q20" s="46">
        <v>398.55</v>
      </c>
      <c r="R20" s="46">
        <v>276</v>
      </c>
      <c r="S20" s="46">
        <v>275</v>
      </c>
      <c r="T20" s="46">
        <f t="shared" si="13"/>
        <v>375</v>
      </c>
      <c r="U20" s="46">
        <f t="shared" si="13"/>
        <v>375</v>
      </c>
      <c r="V20" s="46">
        <f t="shared" si="13"/>
        <v>375</v>
      </c>
      <c r="W20" s="46">
        <f t="shared" si="13"/>
        <v>375</v>
      </c>
      <c r="X20" s="46">
        <f t="shared" si="13"/>
        <v>375</v>
      </c>
      <c r="Y20" s="46">
        <f t="shared" si="13"/>
        <v>375</v>
      </c>
      <c r="Z20" s="46">
        <f t="shared" si="10"/>
        <v>375</v>
      </c>
      <c r="AA20" s="46">
        <f t="shared" si="10"/>
        <v>375</v>
      </c>
      <c r="AB20" s="46">
        <f t="shared" si="10"/>
        <v>375</v>
      </c>
      <c r="AC20" s="46">
        <f t="shared" si="10"/>
        <v>375</v>
      </c>
      <c r="AD20" s="46">
        <f t="shared" si="10"/>
        <v>375</v>
      </c>
      <c r="AE20" s="46">
        <f t="shared" si="10"/>
        <v>375</v>
      </c>
      <c r="AF20" s="46">
        <f t="shared" si="10"/>
        <v>375</v>
      </c>
      <c r="AG20" s="46">
        <f t="shared" si="10"/>
        <v>375</v>
      </c>
      <c r="AH20" s="46">
        <f t="shared" si="10"/>
        <v>375</v>
      </c>
      <c r="AI20" s="46">
        <f t="shared" si="10"/>
        <v>375</v>
      </c>
      <c r="AJ20" s="46">
        <f t="shared" si="11"/>
        <v>375</v>
      </c>
      <c r="AK20" s="46">
        <f t="shared" si="11"/>
        <v>375</v>
      </c>
      <c r="AL20" s="46">
        <f t="shared" si="11"/>
        <v>375</v>
      </c>
      <c r="AM20" s="46">
        <f t="shared" si="11"/>
        <v>375</v>
      </c>
      <c r="AN20" s="46">
        <f t="shared" si="11"/>
        <v>375</v>
      </c>
      <c r="AO20" s="46">
        <f t="shared" si="11"/>
        <v>375</v>
      </c>
      <c r="AP20" s="46">
        <f t="shared" si="11"/>
        <v>375</v>
      </c>
      <c r="AQ20" s="46">
        <f t="shared" si="11"/>
        <v>375</v>
      </c>
      <c r="AR20" s="46">
        <f t="shared" si="11"/>
        <v>375</v>
      </c>
      <c r="AS20" s="46">
        <f t="shared" si="11"/>
        <v>375</v>
      </c>
      <c r="AT20" s="46">
        <f t="shared" si="11"/>
        <v>375</v>
      </c>
      <c r="AU20" s="46">
        <f t="shared" si="11"/>
        <v>375</v>
      </c>
      <c r="AV20" s="46">
        <f t="shared" si="11"/>
        <v>375</v>
      </c>
      <c r="AW20" s="46">
        <f t="shared" si="11"/>
        <v>375</v>
      </c>
      <c r="AX20" s="46">
        <f t="shared" si="11"/>
        <v>375</v>
      </c>
      <c r="AY20" s="46">
        <f t="shared" si="11"/>
        <v>375</v>
      </c>
      <c r="AZ20" s="46">
        <f t="shared" si="12"/>
        <v>375</v>
      </c>
      <c r="BA20" s="46">
        <f t="shared" si="12"/>
        <v>375</v>
      </c>
      <c r="BB20" s="46">
        <f t="shared" si="12"/>
        <v>375</v>
      </c>
      <c r="BC20" s="46">
        <f t="shared" si="12"/>
        <v>375</v>
      </c>
      <c r="BD20" s="46">
        <f t="shared" si="12"/>
        <v>375</v>
      </c>
      <c r="BE20" s="46">
        <f t="shared" si="12"/>
        <v>375</v>
      </c>
      <c r="BF20" s="46">
        <f t="shared" si="12"/>
        <v>375</v>
      </c>
      <c r="BG20" s="46">
        <f t="shared" si="12"/>
        <v>375</v>
      </c>
      <c r="BH20" s="46">
        <f t="shared" si="12"/>
        <v>375</v>
      </c>
    </row>
    <row r="21" spans="1:60" ht="14.25" customHeight="1" x14ac:dyDescent="0.3">
      <c r="A21" s="46"/>
      <c r="B21" s="37"/>
      <c r="C21" s="46" t="s">
        <v>269</v>
      </c>
      <c r="D21" s="46"/>
      <c r="E21" s="46"/>
      <c r="F21" s="46"/>
      <c r="G21" s="46"/>
      <c r="H21" s="46"/>
      <c r="I21" s="46"/>
      <c r="J21" s="51">
        <f t="shared" ref="J21:BH21" si="14">J19*J20</f>
        <v>0</v>
      </c>
      <c r="K21" s="51">
        <f t="shared" si="14"/>
        <v>0</v>
      </c>
      <c r="L21" s="51">
        <f t="shared" si="14"/>
        <v>0</v>
      </c>
      <c r="M21" s="51">
        <f t="shared" si="14"/>
        <v>0</v>
      </c>
      <c r="N21" s="51">
        <f t="shared" si="14"/>
        <v>0</v>
      </c>
      <c r="O21" s="51">
        <f t="shared" si="14"/>
        <v>0</v>
      </c>
      <c r="P21" s="51">
        <f t="shared" si="14"/>
        <v>0</v>
      </c>
      <c r="Q21" s="51">
        <f t="shared" si="14"/>
        <v>10760.85</v>
      </c>
      <c r="R21" s="51">
        <f t="shared" si="14"/>
        <v>6072</v>
      </c>
      <c r="S21" s="51">
        <f t="shared" si="14"/>
        <v>10175</v>
      </c>
      <c r="T21" s="51">
        <f t="shared" si="14"/>
        <v>14221.874999999998</v>
      </c>
      <c r="U21" s="51">
        <f t="shared" si="14"/>
        <v>14577.421874999998</v>
      </c>
      <c r="V21" s="51">
        <f t="shared" si="14"/>
        <v>14941.857421874996</v>
      </c>
      <c r="W21" s="51">
        <f t="shared" si="14"/>
        <v>15315.403857421868</v>
      </c>
      <c r="X21" s="51">
        <f t="shared" si="14"/>
        <v>15698.288953857415</v>
      </c>
      <c r="Y21" s="51">
        <f t="shared" si="14"/>
        <v>16090.74617770385</v>
      </c>
      <c r="Z21" s="51">
        <f t="shared" si="14"/>
        <v>16493.014832146444</v>
      </c>
      <c r="AA21" s="51">
        <f t="shared" si="14"/>
        <v>16905.340202950105</v>
      </c>
      <c r="AB21" s="51">
        <f t="shared" si="14"/>
        <v>17327.973708023856</v>
      </c>
      <c r="AC21" s="51">
        <f t="shared" si="14"/>
        <v>17761.17305072445</v>
      </c>
      <c r="AD21" s="51">
        <f t="shared" si="14"/>
        <v>18205.202376992558</v>
      </c>
      <c r="AE21" s="51">
        <f t="shared" si="14"/>
        <v>18660.332436417371</v>
      </c>
      <c r="AF21" s="51">
        <f t="shared" si="14"/>
        <v>19126.840747327802</v>
      </c>
      <c r="AG21" s="51">
        <f t="shared" si="14"/>
        <v>19605.011766010997</v>
      </c>
      <c r="AH21" s="51">
        <f t="shared" si="14"/>
        <v>20095.137060161273</v>
      </c>
      <c r="AI21" s="51">
        <f t="shared" si="14"/>
        <v>20597.515486665299</v>
      </c>
      <c r="AJ21" s="51">
        <f t="shared" si="14"/>
        <v>21112.45337383193</v>
      </c>
      <c r="AK21" s="51">
        <f t="shared" si="14"/>
        <v>21640.264708177729</v>
      </c>
      <c r="AL21" s="51">
        <f t="shared" si="14"/>
        <v>22181.271325882168</v>
      </c>
      <c r="AM21" s="51">
        <f t="shared" si="14"/>
        <v>22735.803109029221</v>
      </c>
      <c r="AN21" s="51">
        <f t="shared" si="14"/>
        <v>23304.198186754948</v>
      </c>
      <c r="AO21" s="51">
        <f t="shared" si="14"/>
        <v>23886.803141423818</v>
      </c>
      <c r="AP21" s="51">
        <f t="shared" si="14"/>
        <v>24483.973219959415</v>
      </c>
      <c r="AQ21" s="51">
        <f t="shared" si="14"/>
        <v>25096.072550458401</v>
      </c>
      <c r="AR21" s="51">
        <f t="shared" si="14"/>
        <v>25723.474364219859</v>
      </c>
      <c r="AS21" s="51">
        <f t="shared" si="14"/>
        <v>26366.561223325352</v>
      </c>
      <c r="AT21" s="51">
        <f t="shared" si="14"/>
        <v>27025.725253908484</v>
      </c>
      <c r="AU21" s="51">
        <f t="shared" si="14"/>
        <v>27701.368385256199</v>
      </c>
      <c r="AV21" s="51">
        <f t="shared" si="14"/>
        <v>28393.902594887601</v>
      </c>
      <c r="AW21" s="51">
        <f t="shared" si="14"/>
        <v>29103.750159759787</v>
      </c>
      <c r="AX21" s="51">
        <f t="shared" si="14"/>
        <v>29831.343913753779</v>
      </c>
      <c r="AY21" s="51">
        <f t="shared" si="14"/>
        <v>30000</v>
      </c>
      <c r="AZ21" s="51">
        <f t="shared" si="14"/>
        <v>30000</v>
      </c>
      <c r="BA21" s="51">
        <f t="shared" si="14"/>
        <v>30000</v>
      </c>
      <c r="BB21" s="51">
        <f t="shared" si="14"/>
        <v>30000</v>
      </c>
      <c r="BC21" s="51">
        <f t="shared" si="14"/>
        <v>30000</v>
      </c>
      <c r="BD21" s="51">
        <f t="shared" si="14"/>
        <v>30000</v>
      </c>
      <c r="BE21" s="51">
        <f t="shared" si="14"/>
        <v>30000</v>
      </c>
      <c r="BF21" s="51">
        <f t="shared" si="14"/>
        <v>30000</v>
      </c>
      <c r="BG21" s="51">
        <f t="shared" si="14"/>
        <v>30000</v>
      </c>
      <c r="BH21" s="51">
        <f t="shared" si="14"/>
        <v>30000</v>
      </c>
    </row>
    <row r="22" spans="1:60" ht="14.25" customHeight="1" x14ac:dyDescent="0.3">
      <c r="A22" s="46"/>
      <c r="B22" s="37"/>
      <c r="C22" s="46"/>
      <c r="D22" s="48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E22" s="46"/>
      <c r="BF22" s="46"/>
      <c r="BG22" s="46"/>
      <c r="BH22" s="46"/>
    </row>
    <row r="23" spans="1:60" ht="14.25" customHeight="1" x14ac:dyDescent="0.3">
      <c r="A23" s="46"/>
      <c r="B23" s="37"/>
      <c r="C23" s="46" t="s">
        <v>270</v>
      </c>
      <c r="D23" s="49">
        <f>-D20*0.3</f>
        <v>-112.5</v>
      </c>
      <c r="E23" s="46"/>
      <c r="F23" s="46"/>
      <c r="G23" s="46"/>
      <c r="H23" s="46"/>
      <c r="I23" s="46"/>
      <c r="J23" s="46">
        <f t="shared" ref="J23:R23" si="15">-J21*0.4</f>
        <v>0</v>
      </c>
      <c r="K23" s="46">
        <f t="shared" si="15"/>
        <v>0</v>
      </c>
      <c r="L23" s="46">
        <f t="shared" si="15"/>
        <v>0</v>
      </c>
      <c r="M23" s="46">
        <f t="shared" si="15"/>
        <v>0</v>
      </c>
      <c r="N23" s="46">
        <f t="shared" si="15"/>
        <v>0</v>
      </c>
      <c r="O23" s="46">
        <f t="shared" si="15"/>
        <v>0</v>
      </c>
      <c r="P23" s="46">
        <f t="shared" si="15"/>
        <v>0</v>
      </c>
      <c r="Q23" s="46">
        <f t="shared" si="15"/>
        <v>-4304.34</v>
      </c>
      <c r="R23" s="46">
        <f t="shared" si="15"/>
        <v>-2428.8000000000002</v>
      </c>
      <c r="S23" s="46">
        <f>-S21*0.4</f>
        <v>-4070</v>
      </c>
      <c r="T23" s="46">
        <f t="shared" ref="T23:BH23" si="16">T19*$D23</f>
        <v>-4266.5625</v>
      </c>
      <c r="U23" s="46">
        <f t="shared" si="16"/>
        <v>-4373.2265624999991</v>
      </c>
      <c r="V23" s="46">
        <f t="shared" si="16"/>
        <v>-4482.5572265624987</v>
      </c>
      <c r="W23" s="46">
        <f t="shared" si="16"/>
        <v>-4594.6211572265602</v>
      </c>
      <c r="X23" s="46">
        <f t="shared" si="16"/>
        <v>-4709.4866861572245</v>
      </c>
      <c r="Y23" s="46">
        <f t="shared" si="16"/>
        <v>-4827.2238533111549</v>
      </c>
      <c r="Z23" s="46">
        <f t="shared" si="16"/>
        <v>-4947.9044496439328</v>
      </c>
      <c r="AA23" s="46">
        <f t="shared" si="16"/>
        <v>-5071.6020608850313</v>
      </c>
      <c r="AB23" s="46">
        <f t="shared" si="16"/>
        <v>-5198.3921124071558</v>
      </c>
      <c r="AC23" s="46">
        <f t="shared" si="16"/>
        <v>-5328.3519152173349</v>
      </c>
      <c r="AD23" s="46">
        <f t="shared" si="16"/>
        <v>-5461.5607130977678</v>
      </c>
      <c r="AE23" s="46">
        <f t="shared" si="16"/>
        <v>-5598.0997309252116</v>
      </c>
      <c r="AF23" s="46">
        <f t="shared" si="16"/>
        <v>-5738.0522241983408</v>
      </c>
      <c r="AG23" s="46">
        <f t="shared" si="16"/>
        <v>-5881.503529803299</v>
      </c>
      <c r="AH23" s="46">
        <f t="shared" si="16"/>
        <v>-6028.5411180483816</v>
      </c>
      <c r="AI23" s="46">
        <f t="shared" si="16"/>
        <v>-6179.2546459995901</v>
      </c>
      <c r="AJ23" s="46">
        <f t="shared" si="16"/>
        <v>-6333.7360121495794</v>
      </c>
      <c r="AK23" s="46">
        <f t="shared" si="16"/>
        <v>-6492.0794124533186</v>
      </c>
      <c r="AL23" s="46">
        <f t="shared" si="16"/>
        <v>-6654.3813977646505</v>
      </c>
      <c r="AM23" s="46">
        <f t="shared" si="16"/>
        <v>-6820.7409327087662</v>
      </c>
      <c r="AN23" s="46">
        <f t="shared" si="16"/>
        <v>-6991.2594560264843</v>
      </c>
      <c r="AO23" s="46">
        <f t="shared" si="16"/>
        <v>-7166.0409424271456</v>
      </c>
      <c r="AP23" s="46">
        <f t="shared" si="16"/>
        <v>-7345.1919659878249</v>
      </c>
      <c r="AQ23" s="46">
        <f t="shared" si="16"/>
        <v>-7528.8217651375198</v>
      </c>
      <c r="AR23" s="46">
        <f t="shared" si="16"/>
        <v>-7717.0423092659576</v>
      </c>
      <c r="AS23" s="46">
        <f t="shared" si="16"/>
        <v>-7909.9683669976057</v>
      </c>
      <c r="AT23" s="46">
        <f t="shared" si="16"/>
        <v>-8107.7175761725457</v>
      </c>
      <c r="AU23" s="46">
        <f t="shared" si="16"/>
        <v>-8310.4105155768593</v>
      </c>
      <c r="AV23" s="46">
        <f t="shared" si="16"/>
        <v>-8518.1707784662794</v>
      </c>
      <c r="AW23" s="46">
        <f t="shared" si="16"/>
        <v>-8731.125047927937</v>
      </c>
      <c r="AX23" s="46">
        <f t="shared" si="16"/>
        <v>-8949.4031741261333</v>
      </c>
      <c r="AY23" s="46">
        <f t="shared" si="16"/>
        <v>-9000</v>
      </c>
      <c r="AZ23" s="46">
        <f t="shared" si="16"/>
        <v>-9000</v>
      </c>
      <c r="BA23" s="46">
        <f t="shared" si="16"/>
        <v>-9000</v>
      </c>
      <c r="BB23" s="46">
        <f t="shared" si="16"/>
        <v>-9000</v>
      </c>
      <c r="BC23" s="46">
        <f t="shared" si="16"/>
        <v>-9000</v>
      </c>
      <c r="BD23" s="46">
        <f t="shared" si="16"/>
        <v>-9000</v>
      </c>
      <c r="BE23" s="46">
        <f t="shared" si="16"/>
        <v>-9000</v>
      </c>
      <c r="BF23" s="46">
        <f t="shared" si="16"/>
        <v>-9000</v>
      </c>
      <c r="BG23" s="46">
        <f t="shared" si="16"/>
        <v>-9000</v>
      </c>
      <c r="BH23" s="46">
        <f t="shared" si="16"/>
        <v>-9000</v>
      </c>
    </row>
    <row r="24" spans="1:60" ht="14.25" customHeight="1" x14ac:dyDescent="0.3">
      <c r="A24" s="46"/>
      <c r="B24" s="37"/>
      <c r="C24" s="46"/>
      <c r="D24" s="48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  <c r="BE24" s="46"/>
      <c r="BF24" s="46"/>
      <c r="BG24" s="46"/>
      <c r="BH24" s="46"/>
    </row>
    <row r="25" spans="1:60" ht="14.25" customHeight="1" x14ac:dyDescent="0.3">
      <c r="A25" s="46"/>
      <c r="B25" s="37"/>
      <c r="C25" s="37" t="s">
        <v>60</v>
      </c>
      <c r="D25" s="46" t="s">
        <v>49</v>
      </c>
      <c r="E25" s="46" t="s">
        <v>50</v>
      </c>
      <c r="F25" s="46" t="s">
        <v>51</v>
      </c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6"/>
      <c r="BF25" s="46"/>
      <c r="BG25" s="46"/>
      <c r="BH25" s="46"/>
    </row>
    <row r="26" spans="1:60" ht="14.25" customHeight="1" x14ac:dyDescent="0.3">
      <c r="A26" s="46"/>
      <c r="B26" s="37"/>
      <c r="C26" s="46" t="s">
        <v>61</v>
      </c>
      <c r="D26" s="49">
        <v>17</v>
      </c>
      <c r="E26" s="49">
        <v>350</v>
      </c>
      <c r="F26" s="50">
        <v>0.05</v>
      </c>
      <c r="G26" s="46"/>
      <c r="H26" s="46"/>
      <c r="I26" s="46"/>
      <c r="J26" s="46">
        <v>0</v>
      </c>
      <c r="K26" s="46">
        <v>0</v>
      </c>
      <c r="L26" s="46">
        <v>0</v>
      </c>
      <c r="M26" s="46">
        <v>0</v>
      </c>
      <c r="N26" s="46">
        <v>0</v>
      </c>
      <c r="O26" s="46">
        <v>0</v>
      </c>
      <c r="P26" s="46">
        <v>0</v>
      </c>
      <c r="Q26" s="46">
        <v>5</v>
      </c>
      <c r="R26" s="46">
        <v>17</v>
      </c>
      <c r="S26" s="46">
        <v>19</v>
      </c>
      <c r="T26" s="46">
        <f t="shared" ref="T26:AI27" si="17">MIN(MAX($D26,S26)*(1+$F26)*T$8,$E26)</f>
        <v>19.95</v>
      </c>
      <c r="U26" s="46">
        <f t="shared" si="17"/>
        <v>20.947500000000002</v>
      </c>
      <c r="V26" s="46">
        <f t="shared" si="17"/>
        <v>21.994875000000004</v>
      </c>
      <c r="W26" s="46">
        <f t="shared" si="17"/>
        <v>23.094618750000006</v>
      </c>
      <c r="X26" s="46">
        <f t="shared" si="17"/>
        <v>24.249349687500008</v>
      </c>
      <c r="Y26" s="46">
        <f t="shared" si="17"/>
        <v>25.461817171875008</v>
      </c>
      <c r="Z26" s="46">
        <f t="shared" si="17"/>
        <v>26.734908030468759</v>
      </c>
      <c r="AA26" s="46">
        <f t="shared" si="17"/>
        <v>28.0716534319922</v>
      </c>
      <c r="AB26" s="46">
        <f t="shared" si="17"/>
        <v>29.475236103591811</v>
      </c>
      <c r="AC26" s="46">
        <f t="shared" si="17"/>
        <v>30.948997908771403</v>
      </c>
      <c r="AD26" s="46">
        <f t="shared" si="17"/>
        <v>32.496447804209971</v>
      </c>
      <c r="AE26" s="46">
        <f t="shared" si="17"/>
        <v>34.121270194420468</v>
      </c>
      <c r="AF26" s="46">
        <f t="shared" si="17"/>
        <v>35.827333704141495</v>
      </c>
      <c r="AG26" s="46">
        <f t="shared" si="17"/>
        <v>37.618700389348568</v>
      </c>
      <c r="AH26" s="46">
        <f t="shared" si="17"/>
        <v>39.499635408815998</v>
      </c>
      <c r="AI26" s="46">
        <f t="shared" si="17"/>
        <v>41.474617179256796</v>
      </c>
      <c r="AJ26" s="46">
        <f t="shared" ref="AJ26:AY27" si="18">MIN(MAX($D26,AI26)*(1+$F26)*AJ$8,$E26)</f>
        <v>43.548348038219636</v>
      </c>
      <c r="AK26" s="46">
        <f t="shared" si="18"/>
        <v>45.725765440130623</v>
      </c>
      <c r="AL26" s="46">
        <f t="shared" si="18"/>
        <v>48.012053712137153</v>
      </c>
      <c r="AM26" s="46">
        <f t="shared" si="18"/>
        <v>50.412656397744016</v>
      </c>
      <c r="AN26" s="46">
        <f t="shared" si="18"/>
        <v>52.93328921763122</v>
      </c>
      <c r="AO26" s="46">
        <f t="shared" si="18"/>
        <v>55.57995367851278</v>
      </c>
      <c r="AP26" s="46">
        <f t="shared" si="18"/>
        <v>58.358951362438418</v>
      </c>
      <c r="AQ26" s="46">
        <f t="shared" si="18"/>
        <v>61.276898930560343</v>
      </c>
      <c r="AR26" s="46">
        <f t="shared" si="18"/>
        <v>64.340743877088357</v>
      </c>
      <c r="AS26" s="46">
        <f t="shared" si="18"/>
        <v>67.557781070942781</v>
      </c>
      <c r="AT26" s="46">
        <f t="shared" si="18"/>
        <v>70.935670124489917</v>
      </c>
      <c r="AU26" s="46">
        <f t="shared" si="18"/>
        <v>74.482453630714417</v>
      </c>
      <c r="AV26" s="46">
        <f t="shared" si="18"/>
        <v>78.206576312250135</v>
      </c>
      <c r="AW26" s="46">
        <f t="shared" si="18"/>
        <v>82.116905127862651</v>
      </c>
      <c r="AX26" s="46">
        <f t="shared" si="18"/>
        <v>86.222750384255789</v>
      </c>
      <c r="AY26" s="46">
        <f t="shared" si="18"/>
        <v>90.533887903468582</v>
      </c>
      <c r="AZ26" s="46">
        <f t="shared" ref="AZ26:BH27" si="19">MIN(MAX($D26,AY26)*(1+$F26)*AZ$8,$E26)</f>
        <v>95.060582298642018</v>
      </c>
      <c r="BA26" s="46">
        <f t="shared" si="19"/>
        <v>99.813611413574122</v>
      </c>
      <c r="BB26" s="46">
        <f t="shared" si="19"/>
        <v>104.80429198425283</v>
      </c>
      <c r="BC26" s="46">
        <f t="shared" si="19"/>
        <v>110.04450658346548</v>
      </c>
      <c r="BD26" s="46">
        <f t="shared" si="19"/>
        <v>115.54673191263876</v>
      </c>
      <c r="BE26" s="46">
        <f t="shared" si="19"/>
        <v>121.3240685082707</v>
      </c>
      <c r="BF26" s="46">
        <f t="shared" si="19"/>
        <v>127.39027193368423</v>
      </c>
      <c r="BG26" s="46">
        <f t="shared" si="19"/>
        <v>133.75978553036845</v>
      </c>
      <c r="BH26" s="46">
        <f t="shared" si="19"/>
        <v>140.44777480688688</v>
      </c>
    </row>
    <row r="27" spans="1:60" ht="14.25" customHeight="1" x14ac:dyDescent="0.3">
      <c r="A27" s="46"/>
      <c r="B27" s="37"/>
      <c r="C27" s="46" t="s">
        <v>53</v>
      </c>
      <c r="D27" s="49">
        <v>100</v>
      </c>
      <c r="E27" s="49">
        <v>150</v>
      </c>
      <c r="F27" s="50">
        <v>0</v>
      </c>
      <c r="G27" s="46"/>
      <c r="H27" s="46"/>
      <c r="I27" s="46"/>
      <c r="J27" s="46">
        <f t="shared" ref="J27:Y27" si="20">MIN(MAX($D27,I27)*(1+$F27)*J$8,$E27)</f>
        <v>0</v>
      </c>
      <c r="K27" s="46">
        <f t="shared" si="20"/>
        <v>0</v>
      </c>
      <c r="L27" s="46">
        <f t="shared" si="20"/>
        <v>0</v>
      </c>
      <c r="M27" s="46">
        <f t="shared" si="20"/>
        <v>0</v>
      </c>
      <c r="N27" s="46">
        <f t="shared" si="20"/>
        <v>0</v>
      </c>
      <c r="O27" s="46">
        <f t="shared" si="20"/>
        <v>0</v>
      </c>
      <c r="P27" s="46">
        <f t="shared" si="20"/>
        <v>0</v>
      </c>
      <c r="Q27" s="46">
        <v>84</v>
      </c>
      <c r="R27" s="46">
        <v>100</v>
      </c>
      <c r="S27" s="46">
        <v>100</v>
      </c>
      <c r="T27" s="46">
        <f t="shared" si="20"/>
        <v>100</v>
      </c>
      <c r="U27" s="46">
        <f t="shared" si="20"/>
        <v>100</v>
      </c>
      <c r="V27" s="46">
        <f t="shared" si="20"/>
        <v>100</v>
      </c>
      <c r="W27" s="46">
        <f t="shared" si="20"/>
        <v>100</v>
      </c>
      <c r="X27" s="46">
        <f t="shared" si="20"/>
        <v>100</v>
      </c>
      <c r="Y27" s="46">
        <f t="shared" si="20"/>
        <v>100</v>
      </c>
      <c r="Z27" s="46">
        <f t="shared" si="17"/>
        <v>100</v>
      </c>
      <c r="AA27" s="46">
        <f t="shared" si="17"/>
        <v>100</v>
      </c>
      <c r="AB27" s="46">
        <f t="shared" si="17"/>
        <v>100</v>
      </c>
      <c r="AC27" s="46">
        <f t="shared" si="17"/>
        <v>100</v>
      </c>
      <c r="AD27" s="46">
        <f t="shared" si="17"/>
        <v>100</v>
      </c>
      <c r="AE27" s="46">
        <f t="shared" si="17"/>
        <v>100</v>
      </c>
      <c r="AF27" s="46">
        <f t="shared" si="17"/>
        <v>100</v>
      </c>
      <c r="AG27" s="46">
        <f t="shared" si="17"/>
        <v>100</v>
      </c>
      <c r="AH27" s="46">
        <f t="shared" si="17"/>
        <v>100</v>
      </c>
      <c r="AI27" s="46">
        <f t="shared" si="17"/>
        <v>100</v>
      </c>
      <c r="AJ27" s="46">
        <f t="shared" si="18"/>
        <v>100</v>
      </c>
      <c r="AK27" s="46">
        <f t="shared" si="18"/>
        <v>100</v>
      </c>
      <c r="AL27" s="46">
        <f t="shared" si="18"/>
        <v>100</v>
      </c>
      <c r="AM27" s="46">
        <f t="shared" si="18"/>
        <v>100</v>
      </c>
      <c r="AN27" s="46">
        <f t="shared" si="18"/>
        <v>100</v>
      </c>
      <c r="AO27" s="46">
        <f t="shared" si="18"/>
        <v>100</v>
      </c>
      <c r="AP27" s="46">
        <f t="shared" si="18"/>
        <v>100</v>
      </c>
      <c r="AQ27" s="46">
        <f t="shared" si="18"/>
        <v>100</v>
      </c>
      <c r="AR27" s="46">
        <f t="shared" si="18"/>
        <v>100</v>
      </c>
      <c r="AS27" s="46">
        <f t="shared" si="18"/>
        <v>100</v>
      </c>
      <c r="AT27" s="46">
        <f t="shared" si="18"/>
        <v>100</v>
      </c>
      <c r="AU27" s="46">
        <f t="shared" si="18"/>
        <v>100</v>
      </c>
      <c r="AV27" s="46">
        <f t="shared" si="18"/>
        <v>100</v>
      </c>
      <c r="AW27" s="46">
        <f t="shared" si="18"/>
        <v>100</v>
      </c>
      <c r="AX27" s="46">
        <f t="shared" si="18"/>
        <v>100</v>
      </c>
      <c r="AY27" s="46">
        <f t="shared" si="18"/>
        <v>100</v>
      </c>
      <c r="AZ27" s="46">
        <f t="shared" si="19"/>
        <v>100</v>
      </c>
      <c r="BA27" s="46">
        <f t="shared" si="19"/>
        <v>100</v>
      </c>
      <c r="BB27" s="46">
        <f t="shared" si="19"/>
        <v>100</v>
      </c>
      <c r="BC27" s="46">
        <f t="shared" si="19"/>
        <v>100</v>
      </c>
      <c r="BD27" s="46">
        <f t="shared" si="19"/>
        <v>100</v>
      </c>
      <c r="BE27" s="46">
        <f t="shared" si="19"/>
        <v>100</v>
      </c>
      <c r="BF27" s="46">
        <f t="shared" si="19"/>
        <v>100</v>
      </c>
      <c r="BG27" s="46">
        <f t="shared" si="19"/>
        <v>100</v>
      </c>
      <c r="BH27" s="46">
        <f t="shared" si="19"/>
        <v>100</v>
      </c>
    </row>
    <row r="28" spans="1:60" ht="14.25" customHeight="1" x14ac:dyDescent="0.3">
      <c r="A28" s="46"/>
      <c r="B28" s="37"/>
      <c r="C28" s="46" t="s">
        <v>271</v>
      </c>
      <c r="D28" s="46"/>
      <c r="E28" s="46"/>
      <c r="F28" s="46"/>
      <c r="G28" s="46"/>
      <c r="H28" s="46"/>
      <c r="I28" s="46"/>
      <c r="J28" s="51">
        <f t="shared" ref="J28:BH28" si="21">J26*J27</f>
        <v>0</v>
      </c>
      <c r="K28" s="51">
        <f t="shared" si="21"/>
        <v>0</v>
      </c>
      <c r="L28" s="51">
        <f t="shared" si="21"/>
        <v>0</v>
      </c>
      <c r="M28" s="51">
        <f t="shared" si="21"/>
        <v>0</v>
      </c>
      <c r="N28" s="51">
        <f t="shared" si="21"/>
        <v>0</v>
      </c>
      <c r="O28" s="51">
        <f t="shared" si="21"/>
        <v>0</v>
      </c>
      <c r="P28" s="51">
        <f t="shared" si="21"/>
        <v>0</v>
      </c>
      <c r="Q28" s="51">
        <f t="shared" si="21"/>
        <v>420</v>
      </c>
      <c r="R28" s="51">
        <f t="shared" si="21"/>
        <v>1700</v>
      </c>
      <c r="S28" s="51">
        <f t="shared" si="21"/>
        <v>1900</v>
      </c>
      <c r="T28" s="51">
        <f t="shared" si="21"/>
        <v>1995</v>
      </c>
      <c r="U28" s="51">
        <f t="shared" si="21"/>
        <v>2094.75</v>
      </c>
      <c r="V28" s="51">
        <f t="shared" si="21"/>
        <v>2199.4875000000002</v>
      </c>
      <c r="W28" s="51">
        <f t="shared" si="21"/>
        <v>2309.4618750000004</v>
      </c>
      <c r="X28" s="51">
        <f t="shared" si="21"/>
        <v>2424.9349687500007</v>
      </c>
      <c r="Y28" s="51">
        <f t="shared" si="21"/>
        <v>2546.1817171875009</v>
      </c>
      <c r="Z28" s="51">
        <f t="shared" si="21"/>
        <v>2673.490803046876</v>
      </c>
      <c r="AA28" s="51">
        <f t="shared" si="21"/>
        <v>2807.1653431992199</v>
      </c>
      <c r="AB28" s="51">
        <f t="shared" si="21"/>
        <v>2947.523610359181</v>
      </c>
      <c r="AC28" s="51">
        <f t="shared" si="21"/>
        <v>3094.8997908771403</v>
      </c>
      <c r="AD28" s="51">
        <f t="shared" si="21"/>
        <v>3249.644780420997</v>
      </c>
      <c r="AE28" s="51">
        <f t="shared" si="21"/>
        <v>3412.1270194420467</v>
      </c>
      <c r="AF28" s="51">
        <f t="shared" si="21"/>
        <v>3582.7333704141492</v>
      </c>
      <c r="AG28" s="51">
        <f t="shared" si="21"/>
        <v>3761.8700389348569</v>
      </c>
      <c r="AH28" s="51">
        <f t="shared" si="21"/>
        <v>3949.9635408815998</v>
      </c>
      <c r="AI28" s="51">
        <f t="shared" si="21"/>
        <v>4147.4617179256793</v>
      </c>
      <c r="AJ28" s="51">
        <f t="shared" si="21"/>
        <v>4354.8348038219638</v>
      </c>
      <c r="AK28" s="51">
        <f t="shared" si="21"/>
        <v>4572.5765440130626</v>
      </c>
      <c r="AL28" s="51">
        <f t="shared" si="21"/>
        <v>4801.2053712137149</v>
      </c>
      <c r="AM28" s="51">
        <f t="shared" si="21"/>
        <v>5041.2656397744013</v>
      </c>
      <c r="AN28" s="51">
        <f t="shared" si="21"/>
        <v>5293.3289217631218</v>
      </c>
      <c r="AO28" s="51">
        <f t="shared" si="21"/>
        <v>5557.9953678512784</v>
      </c>
      <c r="AP28" s="51">
        <f t="shared" si="21"/>
        <v>5835.895136243842</v>
      </c>
      <c r="AQ28" s="51">
        <f t="shared" si="21"/>
        <v>6127.6898930560346</v>
      </c>
      <c r="AR28" s="51">
        <f t="shared" si="21"/>
        <v>6434.0743877088353</v>
      </c>
      <c r="AS28" s="51">
        <f t="shared" si="21"/>
        <v>6755.7781070942783</v>
      </c>
      <c r="AT28" s="51">
        <f t="shared" si="21"/>
        <v>7093.5670124489916</v>
      </c>
      <c r="AU28" s="51">
        <f t="shared" si="21"/>
        <v>7448.2453630714417</v>
      </c>
      <c r="AV28" s="51">
        <f t="shared" si="21"/>
        <v>7820.6576312250136</v>
      </c>
      <c r="AW28" s="51">
        <f t="shared" si="21"/>
        <v>8211.6905127862647</v>
      </c>
      <c r="AX28" s="51">
        <f t="shared" si="21"/>
        <v>8622.2750384255796</v>
      </c>
      <c r="AY28" s="51">
        <f t="shared" si="21"/>
        <v>9053.3887903468585</v>
      </c>
      <c r="AZ28" s="51">
        <f t="shared" si="21"/>
        <v>9506.0582298642021</v>
      </c>
      <c r="BA28" s="51">
        <f t="shared" si="21"/>
        <v>9981.3611413574126</v>
      </c>
      <c r="BB28" s="51">
        <f t="shared" si="21"/>
        <v>10480.429198425283</v>
      </c>
      <c r="BC28" s="51">
        <f t="shared" si="21"/>
        <v>11004.450658346548</v>
      </c>
      <c r="BD28" s="51">
        <f t="shared" si="21"/>
        <v>11554.673191263877</v>
      </c>
      <c r="BE28" s="51">
        <f t="shared" si="21"/>
        <v>12132.40685082707</v>
      </c>
      <c r="BF28" s="51">
        <f t="shared" si="21"/>
        <v>12739.027193368423</v>
      </c>
      <c r="BG28" s="51">
        <f t="shared" si="21"/>
        <v>13375.978553036844</v>
      </c>
      <c r="BH28" s="51">
        <f t="shared" si="21"/>
        <v>14044.777480688688</v>
      </c>
    </row>
    <row r="29" spans="1:60" ht="14.25" customHeight="1" x14ac:dyDescent="0.3">
      <c r="A29" s="46"/>
      <c r="B29" s="37"/>
      <c r="C29" s="46"/>
      <c r="D29" s="48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6"/>
      <c r="BD29" s="46"/>
      <c r="BE29" s="46"/>
      <c r="BF29" s="46"/>
      <c r="BG29" s="46"/>
      <c r="BH29" s="46"/>
    </row>
    <row r="30" spans="1:60" ht="14.25" customHeight="1" x14ac:dyDescent="0.3">
      <c r="A30" s="46"/>
      <c r="B30" s="37"/>
      <c r="C30" s="37" t="s">
        <v>63</v>
      </c>
      <c r="D30" s="46" t="s">
        <v>49</v>
      </c>
      <c r="E30" s="46" t="s">
        <v>50</v>
      </c>
      <c r="F30" s="46" t="s">
        <v>51</v>
      </c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E30" s="46"/>
      <c r="BF30" s="46"/>
      <c r="BG30" s="46"/>
      <c r="BH30" s="46"/>
    </row>
    <row r="31" spans="1:60" ht="14.25" customHeight="1" x14ac:dyDescent="0.3">
      <c r="A31" s="46"/>
      <c r="B31" s="37"/>
      <c r="C31" s="46" t="s">
        <v>64</v>
      </c>
      <c r="D31" s="49">
        <v>60</v>
      </c>
      <c r="E31" s="49">
        <v>173</v>
      </c>
      <c r="F31" s="50">
        <v>0.05</v>
      </c>
      <c r="G31" s="46"/>
      <c r="H31" s="46"/>
      <c r="I31" s="46"/>
      <c r="J31" s="46">
        <v>0</v>
      </c>
      <c r="K31" s="46">
        <v>0</v>
      </c>
      <c r="L31" s="46">
        <v>0</v>
      </c>
      <c r="M31" s="46">
        <v>0</v>
      </c>
      <c r="N31" s="46">
        <v>0</v>
      </c>
      <c r="O31" s="46">
        <v>0</v>
      </c>
      <c r="P31" s="46">
        <v>0</v>
      </c>
      <c r="Q31" s="108">
        <v>5</v>
      </c>
      <c r="R31" s="108">
        <v>58</v>
      </c>
      <c r="S31" s="108">
        <v>62</v>
      </c>
      <c r="T31" s="108">
        <v>78</v>
      </c>
      <c r="U31" s="108">
        <v>117</v>
      </c>
      <c r="V31" s="46">
        <f t="shared" ref="V31:AK31" si="22">MIN(MAX($D31,U31)*(1+$F31)*V$8,$E31)</f>
        <v>122.85000000000001</v>
      </c>
      <c r="W31" s="46">
        <f t="shared" si="22"/>
        <v>128.99250000000001</v>
      </c>
      <c r="X31" s="46">
        <f t="shared" si="22"/>
        <v>135.442125</v>
      </c>
      <c r="Y31" s="46">
        <f t="shared" si="22"/>
        <v>142.21423125000001</v>
      </c>
      <c r="Z31" s="46">
        <f t="shared" si="22"/>
        <v>149.32494281250001</v>
      </c>
      <c r="AA31" s="46">
        <f t="shared" si="22"/>
        <v>156.79118995312501</v>
      </c>
      <c r="AB31" s="46">
        <f t="shared" si="22"/>
        <v>164.63074945078128</v>
      </c>
      <c r="AC31" s="46">
        <f t="shared" si="22"/>
        <v>172.86228692332034</v>
      </c>
      <c r="AD31" s="46">
        <f t="shared" si="22"/>
        <v>173</v>
      </c>
      <c r="AE31" s="46">
        <f t="shared" si="22"/>
        <v>173</v>
      </c>
      <c r="AF31" s="46">
        <f t="shared" si="22"/>
        <v>173</v>
      </c>
      <c r="AG31" s="46">
        <f t="shared" si="22"/>
        <v>173</v>
      </c>
      <c r="AH31" s="46">
        <f t="shared" si="22"/>
        <v>173</v>
      </c>
      <c r="AI31" s="46">
        <f t="shared" si="22"/>
        <v>173</v>
      </c>
      <c r="AJ31" s="46">
        <f t="shared" si="22"/>
        <v>173</v>
      </c>
      <c r="AK31" s="46">
        <f t="shared" si="22"/>
        <v>173</v>
      </c>
      <c r="AL31" s="46">
        <f t="shared" ref="Z31:AO32" si="23">MIN(MAX($D31,AK31)*(1+$F31)*AL$8,$E31)</f>
        <v>173</v>
      </c>
      <c r="AM31" s="46">
        <f t="shared" si="23"/>
        <v>173</v>
      </c>
      <c r="AN31" s="46">
        <f t="shared" si="23"/>
        <v>173</v>
      </c>
      <c r="AO31" s="46">
        <f>MIN(MAX($D31,AN31)*(1+$F31)*AO$8,$E31)</f>
        <v>173</v>
      </c>
      <c r="AP31" s="46">
        <f t="shared" ref="AP31:BE32" si="24">MIN(MAX($D31,AO31)*(1+$F31)*AP$8,$E31)</f>
        <v>173</v>
      </c>
      <c r="AQ31" s="46">
        <f t="shared" si="24"/>
        <v>173</v>
      </c>
      <c r="AR31" s="46">
        <f t="shared" si="24"/>
        <v>173</v>
      </c>
      <c r="AS31" s="46">
        <f t="shared" si="24"/>
        <v>173</v>
      </c>
      <c r="AT31" s="46">
        <f t="shared" si="24"/>
        <v>173</v>
      </c>
      <c r="AU31" s="46">
        <f t="shared" si="24"/>
        <v>173</v>
      </c>
      <c r="AV31" s="46">
        <f t="shared" si="24"/>
        <v>173</v>
      </c>
      <c r="AW31" s="46">
        <f t="shared" si="24"/>
        <v>173</v>
      </c>
      <c r="AX31" s="46">
        <f t="shared" si="24"/>
        <v>173</v>
      </c>
      <c r="AY31" s="46">
        <f t="shared" si="24"/>
        <v>173</v>
      </c>
      <c r="AZ31" s="46">
        <f t="shared" si="24"/>
        <v>173</v>
      </c>
      <c r="BA31" s="46">
        <f t="shared" si="24"/>
        <v>173</v>
      </c>
      <c r="BB31" s="46">
        <f t="shared" si="24"/>
        <v>173</v>
      </c>
      <c r="BC31" s="46">
        <f t="shared" si="24"/>
        <v>173</v>
      </c>
      <c r="BD31" s="46">
        <f t="shared" si="24"/>
        <v>173</v>
      </c>
      <c r="BE31" s="46">
        <f t="shared" si="24"/>
        <v>173</v>
      </c>
      <c r="BF31" s="46">
        <f t="shared" ref="BF31:BH32" si="25">MIN(MAX($D31,BE31)*(1+$F31)*BF$8,$E31)</f>
        <v>173</v>
      </c>
      <c r="BG31" s="46">
        <f t="shared" si="25"/>
        <v>173</v>
      </c>
      <c r="BH31" s="46">
        <f t="shared" si="25"/>
        <v>173</v>
      </c>
    </row>
    <row r="32" spans="1:60" ht="14.25" customHeight="1" x14ac:dyDescent="0.3">
      <c r="A32" s="46"/>
      <c r="B32" s="37"/>
      <c r="C32" s="46" t="s">
        <v>65</v>
      </c>
      <c r="D32" s="49">
        <v>300</v>
      </c>
      <c r="E32" s="49">
        <v>450</v>
      </c>
      <c r="F32" s="50">
        <v>0</v>
      </c>
      <c r="G32" s="46"/>
      <c r="H32" s="46"/>
      <c r="I32" s="46"/>
      <c r="J32" s="46">
        <v>0</v>
      </c>
      <c r="K32" s="46">
        <v>0</v>
      </c>
      <c r="L32" s="46">
        <v>0</v>
      </c>
      <c r="M32" s="46">
        <v>0</v>
      </c>
      <c r="N32" s="46">
        <v>0</v>
      </c>
      <c r="O32" s="46">
        <v>0</v>
      </c>
      <c r="P32" s="46">
        <v>0</v>
      </c>
      <c r="Q32" s="46">
        <v>300</v>
      </c>
      <c r="R32" s="46">
        <v>292</v>
      </c>
      <c r="S32" s="46">
        <v>300</v>
      </c>
      <c r="T32" s="46">
        <f t="shared" ref="T32:Y32" si="26">MIN(MAX($D32,S32)*(1+$F32)*T$8,$E32)</f>
        <v>300</v>
      </c>
      <c r="U32" s="46">
        <f t="shared" si="26"/>
        <v>300</v>
      </c>
      <c r="V32" s="46">
        <f t="shared" si="26"/>
        <v>300</v>
      </c>
      <c r="W32" s="46">
        <f t="shared" si="26"/>
        <v>300</v>
      </c>
      <c r="X32" s="46">
        <f t="shared" si="26"/>
        <v>300</v>
      </c>
      <c r="Y32" s="46">
        <f t="shared" si="26"/>
        <v>300</v>
      </c>
      <c r="Z32" s="46">
        <f t="shared" si="23"/>
        <v>300</v>
      </c>
      <c r="AA32" s="46">
        <f t="shared" si="23"/>
        <v>300</v>
      </c>
      <c r="AB32" s="46">
        <f t="shared" si="23"/>
        <v>300</v>
      </c>
      <c r="AC32" s="46">
        <f t="shared" si="23"/>
        <v>300</v>
      </c>
      <c r="AD32" s="46">
        <f t="shared" si="23"/>
        <v>300</v>
      </c>
      <c r="AE32" s="46">
        <f t="shared" si="23"/>
        <v>300</v>
      </c>
      <c r="AF32" s="46">
        <f t="shared" si="23"/>
        <v>300</v>
      </c>
      <c r="AG32" s="46">
        <f t="shared" si="23"/>
        <v>300</v>
      </c>
      <c r="AH32" s="46">
        <f t="shared" si="23"/>
        <v>300</v>
      </c>
      <c r="AI32" s="46">
        <f t="shared" si="23"/>
        <v>300</v>
      </c>
      <c r="AJ32" s="46">
        <f t="shared" si="23"/>
        <v>300</v>
      </c>
      <c r="AK32" s="46">
        <f t="shared" si="23"/>
        <v>300</v>
      </c>
      <c r="AL32" s="46">
        <f t="shared" si="23"/>
        <v>300</v>
      </c>
      <c r="AM32" s="46">
        <f t="shared" si="23"/>
        <v>300</v>
      </c>
      <c r="AN32" s="46">
        <f t="shared" si="23"/>
        <v>300</v>
      </c>
      <c r="AO32" s="46">
        <f t="shared" si="23"/>
        <v>300</v>
      </c>
      <c r="AP32" s="46">
        <f t="shared" si="24"/>
        <v>300</v>
      </c>
      <c r="AQ32" s="46">
        <f t="shared" si="24"/>
        <v>300</v>
      </c>
      <c r="AR32" s="46">
        <f t="shared" si="24"/>
        <v>300</v>
      </c>
      <c r="AS32" s="46">
        <f t="shared" si="24"/>
        <v>300</v>
      </c>
      <c r="AT32" s="46">
        <f t="shared" si="24"/>
        <v>300</v>
      </c>
      <c r="AU32" s="46">
        <f t="shared" si="24"/>
        <v>300</v>
      </c>
      <c r="AV32" s="46">
        <f t="shared" si="24"/>
        <v>300</v>
      </c>
      <c r="AW32" s="46">
        <f t="shared" si="24"/>
        <v>300</v>
      </c>
      <c r="AX32" s="46">
        <f t="shared" si="24"/>
        <v>300</v>
      </c>
      <c r="AY32" s="46">
        <f t="shared" si="24"/>
        <v>300</v>
      </c>
      <c r="AZ32" s="46">
        <f t="shared" si="24"/>
        <v>300</v>
      </c>
      <c r="BA32" s="46">
        <f t="shared" si="24"/>
        <v>300</v>
      </c>
      <c r="BB32" s="46">
        <f t="shared" si="24"/>
        <v>300</v>
      </c>
      <c r="BC32" s="46">
        <f t="shared" si="24"/>
        <v>300</v>
      </c>
      <c r="BD32" s="46">
        <f t="shared" si="24"/>
        <v>300</v>
      </c>
      <c r="BE32" s="46">
        <f t="shared" si="24"/>
        <v>300</v>
      </c>
      <c r="BF32" s="46">
        <f t="shared" si="25"/>
        <v>300</v>
      </c>
      <c r="BG32" s="46">
        <f t="shared" si="25"/>
        <v>300</v>
      </c>
      <c r="BH32" s="46">
        <f t="shared" si="25"/>
        <v>300</v>
      </c>
    </row>
    <row r="33" spans="1:60" ht="14.25" customHeight="1" x14ac:dyDescent="0.3">
      <c r="A33" s="46"/>
      <c r="B33" s="37"/>
      <c r="C33" s="46" t="s">
        <v>66</v>
      </c>
      <c r="D33" s="46"/>
      <c r="E33" s="46"/>
      <c r="F33" s="46"/>
      <c r="G33" s="46"/>
      <c r="H33" s="46"/>
      <c r="I33" s="46"/>
      <c r="J33" s="51">
        <f t="shared" ref="J33:BH33" si="27">J31*J32</f>
        <v>0</v>
      </c>
      <c r="K33" s="51">
        <f t="shared" si="27"/>
        <v>0</v>
      </c>
      <c r="L33" s="51">
        <f t="shared" si="27"/>
        <v>0</v>
      </c>
      <c r="M33" s="51">
        <f t="shared" si="27"/>
        <v>0</v>
      </c>
      <c r="N33" s="51">
        <f t="shared" si="27"/>
        <v>0</v>
      </c>
      <c r="O33" s="51">
        <f t="shared" si="27"/>
        <v>0</v>
      </c>
      <c r="P33" s="51">
        <f t="shared" si="27"/>
        <v>0</v>
      </c>
      <c r="Q33" s="51">
        <f t="shared" si="27"/>
        <v>1500</v>
      </c>
      <c r="R33" s="51">
        <f t="shared" si="27"/>
        <v>16936</v>
      </c>
      <c r="S33" s="51">
        <f t="shared" si="27"/>
        <v>18600</v>
      </c>
      <c r="T33" s="51">
        <f t="shared" si="27"/>
        <v>23400</v>
      </c>
      <c r="U33" s="51">
        <f t="shared" si="27"/>
        <v>35100</v>
      </c>
      <c r="V33" s="51">
        <f t="shared" si="27"/>
        <v>36855</v>
      </c>
      <c r="W33" s="51">
        <f t="shared" si="27"/>
        <v>38697.75</v>
      </c>
      <c r="X33" s="51">
        <f t="shared" si="27"/>
        <v>40632.637500000004</v>
      </c>
      <c r="Y33" s="51">
        <f t="shared" si="27"/>
        <v>42664.269375000003</v>
      </c>
      <c r="Z33" s="51">
        <f t="shared" si="27"/>
        <v>44797.482843750004</v>
      </c>
      <c r="AA33" s="51">
        <f t="shared" si="27"/>
        <v>47037.356985937506</v>
      </c>
      <c r="AB33" s="51">
        <f t="shared" si="27"/>
        <v>49389.224835234381</v>
      </c>
      <c r="AC33" s="51">
        <f t="shared" si="27"/>
        <v>51858.686076996099</v>
      </c>
      <c r="AD33" s="51">
        <f t="shared" si="27"/>
        <v>51900</v>
      </c>
      <c r="AE33" s="51">
        <f t="shared" si="27"/>
        <v>51900</v>
      </c>
      <c r="AF33" s="51">
        <f t="shared" si="27"/>
        <v>51900</v>
      </c>
      <c r="AG33" s="51">
        <f t="shared" si="27"/>
        <v>51900</v>
      </c>
      <c r="AH33" s="51">
        <f t="shared" si="27"/>
        <v>51900</v>
      </c>
      <c r="AI33" s="51">
        <f t="shared" si="27"/>
        <v>51900</v>
      </c>
      <c r="AJ33" s="51">
        <f t="shared" si="27"/>
        <v>51900</v>
      </c>
      <c r="AK33" s="51">
        <f t="shared" si="27"/>
        <v>51900</v>
      </c>
      <c r="AL33" s="51">
        <f t="shared" si="27"/>
        <v>51900</v>
      </c>
      <c r="AM33" s="51">
        <f t="shared" si="27"/>
        <v>51900</v>
      </c>
      <c r="AN33" s="51">
        <f t="shared" si="27"/>
        <v>51900</v>
      </c>
      <c r="AO33" s="51">
        <f t="shared" si="27"/>
        <v>51900</v>
      </c>
      <c r="AP33" s="51">
        <f t="shared" si="27"/>
        <v>51900</v>
      </c>
      <c r="AQ33" s="51">
        <f t="shared" si="27"/>
        <v>51900</v>
      </c>
      <c r="AR33" s="51">
        <f t="shared" si="27"/>
        <v>51900</v>
      </c>
      <c r="AS33" s="51">
        <f t="shared" si="27"/>
        <v>51900</v>
      </c>
      <c r="AT33" s="51">
        <f t="shared" si="27"/>
        <v>51900</v>
      </c>
      <c r="AU33" s="51">
        <f t="shared" si="27"/>
        <v>51900</v>
      </c>
      <c r="AV33" s="51">
        <f t="shared" si="27"/>
        <v>51900</v>
      </c>
      <c r="AW33" s="51">
        <f t="shared" si="27"/>
        <v>51900</v>
      </c>
      <c r="AX33" s="51">
        <f t="shared" si="27"/>
        <v>51900</v>
      </c>
      <c r="AY33" s="51">
        <f t="shared" si="27"/>
        <v>51900</v>
      </c>
      <c r="AZ33" s="51">
        <f t="shared" si="27"/>
        <v>51900</v>
      </c>
      <c r="BA33" s="51">
        <f t="shared" si="27"/>
        <v>51900</v>
      </c>
      <c r="BB33" s="51">
        <f t="shared" si="27"/>
        <v>51900</v>
      </c>
      <c r="BC33" s="51">
        <f t="shared" si="27"/>
        <v>51900</v>
      </c>
      <c r="BD33" s="51">
        <f t="shared" si="27"/>
        <v>51900</v>
      </c>
      <c r="BE33" s="51">
        <f t="shared" si="27"/>
        <v>51900</v>
      </c>
      <c r="BF33" s="51">
        <f t="shared" si="27"/>
        <v>51900</v>
      </c>
      <c r="BG33" s="51">
        <f t="shared" si="27"/>
        <v>51900</v>
      </c>
      <c r="BH33" s="51">
        <f t="shared" si="27"/>
        <v>51900</v>
      </c>
    </row>
    <row r="34" spans="1:60" ht="14.25" customHeight="1" x14ac:dyDescent="0.3">
      <c r="A34" s="46"/>
      <c r="B34" s="37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</row>
    <row r="35" spans="1:60" ht="14.25" customHeight="1" x14ac:dyDescent="0.3">
      <c r="A35" s="46"/>
      <c r="B35" s="37"/>
      <c r="C35" s="37" t="s">
        <v>67</v>
      </c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46"/>
      <c r="BC35" s="46"/>
      <c r="BD35" s="46"/>
      <c r="BE35" s="46"/>
      <c r="BF35" s="46"/>
      <c r="BG35" s="46"/>
      <c r="BH35" s="46"/>
    </row>
    <row r="36" spans="1:60" ht="14.25" customHeight="1" x14ac:dyDescent="0.3">
      <c r="A36" s="46"/>
      <c r="B36" s="37"/>
      <c r="C36" s="46" t="s">
        <v>68</v>
      </c>
      <c r="D36" s="47">
        <f>V3</f>
        <v>45961</v>
      </c>
      <c r="E36" s="46"/>
      <c r="F36" s="46"/>
      <c r="G36" s="46"/>
      <c r="H36" s="46"/>
      <c r="I36" s="46"/>
      <c r="J36" s="46">
        <f>IF(J3=$D$36,1,0)</f>
        <v>0</v>
      </c>
      <c r="K36" s="46">
        <f t="shared" ref="K36:Y36" si="28">IF(K3&gt;=$D$36,1,0)</f>
        <v>0</v>
      </c>
      <c r="L36" s="46">
        <f t="shared" si="28"/>
        <v>0</v>
      </c>
      <c r="M36" s="46">
        <f t="shared" si="28"/>
        <v>0</v>
      </c>
      <c r="N36" s="46">
        <f t="shared" si="28"/>
        <v>0</v>
      </c>
      <c r="O36" s="46">
        <f t="shared" si="28"/>
        <v>0</v>
      </c>
      <c r="P36" s="46">
        <f t="shared" si="28"/>
        <v>0</v>
      </c>
      <c r="Q36" s="46">
        <f t="shared" si="28"/>
        <v>0</v>
      </c>
      <c r="R36" s="46">
        <f t="shared" si="28"/>
        <v>0</v>
      </c>
      <c r="S36" s="46">
        <f t="shared" si="28"/>
        <v>0</v>
      </c>
      <c r="T36" s="46">
        <f t="shared" si="28"/>
        <v>0</v>
      </c>
      <c r="U36" s="46">
        <f t="shared" si="28"/>
        <v>0</v>
      </c>
      <c r="V36" s="46">
        <f t="shared" si="28"/>
        <v>1</v>
      </c>
      <c r="W36" s="46">
        <f t="shared" si="28"/>
        <v>1</v>
      </c>
      <c r="X36" s="46">
        <f t="shared" si="28"/>
        <v>1</v>
      </c>
      <c r="Y36" s="46">
        <f t="shared" si="28"/>
        <v>1</v>
      </c>
      <c r="Z36" s="46">
        <f>IF(Z3&gt;=$D$36,1,0)</f>
        <v>1</v>
      </c>
      <c r="AA36" s="46">
        <f>IF(AA3&gt;=$D$36,1,0)</f>
        <v>1</v>
      </c>
      <c r="AB36" s="46">
        <f t="shared" ref="AB36:BH36" si="29">IF(AB3&gt;=$D$36,1,0)</f>
        <v>1</v>
      </c>
      <c r="AC36" s="46">
        <f t="shared" si="29"/>
        <v>1</v>
      </c>
      <c r="AD36" s="46">
        <f t="shared" si="29"/>
        <v>1</v>
      </c>
      <c r="AE36" s="46">
        <f t="shared" si="29"/>
        <v>1</v>
      </c>
      <c r="AF36" s="46">
        <f t="shared" si="29"/>
        <v>1</v>
      </c>
      <c r="AG36" s="46">
        <f t="shared" si="29"/>
        <v>1</v>
      </c>
      <c r="AH36" s="46">
        <f t="shared" si="29"/>
        <v>1</v>
      </c>
      <c r="AI36" s="46">
        <f t="shared" si="29"/>
        <v>1</v>
      </c>
      <c r="AJ36" s="46">
        <f t="shared" si="29"/>
        <v>1</v>
      </c>
      <c r="AK36" s="46">
        <f t="shared" si="29"/>
        <v>1</v>
      </c>
      <c r="AL36" s="46">
        <f t="shared" si="29"/>
        <v>1</v>
      </c>
      <c r="AM36" s="46">
        <f t="shared" si="29"/>
        <v>1</v>
      </c>
      <c r="AN36" s="46">
        <f t="shared" si="29"/>
        <v>1</v>
      </c>
      <c r="AO36" s="46">
        <f t="shared" si="29"/>
        <v>1</v>
      </c>
      <c r="AP36" s="46">
        <f t="shared" si="29"/>
        <v>1</v>
      </c>
      <c r="AQ36" s="46">
        <f t="shared" si="29"/>
        <v>1</v>
      </c>
      <c r="AR36" s="46">
        <f t="shared" si="29"/>
        <v>1</v>
      </c>
      <c r="AS36" s="46">
        <f t="shared" si="29"/>
        <v>1</v>
      </c>
      <c r="AT36" s="46">
        <f t="shared" si="29"/>
        <v>1</v>
      </c>
      <c r="AU36" s="46">
        <f t="shared" si="29"/>
        <v>1</v>
      </c>
      <c r="AV36" s="46">
        <f t="shared" si="29"/>
        <v>1</v>
      </c>
      <c r="AW36" s="46">
        <f t="shared" si="29"/>
        <v>1</v>
      </c>
      <c r="AX36" s="46">
        <f t="shared" si="29"/>
        <v>1</v>
      </c>
      <c r="AY36" s="46">
        <f t="shared" si="29"/>
        <v>1</v>
      </c>
      <c r="AZ36" s="46">
        <f t="shared" si="29"/>
        <v>1</v>
      </c>
      <c r="BA36" s="46">
        <f t="shared" si="29"/>
        <v>1</v>
      </c>
      <c r="BB36" s="46">
        <f t="shared" si="29"/>
        <v>1</v>
      </c>
      <c r="BC36" s="46">
        <f t="shared" si="29"/>
        <v>1</v>
      </c>
      <c r="BD36" s="46">
        <f t="shared" si="29"/>
        <v>1</v>
      </c>
      <c r="BE36" s="46">
        <f t="shared" si="29"/>
        <v>1</v>
      </c>
      <c r="BF36" s="46">
        <f t="shared" si="29"/>
        <v>1</v>
      </c>
      <c r="BG36" s="46">
        <f t="shared" si="29"/>
        <v>1</v>
      </c>
      <c r="BH36" s="46">
        <f t="shared" si="29"/>
        <v>1</v>
      </c>
    </row>
    <row r="37" spans="1:60" ht="14.25" customHeight="1" x14ac:dyDescent="0.3">
      <c r="A37" s="46"/>
      <c r="B37" s="37"/>
      <c r="C37" s="37"/>
      <c r="D37" s="46" t="s">
        <v>49</v>
      </c>
      <c r="E37" s="46" t="s">
        <v>50</v>
      </c>
      <c r="F37" s="46" t="s">
        <v>51</v>
      </c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s="46"/>
      <c r="BC37" s="46"/>
      <c r="BD37" s="46"/>
      <c r="BE37" s="46"/>
      <c r="BF37" s="46"/>
      <c r="BG37" s="46"/>
      <c r="BH37" s="46"/>
    </row>
    <row r="38" spans="1:60" ht="14.25" customHeight="1" x14ac:dyDescent="0.3">
      <c r="A38" s="46"/>
      <c r="B38" s="37"/>
      <c r="C38" s="46" t="s">
        <v>69</v>
      </c>
      <c r="D38" s="49">
        <v>60</v>
      </c>
      <c r="E38" s="49">
        <v>173</v>
      </c>
      <c r="F38" s="50">
        <v>0.05</v>
      </c>
      <c r="G38" s="46"/>
      <c r="H38" s="46"/>
      <c r="I38" s="46"/>
      <c r="J38" s="46">
        <v>0</v>
      </c>
      <c r="K38" s="46">
        <v>0</v>
      </c>
      <c r="L38" s="46">
        <v>0</v>
      </c>
      <c r="M38" s="46">
        <v>0</v>
      </c>
      <c r="N38" s="46">
        <v>0</v>
      </c>
      <c r="O38" s="46">
        <v>0</v>
      </c>
      <c r="P38" s="46">
        <v>0</v>
      </c>
      <c r="Q38" s="46">
        <v>0</v>
      </c>
      <c r="R38" s="46">
        <v>0</v>
      </c>
      <c r="S38" s="46">
        <v>0</v>
      </c>
      <c r="T38" s="46">
        <v>0</v>
      </c>
      <c r="U38" s="46">
        <v>0</v>
      </c>
      <c r="V38" s="108">
        <v>62</v>
      </c>
      <c r="W38" s="108">
        <v>78</v>
      </c>
      <c r="X38" s="108">
        <v>117</v>
      </c>
      <c r="Y38" s="46">
        <f t="shared" ref="Y38:BH39" si="30">MIN(MAX($D38,X38)*(1+$F38)*Y$36,$E38)</f>
        <v>122.85000000000001</v>
      </c>
      <c r="Z38" s="46">
        <f t="shared" si="30"/>
        <v>128.99250000000001</v>
      </c>
      <c r="AA38" s="46">
        <f t="shared" si="30"/>
        <v>135.442125</v>
      </c>
      <c r="AB38" s="46">
        <f t="shared" si="30"/>
        <v>142.21423125000001</v>
      </c>
      <c r="AC38" s="46">
        <f t="shared" si="30"/>
        <v>149.32494281250001</v>
      </c>
      <c r="AD38" s="46">
        <f t="shared" si="30"/>
        <v>156.79118995312501</v>
      </c>
      <c r="AE38" s="46">
        <f t="shared" si="30"/>
        <v>164.63074945078128</v>
      </c>
      <c r="AF38" s="46">
        <f t="shared" si="30"/>
        <v>172.86228692332034</v>
      </c>
      <c r="AG38" s="46">
        <f t="shared" si="30"/>
        <v>173</v>
      </c>
      <c r="AH38" s="46">
        <f t="shared" si="30"/>
        <v>173</v>
      </c>
      <c r="AI38" s="46">
        <f t="shared" si="30"/>
        <v>173</v>
      </c>
      <c r="AJ38" s="46">
        <f t="shared" si="30"/>
        <v>173</v>
      </c>
      <c r="AK38" s="46">
        <f t="shared" si="30"/>
        <v>173</v>
      </c>
      <c r="AL38" s="46">
        <f t="shared" si="30"/>
        <v>173</v>
      </c>
      <c r="AM38" s="46">
        <f t="shared" si="30"/>
        <v>173</v>
      </c>
      <c r="AN38" s="46">
        <f t="shared" si="30"/>
        <v>173</v>
      </c>
      <c r="AO38" s="46">
        <f t="shared" si="30"/>
        <v>173</v>
      </c>
      <c r="AP38" s="46">
        <f t="shared" si="30"/>
        <v>173</v>
      </c>
      <c r="AQ38" s="46">
        <f t="shared" si="30"/>
        <v>173</v>
      </c>
      <c r="AR38" s="46">
        <f t="shared" si="30"/>
        <v>173</v>
      </c>
      <c r="AS38" s="46">
        <f t="shared" si="30"/>
        <v>173</v>
      </c>
      <c r="AT38" s="46">
        <f t="shared" si="30"/>
        <v>173</v>
      </c>
      <c r="AU38" s="46">
        <f t="shared" si="30"/>
        <v>173</v>
      </c>
      <c r="AV38" s="46">
        <f t="shared" si="30"/>
        <v>173</v>
      </c>
      <c r="AW38" s="46">
        <f t="shared" si="30"/>
        <v>173</v>
      </c>
      <c r="AX38" s="46">
        <f t="shared" si="30"/>
        <v>173</v>
      </c>
      <c r="AY38" s="46">
        <f t="shared" si="30"/>
        <v>173</v>
      </c>
      <c r="AZ38" s="46">
        <f t="shared" si="30"/>
        <v>173</v>
      </c>
      <c r="BA38" s="46">
        <f t="shared" si="30"/>
        <v>173</v>
      </c>
      <c r="BB38" s="46">
        <f t="shared" si="30"/>
        <v>173</v>
      </c>
      <c r="BC38" s="46">
        <f t="shared" si="30"/>
        <v>173</v>
      </c>
      <c r="BD38" s="46">
        <f t="shared" si="30"/>
        <v>173</v>
      </c>
      <c r="BE38" s="46">
        <f t="shared" si="30"/>
        <v>173</v>
      </c>
      <c r="BF38" s="46">
        <f t="shared" si="30"/>
        <v>173</v>
      </c>
      <c r="BG38" s="46">
        <f t="shared" si="30"/>
        <v>173</v>
      </c>
      <c r="BH38" s="46">
        <f t="shared" si="30"/>
        <v>173</v>
      </c>
    </row>
    <row r="39" spans="1:60" ht="14.25" customHeight="1" x14ac:dyDescent="0.3">
      <c r="A39" s="46"/>
      <c r="B39" s="37"/>
      <c r="C39" s="46" t="s">
        <v>65</v>
      </c>
      <c r="D39" s="49">
        <v>300</v>
      </c>
      <c r="E39" s="49">
        <v>450</v>
      </c>
      <c r="F39" s="50">
        <v>0</v>
      </c>
      <c r="G39" s="46"/>
      <c r="H39" s="46"/>
      <c r="I39" s="46"/>
      <c r="J39" s="46">
        <f t="shared" ref="J39:Y39" si="31">MIN(MAX($D39,I39)*(1+$F39)*J$36,$E39)</f>
        <v>0</v>
      </c>
      <c r="K39" s="46">
        <f t="shared" si="31"/>
        <v>0</v>
      </c>
      <c r="L39" s="46">
        <f t="shared" si="31"/>
        <v>0</v>
      </c>
      <c r="M39" s="46">
        <f t="shared" si="31"/>
        <v>0</v>
      </c>
      <c r="N39" s="46">
        <f t="shared" si="31"/>
        <v>0</v>
      </c>
      <c r="O39" s="46">
        <f t="shared" si="31"/>
        <v>0</v>
      </c>
      <c r="P39" s="46">
        <f t="shared" si="31"/>
        <v>0</v>
      </c>
      <c r="Q39" s="46">
        <f t="shared" si="31"/>
        <v>0</v>
      </c>
      <c r="R39" s="46">
        <f t="shared" si="31"/>
        <v>0</v>
      </c>
      <c r="S39" s="46">
        <f t="shared" si="31"/>
        <v>0</v>
      </c>
      <c r="T39" s="46">
        <f t="shared" si="31"/>
        <v>0</v>
      </c>
      <c r="U39" s="46">
        <f t="shared" si="31"/>
        <v>0</v>
      </c>
      <c r="V39" s="46">
        <f t="shared" si="31"/>
        <v>300</v>
      </c>
      <c r="W39" s="46">
        <f t="shared" si="31"/>
        <v>300</v>
      </c>
      <c r="X39" s="46">
        <f t="shared" si="31"/>
        <v>300</v>
      </c>
      <c r="Y39" s="46">
        <f t="shared" si="31"/>
        <v>300</v>
      </c>
      <c r="Z39" s="46">
        <f t="shared" si="30"/>
        <v>300</v>
      </c>
      <c r="AA39" s="46">
        <f t="shared" si="30"/>
        <v>300</v>
      </c>
      <c r="AB39" s="46">
        <f t="shared" si="30"/>
        <v>300</v>
      </c>
      <c r="AC39" s="46">
        <f t="shared" si="30"/>
        <v>300</v>
      </c>
      <c r="AD39" s="46">
        <f t="shared" si="30"/>
        <v>300</v>
      </c>
      <c r="AE39" s="46">
        <f t="shared" si="30"/>
        <v>300</v>
      </c>
      <c r="AF39" s="46">
        <f t="shared" si="30"/>
        <v>300</v>
      </c>
      <c r="AG39" s="46">
        <f t="shared" si="30"/>
        <v>300</v>
      </c>
      <c r="AH39" s="46">
        <f t="shared" si="30"/>
        <v>300</v>
      </c>
      <c r="AI39" s="46">
        <f t="shared" si="30"/>
        <v>300</v>
      </c>
      <c r="AJ39" s="46">
        <f t="shared" si="30"/>
        <v>300</v>
      </c>
      <c r="AK39" s="46">
        <f t="shared" si="30"/>
        <v>300</v>
      </c>
      <c r="AL39" s="46">
        <f t="shared" si="30"/>
        <v>300</v>
      </c>
      <c r="AM39" s="46">
        <f t="shared" si="30"/>
        <v>300</v>
      </c>
      <c r="AN39" s="46">
        <f t="shared" si="30"/>
        <v>300</v>
      </c>
      <c r="AO39" s="46">
        <f t="shared" si="30"/>
        <v>300</v>
      </c>
      <c r="AP39" s="46">
        <f t="shared" si="30"/>
        <v>300</v>
      </c>
      <c r="AQ39" s="46">
        <f t="shared" si="30"/>
        <v>300</v>
      </c>
      <c r="AR39" s="46">
        <f t="shared" si="30"/>
        <v>300</v>
      </c>
      <c r="AS39" s="46">
        <f t="shared" si="30"/>
        <v>300</v>
      </c>
      <c r="AT39" s="46">
        <f t="shared" si="30"/>
        <v>300</v>
      </c>
      <c r="AU39" s="46">
        <f t="shared" si="30"/>
        <v>300</v>
      </c>
      <c r="AV39" s="46">
        <f t="shared" si="30"/>
        <v>300</v>
      </c>
      <c r="AW39" s="46">
        <f t="shared" si="30"/>
        <v>300</v>
      </c>
      <c r="AX39" s="46">
        <f t="shared" si="30"/>
        <v>300</v>
      </c>
      <c r="AY39" s="46">
        <f t="shared" si="30"/>
        <v>300</v>
      </c>
      <c r="AZ39" s="46">
        <f t="shared" si="30"/>
        <v>300</v>
      </c>
      <c r="BA39" s="46">
        <f t="shared" si="30"/>
        <v>300</v>
      </c>
      <c r="BB39" s="46">
        <f t="shared" si="30"/>
        <v>300</v>
      </c>
      <c r="BC39" s="46">
        <f t="shared" si="30"/>
        <v>300</v>
      </c>
      <c r="BD39" s="46">
        <f t="shared" si="30"/>
        <v>300</v>
      </c>
      <c r="BE39" s="46">
        <f t="shared" si="30"/>
        <v>300</v>
      </c>
      <c r="BF39" s="46">
        <f t="shared" si="30"/>
        <v>300</v>
      </c>
      <c r="BG39" s="46">
        <f t="shared" si="30"/>
        <v>300</v>
      </c>
      <c r="BH39" s="46">
        <f t="shared" si="30"/>
        <v>300</v>
      </c>
    </row>
    <row r="40" spans="1:60" ht="14.25" customHeight="1" x14ac:dyDescent="0.3">
      <c r="A40" s="46"/>
      <c r="B40" s="37"/>
      <c r="C40" s="46" t="s">
        <v>70</v>
      </c>
      <c r="D40" s="46"/>
      <c r="E40" s="46"/>
      <c r="F40" s="46"/>
      <c r="G40" s="46"/>
      <c r="H40" s="46"/>
      <c r="I40" s="46"/>
      <c r="J40" s="51">
        <f t="shared" ref="J40:BH40" si="32">J38*J39</f>
        <v>0</v>
      </c>
      <c r="K40" s="51">
        <f t="shared" si="32"/>
        <v>0</v>
      </c>
      <c r="L40" s="51">
        <f t="shared" si="32"/>
        <v>0</v>
      </c>
      <c r="M40" s="51">
        <f t="shared" si="32"/>
        <v>0</v>
      </c>
      <c r="N40" s="51">
        <f t="shared" si="32"/>
        <v>0</v>
      </c>
      <c r="O40" s="51">
        <f t="shared" si="32"/>
        <v>0</v>
      </c>
      <c r="P40" s="51">
        <f t="shared" si="32"/>
        <v>0</v>
      </c>
      <c r="Q40" s="51">
        <f t="shared" si="32"/>
        <v>0</v>
      </c>
      <c r="R40" s="51">
        <f t="shared" si="32"/>
        <v>0</v>
      </c>
      <c r="S40" s="51">
        <f t="shared" si="32"/>
        <v>0</v>
      </c>
      <c r="T40" s="51">
        <f t="shared" si="32"/>
        <v>0</v>
      </c>
      <c r="U40" s="51">
        <f t="shared" si="32"/>
        <v>0</v>
      </c>
      <c r="V40" s="51">
        <f t="shared" si="32"/>
        <v>18600</v>
      </c>
      <c r="W40" s="51">
        <f t="shared" si="32"/>
        <v>23400</v>
      </c>
      <c r="X40" s="51">
        <f t="shared" si="32"/>
        <v>35100</v>
      </c>
      <c r="Y40" s="51">
        <f t="shared" si="32"/>
        <v>36855</v>
      </c>
      <c r="Z40" s="51">
        <f t="shared" si="32"/>
        <v>38697.75</v>
      </c>
      <c r="AA40" s="51">
        <f t="shared" si="32"/>
        <v>40632.637500000004</v>
      </c>
      <c r="AB40" s="51">
        <f t="shared" si="32"/>
        <v>42664.269375000003</v>
      </c>
      <c r="AC40" s="51">
        <f t="shared" si="32"/>
        <v>44797.482843750004</v>
      </c>
      <c r="AD40" s="51">
        <f t="shared" si="32"/>
        <v>47037.356985937506</v>
      </c>
      <c r="AE40" s="51">
        <f t="shared" si="32"/>
        <v>49389.224835234381</v>
      </c>
      <c r="AF40" s="51">
        <f t="shared" si="32"/>
        <v>51858.686076996099</v>
      </c>
      <c r="AG40" s="51">
        <f t="shared" si="32"/>
        <v>51900</v>
      </c>
      <c r="AH40" s="51">
        <f t="shared" si="32"/>
        <v>51900</v>
      </c>
      <c r="AI40" s="51">
        <f t="shared" si="32"/>
        <v>51900</v>
      </c>
      <c r="AJ40" s="51">
        <f t="shared" si="32"/>
        <v>51900</v>
      </c>
      <c r="AK40" s="51">
        <f t="shared" si="32"/>
        <v>51900</v>
      </c>
      <c r="AL40" s="51">
        <f t="shared" si="32"/>
        <v>51900</v>
      </c>
      <c r="AM40" s="51">
        <f t="shared" si="32"/>
        <v>51900</v>
      </c>
      <c r="AN40" s="51">
        <f t="shared" si="32"/>
        <v>51900</v>
      </c>
      <c r="AO40" s="51">
        <f t="shared" si="32"/>
        <v>51900</v>
      </c>
      <c r="AP40" s="51">
        <f t="shared" si="32"/>
        <v>51900</v>
      </c>
      <c r="AQ40" s="51">
        <f t="shared" si="32"/>
        <v>51900</v>
      </c>
      <c r="AR40" s="51">
        <f t="shared" si="32"/>
        <v>51900</v>
      </c>
      <c r="AS40" s="51">
        <f t="shared" si="32"/>
        <v>51900</v>
      </c>
      <c r="AT40" s="51">
        <f t="shared" si="32"/>
        <v>51900</v>
      </c>
      <c r="AU40" s="51">
        <f t="shared" si="32"/>
        <v>51900</v>
      </c>
      <c r="AV40" s="51">
        <f t="shared" si="32"/>
        <v>51900</v>
      </c>
      <c r="AW40" s="51">
        <f t="shared" si="32"/>
        <v>51900</v>
      </c>
      <c r="AX40" s="51">
        <f t="shared" si="32"/>
        <v>51900</v>
      </c>
      <c r="AY40" s="51">
        <f t="shared" si="32"/>
        <v>51900</v>
      </c>
      <c r="AZ40" s="51">
        <f t="shared" si="32"/>
        <v>51900</v>
      </c>
      <c r="BA40" s="51">
        <f t="shared" si="32"/>
        <v>51900</v>
      </c>
      <c r="BB40" s="51">
        <f t="shared" si="32"/>
        <v>51900</v>
      </c>
      <c r="BC40" s="51">
        <f t="shared" si="32"/>
        <v>51900</v>
      </c>
      <c r="BD40" s="51">
        <f t="shared" si="32"/>
        <v>51900</v>
      </c>
      <c r="BE40" s="51">
        <f t="shared" si="32"/>
        <v>51900</v>
      </c>
      <c r="BF40" s="51">
        <f t="shared" si="32"/>
        <v>51900</v>
      </c>
      <c r="BG40" s="51">
        <f t="shared" si="32"/>
        <v>51900</v>
      </c>
      <c r="BH40" s="51">
        <f t="shared" si="32"/>
        <v>51900</v>
      </c>
    </row>
    <row r="41" spans="1:60" ht="14.25" customHeight="1" x14ac:dyDescent="0.3">
      <c r="A41" s="46"/>
      <c r="B41" s="37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6"/>
      <c r="BD41" s="46"/>
      <c r="BE41" s="46"/>
      <c r="BF41" s="46"/>
      <c r="BG41" s="46"/>
      <c r="BH41" s="46"/>
    </row>
    <row r="42" spans="1:60" ht="14.25" customHeight="1" x14ac:dyDescent="0.3">
      <c r="A42" s="46"/>
      <c r="B42" s="37"/>
      <c r="C42" s="37" t="s">
        <v>71</v>
      </c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6"/>
      <c r="AR42" s="46"/>
      <c r="AS42" s="46"/>
      <c r="AT42" s="46"/>
      <c r="AU42" s="46"/>
      <c r="AV42" s="46"/>
      <c r="AW42" s="46"/>
      <c r="AX42" s="46"/>
      <c r="AY42" s="46"/>
      <c r="AZ42" s="46"/>
      <c r="BA42" s="46"/>
      <c r="BB42" s="46"/>
      <c r="BC42" s="46"/>
      <c r="BD42" s="46"/>
      <c r="BE42" s="46"/>
      <c r="BF42" s="46"/>
      <c r="BG42" s="46"/>
      <c r="BH42" s="46"/>
    </row>
    <row r="43" spans="1:60" ht="14.25" customHeight="1" x14ac:dyDescent="0.3">
      <c r="A43" s="46"/>
      <c r="B43" s="37"/>
      <c r="C43" s="46" t="s">
        <v>72</v>
      </c>
      <c r="D43" s="47">
        <f>T3</f>
        <v>45900</v>
      </c>
      <c r="E43" s="46"/>
      <c r="F43" s="46"/>
      <c r="G43" s="46"/>
      <c r="H43" s="46"/>
      <c r="I43" s="46"/>
      <c r="J43" s="46">
        <f t="shared" ref="J43:BH43" si="33">IF(J3&gt;=$D$43,1,0)</f>
        <v>0</v>
      </c>
      <c r="K43" s="46">
        <f t="shared" si="33"/>
        <v>0</v>
      </c>
      <c r="L43" s="46">
        <f t="shared" si="33"/>
        <v>0</v>
      </c>
      <c r="M43" s="46">
        <f t="shared" si="33"/>
        <v>0</v>
      </c>
      <c r="N43" s="46">
        <f t="shared" si="33"/>
        <v>0</v>
      </c>
      <c r="O43" s="46">
        <f t="shared" si="33"/>
        <v>0</v>
      </c>
      <c r="P43" s="46">
        <f t="shared" si="33"/>
        <v>0</v>
      </c>
      <c r="Q43" s="46">
        <f t="shared" si="33"/>
        <v>0</v>
      </c>
      <c r="R43" s="46">
        <f t="shared" si="33"/>
        <v>0</v>
      </c>
      <c r="S43" s="46">
        <f t="shared" si="33"/>
        <v>0</v>
      </c>
      <c r="T43" s="46">
        <f t="shared" si="33"/>
        <v>1</v>
      </c>
      <c r="U43" s="46">
        <f t="shared" si="33"/>
        <v>1</v>
      </c>
      <c r="V43" s="46">
        <f t="shared" si="33"/>
        <v>1</v>
      </c>
      <c r="W43" s="46">
        <f t="shared" si="33"/>
        <v>1</v>
      </c>
      <c r="X43" s="46">
        <f t="shared" si="33"/>
        <v>1</v>
      </c>
      <c r="Y43" s="46">
        <f t="shared" si="33"/>
        <v>1</v>
      </c>
      <c r="Z43" s="46">
        <f t="shared" si="33"/>
        <v>1</v>
      </c>
      <c r="AA43" s="46">
        <f t="shared" si="33"/>
        <v>1</v>
      </c>
      <c r="AB43" s="46">
        <f t="shared" si="33"/>
        <v>1</v>
      </c>
      <c r="AC43" s="46">
        <f t="shared" si="33"/>
        <v>1</v>
      </c>
      <c r="AD43" s="46">
        <f t="shared" si="33"/>
        <v>1</v>
      </c>
      <c r="AE43" s="46">
        <f t="shared" si="33"/>
        <v>1</v>
      </c>
      <c r="AF43" s="46">
        <f t="shared" si="33"/>
        <v>1</v>
      </c>
      <c r="AG43" s="46">
        <f t="shared" si="33"/>
        <v>1</v>
      </c>
      <c r="AH43" s="46">
        <f t="shared" si="33"/>
        <v>1</v>
      </c>
      <c r="AI43" s="46">
        <f t="shared" si="33"/>
        <v>1</v>
      </c>
      <c r="AJ43" s="46">
        <f t="shared" si="33"/>
        <v>1</v>
      </c>
      <c r="AK43" s="46">
        <f t="shared" si="33"/>
        <v>1</v>
      </c>
      <c r="AL43" s="46">
        <f t="shared" si="33"/>
        <v>1</v>
      </c>
      <c r="AM43" s="46">
        <f t="shared" si="33"/>
        <v>1</v>
      </c>
      <c r="AN43" s="46">
        <f t="shared" si="33"/>
        <v>1</v>
      </c>
      <c r="AO43" s="46">
        <f t="shared" si="33"/>
        <v>1</v>
      </c>
      <c r="AP43" s="46">
        <f t="shared" si="33"/>
        <v>1</v>
      </c>
      <c r="AQ43" s="46">
        <f t="shared" si="33"/>
        <v>1</v>
      </c>
      <c r="AR43" s="46">
        <f t="shared" si="33"/>
        <v>1</v>
      </c>
      <c r="AS43" s="46">
        <f t="shared" si="33"/>
        <v>1</v>
      </c>
      <c r="AT43" s="46">
        <f t="shared" si="33"/>
        <v>1</v>
      </c>
      <c r="AU43" s="46">
        <f t="shared" si="33"/>
        <v>1</v>
      </c>
      <c r="AV43" s="46">
        <f t="shared" si="33"/>
        <v>1</v>
      </c>
      <c r="AW43" s="46">
        <f t="shared" si="33"/>
        <v>1</v>
      </c>
      <c r="AX43" s="46">
        <f t="shared" si="33"/>
        <v>1</v>
      </c>
      <c r="AY43" s="46">
        <f t="shared" si="33"/>
        <v>1</v>
      </c>
      <c r="AZ43" s="46">
        <f t="shared" si="33"/>
        <v>1</v>
      </c>
      <c r="BA43" s="46">
        <f t="shared" si="33"/>
        <v>1</v>
      </c>
      <c r="BB43" s="46">
        <f t="shared" si="33"/>
        <v>1</v>
      </c>
      <c r="BC43" s="46">
        <f t="shared" si="33"/>
        <v>1</v>
      </c>
      <c r="BD43" s="46">
        <f t="shared" si="33"/>
        <v>1</v>
      </c>
      <c r="BE43" s="46">
        <f t="shared" si="33"/>
        <v>1</v>
      </c>
      <c r="BF43" s="46">
        <f t="shared" si="33"/>
        <v>1</v>
      </c>
      <c r="BG43" s="46">
        <f t="shared" si="33"/>
        <v>1</v>
      </c>
      <c r="BH43" s="46">
        <f t="shared" si="33"/>
        <v>1</v>
      </c>
    </row>
    <row r="44" spans="1:60" ht="14.25" customHeight="1" x14ac:dyDescent="0.3">
      <c r="A44" s="46"/>
      <c r="B44" s="37"/>
      <c r="C44" s="37"/>
      <c r="D44" s="46" t="s">
        <v>49</v>
      </c>
      <c r="E44" s="46" t="s">
        <v>50</v>
      </c>
      <c r="F44" s="46" t="s">
        <v>51</v>
      </c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6"/>
      <c r="AN44" s="46"/>
      <c r="AO44" s="46"/>
      <c r="AP44" s="46"/>
      <c r="AQ44" s="46"/>
      <c r="AR44" s="46"/>
      <c r="AS44" s="46"/>
      <c r="AT44" s="46"/>
      <c r="AU44" s="46"/>
      <c r="AV44" s="46"/>
      <c r="AW44" s="46"/>
      <c r="AX44" s="46"/>
      <c r="AY44" s="46"/>
      <c r="AZ44" s="46"/>
      <c r="BA44" s="46"/>
      <c r="BB44" s="46"/>
      <c r="BC44" s="46"/>
      <c r="BD44" s="46"/>
      <c r="BE44" s="46"/>
      <c r="BF44" s="46"/>
      <c r="BG44" s="46"/>
      <c r="BH44" s="46"/>
    </row>
    <row r="45" spans="1:60" ht="14.25" customHeight="1" x14ac:dyDescent="0.3">
      <c r="A45" s="46"/>
      <c r="B45" s="37"/>
      <c r="C45" s="46" t="s">
        <v>73</v>
      </c>
      <c r="D45" s="49">
        <v>20</v>
      </c>
      <c r="E45" s="49">
        <v>120</v>
      </c>
      <c r="F45" s="50">
        <v>0.1</v>
      </c>
      <c r="G45" s="46"/>
      <c r="H45" s="46"/>
      <c r="I45" s="46"/>
      <c r="J45" s="46">
        <f t="shared" ref="J45:Y46" si="34">MIN(MAX($D45,I45)*(1+$F45)*J$43,$E45)</f>
        <v>0</v>
      </c>
      <c r="K45" s="46">
        <f t="shared" si="34"/>
        <v>0</v>
      </c>
      <c r="L45" s="46">
        <f t="shared" si="34"/>
        <v>0</v>
      </c>
      <c r="M45" s="46">
        <f t="shared" si="34"/>
        <v>0</v>
      </c>
      <c r="N45" s="46">
        <f t="shared" si="34"/>
        <v>0</v>
      </c>
      <c r="O45" s="46">
        <f t="shared" si="34"/>
        <v>0</v>
      </c>
      <c r="P45" s="46">
        <f t="shared" si="34"/>
        <v>0</v>
      </c>
      <c r="Q45" s="46">
        <f t="shared" si="34"/>
        <v>0</v>
      </c>
      <c r="R45" s="46">
        <f t="shared" si="34"/>
        <v>0</v>
      </c>
      <c r="S45" s="46">
        <v>1</v>
      </c>
      <c r="T45" s="46">
        <f t="shared" si="34"/>
        <v>22</v>
      </c>
      <c r="U45" s="46">
        <f t="shared" si="34"/>
        <v>24.200000000000003</v>
      </c>
      <c r="V45" s="46">
        <f t="shared" si="34"/>
        <v>26.620000000000005</v>
      </c>
      <c r="W45" s="46">
        <f t="shared" si="34"/>
        <v>29.282000000000007</v>
      </c>
      <c r="X45" s="46">
        <f t="shared" si="34"/>
        <v>32.210200000000007</v>
      </c>
      <c r="Y45" s="46">
        <f t="shared" si="34"/>
        <v>35.43122000000001</v>
      </c>
      <c r="Z45" s="46">
        <f t="shared" ref="Z45:AO46" si="35">MIN(MAX($D45,Y45)*(1+$F45)*Z$43,$E45)</f>
        <v>38.974342000000014</v>
      </c>
      <c r="AA45" s="46">
        <f t="shared" si="35"/>
        <v>42.871776200000021</v>
      </c>
      <c r="AB45" s="46">
        <f t="shared" si="35"/>
        <v>47.158953820000029</v>
      </c>
      <c r="AC45" s="46">
        <f t="shared" si="35"/>
        <v>51.874849202000036</v>
      </c>
      <c r="AD45" s="46">
        <f t="shared" si="35"/>
        <v>57.062334122200042</v>
      </c>
      <c r="AE45" s="46">
        <f t="shared" si="35"/>
        <v>62.76856753442005</v>
      </c>
      <c r="AF45" s="46">
        <f t="shared" si="35"/>
        <v>69.045424287862062</v>
      </c>
      <c r="AG45" s="46">
        <f t="shared" si="35"/>
        <v>75.949966716648277</v>
      </c>
      <c r="AH45" s="46">
        <f t="shared" si="35"/>
        <v>83.544963388313107</v>
      </c>
      <c r="AI45" s="46">
        <f t="shared" si="35"/>
        <v>91.899459727144432</v>
      </c>
      <c r="AJ45" s="46">
        <f t="shared" si="35"/>
        <v>101.08940569985889</v>
      </c>
      <c r="AK45" s="46">
        <f t="shared" si="35"/>
        <v>111.19834626984479</v>
      </c>
      <c r="AL45" s="46">
        <f t="shared" si="35"/>
        <v>120</v>
      </c>
      <c r="AM45" s="46">
        <f t="shared" si="35"/>
        <v>120</v>
      </c>
      <c r="AN45" s="46">
        <f t="shared" si="35"/>
        <v>120</v>
      </c>
      <c r="AO45" s="46">
        <f t="shared" si="35"/>
        <v>120</v>
      </c>
      <c r="AP45" s="46">
        <f t="shared" ref="AP45:BE46" si="36">MIN(MAX($D45,AO45)*(1+$F45)*AP$43,$E45)</f>
        <v>120</v>
      </c>
      <c r="AQ45" s="46">
        <f t="shared" si="36"/>
        <v>120</v>
      </c>
      <c r="AR45" s="46">
        <f t="shared" si="36"/>
        <v>120</v>
      </c>
      <c r="AS45" s="46">
        <f t="shared" si="36"/>
        <v>120</v>
      </c>
      <c r="AT45" s="46">
        <f t="shared" si="36"/>
        <v>120</v>
      </c>
      <c r="AU45" s="46">
        <f t="shared" si="36"/>
        <v>120</v>
      </c>
      <c r="AV45" s="46">
        <f t="shared" si="36"/>
        <v>120</v>
      </c>
      <c r="AW45" s="46">
        <f t="shared" si="36"/>
        <v>120</v>
      </c>
      <c r="AX45" s="46">
        <f t="shared" si="36"/>
        <v>120</v>
      </c>
      <c r="AY45" s="46">
        <f t="shared" si="36"/>
        <v>120</v>
      </c>
      <c r="AZ45" s="46">
        <f t="shared" si="36"/>
        <v>120</v>
      </c>
      <c r="BA45" s="46">
        <f t="shared" si="36"/>
        <v>120</v>
      </c>
      <c r="BB45" s="46">
        <f t="shared" si="36"/>
        <v>120</v>
      </c>
      <c r="BC45" s="46">
        <f t="shared" si="36"/>
        <v>120</v>
      </c>
      <c r="BD45" s="46">
        <f t="shared" si="36"/>
        <v>120</v>
      </c>
      <c r="BE45" s="46">
        <f t="shared" si="36"/>
        <v>120</v>
      </c>
      <c r="BF45" s="46">
        <f t="shared" ref="BF45:BH46" si="37">MIN(MAX($D45,BE45)*(1+$F45)*BF$43,$E45)</f>
        <v>120</v>
      </c>
      <c r="BG45" s="46">
        <f t="shared" si="37"/>
        <v>120</v>
      </c>
      <c r="BH45" s="46">
        <f t="shared" si="37"/>
        <v>120</v>
      </c>
    </row>
    <row r="46" spans="1:60" ht="14.25" customHeight="1" x14ac:dyDescent="0.3">
      <c r="A46" s="46"/>
      <c r="B46" s="37"/>
      <c r="C46" s="46" t="s">
        <v>65</v>
      </c>
      <c r="D46" s="49">
        <v>200</v>
      </c>
      <c r="E46" s="49">
        <v>200</v>
      </c>
      <c r="F46" s="50">
        <v>0</v>
      </c>
      <c r="G46" s="46"/>
      <c r="H46" s="46"/>
      <c r="I46" s="46"/>
      <c r="J46" s="46">
        <f t="shared" si="34"/>
        <v>0</v>
      </c>
      <c r="K46" s="46">
        <f t="shared" si="34"/>
        <v>0</v>
      </c>
      <c r="L46" s="46">
        <f t="shared" si="34"/>
        <v>0</v>
      </c>
      <c r="M46" s="46">
        <f t="shared" si="34"/>
        <v>0</v>
      </c>
      <c r="N46" s="46">
        <f t="shared" si="34"/>
        <v>0</v>
      </c>
      <c r="O46" s="46">
        <f t="shared" si="34"/>
        <v>0</v>
      </c>
      <c r="P46" s="46">
        <f t="shared" si="34"/>
        <v>0</v>
      </c>
      <c r="Q46" s="46">
        <f t="shared" si="34"/>
        <v>0</v>
      </c>
      <c r="R46" s="46">
        <f t="shared" si="34"/>
        <v>0</v>
      </c>
      <c r="S46" s="46">
        <v>200</v>
      </c>
      <c r="T46" s="46">
        <f t="shared" si="34"/>
        <v>200</v>
      </c>
      <c r="U46" s="46">
        <f t="shared" si="34"/>
        <v>200</v>
      </c>
      <c r="V46" s="46">
        <f t="shared" si="34"/>
        <v>200</v>
      </c>
      <c r="W46" s="46">
        <f t="shared" si="34"/>
        <v>200</v>
      </c>
      <c r="X46" s="46">
        <f t="shared" si="34"/>
        <v>200</v>
      </c>
      <c r="Y46" s="46">
        <f t="shared" si="34"/>
        <v>200</v>
      </c>
      <c r="Z46" s="46">
        <f t="shared" si="35"/>
        <v>200</v>
      </c>
      <c r="AA46" s="46">
        <f t="shared" si="35"/>
        <v>200</v>
      </c>
      <c r="AB46" s="46">
        <f t="shared" si="35"/>
        <v>200</v>
      </c>
      <c r="AC46" s="46">
        <f t="shared" si="35"/>
        <v>200</v>
      </c>
      <c r="AD46" s="46">
        <f t="shared" si="35"/>
        <v>200</v>
      </c>
      <c r="AE46" s="46">
        <f t="shared" si="35"/>
        <v>200</v>
      </c>
      <c r="AF46" s="46">
        <f t="shared" si="35"/>
        <v>200</v>
      </c>
      <c r="AG46" s="46">
        <f t="shared" si="35"/>
        <v>200</v>
      </c>
      <c r="AH46" s="46">
        <f t="shared" si="35"/>
        <v>200</v>
      </c>
      <c r="AI46" s="46">
        <f t="shared" si="35"/>
        <v>200</v>
      </c>
      <c r="AJ46" s="46">
        <f t="shared" si="35"/>
        <v>200</v>
      </c>
      <c r="AK46" s="46">
        <f t="shared" si="35"/>
        <v>200</v>
      </c>
      <c r="AL46" s="46">
        <f t="shared" si="35"/>
        <v>200</v>
      </c>
      <c r="AM46" s="46">
        <f t="shared" si="35"/>
        <v>200</v>
      </c>
      <c r="AN46" s="46">
        <f t="shared" si="35"/>
        <v>200</v>
      </c>
      <c r="AO46" s="46">
        <f t="shared" si="35"/>
        <v>200</v>
      </c>
      <c r="AP46" s="46">
        <f t="shared" si="36"/>
        <v>200</v>
      </c>
      <c r="AQ46" s="46">
        <f t="shared" si="36"/>
        <v>200</v>
      </c>
      <c r="AR46" s="46">
        <f t="shared" si="36"/>
        <v>200</v>
      </c>
      <c r="AS46" s="46">
        <f t="shared" si="36"/>
        <v>200</v>
      </c>
      <c r="AT46" s="46">
        <f t="shared" si="36"/>
        <v>200</v>
      </c>
      <c r="AU46" s="46">
        <f t="shared" si="36"/>
        <v>200</v>
      </c>
      <c r="AV46" s="46">
        <f t="shared" si="36"/>
        <v>200</v>
      </c>
      <c r="AW46" s="46">
        <f t="shared" si="36"/>
        <v>200</v>
      </c>
      <c r="AX46" s="46">
        <f t="shared" si="36"/>
        <v>200</v>
      </c>
      <c r="AY46" s="46">
        <f t="shared" si="36"/>
        <v>200</v>
      </c>
      <c r="AZ46" s="46">
        <f t="shared" si="36"/>
        <v>200</v>
      </c>
      <c r="BA46" s="46">
        <f t="shared" si="36"/>
        <v>200</v>
      </c>
      <c r="BB46" s="46">
        <f t="shared" si="36"/>
        <v>200</v>
      </c>
      <c r="BC46" s="46">
        <f t="shared" si="36"/>
        <v>200</v>
      </c>
      <c r="BD46" s="46">
        <f t="shared" si="36"/>
        <v>200</v>
      </c>
      <c r="BE46" s="46">
        <f t="shared" si="36"/>
        <v>200</v>
      </c>
      <c r="BF46" s="46">
        <f t="shared" si="37"/>
        <v>200</v>
      </c>
      <c r="BG46" s="46">
        <f t="shared" si="37"/>
        <v>200</v>
      </c>
      <c r="BH46" s="46">
        <f t="shared" si="37"/>
        <v>200</v>
      </c>
    </row>
    <row r="47" spans="1:60" ht="14.25" customHeight="1" x14ac:dyDescent="0.3">
      <c r="A47" s="46"/>
      <c r="B47" s="37"/>
      <c r="C47" s="46" t="s">
        <v>74</v>
      </c>
      <c r="D47" s="46"/>
      <c r="E47" s="46"/>
      <c r="F47" s="46"/>
      <c r="G47" s="46"/>
      <c r="H47" s="46"/>
      <c r="I47" s="46"/>
      <c r="J47" s="51">
        <f t="shared" ref="J47:BH47" si="38">J45*J46</f>
        <v>0</v>
      </c>
      <c r="K47" s="51">
        <f t="shared" si="38"/>
        <v>0</v>
      </c>
      <c r="L47" s="51">
        <f t="shared" si="38"/>
        <v>0</v>
      </c>
      <c r="M47" s="51">
        <f t="shared" si="38"/>
        <v>0</v>
      </c>
      <c r="N47" s="51">
        <f t="shared" si="38"/>
        <v>0</v>
      </c>
      <c r="O47" s="51">
        <f t="shared" si="38"/>
        <v>0</v>
      </c>
      <c r="P47" s="51">
        <f t="shared" si="38"/>
        <v>0</v>
      </c>
      <c r="Q47" s="51">
        <f t="shared" si="38"/>
        <v>0</v>
      </c>
      <c r="R47" s="51">
        <f t="shared" si="38"/>
        <v>0</v>
      </c>
      <c r="S47" s="51">
        <f t="shared" si="38"/>
        <v>200</v>
      </c>
      <c r="T47" s="51">
        <f t="shared" si="38"/>
        <v>4400</v>
      </c>
      <c r="U47" s="51">
        <f t="shared" si="38"/>
        <v>4840.0000000000009</v>
      </c>
      <c r="V47" s="51">
        <f t="shared" si="38"/>
        <v>5324.0000000000009</v>
      </c>
      <c r="W47" s="51">
        <f t="shared" si="38"/>
        <v>5856.4000000000015</v>
      </c>
      <c r="X47" s="51">
        <f t="shared" si="38"/>
        <v>6442.0400000000018</v>
      </c>
      <c r="Y47" s="51">
        <f t="shared" si="38"/>
        <v>7086.2440000000024</v>
      </c>
      <c r="Z47" s="51">
        <f t="shared" si="38"/>
        <v>7794.868400000003</v>
      </c>
      <c r="AA47" s="51">
        <f t="shared" si="38"/>
        <v>8574.3552400000044</v>
      </c>
      <c r="AB47" s="51">
        <f t="shared" si="38"/>
        <v>9431.7907640000067</v>
      </c>
      <c r="AC47" s="51">
        <f t="shared" si="38"/>
        <v>10374.969840400006</v>
      </c>
      <c r="AD47" s="51">
        <f t="shared" si="38"/>
        <v>11412.466824440009</v>
      </c>
      <c r="AE47" s="51">
        <f t="shared" si="38"/>
        <v>12553.713506884011</v>
      </c>
      <c r="AF47" s="51">
        <f t="shared" si="38"/>
        <v>13809.084857572412</v>
      </c>
      <c r="AG47" s="51">
        <f t="shared" si="38"/>
        <v>15189.993343329656</v>
      </c>
      <c r="AH47" s="51">
        <f t="shared" si="38"/>
        <v>16708.99267766262</v>
      </c>
      <c r="AI47" s="51">
        <f t="shared" si="38"/>
        <v>18379.891945428888</v>
      </c>
      <c r="AJ47" s="51">
        <f t="shared" si="38"/>
        <v>20217.881139971778</v>
      </c>
      <c r="AK47" s="51">
        <f t="shared" si="38"/>
        <v>22239.669253968957</v>
      </c>
      <c r="AL47" s="51">
        <f t="shared" si="38"/>
        <v>24000</v>
      </c>
      <c r="AM47" s="51">
        <f t="shared" si="38"/>
        <v>24000</v>
      </c>
      <c r="AN47" s="51">
        <f t="shared" si="38"/>
        <v>24000</v>
      </c>
      <c r="AO47" s="51">
        <f t="shared" si="38"/>
        <v>24000</v>
      </c>
      <c r="AP47" s="51">
        <f t="shared" si="38"/>
        <v>24000</v>
      </c>
      <c r="AQ47" s="51">
        <f t="shared" si="38"/>
        <v>24000</v>
      </c>
      <c r="AR47" s="51">
        <f t="shared" si="38"/>
        <v>24000</v>
      </c>
      <c r="AS47" s="51">
        <f t="shared" si="38"/>
        <v>24000</v>
      </c>
      <c r="AT47" s="51">
        <f t="shared" si="38"/>
        <v>24000</v>
      </c>
      <c r="AU47" s="51">
        <f t="shared" si="38"/>
        <v>24000</v>
      </c>
      <c r="AV47" s="51">
        <f t="shared" si="38"/>
        <v>24000</v>
      </c>
      <c r="AW47" s="51">
        <f t="shared" si="38"/>
        <v>24000</v>
      </c>
      <c r="AX47" s="51">
        <f t="shared" si="38"/>
        <v>24000</v>
      </c>
      <c r="AY47" s="51">
        <f t="shared" si="38"/>
        <v>24000</v>
      </c>
      <c r="AZ47" s="51">
        <f t="shared" si="38"/>
        <v>24000</v>
      </c>
      <c r="BA47" s="51">
        <f t="shared" si="38"/>
        <v>24000</v>
      </c>
      <c r="BB47" s="51">
        <f t="shared" si="38"/>
        <v>24000</v>
      </c>
      <c r="BC47" s="51">
        <f t="shared" si="38"/>
        <v>24000</v>
      </c>
      <c r="BD47" s="51">
        <f t="shared" si="38"/>
        <v>24000</v>
      </c>
      <c r="BE47" s="51">
        <f t="shared" si="38"/>
        <v>24000</v>
      </c>
      <c r="BF47" s="51">
        <f t="shared" si="38"/>
        <v>24000</v>
      </c>
      <c r="BG47" s="51">
        <f t="shared" si="38"/>
        <v>24000</v>
      </c>
      <c r="BH47" s="51">
        <f t="shared" si="38"/>
        <v>24000</v>
      </c>
    </row>
    <row r="48" spans="1:60" ht="14.25" customHeight="1" x14ac:dyDescent="0.3">
      <c r="A48" s="46"/>
      <c r="B48" s="37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46"/>
      <c r="AQ48" s="46"/>
      <c r="AR48" s="46"/>
      <c r="AS48" s="46"/>
      <c r="AT48" s="46"/>
      <c r="AU48" s="46"/>
      <c r="AV48" s="46"/>
      <c r="AW48" s="46"/>
      <c r="AX48" s="46"/>
      <c r="AY48" s="46"/>
      <c r="AZ48" s="46"/>
      <c r="BA48" s="46"/>
      <c r="BB48" s="46"/>
      <c r="BC48" s="46"/>
      <c r="BD48" s="46"/>
      <c r="BE48" s="46"/>
      <c r="BF48" s="46"/>
      <c r="BG48" s="46"/>
      <c r="BH48" s="46"/>
    </row>
    <row r="49" spans="1:60" ht="14.25" customHeight="1" x14ac:dyDescent="0.3">
      <c r="A49" s="46"/>
      <c r="B49" s="37"/>
      <c r="C49" s="37" t="s">
        <v>75</v>
      </c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/>
      <c r="AR49" s="46"/>
      <c r="AS49" s="46"/>
      <c r="AT49" s="46"/>
      <c r="AU49" s="46"/>
      <c r="AV49" s="46"/>
      <c r="AW49" s="46"/>
      <c r="AX49" s="46"/>
      <c r="AY49" s="46"/>
      <c r="AZ49" s="46"/>
      <c r="BA49" s="46"/>
      <c r="BB49" s="46"/>
      <c r="BC49" s="46"/>
      <c r="BD49" s="46"/>
      <c r="BE49" s="46"/>
      <c r="BF49" s="46"/>
      <c r="BG49" s="46"/>
      <c r="BH49" s="46"/>
    </row>
    <row r="50" spans="1:60" ht="14.25" customHeight="1" x14ac:dyDescent="0.3">
      <c r="A50" s="46"/>
      <c r="B50" s="37"/>
      <c r="C50" s="46" t="s">
        <v>76</v>
      </c>
      <c r="D50" s="47">
        <v>0</v>
      </c>
      <c r="E50" s="46"/>
      <c r="F50" s="46"/>
      <c r="G50" s="46"/>
      <c r="H50" s="46"/>
      <c r="I50" s="46"/>
      <c r="J50" s="46">
        <f>IF(J3&gt;=$D$50,1,0)</f>
        <v>1</v>
      </c>
      <c r="K50" s="46">
        <f t="shared" ref="K50:BH50" si="39">IF(K3&gt;=$D$50,1,0)</f>
        <v>1</v>
      </c>
      <c r="L50" s="46">
        <f t="shared" si="39"/>
        <v>1</v>
      </c>
      <c r="M50" s="46">
        <f t="shared" si="39"/>
        <v>1</v>
      </c>
      <c r="N50" s="46">
        <f t="shared" si="39"/>
        <v>1</v>
      </c>
      <c r="O50" s="46">
        <f t="shared" si="39"/>
        <v>1</v>
      </c>
      <c r="P50" s="46">
        <f t="shared" si="39"/>
        <v>1</v>
      </c>
      <c r="Q50" s="46">
        <f t="shared" si="39"/>
        <v>1</v>
      </c>
      <c r="R50" s="46">
        <f t="shared" si="39"/>
        <v>1</v>
      </c>
      <c r="S50" s="46">
        <f t="shared" si="39"/>
        <v>1</v>
      </c>
      <c r="T50" s="46">
        <f t="shared" si="39"/>
        <v>1</v>
      </c>
      <c r="U50" s="46">
        <f t="shared" si="39"/>
        <v>1</v>
      </c>
      <c r="V50" s="46">
        <f t="shared" si="39"/>
        <v>1</v>
      </c>
      <c r="W50" s="46">
        <f t="shared" si="39"/>
        <v>1</v>
      </c>
      <c r="X50" s="46">
        <f t="shared" si="39"/>
        <v>1</v>
      </c>
      <c r="Y50" s="46">
        <f t="shared" si="39"/>
        <v>1</v>
      </c>
      <c r="Z50" s="46">
        <f t="shared" si="39"/>
        <v>1</v>
      </c>
      <c r="AA50" s="46">
        <f t="shared" si="39"/>
        <v>1</v>
      </c>
      <c r="AB50" s="46">
        <f t="shared" si="39"/>
        <v>1</v>
      </c>
      <c r="AC50" s="46">
        <f t="shared" si="39"/>
        <v>1</v>
      </c>
      <c r="AD50" s="46">
        <f t="shared" si="39"/>
        <v>1</v>
      </c>
      <c r="AE50" s="46">
        <f t="shared" si="39"/>
        <v>1</v>
      </c>
      <c r="AF50" s="46">
        <f t="shared" si="39"/>
        <v>1</v>
      </c>
      <c r="AG50" s="46">
        <f t="shared" si="39"/>
        <v>1</v>
      </c>
      <c r="AH50" s="46">
        <f t="shared" si="39"/>
        <v>1</v>
      </c>
      <c r="AI50" s="46">
        <f t="shared" si="39"/>
        <v>1</v>
      </c>
      <c r="AJ50" s="46">
        <f t="shared" si="39"/>
        <v>1</v>
      </c>
      <c r="AK50" s="46">
        <f t="shared" si="39"/>
        <v>1</v>
      </c>
      <c r="AL50" s="46">
        <f t="shared" si="39"/>
        <v>1</v>
      </c>
      <c r="AM50" s="46">
        <f t="shared" si="39"/>
        <v>1</v>
      </c>
      <c r="AN50" s="46">
        <f t="shared" si="39"/>
        <v>1</v>
      </c>
      <c r="AO50" s="46">
        <f t="shared" si="39"/>
        <v>1</v>
      </c>
      <c r="AP50" s="46">
        <f t="shared" si="39"/>
        <v>1</v>
      </c>
      <c r="AQ50" s="46">
        <f t="shared" si="39"/>
        <v>1</v>
      </c>
      <c r="AR50" s="46">
        <f t="shared" si="39"/>
        <v>1</v>
      </c>
      <c r="AS50" s="46">
        <f t="shared" si="39"/>
        <v>1</v>
      </c>
      <c r="AT50" s="46">
        <f t="shared" si="39"/>
        <v>1</v>
      </c>
      <c r="AU50" s="46">
        <f t="shared" si="39"/>
        <v>1</v>
      </c>
      <c r="AV50" s="46">
        <f t="shared" si="39"/>
        <v>1</v>
      </c>
      <c r="AW50" s="46">
        <f t="shared" si="39"/>
        <v>1</v>
      </c>
      <c r="AX50" s="46">
        <f t="shared" si="39"/>
        <v>1</v>
      </c>
      <c r="AY50" s="46">
        <f t="shared" si="39"/>
        <v>1</v>
      </c>
      <c r="AZ50" s="46">
        <f t="shared" si="39"/>
        <v>1</v>
      </c>
      <c r="BA50" s="46">
        <f t="shared" si="39"/>
        <v>1</v>
      </c>
      <c r="BB50" s="46">
        <f t="shared" si="39"/>
        <v>1</v>
      </c>
      <c r="BC50" s="46">
        <f t="shared" si="39"/>
        <v>1</v>
      </c>
      <c r="BD50" s="46">
        <f t="shared" si="39"/>
        <v>1</v>
      </c>
      <c r="BE50" s="46">
        <f t="shared" si="39"/>
        <v>1</v>
      </c>
      <c r="BF50" s="46">
        <f t="shared" si="39"/>
        <v>1</v>
      </c>
      <c r="BG50" s="46">
        <f t="shared" si="39"/>
        <v>1</v>
      </c>
      <c r="BH50" s="46">
        <f t="shared" si="39"/>
        <v>1</v>
      </c>
    </row>
    <row r="51" spans="1:60" ht="14.25" customHeight="1" x14ac:dyDescent="0.3">
      <c r="A51" s="46"/>
      <c r="B51" s="37"/>
      <c r="C51" s="37"/>
      <c r="D51" s="46" t="s">
        <v>49</v>
      </c>
      <c r="E51" s="46" t="s">
        <v>50</v>
      </c>
      <c r="F51" s="46" t="s">
        <v>51</v>
      </c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46"/>
      <c r="BC51" s="46"/>
      <c r="BD51" s="46"/>
      <c r="BE51" s="46"/>
      <c r="BF51" s="46"/>
      <c r="BG51" s="46"/>
      <c r="BH51" s="46"/>
    </row>
    <row r="52" spans="1:60" ht="14.25" customHeight="1" x14ac:dyDescent="0.3">
      <c r="A52" s="46"/>
      <c r="B52" s="37"/>
      <c r="C52" s="46" t="s">
        <v>77</v>
      </c>
      <c r="D52" s="49">
        <v>0</v>
      </c>
      <c r="E52" s="49">
        <v>0</v>
      </c>
      <c r="F52" s="50">
        <v>0</v>
      </c>
      <c r="G52" s="46"/>
      <c r="H52" s="46"/>
      <c r="I52" s="46"/>
      <c r="J52" s="46">
        <f>MIN(MAX($D52,I52)*(1+$F52)*J$50,$E52)</f>
        <v>0</v>
      </c>
      <c r="K52" s="46">
        <f t="shared" ref="K52:Z53" si="40">MIN(MAX($D52,J52)*(1+$F52)*K$50,$E52)</f>
        <v>0</v>
      </c>
      <c r="L52" s="46">
        <f t="shared" si="40"/>
        <v>0</v>
      </c>
      <c r="M52" s="46">
        <f t="shared" si="40"/>
        <v>0</v>
      </c>
      <c r="N52" s="46">
        <f t="shared" si="40"/>
        <v>0</v>
      </c>
      <c r="O52" s="46">
        <f t="shared" si="40"/>
        <v>0</v>
      </c>
      <c r="P52" s="46">
        <f t="shared" si="40"/>
        <v>0</v>
      </c>
      <c r="Q52" s="46">
        <f t="shared" si="40"/>
        <v>0</v>
      </c>
      <c r="R52" s="46">
        <f t="shared" si="40"/>
        <v>0</v>
      </c>
      <c r="S52" s="46">
        <f t="shared" si="40"/>
        <v>0</v>
      </c>
      <c r="T52" s="46">
        <f t="shared" si="40"/>
        <v>0</v>
      </c>
      <c r="U52" s="46">
        <f t="shared" si="40"/>
        <v>0</v>
      </c>
      <c r="V52" s="46">
        <f t="shared" si="40"/>
        <v>0</v>
      </c>
      <c r="W52" s="46">
        <f t="shared" si="40"/>
        <v>0</v>
      </c>
      <c r="X52" s="46">
        <f t="shared" si="40"/>
        <v>0</v>
      </c>
      <c r="Y52" s="46">
        <f t="shared" si="40"/>
        <v>0</v>
      </c>
      <c r="Z52" s="46">
        <f t="shared" si="40"/>
        <v>0</v>
      </c>
      <c r="AA52" s="46">
        <f t="shared" ref="AA52:AP53" si="41">MIN(MAX($D52,Z52)*(1+$F52)*AA$50,$E52)</f>
        <v>0</v>
      </c>
      <c r="AB52" s="46">
        <f t="shared" si="41"/>
        <v>0</v>
      </c>
      <c r="AC52" s="46">
        <f t="shared" si="41"/>
        <v>0</v>
      </c>
      <c r="AD52" s="46">
        <f t="shared" si="41"/>
        <v>0</v>
      </c>
      <c r="AE52" s="46">
        <f t="shared" si="41"/>
        <v>0</v>
      </c>
      <c r="AF52" s="46">
        <f t="shared" si="41"/>
        <v>0</v>
      </c>
      <c r="AG52" s="46">
        <f t="shared" si="41"/>
        <v>0</v>
      </c>
      <c r="AH52" s="46">
        <f t="shared" si="41"/>
        <v>0</v>
      </c>
      <c r="AI52" s="46">
        <f t="shared" si="41"/>
        <v>0</v>
      </c>
      <c r="AJ52" s="46">
        <f t="shared" si="41"/>
        <v>0</v>
      </c>
      <c r="AK52" s="46">
        <f t="shared" si="41"/>
        <v>0</v>
      </c>
      <c r="AL52" s="46">
        <f t="shared" si="41"/>
        <v>0</v>
      </c>
      <c r="AM52" s="46">
        <f t="shared" si="41"/>
        <v>0</v>
      </c>
      <c r="AN52" s="46">
        <f t="shared" si="41"/>
        <v>0</v>
      </c>
      <c r="AO52" s="46">
        <f t="shared" si="41"/>
        <v>0</v>
      </c>
      <c r="AP52" s="46">
        <f t="shared" si="41"/>
        <v>0</v>
      </c>
      <c r="AQ52" s="46">
        <f t="shared" ref="AQ52:BF53" si="42">MIN(MAX($D52,AP52)*(1+$F52)*AQ$50,$E52)</f>
        <v>0</v>
      </c>
      <c r="AR52" s="46">
        <f t="shared" si="42"/>
        <v>0</v>
      </c>
      <c r="AS52" s="46">
        <f t="shared" si="42"/>
        <v>0</v>
      </c>
      <c r="AT52" s="46">
        <f t="shared" si="42"/>
        <v>0</v>
      </c>
      <c r="AU52" s="46">
        <f t="shared" si="42"/>
        <v>0</v>
      </c>
      <c r="AV52" s="46">
        <f t="shared" si="42"/>
        <v>0</v>
      </c>
      <c r="AW52" s="46">
        <f t="shared" si="42"/>
        <v>0</v>
      </c>
      <c r="AX52" s="46">
        <f t="shared" si="42"/>
        <v>0</v>
      </c>
      <c r="AY52" s="46">
        <f t="shared" si="42"/>
        <v>0</v>
      </c>
      <c r="AZ52" s="46">
        <f t="shared" si="42"/>
        <v>0</v>
      </c>
      <c r="BA52" s="46">
        <f t="shared" si="42"/>
        <v>0</v>
      </c>
      <c r="BB52" s="46">
        <f t="shared" si="42"/>
        <v>0</v>
      </c>
      <c r="BC52" s="46">
        <f t="shared" si="42"/>
        <v>0</v>
      </c>
      <c r="BD52" s="46">
        <f t="shared" si="42"/>
        <v>0</v>
      </c>
      <c r="BE52" s="46">
        <f t="shared" si="42"/>
        <v>0</v>
      </c>
      <c r="BF52" s="46">
        <f t="shared" si="42"/>
        <v>0</v>
      </c>
      <c r="BG52" s="46">
        <f t="shared" ref="BG52:BH53" si="43">MIN(MAX($D52,BF52)*(1+$F52)*BG$50,$E52)</f>
        <v>0</v>
      </c>
      <c r="BH52" s="46">
        <f t="shared" si="43"/>
        <v>0</v>
      </c>
    </row>
    <row r="53" spans="1:60" ht="14.25" customHeight="1" x14ac:dyDescent="0.3">
      <c r="A53" s="46"/>
      <c r="B53" s="37"/>
      <c r="C53" s="46" t="s">
        <v>65</v>
      </c>
      <c r="D53" s="49">
        <v>0</v>
      </c>
      <c r="E53" s="49">
        <v>0</v>
      </c>
      <c r="F53" s="50">
        <v>0</v>
      </c>
      <c r="G53" s="46"/>
      <c r="H53" s="46"/>
      <c r="I53" s="46"/>
      <c r="J53" s="46">
        <f>MIN(MAX($D53,I53)*(1+$F53)*J$50,$E53)</f>
        <v>0</v>
      </c>
      <c r="K53" s="46">
        <f t="shared" si="40"/>
        <v>0</v>
      </c>
      <c r="L53" s="46">
        <f t="shared" si="40"/>
        <v>0</v>
      </c>
      <c r="M53" s="46">
        <f t="shared" si="40"/>
        <v>0</v>
      </c>
      <c r="N53" s="46">
        <f t="shared" si="40"/>
        <v>0</v>
      </c>
      <c r="O53" s="46">
        <f t="shared" si="40"/>
        <v>0</v>
      </c>
      <c r="P53" s="46">
        <f t="shared" si="40"/>
        <v>0</v>
      </c>
      <c r="Q53" s="46">
        <f t="shared" si="40"/>
        <v>0</v>
      </c>
      <c r="R53" s="46">
        <f t="shared" si="40"/>
        <v>0</v>
      </c>
      <c r="S53" s="46">
        <f t="shared" si="40"/>
        <v>0</v>
      </c>
      <c r="T53" s="46">
        <f t="shared" si="40"/>
        <v>0</v>
      </c>
      <c r="U53" s="46">
        <f t="shared" si="40"/>
        <v>0</v>
      </c>
      <c r="V53" s="46">
        <f t="shared" si="40"/>
        <v>0</v>
      </c>
      <c r="W53" s="46">
        <f t="shared" si="40"/>
        <v>0</v>
      </c>
      <c r="X53" s="46">
        <f t="shared" si="40"/>
        <v>0</v>
      </c>
      <c r="Y53" s="46">
        <f t="shared" si="40"/>
        <v>0</v>
      </c>
      <c r="Z53" s="46">
        <f t="shared" si="40"/>
        <v>0</v>
      </c>
      <c r="AA53" s="46">
        <f t="shared" si="41"/>
        <v>0</v>
      </c>
      <c r="AB53" s="46">
        <f t="shared" si="41"/>
        <v>0</v>
      </c>
      <c r="AC53" s="46">
        <f t="shared" si="41"/>
        <v>0</v>
      </c>
      <c r="AD53" s="46">
        <f t="shared" si="41"/>
        <v>0</v>
      </c>
      <c r="AE53" s="46">
        <f t="shared" si="41"/>
        <v>0</v>
      </c>
      <c r="AF53" s="46">
        <f t="shared" si="41"/>
        <v>0</v>
      </c>
      <c r="AG53" s="46">
        <f t="shared" si="41"/>
        <v>0</v>
      </c>
      <c r="AH53" s="46">
        <f t="shared" si="41"/>
        <v>0</v>
      </c>
      <c r="AI53" s="46">
        <f t="shared" si="41"/>
        <v>0</v>
      </c>
      <c r="AJ53" s="46">
        <f t="shared" si="41"/>
        <v>0</v>
      </c>
      <c r="AK53" s="46">
        <f t="shared" si="41"/>
        <v>0</v>
      </c>
      <c r="AL53" s="46">
        <f t="shared" si="41"/>
        <v>0</v>
      </c>
      <c r="AM53" s="46">
        <f t="shared" si="41"/>
        <v>0</v>
      </c>
      <c r="AN53" s="46">
        <f t="shared" si="41"/>
        <v>0</v>
      </c>
      <c r="AO53" s="46">
        <f t="shared" si="41"/>
        <v>0</v>
      </c>
      <c r="AP53" s="46">
        <f t="shared" si="41"/>
        <v>0</v>
      </c>
      <c r="AQ53" s="46">
        <f t="shared" si="42"/>
        <v>0</v>
      </c>
      <c r="AR53" s="46">
        <f t="shared" si="42"/>
        <v>0</v>
      </c>
      <c r="AS53" s="46">
        <f t="shared" si="42"/>
        <v>0</v>
      </c>
      <c r="AT53" s="46">
        <f t="shared" si="42"/>
        <v>0</v>
      </c>
      <c r="AU53" s="46">
        <f t="shared" si="42"/>
        <v>0</v>
      </c>
      <c r="AV53" s="46">
        <f t="shared" si="42"/>
        <v>0</v>
      </c>
      <c r="AW53" s="46">
        <f t="shared" si="42"/>
        <v>0</v>
      </c>
      <c r="AX53" s="46">
        <f t="shared" si="42"/>
        <v>0</v>
      </c>
      <c r="AY53" s="46">
        <f t="shared" si="42"/>
        <v>0</v>
      </c>
      <c r="AZ53" s="46">
        <f t="shared" si="42"/>
        <v>0</v>
      </c>
      <c r="BA53" s="46">
        <f t="shared" si="42"/>
        <v>0</v>
      </c>
      <c r="BB53" s="46">
        <f t="shared" si="42"/>
        <v>0</v>
      </c>
      <c r="BC53" s="46">
        <f t="shared" si="42"/>
        <v>0</v>
      </c>
      <c r="BD53" s="46">
        <f t="shared" si="42"/>
        <v>0</v>
      </c>
      <c r="BE53" s="46">
        <f t="shared" si="42"/>
        <v>0</v>
      </c>
      <c r="BF53" s="46">
        <f t="shared" si="42"/>
        <v>0</v>
      </c>
      <c r="BG53" s="46">
        <f t="shared" si="43"/>
        <v>0</v>
      </c>
      <c r="BH53" s="46">
        <f t="shared" si="43"/>
        <v>0</v>
      </c>
    </row>
    <row r="54" spans="1:60" ht="14.25" customHeight="1" x14ac:dyDescent="0.3">
      <c r="A54" s="46"/>
      <c r="B54" s="37"/>
      <c r="C54" s="46" t="s">
        <v>78</v>
      </c>
      <c r="D54" s="46"/>
      <c r="E54" s="46"/>
      <c r="F54" s="46"/>
      <c r="G54" s="46"/>
      <c r="H54" s="46"/>
      <c r="I54" s="46"/>
      <c r="J54" s="51">
        <f t="shared" ref="J54:BH54" si="44">J52*J53</f>
        <v>0</v>
      </c>
      <c r="K54" s="51">
        <f t="shared" si="44"/>
        <v>0</v>
      </c>
      <c r="L54" s="51">
        <f t="shared" si="44"/>
        <v>0</v>
      </c>
      <c r="M54" s="51">
        <f t="shared" si="44"/>
        <v>0</v>
      </c>
      <c r="N54" s="51">
        <f t="shared" si="44"/>
        <v>0</v>
      </c>
      <c r="O54" s="51">
        <f t="shared" si="44"/>
        <v>0</v>
      </c>
      <c r="P54" s="51">
        <f t="shared" si="44"/>
        <v>0</v>
      </c>
      <c r="Q54" s="51">
        <f t="shared" si="44"/>
        <v>0</v>
      </c>
      <c r="R54" s="51">
        <f t="shared" si="44"/>
        <v>0</v>
      </c>
      <c r="S54" s="51">
        <f t="shared" si="44"/>
        <v>0</v>
      </c>
      <c r="T54" s="51">
        <f t="shared" si="44"/>
        <v>0</v>
      </c>
      <c r="U54" s="51">
        <f t="shared" si="44"/>
        <v>0</v>
      </c>
      <c r="V54" s="51">
        <f t="shared" si="44"/>
        <v>0</v>
      </c>
      <c r="W54" s="51">
        <f t="shared" si="44"/>
        <v>0</v>
      </c>
      <c r="X54" s="51">
        <f t="shared" si="44"/>
        <v>0</v>
      </c>
      <c r="Y54" s="51">
        <f t="shared" si="44"/>
        <v>0</v>
      </c>
      <c r="Z54" s="51">
        <f t="shared" si="44"/>
        <v>0</v>
      </c>
      <c r="AA54" s="51">
        <f t="shared" si="44"/>
        <v>0</v>
      </c>
      <c r="AB54" s="51">
        <f t="shared" si="44"/>
        <v>0</v>
      </c>
      <c r="AC54" s="51">
        <f t="shared" si="44"/>
        <v>0</v>
      </c>
      <c r="AD54" s="51">
        <f t="shared" si="44"/>
        <v>0</v>
      </c>
      <c r="AE54" s="51">
        <f t="shared" si="44"/>
        <v>0</v>
      </c>
      <c r="AF54" s="51">
        <f t="shared" si="44"/>
        <v>0</v>
      </c>
      <c r="AG54" s="51">
        <f t="shared" si="44"/>
        <v>0</v>
      </c>
      <c r="AH54" s="51">
        <f t="shared" si="44"/>
        <v>0</v>
      </c>
      <c r="AI54" s="51">
        <f t="shared" si="44"/>
        <v>0</v>
      </c>
      <c r="AJ54" s="51">
        <f t="shared" si="44"/>
        <v>0</v>
      </c>
      <c r="AK54" s="51">
        <f t="shared" si="44"/>
        <v>0</v>
      </c>
      <c r="AL54" s="51">
        <f t="shared" si="44"/>
        <v>0</v>
      </c>
      <c r="AM54" s="51">
        <f t="shared" si="44"/>
        <v>0</v>
      </c>
      <c r="AN54" s="51">
        <f t="shared" si="44"/>
        <v>0</v>
      </c>
      <c r="AO54" s="51">
        <f t="shared" si="44"/>
        <v>0</v>
      </c>
      <c r="AP54" s="51">
        <f t="shared" si="44"/>
        <v>0</v>
      </c>
      <c r="AQ54" s="51">
        <f t="shared" si="44"/>
        <v>0</v>
      </c>
      <c r="AR54" s="51">
        <f t="shared" si="44"/>
        <v>0</v>
      </c>
      <c r="AS54" s="51">
        <f t="shared" si="44"/>
        <v>0</v>
      </c>
      <c r="AT54" s="51">
        <f t="shared" si="44"/>
        <v>0</v>
      </c>
      <c r="AU54" s="51">
        <f t="shared" si="44"/>
        <v>0</v>
      </c>
      <c r="AV54" s="51">
        <f t="shared" si="44"/>
        <v>0</v>
      </c>
      <c r="AW54" s="51">
        <f t="shared" si="44"/>
        <v>0</v>
      </c>
      <c r="AX54" s="51">
        <f t="shared" si="44"/>
        <v>0</v>
      </c>
      <c r="AY54" s="51">
        <f t="shared" si="44"/>
        <v>0</v>
      </c>
      <c r="AZ54" s="51">
        <f t="shared" si="44"/>
        <v>0</v>
      </c>
      <c r="BA54" s="51">
        <f t="shared" si="44"/>
        <v>0</v>
      </c>
      <c r="BB54" s="51">
        <f t="shared" si="44"/>
        <v>0</v>
      </c>
      <c r="BC54" s="51">
        <f t="shared" si="44"/>
        <v>0</v>
      </c>
      <c r="BD54" s="51">
        <f t="shared" si="44"/>
        <v>0</v>
      </c>
      <c r="BE54" s="51">
        <f t="shared" si="44"/>
        <v>0</v>
      </c>
      <c r="BF54" s="51">
        <f t="shared" si="44"/>
        <v>0</v>
      </c>
      <c r="BG54" s="51">
        <f t="shared" si="44"/>
        <v>0</v>
      </c>
      <c r="BH54" s="51">
        <f t="shared" si="44"/>
        <v>0</v>
      </c>
    </row>
    <row r="55" spans="1:60" ht="14.25" customHeight="1" x14ac:dyDescent="0.3">
      <c r="A55" s="46"/>
      <c r="B55" s="37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46"/>
      <c r="AU55" s="46"/>
      <c r="AV55" s="46"/>
      <c r="AW55" s="46"/>
      <c r="AX55" s="46"/>
      <c r="AY55" s="46"/>
      <c r="AZ55" s="46"/>
      <c r="BA55" s="46"/>
      <c r="BB55" s="46"/>
      <c r="BC55" s="46"/>
      <c r="BD55" s="46"/>
      <c r="BE55" s="46"/>
      <c r="BF55" s="46"/>
      <c r="BG55" s="46"/>
      <c r="BH55" s="46"/>
    </row>
    <row r="56" spans="1:60" ht="14.25" customHeight="1" x14ac:dyDescent="0.3">
      <c r="A56" s="46"/>
      <c r="B56" s="37"/>
      <c r="C56" s="37" t="s">
        <v>272</v>
      </c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46"/>
      <c r="BC56" s="46"/>
      <c r="BD56" s="46"/>
      <c r="BE56" s="46"/>
      <c r="BF56" s="46"/>
      <c r="BG56" s="46"/>
      <c r="BH56" s="46"/>
    </row>
    <row r="57" spans="1:60" ht="14.25" customHeight="1" x14ac:dyDescent="0.3">
      <c r="A57" s="46"/>
      <c r="B57" s="37"/>
      <c r="C57" s="46" t="s">
        <v>273</v>
      </c>
      <c r="D57" s="47">
        <f>W3</f>
        <v>45991</v>
      </c>
      <c r="E57" s="46"/>
      <c r="F57" s="46"/>
      <c r="G57" s="46"/>
      <c r="H57" s="46"/>
      <c r="I57" s="46"/>
      <c r="J57" s="46">
        <f>IF(J3&gt;=$D$57,1,0)</f>
        <v>0</v>
      </c>
      <c r="K57" s="46">
        <f t="shared" ref="K57:M57" si="45">IF(K3&gt;=$D$57,1,0)</f>
        <v>0</v>
      </c>
      <c r="L57" s="46">
        <f t="shared" si="45"/>
        <v>0</v>
      </c>
      <c r="M57" s="46">
        <f t="shared" si="45"/>
        <v>0</v>
      </c>
      <c r="N57" s="46">
        <f>IF(N3&gt;=$D$57,1,0)</f>
        <v>0</v>
      </c>
      <c r="O57" s="46">
        <f t="shared" ref="O57:BH57" si="46">IF(O3&gt;=$D$57,1,0)</f>
        <v>0</v>
      </c>
      <c r="P57" s="46">
        <f t="shared" si="46"/>
        <v>0</v>
      </c>
      <c r="Q57" s="46">
        <f t="shared" si="46"/>
        <v>0</v>
      </c>
      <c r="R57" s="46">
        <f t="shared" si="46"/>
        <v>0</v>
      </c>
      <c r="S57" s="46">
        <f t="shared" si="46"/>
        <v>0</v>
      </c>
      <c r="T57" s="46">
        <f t="shared" si="46"/>
        <v>0</v>
      </c>
      <c r="U57" s="46">
        <f t="shared" si="46"/>
        <v>0</v>
      </c>
      <c r="V57" s="46">
        <f t="shared" si="46"/>
        <v>0</v>
      </c>
      <c r="W57" s="46">
        <f t="shared" si="46"/>
        <v>1</v>
      </c>
      <c r="X57" s="46">
        <f t="shared" si="46"/>
        <v>1</v>
      </c>
      <c r="Y57" s="46">
        <f t="shared" si="46"/>
        <v>1</v>
      </c>
      <c r="Z57" s="46">
        <f t="shared" si="46"/>
        <v>1</v>
      </c>
      <c r="AA57" s="46">
        <f t="shared" si="46"/>
        <v>1</v>
      </c>
      <c r="AB57" s="46">
        <f t="shared" si="46"/>
        <v>1</v>
      </c>
      <c r="AC57" s="46">
        <f t="shared" si="46"/>
        <v>1</v>
      </c>
      <c r="AD57" s="46">
        <f t="shared" si="46"/>
        <v>1</v>
      </c>
      <c r="AE57" s="46">
        <f t="shared" si="46"/>
        <v>1</v>
      </c>
      <c r="AF57" s="46">
        <f t="shared" si="46"/>
        <v>1</v>
      </c>
      <c r="AG57" s="46">
        <f t="shared" si="46"/>
        <v>1</v>
      </c>
      <c r="AH57" s="46">
        <f t="shared" si="46"/>
        <v>1</v>
      </c>
      <c r="AI57" s="46">
        <f t="shared" si="46"/>
        <v>1</v>
      </c>
      <c r="AJ57" s="46">
        <f t="shared" si="46"/>
        <v>1</v>
      </c>
      <c r="AK57" s="46">
        <f t="shared" si="46"/>
        <v>1</v>
      </c>
      <c r="AL57" s="46">
        <f t="shared" si="46"/>
        <v>1</v>
      </c>
      <c r="AM57" s="46">
        <f t="shared" si="46"/>
        <v>1</v>
      </c>
      <c r="AN57" s="46">
        <f t="shared" si="46"/>
        <v>1</v>
      </c>
      <c r="AO57" s="46">
        <f t="shared" si="46"/>
        <v>1</v>
      </c>
      <c r="AP57" s="46">
        <f t="shared" si="46"/>
        <v>1</v>
      </c>
      <c r="AQ57" s="46">
        <f t="shared" si="46"/>
        <v>1</v>
      </c>
      <c r="AR57" s="46">
        <f t="shared" si="46"/>
        <v>1</v>
      </c>
      <c r="AS57" s="46">
        <f t="shared" si="46"/>
        <v>1</v>
      </c>
      <c r="AT57" s="46">
        <f t="shared" si="46"/>
        <v>1</v>
      </c>
      <c r="AU57" s="46">
        <f t="shared" si="46"/>
        <v>1</v>
      </c>
      <c r="AV57" s="46">
        <f t="shared" si="46"/>
        <v>1</v>
      </c>
      <c r="AW57" s="46">
        <f t="shared" si="46"/>
        <v>1</v>
      </c>
      <c r="AX57" s="46">
        <f t="shared" si="46"/>
        <v>1</v>
      </c>
      <c r="AY57" s="46">
        <f t="shared" si="46"/>
        <v>1</v>
      </c>
      <c r="AZ57" s="46">
        <f t="shared" si="46"/>
        <v>1</v>
      </c>
      <c r="BA57" s="46">
        <f t="shared" si="46"/>
        <v>1</v>
      </c>
      <c r="BB57" s="46">
        <f t="shared" si="46"/>
        <v>1</v>
      </c>
      <c r="BC57" s="46">
        <f t="shared" si="46"/>
        <v>1</v>
      </c>
      <c r="BD57" s="46">
        <f t="shared" si="46"/>
        <v>1</v>
      </c>
      <c r="BE57" s="46">
        <f t="shared" si="46"/>
        <v>1</v>
      </c>
      <c r="BF57" s="46">
        <f t="shared" si="46"/>
        <v>1</v>
      </c>
      <c r="BG57" s="46">
        <f t="shared" si="46"/>
        <v>1</v>
      </c>
      <c r="BH57" s="46">
        <f t="shared" si="46"/>
        <v>1</v>
      </c>
    </row>
    <row r="58" spans="1:60" ht="14.25" customHeight="1" x14ac:dyDescent="0.3">
      <c r="A58" s="46"/>
      <c r="B58" s="37"/>
      <c r="C58" s="37"/>
      <c r="D58" s="46" t="s">
        <v>49</v>
      </c>
      <c r="E58" s="46" t="s">
        <v>50</v>
      </c>
      <c r="F58" s="46" t="s">
        <v>51</v>
      </c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46"/>
      <c r="BC58" s="46"/>
      <c r="BD58" s="46"/>
      <c r="BE58" s="46"/>
      <c r="BF58" s="46"/>
      <c r="BG58" s="46"/>
      <c r="BH58" s="46"/>
    </row>
    <row r="59" spans="1:60" ht="14.25" customHeight="1" x14ac:dyDescent="0.3">
      <c r="A59" s="46"/>
      <c r="B59" s="37"/>
      <c r="C59" s="46" t="s">
        <v>274</v>
      </c>
      <c r="D59" s="49">
        <v>1</v>
      </c>
      <c r="E59" s="49">
        <v>25</v>
      </c>
      <c r="F59" s="50">
        <v>0.05</v>
      </c>
      <c r="G59" s="46"/>
      <c r="H59" s="46"/>
      <c r="I59" s="46"/>
      <c r="J59" s="46">
        <f>MIN(MAX($D59,I59)*(1+$F59)*J$57,$E59)</f>
        <v>0</v>
      </c>
      <c r="K59" s="46">
        <f t="shared" ref="K59:Z60" si="47">MIN(MAX($D59,J59)*(1+$F59)*K$57,$E59)</f>
        <v>0</v>
      </c>
      <c r="L59" s="46">
        <f t="shared" si="47"/>
        <v>0</v>
      </c>
      <c r="M59" s="46">
        <f t="shared" si="47"/>
        <v>0</v>
      </c>
      <c r="N59" s="46">
        <f t="shared" si="47"/>
        <v>0</v>
      </c>
      <c r="O59" s="46">
        <f t="shared" si="47"/>
        <v>0</v>
      </c>
      <c r="P59" s="46">
        <f t="shared" si="47"/>
        <v>0</v>
      </c>
      <c r="Q59" s="46">
        <f t="shared" si="47"/>
        <v>0</v>
      </c>
      <c r="R59" s="46">
        <f t="shared" si="47"/>
        <v>0</v>
      </c>
      <c r="S59" s="46">
        <f t="shared" si="47"/>
        <v>0</v>
      </c>
      <c r="T59" s="46">
        <f t="shared" si="47"/>
        <v>0</v>
      </c>
      <c r="U59" s="46">
        <f t="shared" si="47"/>
        <v>0</v>
      </c>
      <c r="V59" s="46">
        <f t="shared" si="47"/>
        <v>0</v>
      </c>
      <c r="W59" s="46">
        <f t="shared" si="47"/>
        <v>1.05</v>
      </c>
      <c r="X59" s="46">
        <f t="shared" si="47"/>
        <v>1.1025</v>
      </c>
      <c r="Y59" s="46">
        <f t="shared" si="47"/>
        <v>1.1576250000000001</v>
      </c>
      <c r="Z59" s="46">
        <f t="shared" si="47"/>
        <v>1.2155062500000002</v>
      </c>
      <c r="AA59" s="46">
        <f t="shared" ref="AA59:AP60" si="48">MIN(MAX($D59,Z59)*(1+$F59)*AA$57,$E59)</f>
        <v>1.2762815625000004</v>
      </c>
      <c r="AB59" s="46">
        <f t="shared" si="48"/>
        <v>1.3400956406250004</v>
      </c>
      <c r="AC59" s="46">
        <f t="shared" si="48"/>
        <v>1.4071004226562505</v>
      </c>
      <c r="AD59" s="46">
        <f t="shared" si="48"/>
        <v>1.477455443789063</v>
      </c>
      <c r="AE59" s="46">
        <f t="shared" si="48"/>
        <v>1.5513282159785162</v>
      </c>
      <c r="AF59" s="46">
        <f t="shared" si="48"/>
        <v>1.628894626777442</v>
      </c>
      <c r="AG59" s="46">
        <f t="shared" si="48"/>
        <v>1.7103393581163142</v>
      </c>
      <c r="AH59" s="46">
        <f t="shared" si="48"/>
        <v>1.7958563260221301</v>
      </c>
      <c r="AI59" s="46">
        <f t="shared" si="48"/>
        <v>1.8856491423232367</v>
      </c>
      <c r="AJ59" s="46">
        <f t="shared" si="48"/>
        <v>1.9799315994393987</v>
      </c>
      <c r="AK59" s="46">
        <f t="shared" si="48"/>
        <v>2.0789281794113688</v>
      </c>
      <c r="AL59" s="46">
        <f t="shared" si="48"/>
        <v>2.1828745883819374</v>
      </c>
      <c r="AM59" s="46">
        <f t="shared" si="48"/>
        <v>2.2920183178010345</v>
      </c>
      <c r="AN59" s="46">
        <f t="shared" si="48"/>
        <v>2.4066192336910861</v>
      </c>
      <c r="AO59" s="46">
        <f t="shared" si="48"/>
        <v>2.5269501953756404</v>
      </c>
      <c r="AP59" s="46">
        <f t="shared" si="48"/>
        <v>2.6532977051444226</v>
      </c>
      <c r="AQ59" s="46">
        <f t="shared" ref="AQ59:BF60" si="49">MIN(MAX($D59,AP59)*(1+$F59)*AQ$57,$E59)</f>
        <v>2.7859625904016441</v>
      </c>
      <c r="AR59" s="46">
        <f t="shared" si="49"/>
        <v>2.9252607199217264</v>
      </c>
      <c r="AS59" s="46">
        <f t="shared" si="49"/>
        <v>3.0715237559178128</v>
      </c>
      <c r="AT59" s="46">
        <f t="shared" si="49"/>
        <v>3.2250999437137038</v>
      </c>
      <c r="AU59" s="46">
        <f t="shared" si="49"/>
        <v>3.3863549408993889</v>
      </c>
      <c r="AV59" s="46">
        <f t="shared" si="49"/>
        <v>3.5556726879443583</v>
      </c>
      <c r="AW59" s="46">
        <f t="shared" si="49"/>
        <v>3.7334563223415764</v>
      </c>
      <c r="AX59" s="46">
        <f t="shared" si="49"/>
        <v>3.9201291384586554</v>
      </c>
      <c r="AY59" s="46">
        <f t="shared" si="49"/>
        <v>4.1161355953815884</v>
      </c>
      <c r="AZ59" s="46">
        <f t="shared" si="49"/>
        <v>4.3219423751506678</v>
      </c>
      <c r="BA59" s="46">
        <f t="shared" si="49"/>
        <v>4.5380394939082018</v>
      </c>
      <c r="BB59" s="46">
        <f t="shared" si="49"/>
        <v>4.7649414686036122</v>
      </c>
      <c r="BC59" s="46">
        <f t="shared" si="49"/>
        <v>5.0031885420337927</v>
      </c>
      <c r="BD59" s="46">
        <f t="shared" si="49"/>
        <v>5.2533479691354827</v>
      </c>
      <c r="BE59" s="46">
        <f t="shared" si="49"/>
        <v>5.5160153675922574</v>
      </c>
      <c r="BF59" s="46">
        <f t="shared" si="49"/>
        <v>5.7918161359718709</v>
      </c>
      <c r="BG59" s="46">
        <f t="shared" ref="BG59:BH60" si="50">MIN(MAX($D59,BF59)*(1+$F59)*BG$57,$E59)</f>
        <v>6.0814069427704647</v>
      </c>
      <c r="BH59" s="46">
        <f t="shared" si="50"/>
        <v>6.3854772899089882</v>
      </c>
    </row>
    <row r="60" spans="1:60" ht="14.25" customHeight="1" x14ac:dyDescent="0.3">
      <c r="A60" s="46"/>
      <c r="B60" s="37"/>
      <c r="C60" s="46" t="s">
        <v>87</v>
      </c>
      <c r="D60" s="49">
        <v>870</v>
      </c>
      <c r="E60" s="49">
        <v>870</v>
      </c>
      <c r="F60" s="50">
        <v>0</v>
      </c>
      <c r="G60" s="46"/>
      <c r="H60" s="46"/>
      <c r="I60" s="46"/>
      <c r="J60" s="46">
        <f>MIN(MAX($D60,I60)*(1+$F60)*J$57,$E60)</f>
        <v>0</v>
      </c>
      <c r="K60" s="46">
        <f t="shared" si="47"/>
        <v>0</v>
      </c>
      <c r="L60" s="46">
        <f t="shared" si="47"/>
        <v>0</v>
      </c>
      <c r="M60" s="46">
        <f t="shared" si="47"/>
        <v>0</v>
      </c>
      <c r="N60" s="46">
        <f t="shared" si="47"/>
        <v>0</v>
      </c>
      <c r="O60" s="46">
        <f t="shared" si="47"/>
        <v>0</v>
      </c>
      <c r="P60" s="46">
        <f t="shared" si="47"/>
        <v>0</v>
      </c>
      <c r="Q60" s="46">
        <f t="shared" si="47"/>
        <v>0</v>
      </c>
      <c r="R60" s="46">
        <f t="shared" si="47"/>
        <v>0</v>
      </c>
      <c r="S60" s="46">
        <f t="shared" si="47"/>
        <v>0</v>
      </c>
      <c r="T60" s="46">
        <f t="shared" si="47"/>
        <v>0</v>
      </c>
      <c r="U60" s="46">
        <f t="shared" si="47"/>
        <v>0</v>
      </c>
      <c r="V60" s="46">
        <f t="shared" si="47"/>
        <v>0</v>
      </c>
      <c r="W60" s="46">
        <f t="shared" si="47"/>
        <v>870</v>
      </c>
      <c r="X60" s="46">
        <f t="shared" si="47"/>
        <v>870</v>
      </c>
      <c r="Y60" s="46">
        <f t="shared" si="47"/>
        <v>870</v>
      </c>
      <c r="Z60" s="46">
        <f t="shared" si="47"/>
        <v>870</v>
      </c>
      <c r="AA60" s="46">
        <f t="shared" si="48"/>
        <v>870</v>
      </c>
      <c r="AB60" s="46">
        <f t="shared" si="48"/>
        <v>870</v>
      </c>
      <c r="AC60" s="46">
        <f t="shared" si="48"/>
        <v>870</v>
      </c>
      <c r="AD60" s="46">
        <f t="shared" si="48"/>
        <v>870</v>
      </c>
      <c r="AE60" s="46">
        <f t="shared" si="48"/>
        <v>870</v>
      </c>
      <c r="AF60" s="46">
        <f t="shared" si="48"/>
        <v>870</v>
      </c>
      <c r="AG60" s="46">
        <f t="shared" si="48"/>
        <v>870</v>
      </c>
      <c r="AH60" s="46">
        <f t="shared" si="48"/>
        <v>870</v>
      </c>
      <c r="AI60" s="46">
        <f t="shared" si="48"/>
        <v>870</v>
      </c>
      <c r="AJ60" s="46">
        <f t="shared" si="48"/>
        <v>870</v>
      </c>
      <c r="AK60" s="46">
        <f t="shared" si="48"/>
        <v>870</v>
      </c>
      <c r="AL60" s="46">
        <f t="shared" si="48"/>
        <v>870</v>
      </c>
      <c r="AM60" s="46">
        <f t="shared" si="48"/>
        <v>870</v>
      </c>
      <c r="AN60" s="46">
        <f t="shared" si="48"/>
        <v>870</v>
      </c>
      <c r="AO60" s="46">
        <f t="shared" si="48"/>
        <v>870</v>
      </c>
      <c r="AP60" s="46">
        <f t="shared" si="48"/>
        <v>870</v>
      </c>
      <c r="AQ60" s="46">
        <f t="shared" si="49"/>
        <v>870</v>
      </c>
      <c r="AR60" s="46">
        <f t="shared" si="49"/>
        <v>870</v>
      </c>
      <c r="AS60" s="46">
        <f t="shared" si="49"/>
        <v>870</v>
      </c>
      <c r="AT60" s="46">
        <f t="shared" si="49"/>
        <v>870</v>
      </c>
      <c r="AU60" s="46">
        <f t="shared" si="49"/>
        <v>870</v>
      </c>
      <c r="AV60" s="46">
        <f t="shared" si="49"/>
        <v>870</v>
      </c>
      <c r="AW60" s="46">
        <f t="shared" si="49"/>
        <v>870</v>
      </c>
      <c r="AX60" s="46">
        <f t="shared" si="49"/>
        <v>870</v>
      </c>
      <c r="AY60" s="46">
        <f t="shared" si="49"/>
        <v>870</v>
      </c>
      <c r="AZ60" s="46">
        <f t="shared" si="49"/>
        <v>870</v>
      </c>
      <c r="BA60" s="46">
        <f t="shared" si="49"/>
        <v>870</v>
      </c>
      <c r="BB60" s="46">
        <f t="shared" si="49"/>
        <v>870</v>
      </c>
      <c r="BC60" s="46">
        <f t="shared" si="49"/>
        <v>870</v>
      </c>
      <c r="BD60" s="46">
        <f t="shared" si="49"/>
        <v>870</v>
      </c>
      <c r="BE60" s="46">
        <f t="shared" si="49"/>
        <v>870</v>
      </c>
      <c r="BF60" s="46">
        <f t="shared" si="49"/>
        <v>870</v>
      </c>
      <c r="BG60" s="46">
        <f t="shared" si="50"/>
        <v>870</v>
      </c>
      <c r="BH60" s="46">
        <f t="shared" si="50"/>
        <v>870</v>
      </c>
    </row>
    <row r="61" spans="1:60" ht="14.25" customHeight="1" x14ac:dyDescent="0.3">
      <c r="A61" s="46"/>
      <c r="B61" s="37"/>
      <c r="C61" s="46" t="s">
        <v>275</v>
      </c>
      <c r="D61" s="46"/>
      <c r="E61" s="46"/>
      <c r="F61" s="46"/>
      <c r="G61" s="46"/>
      <c r="H61" s="46"/>
      <c r="I61" s="46"/>
      <c r="J61" s="51">
        <f t="shared" ref="J61:BH61" si="51">J59*J60</f>
        <v>0</v>
      </c>
      <c r="K61" s="51">
        <f t="shared" si="51"/>
        <v>0</v>
      </c>
      <c r="L61" s="51">
        <f t="shared" si="51"/>
        <v>0</v>
      </c>
      <c r="M61" s="51">
        <f t="shared" si="51"/>
        <v>0</v>
      </c>
      <c r="N61" s="51">
        <f t="shared" si="51"/>
        <v>0</v>
      </c>
      <c r="O61" s="51">
        <f t="shared" si="51"/>
        <v>0</v>
      </c>
      <c r="P61" s="51">
        <f t="shared" si="51"/>
        <v>0</v>
      </c>
      <c r="Q61" s="51">
        <f t="shared" si="51"/>
        <v>0</v>
      </c>
      <c r="R61" s="51">
        <f t="shared" si="51"/>
        <v>0</v>
      </c>
      <c r="S61" s="51">
        <f t="shared" si="51"/>
        <v>0</v>
      </c>
      <c r="T61" s="51">
        <f t="shared" si="51"/>
        <v>0</v>
      </c>
      <c r="U61" s="51">
        <f t="shared" si="51"/>
        <v>0</v>
      </c>
      <c r="V61" s="51">
        <f t="shared" si="51"/>
        <v>0</v>
      </c>
      <c r="W61" s="51">
        <f t="shared" si="51"/>
        <v>913.5</v>
      </c>
      <c r="X61" s="51">
        <f t="shared" si="51"/>
        <v>959.17500000000007</v>
      </c>
      <c r="Y61" s="51">
        <f t="shared" si="51"/>
        <v>1007.1337500000001</v>
      </c>
      <c r="Z61" s="51">
        <f t="shared" si="51"/>
        <v>1057.4904375000001</v>
      </c>
      <c r="AA61" s="51">
        <f t="shared" si="51"/>
        <v>1110.3649593750004</v>
      </c>
      <c r="AB61" s="51">
        <f t="shared" si="51"/>
        <v>1165.8832073437504</v>
      </c>
      <c r="AC61" s="51">
        <f t="shared" si="51"/>
        <v>1224.1773677109379</v>
      </c>
      <c r="AD61" s="51">
        <f t="shared" si="51"/>
        <v>1285.3862360964849</v>
      </c>
      <c r="AE61" s="51">
        <f t="shared" si="51"/>
        <v>1349.6555479013091</v>
      </c>
      <c r="AF61" s="51">
        <f t="shared" si="51"/>
        <v>1417.1383252963747</v>
      </c>
      <c r="AG61" s="51">
        <f t="shared" si="51"/>
        <v>1487.9952415611933</v>
      </c>
      <c r="AH61" s="51">
        <f t="shared" si="51"/>
        <v>1562.3950036392532</v>
      </c>
      <c r="AI61" s="51">
        <f t="shared" si="51"/>
        <v>1640.5147538212159</v>
      </c>
      <c r="AJ61" s="51">
        <f t="shared" si="51"/>
        <v>1722.5404915122767</v>
      </c>
      <c r="AK61" s="51">
        <f t="shared" si="51"/>
        <v>1808.6675160878908</v>
      </c>
      <c r="AL61" s="51">
        <f t="shared" si="51"/>
        <v>1899.1008918922855</v>
      </c>
      <c r="AM61" s="51">
        <f t="shared" si="51"/>
        <v>1994.0559364869</v>
      </c>
      <c r="AN61" s="51">
        <f t="shared" si="51"/>
        <v>2093.7587333112451</v>
      </c>
      <c r="AO61" s="51">
        <f t="shared" si="51"/>
        <v>2198.4466699768072</v>
      </c>
      <c r="AP61" s="51">
        <f t="shared" si="51"/>
        <v>2308.3690034756478</v>
      </c>
      <c r="AQ61" s="51">
        <f t="shared" si="51"/>
        <v>2423.7874536494305</v>
      </c>
      <c r="AR61" s="51">
        <f t="shared" si="51"/>
        <v>2544.976826331902</v>
      </c>
      <c r="AS61" s="51">
        <f t="shared" si="51"/>
        <v>2672.2256676484972</v>
      </c>
      <c r="AT61" s="51">
        <f t="shared" si="51"/>
        <v>2805.8369510309221</v>
      </c>
      <c r="AU61" s="51">
        <f t="shared" si="51"/>
        <v>2946.1287985824683</v>
      </c>
      <c r="AV61" s="51">
        <f t="shared" si="51"/>
        <v>3093.4352385115917</v>
      </c>
      <c r="AW61" s="51">
        <f t="shared" si="51"/>
        <v>3248.1070004371713</v>
      </c>
      <c r="AX61" s="51">
        <f t="shared" si="51"/>
        <v>3410.5123504590301</v>
      </c>
      <c r="AY61" s="51">
        <f t="shared" si="51"/>
        <v>3581.0379679819821</v>
      </c>
      <c r="AZ61" s="51">
        <f t="shared" si="51"/>
        <v>3760.0898663810808</v>
      </c>
      <c r="BA61" s="51">
        <f t="shared" si="51"/>
        <v>3948.0943597001356</v>
      </c>
      <c r="BB61" s="51">
        <f t="shared" si="51"/>
        <v>4145.4990776851428</v>
      </c>
      <c r="BC61" s="51">
        <f t="shared" si="51"/>
        <v>4352.7740315694</v>
      </c>
      <c r="BD61" s="51">
        <f t="shared" si="51"/>
        <v>4570.4127331478703</v>
      </c>
      <c r="BE61" s="51">
        <f t="shared" si="51"/>
        <v>4798.9333698052642</v>
      </c>
      <c r="BF61" s="51">
        <f t="shared" si="51"/>
        <v>5038.8800382955278</v>
      </c>
      <c r="BG61" s="51">
        <f t="shared" si="51"/>
        <v>5290.8240402103047</v>
      </c>
      <c r="BH61" s="51">
        <f t="shared" si="51"/>
        <v>5555.3652422208197</v>
      </c>
    </row>
    <row r="62" spans="1:60" ht="14.25" customHeight="1" x14ac:dyDescent="0.3">
      <c r="A62" s="46"/>
      <c r="B62" s="37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6"/>
      <c r="AL62" s="46"/>
      <c r="AM62" s="46"/>
      <c r="AN62" s="46"/>
      <c r="AO62" s="46"/>
      <c r="AP62" s="46"/>
      <c r="AQ62" s="46"/>
      <c r="AR62" s="46"/>
      <c r="AS62" s="46"/>
      <c r="AT62" s="46"/>
      <c r="AU62" s="46"/>
      <c r="AV62" s="46"/>
      <c r="AW62" s="46"/>
      <c r="AX62" s="46"/>
      <c r="AY62" s="46"/>
      <c r="AZ62" s="46"/>
      <c r="BA62" s="46"/>
      <c r="BB62" s="46"/>
      <c r="BC62" s="46"/>
      <c r="BD62" s="46"/>
      <c r="BE62" s="46"/>
      <c r="BF62" s="46"/>
      <c r="BG62" s="46"/>
      <c r="BH62" s="46"/>
    </row>
    <row r="63" spans="1:60" ht="14.25" customHeight="1" x14ac:dyDescent="0.3">
      <c r="A63" s="46"/>
      <c r="B63" s="37"/>
      <c r="C63" s="46" t="s">
        <v>276</v>
      </c>
      <c r="D63" s="52">
        <v>-80</v>
      </c>
      <c r="E63" s="46"/>
      <c r="F63" s="46"/>
      <c r="G63" s="46"/>
      <c r="H63" s="46"/>
      <c r="I63" s="46"/>
      <c r="J63" s="46">
        <f>J59*$D$63</f>
        <v>0</v>
      </c>
      <c r="K63" s="46">
        <f t="shared" ref="K63:BH63" si="52">K59*$D$63</f>
        <v>0</v>
      </c>
      <c r="L63" s="46">
        <f t="shared" si="52"/>
        <v>0</v>
      </c>
      <c r="M63" s="46">
        <f t="shared" si="52"/>
        <v>0</v>
      </c>
      <c r="N63" s="46">
        <f t="shared" si="52"/>
        <v>0</v>
      </c>
      <c r="O63" s="46">
        <f t="shared" si="52"/>
        <v>0</v>
      </c>
      <c r="P63" s="46">
        <f t="shared" si="52"/>
        <v>0</v>
      </c>
      <c r="Q63" s="46">
        <f t="shared" si="52"/>
        <v>0</v>
      </c>
      <c r="R63" s="46">
        <f t="shared" si="52"/>
        <v>0</v>
      </c>
      <c r="S63" s="46">
        <f t="shared" si="52"/>
        <v>0</v>
      </c>
      <c r="T63" s="46">
        <f t="shared" si="52"/>
        <v>0</v>
      </c>
      <c r="U63" s="46">
        <f t="shared" si="52"/>
        <v>0</v>
      </c>
      <c r="V63" s="46">
        <f t="shared" si="52"/>
        <v>0</v>
      </c>
      <c r="W63" s="46">
        <f t="shared" si="52"/>
        <v>-84</v>
      </c>
      <c r="X63" s="46">
        <f t="shared" si="52"/>
        <v>-88.2</v>
      </c>
      <c r="Y63" s="46">
        <f t="shared" si="52"/>
        <v>-92.610000000000014</v>
      </c>
      <c r="Z63" s="46">
        <f t="shared" si="52"/>
        <v>-97.240500000000026</v>
      </c>
      <c r="AA63" s="46">
        <f t="shared" si="52"/>
        <v>-102.10252500000003</v>
      </c>
      <c r="AB63" s="46">
        <f t="shared" si="52"/>
        <v>-107.20765125000003</v>
      </c>
      <c r="AC63" s="46">
        <f t="shared" si="52"/>
        <v>-112.56803381250003</v>
      </c>
      <c r="AD63" s="46">
        <f t="shared" si="52"/>
        <v>-118.19643550312504</v>
      </c>
      <c r="AE63" s="46">
        <f t="shared" si="52"/>
        <v>-124.1062572782813</v>
      </c>
      <c r="AF63" s="46">
        <f t="shared" si="52"/>
        <v>-130.31157014219536</v>
      </c>
      <c r="AG63" s="46">
        <f t="shared" si="52"/>
        <v>-136.82714864930514</v>
      </c>
      <c r="AH63" s="46">
        <f t="shared" si="52"/>
        <v>-143.6685060817704</v>
      </c>
      <c r="AI63" s="46">
        <f t="shared" si="52"/>
        <v>-150.85193138585893</v>
      </c>
      <c r="AJ63" s="46">
        <f t="shared" si="52"/>
        <v>-158.39452795515189</v>
      </c>
      <c r="AK63" s="46">
        <f t="shared" si="52"/>
        <v>-166.3142543529095</v>
      </c>
      <c r="AL63" s="46">
        <f t="shared" si="52"/>
        <v>-174.62996707055498</v>
      </c>
      <c r="AM63" s="46">
        <f t="shared" si="52"/>
        <v>-183.36146542408275</v>
      </c>
      <c r="AN63" s="46">
        <f t="shared" si="52"/>
        <v>-192.52953869528687</v>
      </c>
      <c r="AO63" s="46">
        <f t="shared" si="52"/>
        <v>-202.15601563005123</v>
      </c>
      <c r="AP63" s="46">
        <f t="shared" si="52"/>
        <v>-212.26381641155382</v>
      </c>
      <c r="AQ63" s="46">
        <f t="shared" si="52"/>
        <v>-222.87700723213152</v>
      </c>
      <c r="AR63" s="46">
        <f t="shared" si="52"/>
        <v>-234.02085759373813</v>
      </c>
      <c r="AS63" s="46">
        <f t="shared" si="52"/>
        <v>-245.72190047342502</v>
      </c>
      <c r="AT63" s="46">
        <f t="shared" si="52"/>
        <v>-258.00799549709632</v>
      </c>
      <c r="AU63" s="46">
        <f t="shared" si="52"/>
        <v>-270.90839527195112</v>
      </c>
      <c r="AV63" s="46">
        <f t="shared" si="52"/>
        <v>-284.45381503554864</v>
      </c>
      <c r="AW63" s="46">
        <f t="shared" si="52"/>
        <v>-298.67650578732611</v>
      </c>
      <c r="AX63" s="46">
        <f t="shared" si="52"/>
        <v>-313.61033107669243</v>
      </c>
      <c r="AY63" s="46">
        <f t="shared" si="52"/>
        <v>-329.29084763052708</v>
      </c>
      <c r="AZ63" s="46">
        <f t="shared" si="52"/>
        <v>-345.75539001205345</v>
      </c>
      <c r="BA63" s="46">
        <f t="shared" si="52"/>
        <v>-363.04315951265613</v>
      </c>
      <c r="BB63" s="46">
        <f t="shared" si="52"/>
        <v>-381.19531748828899</v>
      </c>
      <c r="BC63" s="46">
        <f t="shared" si="52"/>
        <v>-400.25508336270343</v>
      </c>
      <c r="BD63" s="46">
        <f t="shared" si="52"/>
        <v>-420.26783753083862</v>
      </c>
      <c r="BE63" s="46">
        <f t="shared" si="52"/>
        <v>-441.28122940738058</v>
      </c>
      <c r="BF63" s="46">
        <f t="shared" si="52"/>
        <v>-463.34529087774968</v>
      </c>
      <c r="BG63" s="46">
        <f t="shared" si="52"/>
        <v>-486.51255542163716</v>
      </c>
      <c r="BH63" s="46">
        <f t="shared" si="52"/>
        <v>-510.83818319271904</v>
      </c>
    </row>
    <row r="64" spans="1:60" ht="14.25" customHeight="1" x14ac:dyDescent="0.3">
      <c r="A64" s="46"/>
      <c r="B64" s="37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46"/>
      <c r="AN64" s="46"/>
      <c r="AO64" s="46"/>
      <c r="AP64" s="46"/>
      <c r="AQ64" s="46"/>
      <c r="AR64" s="46"/>
      <c r="AS64" s="46"/>
      <c r="AT64" s="46"/>
      <c r="AU64" s="46"/>
      <c r="AV64" s="46"/>
      <c r="AW64" s="46"/>
      <c r="AX64" s="46"/>
      <c r="AY64" s="46"/>
      <c r="AZ64" s="46"/>
      <c r="BA64" s="46"/>
      <c r="BB64" s="46"/>
      <c r="BC64" s="46"/>
      <c r="BD64" s="46"/>
      <c r="BE64" s="46"/>
      <c r="BF64" s="46"/>
      <c r="BG64" s="46"/>
      <c r="BH64" s="46"/>
    </row>
    <row r="65" spans="1:60" ht="14.25" customHeight="1" x14ac:dyDescent="0.3">
      <c r="A65" s="46"/>
      <c r="B65" s="37"/>
      <c r="C65" s="37" t="s">
        <v>277</v>
      </c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46"/>
      <c r="AN65" s="46"/>
      <c r="AO65" s="46"/>
      <c r="AP65" s="46"/>
      <c r="AQ65" s="46"/>
      <c r="AR65" s="46"/>
      <c r="AS65" s="46"/>
      <c r="AT65" s="46"/>
      <c r="AU65" s="46"/>
      <c r="AV65" s="46"/>
      <c r="AW65" s="46"/>
      <c r="AX65" s="46"/>
      <c r="AY65" s="46"/>
      <c r="AZ65" s="46"/>
      <c r="BA65" s="46"/>
      <c r="BB65" s="46"/>
      <c r="BC65" s="46"/>
      <c r="BD65" s="46"/>
      <c r="BE65" s="46"/>
      <c r="BF65" s="46"/>
      <c r="BG65" s="46"/>
      <c r="BH65" s="46"/>
    </row>
    <row r="66" spans="1:60" ht="14.25" customHeight="1" x14ac:dyDescent="0.3">
      <c r="A66" s="46"/>
      <c r="B66" s="37"/>
      <c r="C66" s="46" t="s">
        <v>278</v>
      </c>
      <c r="D66" s="47">
        <f>Y3</f>
        <v>46053</v>
      </c>
      <c r="E66" s="46"/>
      <c r="F66" s="46"/>
      <c r="G66" s="46"/>
      <c r="H66" s="46"/>
      <c r="I66" s="46"/>
      <c r="J66" s="46">
        <f>IF(J$3&gt;=$D$66,1,0)</f>
        <v>0</v>
      </c>
      <c r="K66" s="46">
        <f t="shared" ref="K66:BH66" si="53">IF(K$3&gt;=$D$66,1,0)</f>
        <v>0</v>
      </c>
      <c r="L66" s="46">
        <f t="shared" si="53"/>
        <v>0</v>
      </c>
      <c r="M66" s="46">
        <f t="shared" si="53"/>
        <v>0</v>
      </c>
      <c r="N66" s="46">
        <f t="shared" si="53"/>
        <v>0</v>
      </c>
      <c r="O66" s="46">
        <f t="shared" si="53"/>
        <v>0</v>
      </c>
      <c r="P66" s="46">
        <f t="shared" si="53"/>
        <v>0</v>
      </c>
      <c r="Q66" s="46">
        <f t="shared" si="53"/>
        <v>0</v>
      </c>
      <c r="R66" s="46">
        <f t="shared" si="53"/>
        <v>0</v>
      </c>
      <c r="S66" s="46">
        <f t="shared" si="53"/>
        <v>0</v>
      </c>
      <c r="T66" s="46">
        <f t="shared" si="53"/>
        <v>0</v>
      </c>
      <c r="U66" s="46">
        <f t="shared" si="53"/>
        <v>0</v>
      </c>
      <c r="V66" s="46">
        <f t="shared" si="53"/>
        <v>0</v>
      </c>
      <c r="W66" s="46">
        <f t="shared" si="53"/>
        <v>0</v>
      </c>
      <c r="X66" s="46">
        <f t="shared" si="53"/>
        <v>0</v>
      </c>
      <c r="Y66" s="46">
        <f t="shared" si="53"/>
        <v>1</v>
      </c>
      <c r="Z66" s="46">
        <f t="shared" si="53"/>
        <v>1</v>
      </c>
      <c r="AA66" s="46">
        <f t="shared" si="53"/>
        <v>1</v>
      </c>
      <c r="AB66" s="46">
        <f t="shared" si="53"/>
        <v>1</v>
      </c>
      <c r="AC66" s="46">
        <f t="shared" si="53"/>
        <v>1</v>
      </c>
      <c r="AD66" s="46">
        <f t="shared" si="53"/>
        <v>1</v>
      </c>
      <c r="AE66" s="46">
        <f t="shared" si="53"/>
        <v>1</v>
      </c>
      <c r="AF66" s="46">
        <f t="shared" si="53"/>
        <v>1</v>
      </c>
      <c r="AG66" s="46">
        <f t="shared" si="53"/>
        <v>1</v>
      </c>
      <c r="AH66" s="46">
        <f t="shared" si="53"/>
        <v>1</v>
      </c>
      <c r="AI66" s="46">
        <f t="shared" si="53"/>
        <v>1</v>
      </c>
      <c r="AJ66" s="46">
        <f t="shared" si="53"/>
        <v>1</v>
      </c>
      <c r="AK66" s="46">
        <f t="shared" si="53"/>
        <v>1</v>
      </c>
      <c r="AL66" s="46">
        <f t="shared" si="53"/>
        <v>1</v>
      </c>
      <c r="AM66" s="46">
        <f t="shared" si="53"/>
        <v>1</v>
      </c>
      <c r="AN66" s="46">
        <f t="shared" si="53"/>
        <v>1</v>
      </c>
      <c r="AO66" s="46">
        <f t="shared" si="53"/>
        <v>1</v>
      </c>
      <c r="AP66" s="46">
        <f t="shared" si="53"/>
        <v>1</v>
      </c>
      <c r="AQ66" s="46">
        <f t="shared" si="53"/>
        <v>1</v>
      </c>
      <c r="AR66" s="46">
        <f t="shared" si="53"/>
        <v>1</v>
      </c>
      <c r="AS66" s="46">
        <f t="shared" si="53"/>
        <v>1</v>
      </c>
      <c r="AT66" s="46">
        <f t="shared" si="53"/>
        <v>1</v>
      </c>
      <c r="AU66" s="46">
        <f t="shared" si="53"/>
        <v>1</v>
      </c>
      <c r="AV66" s="46">
        <f t="shared" si="53"/>
        <v>1</v>
      </c>
      <c r="AW66" s="46">
        <f t="shared" si="53"/>
        <v>1</v>
      </c>
      <c r="AX66" s="46">
        <f t="shared" si="53"/>
        <v>1</v>
      </c>
      <c r="AY66" s="46">
        <f t="shared" si="53"/>
        <v>1</v>
      </c>
      <c r="AZ66" s="46">
        <f t="shared" si="53"/>
        <v>1</v>
      </c>
      <c r="BA66" s="46">
        <f t="shared" si="53"/>
        <v>1</v>
      </c>
      <c r="BB66" s="46">
        <f t="shared" si="53"/>
        <v>1</v>
      </c>
      <c r="BC66" s="46">
        <f t="shared" si="53"/>
        <v>1</v>
      </c>
      <c r="BD66" s="46">
        <f t="shared" si="53"/>
        <v>1</v>
      </c>
      <c r="BE66" s="46">
        <f t="shared" si="53"/>
        <v>1</v>
      </c>
      <c r="BF66" s="46">
        <f t="shared" si="53"/>
        <v>1</v>
      </c>
      <c r="BG66" s="46">
        <f t="shared" si="53"/>
        <v>1</v>
      </c>
      <c r="BH66" s="46">
        <f t="shared" si="53"/>
        <v>1</v>
      </c>
    </row>
    <row r="67" spans="1:60" ht="14.25" customHeight="1" x14ac:dyDescent="0.3">
      <c r="A67" s="46"/>
      <c r="B67" s="37"/>
      <c r="C67" s="37"/>
      <c r="D67" s="46" t="s">
        <v>49</v>
      </c>
      <c r="E67" s="46" t="s">
        <v>50</v>
      </c>
      <c r="F67" s="46" t="s">
        <v>51</v>
      </c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6"/>
      <c r="AN67" s="46"/>
      <c r="AO67" s="46"/>
      <c r="AP67" s="46"/>
      <c r="AQ67" s="46"/>
      <c r="AR67" s="46"/>
      <c r="AS67" s="46"/>
      <c r="AT67" s="46"/>
      <c r="AU67" s="46"/>
      <c r="AV67" s="46"/>
      <c r="AW67" s="46"/>
      <c r="AX67" s="46"/>
      <c r="AY67" s="46"/>
      <c r="AZ67" s="46"/>
      <c r="BA67" s="46"/>
      <c r="BB67" s="46"/>
      <c r="BC67" s="46"/>
      <c r="BD67" s="46"/>
      <c r="BE67" s="46"/>
      <c r="BF67" s="46"/>
      <c r="BG67" s="46"/>
      <c r="BH67" s="46"/>
    </row>
    <row r="68" spans="1:60" ht="14.25" customHeight="1" x14ac:dyDescent="0.3">
      <c r="A68" s="46"/>
      <c r="B68" s="37"/>
      <c r="C68" s="46" t="s">
        <v>279</v>
      </c>
      <c r="D68" s="49">
        <v>1</v>
      </c>
      <c r="E68" s="49">
        <v>1</v>
      </c>
      <c r="F68" s="50">
        <v>0</v>
      </c>
      <c r="G68" s="46"/>
      <c r="H68" s="46"/>
      <c r="I68" s="46"/>
      <c r="J68" s="46">
        <f>MIN(MAX($D68,I68)*(1+$F68)*J$66,$E68)</f>
        <v>0</v>
      </c>
      <c r="K68" s="46">
        <f t="shared" ref="K68:Z69" si="54">MIN(MAX($D68,J68)*(1+$F68)*K$66,$E68)</f>
        <v>0</v>
      </c>
      <c r="L68" s="46">
        <f t="shared" si="54"/>
        <v>0</v>
      </c>
      <c r="M68" s="46">
        <f t="shared" si="54"/>
        <v>0</v>
      </c>
      <c r="N68" s="46">
        <f t="shared" si="54"/>
        <v>0</v>
      </c>
      <c r="O68" s="46">
        <f t="shared" si="54"/>
        <v>0</v>
      </c>
      <c r="P68" s="46">
        <f t="shared" si="54"/>
        <v>0</v>
      </c>
      <c r="Q68" s="46">
        <f t="shared" si="54"/>
        <v>0</v>
      </c>
      <c r="R68" s="46">
        <f t="shared" si="54"/>
        <v>0</v>
      </c>
      <c r="S68" s="46">
        <f t="shared" si="54"/>
        <v>0</v>
      </c>
      <c r="T68" s="46">
        <f t="shared" si="54"/>
        <v>0</v>
      </c>
      <c r="U68" s="46">
        <f t="shared" si="54"/>
        <v>0</v>
      </c>
      <c r="V68" s="46">
        <f t="shared" si="54"/>
        <v>0</v>
      </c>
      <c r="W68" s="46">
        <f t="shared" si="54"/>
        <v>0</v>
      </c>
      <c r="X68" s="46">
        <f t="shared" si="54"/>
        <v>0</v>
      </c>
      <c r="Y68" s="46">
        <f t="shared" si="54"/>
        <v>1</v>
      </c>
      <c r="Z68" s="46">
        <f t="shared" si="54"/>
        <v>1</v>
      </c>
      <c r="AA68" s="46">
        <f t="shared" ref="AA68:AP69" si="55">MIN(MAX($D68,Z68)*(1+$F68)*AA$66,$E68)</f>
        <v>1</v>
      </c>
      <c r="AB68" s="46">
        <f t="shared" si="55"/>
        <v>1</v>
      </c>
      <c r="AC68" s="46">
        <f t="shared" si="55"/>
        <v>1</v>
      </c>
      <c r="AD68" s="46">
        <f t="shared" si="55"/>
        <v>1</v>
      </c>
      <c r="AE68" s="46">
        <f t="shared" si="55"/>
        <v>1</v>
      </c>
      <c r="AF68" s="46">
        <f t="shared" si="55"/>
        <v>1</v>
      </c>
      <c r="AG68" s="46">
        <f t="shared" si="55"/>
        <v>1</v>
      </c>
      <c r="AH68" s="46">
        <f t="shared" si="55"/>
        <v>1</v>
      </c>
      <c r="AI68" s="46">
        <f t="shared" si="55"/>
        <v>1</v>
      </c>
      <c r="AJ68" s="46">
        <f t="shared" si="55"/>
        <v>1</v>
      </c>
      <c r="AK68" s="46">
        <f t="shared" si="55"/>
        <v>1</v>
      </c>
      <c r="AL68" s="46">
        <f t="shared" si="55"/>
        <v>1</v>
      </c>
      <c r="AM68" s="46">
        <f t="shared" si="55"/>
        <v>1</v>
      </c>
      <c r="AN68" s="46">
        <f t="shared" si="55"/>
        <v>1</v>
      </c>
      <c r="AO68" s="46">
        <f t="shared" si="55"/>
        <v>1</v>
      </c>
      <c r="AP68" s="46">
        <f t="shared" si="55"/>
        <v>1</v>
      </c>
      <c r="AQ68" s="46">
        <f t="shared" ref="AQ68:BF69" si="56">MIN(MAX($D68,AP68)*(1+$F68)*AQ$66,$E68)</f>
        <v>1</v>
      </c>
      <c r="AR68" s="46">
        <f t="shared" si="56"/>
        <v>1</v>
      </c>
      <c r="AS68" s="46">
        <f t="shared" si="56"/>
        <v>1</v>
      </c>
      <c r="AT68" s="46">
        <f t="shared" si="56"/>
        <v>1</v>
      </c>
      <c r="AU68" s="46">
        <f t="shared" si="56"/>
        <v>1</v>
      </c>
      <c r="AV68" s="46">
        <f t="shared" si="56"/>
        <v>1</v>
      </c>
      <c r="AW68" s="46">
        <f t="shared" si="56"/>
        <v>1</v>
      </c>
      <c r="AX68" s="46">
        <f t="shared" si="56"/>
        <v>1</v>
      </c>
      <c r="AY68" s="46">
        <f t="shared" si="56"/>
        <v>1</v>
      </c>
      <c r="AZ68" s="46">
        <f t="shared" si="56"/>
        <v>1</v>
      </c>
      <c r="BA68" s="46">
        <f t="shared" si="56"/>
        <v>1</v>
      </c>
      <c r="BB68" s="46">
        <f t="shared" si="56"/>
        <v>1</v>
      </c>
      <c r="BC68" s="46">
        <f t="shared" si="56"/>
        <v>1</v>
      </c>
      <c r="BD68" s="46">
        <f t="shared" si="56"/>
        <v>1</v>
      </c>
      <c r="BE68" s="46">
        <f t="shared" si="56"/>
        <v>1</v>
      </c>
      <c r="BF68" s="46">
        <f t="shared" si="56"/>
        <v>1</v>
      </c>
      <c r="BG68" s="46">
        <f t="shared" ref="BG68:BH69" si="57">MIN(MAX($D68,BF68)*(1+$F68)*BG$66,$E68)</f>
        <v>1</v>
      </c>
      <c r="BH68" s="46">
        <f t="shared" si="57"/>
        <v>1</v>
      </c>
    </row>
    <row r="69" spans="1:60" ht="14.25" customHeight="1" x14ac:dyDescent="0.3">
      <c r="A69" s="46"/>
      <c r="B69" s="37"/>
      <c r="C69" s="46" t="s">
        <v>87</v>
      </c>
      <c r="D69" s="49">
        <v>2900</v>
      </c>
      <c r="E69" s="49">
        <v>2900</v>
      </c>
      <c r="F69" s="50">
        <v>0</v>
      </c>
      <c r="G69" s="46"/>
      <c r="H69" s="46"/>
      <c r="I69" s="46"/>
      <c r="J69" s="46">
        <f>MIN(MAX($D69,I69)*(1+$F69)*J$66,$E69)</f>
        <v>0</v>
      </c>
      <c r="K69" s="46">
        <f t="shared" si="54"/>
        <v>0</v>
      </c>
      <c r="L69" s="46">
        <f t="shared" si="54"/>
        <v>0</v>
      </c>
      <c r="M69" s="46">
        <f t="shared" si="54"/>
        <v>0</v>
      </c>
      <c r="N69" s="46">
        <f t="shared" si="54"/>
        <v>0</v>
      </c>
      <c r="O69" s="46">
        <f t="shared" si="54"/>
        <v>0</v>
      </c>
      <c r="P69" s="46">
        <f t="shared" si="54"/>
        <v>0</v>
      </c>
      <c r="Q69" s="46">
        <f t="shared" si="54"/>
        <v>0</v>
      </c>
      <c r="R69" s="46">
        <f t="shared" si="54"/>
        <v>0</v>
      </c>
      <c r="S69" s="46">
        <f t="shared" si="54"/>
        <v>0</v>
      </c>
      <c r="T69" s="46">
        <f t="shared" si="54"/>
        <v>0</v>
      </c>
      <c r="U69" s="46">
        <f t="shared" si="54"/>
        <v>0</v>
      </c>
      <c r="V69" s="46">
        <f t="shared" si="54"/>
        <v>0</v>
      </c>
      <c r="W69" s="46">
        <f t="shared" si="54"/>
        <v>0</v>
      </c>
      <c r="X69" s="46">
        <f t="shared" si="54"/>
        <v>0</v>
      </c>
      <c r="Y69" s="46">
        <f t="shared" si="54"/>
        <v>2900</v>
      </c>
      <c r="Z69" s="46">
        <f t="shared" si="54"/>
        <v>2900</v>
      </c>
      <c r="AA69" s="46">
        <f t="shared" si="55"/>
        <v>2900</v>
      </c>
      <c r="AB69" s="46">
        <f t="shared" si="55"/>
        <v>2900</v>
      </c>
      <c r="AC69" s="46">
        <f t="shared" si="55"/>
        <v>2900</v>
      </c>
      <c r="AD69" s="46">
        <f t="shared" si="55"/>
        <v>2900</v>
      </c>
      <c r="AE69" s="46">
        <f t="shared" si="55"/>
        <v>2900</v>
      </c>
      <c r="AF69" s="46">
        <f t="shared" si="55"/>
        <v>2900</v>
      </c>
      <c r="AG69" s="46">
        <f t="shared" si="55"/>
        <v>2900</v>
      </c>
      <c r="AH69" s="46">
        <f t="shared" si="55"/>
        <v>2900</v>
      </c>
      <c r="AI69" s="46">
        <f t="shared" si="55"/>
        <v>2900</v>
      </c>
      <c r="AJ69" s="46">
        <f t="shared" si="55"/>
        <v>2900</v>
      </c>
      <c r="AK69" s="46">
        <f t="shared" si="55"/>
        <v>2900</v>
      </c>
      <c r="AL69" s="46">
        <f t="shared" si="55"/>
        <v>2900</v>
      </c>
      <c r="AM69" s="46">
        <f t="shared" si="55"/>
        <v>2900</v>
      </c>
      <c r="AN69" s="46">
        <f t="shared" si="55"/>
        <v>2900</v>
      </c>
      <c r="AO69" s="46">
        <f t="shared" si="55"/>
        <v>2900</v>
      </c>
      <c r="AP69" s="46">
        <f t="shared" si="55"/>
        <v>2900</v>
      </c>
      <c r="AQ69" s="46">
        <f t="shared" si="56"/>
        <v>2900</v>
      </c>
      <c r="AR69" s="46">
        <f t="shared" si="56"/>
        <v>2900</v>
      </c>
      <c r="AS69" s="46">
        <f t="shared" si="56"/>
        <v>2900</v>
      </c>
      <c r="AT69" s="46">
        <f t="shared" si="56"/>
        <v>2900</v>
      </c>
      <c r="AU69" s="46">
        <f t="shared" si="56"/>
        <v>2900</v>
      </c>
      <c r="AV69" s="46">
        <f t="shared" si="56"/>
        <v>2900</v>
      </c>
      <c r="AW69" s="46">
        <f t="shared" si="56"/>
        <v>2900</v>
      </c>
      <c r="AX69" s="46">
        <f t="shared" si="56"/>
        <v>2900</v>
      </c>
      <c r="AY69" s="46">
        <f t="shared" si="56"/>
        <v>2900</v>
      </c>
      <c r="AZ69" s="46">
        <f t="shared" si="56"/>
        <v>2900</v>
      </c>
      <c r="BA69" s="46">
        <f t="shared" si="56"/>
        <v>2900</v>
      </c>
      <c r="BB69" s="46">
        <f t="shared" si="56"/>
        <v>2900</v>
      </c>
      <c r="BC69" s="46">
        <f t="shared" si="56"/>
        <v>2900</v>
      </c>
      <c r="BD69" s="46">
        <f t="shared" si="56"/>
        <v>2900</v>
      </c>
      <c r="BE69" s="46">
        <f t="shared" si="56"/>
        <v>2900</v>
      </c>
      <c r="BF69" s="46">
        <f t="shared" si="56"/>
        <v>2900</v>
      </c>
      <c r="BG69" s="46">
        <f t="shared" si="57"/>
        <v>2900</v>
      </c>
      <c r="BH69" s="46">
        <f t="shared" si="57"/>
        <v>2900</v>
      </c>
    </row>
    <row r="70" spans="1:60" ht="14.25" customHeight="1" x14ac:dyDescent="0.3">
      <c r="A70" s="46"/>
      <c r="B70" s="37"/>
      <c r="C70" s="46" t="s">
        <v>280</v>
      </c>
      <c r="D70" s="46"/>
      <c r="E70" s="46"/>
      <c r="F70" s="46"/>
      <c r="G70" s="46"/>
      <c r="H70" s="46"/>
      <c r="I70" s="46"/>
      <c r="J70" s="51">
        <f t="shared" ref="J70:BH70" si="58">J68*J69</f>
        <v>0</v>
      </c>
      <c r="K70" s="51">
        <f t="shared" si="58"/>
        <v>0</v>
      </c>
      <c r="L70" s="51">
        <f t="shared" si="58"/>
        <v>0</v>
      </c>
      <c r="M70" s="51">
        <f t="shared" si="58"/>
        <v>0</v>
      </c>
      <c r="N70" s="51">
        <f t="shared" si="58"/>
        <v>0</v>
      </c>
      <c r="O70" s="51">
        <f t="shared" si="58"/>
        <v>0</v>
      </c>
      <c r="P70" s="51">
        <f t="shared" si="58"/>
        <v>0</v>
      </c>
      <c r="Q70" s="51">
        <f t="shared" si="58"/>
        <v>0</v>
      </c>
      <c r="R70" s="51">
        <f t="shared" si="58"/>
        <v>0</v>
      </c>
      <c r="S70" s="51">
        <f t="shared" si="58"/>
        <v>0</v>
      </c>
      <c r="T70" s="51">
        <f t="shared" si="58"/>
        <v>0</v>
      </c>
      <c r="U70" s="51">
        <f t="shared" si="58"/>
        <v>0</v>
      </c>
      <c r="V70" s="51">
        <f t="shared" si="58"/>
        <v>0</v>
      </c>
      <c r="W70" s="51">
        <f t="shared" si="58"/>
        <v>0</v>
      </c>
      <c r="X70" s="51">
        <f t="shared" si="58"/>
        <v>0</v>
      </c>
      <c r="Y70" s="51">
        <f t="shared" si="58"/>
        <v>2900</v>
      </c>
      <c r="Z70" s="51">
        <f t="shared" si="58"/>
        <v>2900</v>
      </c>
      <c r="AA70" s="51">
        <f t="shared" si="58"/>
        <v>2900</v>
      </c>
      <c r="AB70" s="51">
        <f t="shared" si="58"/>
        <v>2900</v>
      </c>
      <c r="AC70" s="51">
        <f t="shared" si="58"/>
        <v>2900</v>
      </c>
      <c r="AD70" s="51">
        <f t="shared" si="58"/>
        <v>2900</v>
      </c>
      <c r="AE70" s="51">
        <f t="shared" si="58"/>
        <v>2900</v>
      </c>
      <c r="AF70" s="51">
        <f t="shared" si="58"/>
        <v>2900</v>
      </c>
      <c r="AG70" s="51">
        <f t="shared" si="58"/>
        <v>2900</v>
      </c>
      <c r="AH70" s="51">
        <f t="shared" si="58"/>
        <v>2900</v>
      </c>
      <c r="AI70" s="51">
        <f t="shared" si="58"/>
        <v>2900</v>
      </c>
      <c r="AJ70" s="51">
        <f t="shared" si="58"/>
        <v>2900</v>
      </c>
      <c r="AK70" s="51">
        <f t="shared" si="58"/>
        <v>2900</v>
      </c>
      <c r="AL70" s="51">
        <f t="shared" si="58"/>
        <v>2900</v>
      </c>
      <c r="AM70" s="51">
        <f t="shared" si="58"/>
        <v>2900</v>
      </c>
      <c r="AN70" s="51">
        <f t="shared" si="58"/>
        <v>2900</v>
      </c>
      <c r="AO70" s="51">
        <f t="shared" si="58"/>
        <v>2900</v>
      </c>
      <c r="AP70" s="51">
        <f t="shared" si="58"/>
        <v>2900</v>
      </c>
      <c r="AQ70" s="51">
        <f t="shared" si="58"/>
        <v>2900</v>
      </c>
      <c r="AR70" s="51">
        <f t="shared" si="58"/>
        <v>2900</v>
      </c>
      <c r="AS70" s="51">
        <f t="shared" si="58"/>
        <v>2900</v>
      </c>
      <c r="AT70" s="51">
        <f t="shared" si="58"/>
        <v>2900</v>
      </c>
      <c r="AU70" s="51">
        <f t="shared" si="58"/>
        <v>2900</v>
      </c>
      <c r="AV70" s="51">
        <f t="shared" si="58"/>
        <v>2900</v>
      </c>
      <c r="AW70" s="51">
        <f t="shared" si="58"/>
        <v>2900</v>
      </c>
      <c r="AX70" s="51">
        <f t="shared" si="58"/>
        <v>2900</v>
      </c>
      <c r="AY70" s="51">
        <f t="shared" si="58"/>
        <v>2900</v>
      </c>
      <c r="AZ70" s="51">
        <f t="shared" si="58"/>
        <v>2900</v>
      </c>
      <c r="BA70" s="51">
        <f t="shared" si="58"/>
        <v>2900</v>
      </c>
      <c r="BB70" s="51">
        <f t="shared" si="58"/>
        <v>2900</v>
      </c>
      <c r="BC70" s="51">
        <f t="shared" si="58"/>
        <v>2900</v>
      </c>
      <c r="BD70" s="51">
        <f t="shared" si="58"/>
        <v>2900</v>
      </c>
      <c r="BE70" s="51">
        <f t="shared" si="58"/>
        <v>2900</v>
      </c>
      <c r="BF70" s="51">
        <f t="shared" si="58"/>
        <v>2900</v>
      </c>
      <c r="BG70" s="51">
        <f t="shared" si="58"/>
        <v>2900</v>
      </c>
      <c r="BH70" s="51">
        <f t="shared" si="58"/>
        <v>2900</v>
      </c>
    </row>
    <row r="71" spans="1:60" ht="14.25" customHeight="1" x14ac:dyDescent="0.3">
      <c r="A71" s="46"/>
      <c r="B71" s="37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46"/>
      <c r="AM71" s="46"/>
      <c r="AN71" s="46"/>
      <c r="AO71" s="46"/>
      <c r="AP71" s="46"/>
      <c r="AQ71" s="46"/>
      <c r="AR71" s="46"/>
      <c r="AS71" s="46"/>
      <c r="AT71" s="46"/>
      <c r="AU71" s="46"/>
      <c r="AV71" s="46"/>
      <c r="AW71" s="46"/>
      <c r="AX71" s="46"/>
      <c r="AY71" s="46"/>
      <c r="AZ71" s="46"/>
      <c r="BA71" s="46"/>
      <c r="BB71" s="46"/>
      <c r="BC71" s="46"/>
      <c r="BD71" s="46"/>
      <c r="BE71" s="46"/>
      <c r="BF71" s="46"/>
      <c r="BG71" s="46"/>
      <c r="BH71" s="46"/>
    </row>
    <row r="72" spans="1:60" ht="14.25" customHeight="1" x14ac:dyDescent="0.3">
      <c r="A72" s="46"/>
      <c r="B72" s="37"/>
      <c r="C72" s="46" t="s">
        <v>281</v>
      </c>
      <c r="D72" s="52">
        <v>-300</v>
      </c>
      <c r="E72" s="46"/>
      <c r="F72" s="46"/>
      <c r="G72" s="46"/>
      <c r="H72" s="46"/>
      <c r="I72" s="46"/>
      <c r="J72" s="46">
        <f>J68*$D72</f>
        <v>0</v>
      </c>
      <c r="K72" s="46">
        <f t="shared" ref="K72:BH72" si="59">K68*$D72</f>
        <v>0</v>
      </c>
      <c r="L72" s="46">
        <f t="shared" si="59"/>
        <v>0</v>
      </c>
      <c r="M72" s="46">
        <f t="shared" si="59"/>
        <v>0</v>
      </c>
      <c r="N72" s="46">
        <f t="shared" si="59"/>
        <v>0</v>
      </c>
      <c r="O72" s="46">
        <f t="shared" si="59"/>
        <v>0</v>
      </c>
      <c r="P72" s="46">
        <f t="shared" si="59"/>
        <v>0</v>
      </c>
      <c r="Q72" s="46">
        <f t="shared" si="59"/>
        <v>0</v>
      </c>
      <c r="R72" s="46">
        <f t="shared" si="59"/>
        <v>0</v>
      </c>
      <c r="S72" s="46">
        <f t="shared" si="59"/>
        <v>0</v>
      </c>
      <c r="T72" s="46">
        <f t="shared" si="59"/>
        <v>0</v>
      </c>
      <c r="U72" s="46">
        <f t="shared" si="59"/>
        <v>0</v>
      </c>
      <c r="V72" s="46">
        <f t="shared" si="59"/>
        <v>0</v>
      </c>
      <c r="W72" s="46">
        <f t="shared" si="59"/>
        <v>0</v>
      </c>
      <c r="X72" s="46">
        <f t="shared" si="59"/>
        <v>0</v>
      </c>
      <c r="Y72" s="46">
        <f t="shared" si="59"/>
        <v>-300</v>
      </c>
      <c r="Z72" s="46">
        <f t="shared" si="59"/>
        <v>-300</v>
      </c>
      <c r="AA72" s="46">
        <f t="shared" si="59"/>
        <v>-300</v>
      </c>
      <c r="AB72" s="46">
        <f t="shared" si="59"/>
        <v>-300</v>
      </c>
      <c r="AC72" s="46">
        <f t="shared" si="59"/>
        <v>-300</v>
      </c>
      <c r="AD72" s="46">
        <f t="shared" si="59"/>
        <v>-300</v>
      </c>
      <c r="AE72" s="46">
        <f t="shared" si="59"/>
        <v>-300</v>
      </c>
      <c r="AF72" s="46">
        <f t="shared" si="59"/>
        <v>-300</v>
      </c>
      <c r="AG72" s="46">
        <f t="shared" si="59"/>
        <v>-300</v>
      </c>
      <c r="AH72" s="46">
        <f t="shared" si="59"/>
        <v>-300</v>
      </c>
      <c r="AI72" s="46">
        <f t="shared" si="59"/>
        <v>-300</v>
      </c>
      <c r="AJ72" s="46">
        <f t="shared" si="59"/>
        <v>-300</v>
      </c>
      <c r="AK72" s="46">
        <f t="shared" si="59"/>
        <v>-300</v>
      </c>
      <c r="AL72" s="46">
        <f t="shared" si="59"/>
        <v>-300</v>
      </c>
      <c r="AM72" s="46">
        <f t="shared" si="59"/>
        <v>-300</v>
      </c>
      <c r="AN72" s="46">
        <f t="shared" si="59"/>
        <v>-300</v>
      </c>
      <c r="AO72" s="46">
        <f t="shared" si="59"/>
        <v>-300</v>
      </c>
      <c r="AP72" s="46">
        <f t="shared" si="59"/>
        <v>-300</v>
      </c>
      <c r="AQ72" s="46">
        <f t="shared" si="59"/>
        <v>-300</v>
      </c>
      <c r="AR72" s="46">
        <f t="shared" si="59"/>
        <v>-300</v>
      </c>
      <c r="AS72" s="46">
        <f t="shared" si="59"/>
        <v>-300</v>
      </c>
      <c r="AT72" s="46">
        <f t="shared" si="59"/>
        <v>-300</v>
      </c>
      <c r="AU72" s="46">
        <f t="shared" si="59"/>
        <v>-300</v>
      </c>
      <c r="AV72" s="46">
        <f t="shared" si="59"/>
        <v>-300</v>
      </c>
      <c r="AW72" s="46">
        <f t="shared" si="59"/>
        <v>-300</v>
      </c>
      <c r="AX72" s="46">
        <f t="shared" si="59"/>
        <v>-300</v>
      </c>
      <c r="AY72" s="46">
        <f t="shared" si="59"/>
        <v>-300</v>
      </c>
      <c r="AZ72" s="46">
        <f t="shared" si="59"/>
        <v>-300</v>
      </c>
      <c r="BA72" s="46">
        <f t="shared" si="59"/>
        <v>-300</v>
      </c>
      <c r="BB72" s="46">
        <f t="shared" si="59"/>
        <v>-300</v>
      </c>
      <c r="BC72" s="46">
        <f t="shared" si="59"/>
        <v>-300</v>
      </c>
      <c r="BD72" s="46">
        <f t="shared" si="59"/>
        <v>-300</v>
      </c>
      <c r="BE72" s="46">
        <f t="shared" si="59"/>
        <v>-300</v>
      </c>
      <c r="BF72" s="46">
        <f t="shared" si="59"/>
        <v>-300</v>
      </c>
      <c r="BG72" s="46">
        <f t="shared" si="59"/>
        <v>-300</v>
      </c>
      <c r="BH72" s="46">
        <f t="shared" si="59"/>
        <v>-300</v>
      </c>
    </row>
    <row r="73" spans="1:60" ht="14.25" customHeight="1" x14ac:dyDescent="0.3">
      <c r="A73" s="46"/>
      <c r="B73" s="37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  <c r="AQ73" s="46"/>
      <c r="AR73" s="46"/>
      <c r="AS73" s="46"/>
      <c r="AT73" s="46"/>
      <c r="AU73" s="46"/>
      <c r="AV73" s="46"/>
      <c r="AW73" s="46"/>
      <c r="AX73" s="46"/>
      <c r="AY73" s="46"/>
      <c r="AZ73" s="46"/>
      <c r="BA73" s="46"/>
      <c r="BB73" s="46"/>
      <c r="BC73" s="46"/>
      <c r="BD73" s="46"/>
      <c r="BE73" s="46"/>
      <c r="BF73" s="46"/>
      <c r="BG73" s="46"/>
      <c r="BH73" s="46"/>
    </row>
    <row r="74" spans="1:60" ht="14.25" customHeight="1" x14ac:dyDescent="0.3">
      <c r="A74" s="46"/>
      <c r="B74" s="37"/>
      <c r="C74" s="37" t="s">
        <v>282</v>
      </c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  <c r="AK74" s="46"/>
      <c r="AL74" s="46"/>
      <c r="AM74" s="46"/>
      <c r="AN74" s="46"/>
      <c r="AO74" s="46"/>
      <c r="AP74" s="46"/>
      <c r="AQ74" s="46"/>
      <c r="AR74" s="46"/>
      <c r="AS74" s="46"/>
      <c r="AT74" s="46"/>
      <c r="AU74" s="46"/>
      <c r="AV74" s="46"/>
      <c r="AW74" s="46"/>
      <c r="AX74" s="46"/>
      <c r="AY74" s="46"/>
      <c r="AZ74" s="46"/>
      <c r="BA74" s="46"/>
      <c r="BB74" s="46"/>
      <c r="BC74" s="46"/>
      <c r="BD74" s="46"/>
      <c r="BE74" s="46"/>
      <c r="BF74" s="46"/>
      <c r="BG74" s="46"/>
      <c r="BH74" s="46"/>
    </row>
    <row r="75" spans="1:60" ht="14.25" customHeight="1" x14ac:dyDescent="0.3">
      <c r="A75" s="46"/>
      <c r="B75" s="37"/>
      <c r="C75" s="46" t="s">
        <v>283</v>
      </c>
      <c r="D75" s="47">
        <f>D8</f>
        <v>45838</v>
      </c>
      <c r="E75" s="46"/>
      <c r="F75" s="46"/>
      <c r="G75" s="46"/>
      <c r="H75" s="46"/>
      <c r="I75" s="46"/>
      <c r="J75" s="46">
        <f>IF(J3&gt;=$D$75,1,0)</f>
        <v>0</v>
      </c>
      <c r="K75" s="46">
        <f t="shared" ref="K75:BH75" si="60">IF(K3&gt;=$D$75,1,0)</f>
        <v>0</v>
      </c>
      <c r="L75" s="46">
        <f t="shared" si="60"/>
        <v>0</v>
      </c>
      <c r="M75" s="46">
        <f t="shared" si="60"/>
        <v>0</v>
      </c>
      <c r="N75" s="46">
        <f t="shared" si="60"/>
        <v>0</v>
      </c>
      <c r="O75" s="46">
        <f t="shared" si="60"/>
        <v>0</v>
      </c>
      <c r="P75" s="46">
        <f t="shared" si="60"/>
        <v>0</v>
      </c>
      <c r="Q75" s="46">
        <f t="shared" si="60"/>
        <v>0</v>
      </c>
      <c r="R75" s="46">
        <f t="shared" si="60"/>
        <v>1</v>
      </c>
      <c r="S75" s="46">
        <f t="shared" si="60"/>
        <v>1</v>
      </c>
      <c r="T75" s="46">
        <f t="shared" si="60"/>
        <v>1</v>
      </c>
      <c r="U75" s="46">
        <f t="shared" si="60"/>
        <v>1</v>
      </c>
      <c r="V75" s="46">
        <f t="shared" si="60"/>
        <v>1</v>
      </c>
      <c r="W75" s="46">
        <f t="shared" si="60"/>
        <v>1</v>
      </c>
      <c r="X75" s="46">
        <f t="shared" si="60"/>
        <v>1</v>
      </c>
      <c r="Y75" s="46">
        <f t="shared" si="60"/>
        <v>1</v>
      </c>
      <c r="Z75" s="46">
        <f t="shared" si="60"/>
        <v>1</v>
      </c>
      <c r="AA75" s="46">
        <f t="shared" si="60"/>
        <v>1</v>
      </c>
      <c r="AB75" s="46">
        <f t="shared" si="60"/>
        <v>1</v>
      </c>
      <c r="AC75" s="46">
        <f t="shared" si="60"/>
        <v>1</v>
      </c>
      <c r="AD75" s="46">
        <f t="shared" si="60"/>
        <v>1</v>
      </c>
      <c r="AE75" s="46">
        <f t="shared" si="60"/>
        <v>1</v>
      </c>
      <c r="AF75" s="46">
        <f t="shared" si="60"/>
        <v>1</v>
      </c>
      <c r="AG75" s="46">
        <f t="shared" si="60"/>
        <v>1</v>
      </c>
      <c r="AH75" s="46">
        <f t="shared" si="60"/>
        <v>1</v>
      </c>
      <c r="AI75" s="46">
        <f t="shared" si="60"/>
        <v>1</v>
      </c>
      <c r="AJ75" s="46">
        <f t="shared" si="60"/>
        <v>1</v>
      </c>
      <c r="AK75" s="46">
        <f t="shared" si="60"/>
        <v>1</v>
      </c>
      <c r="AL75" s="46">
        <f t="shared" si="60"/>
        <v>1</v>
      </c>
      <c r="AM75" s="46">
        <f t="shared" si="60"/>
        <v>1</v>
      </c>
      <c r="AN75" s="46">
        <f t="shared" si="60"/>
        <v>1</v>
      </c>
      <c r="AO75" s="46">
        <f t="shared" si="60"/>
        <v>1</v>
      </c>
      <c r="AP75" s="46">
        <f t="shared" si="60"/>
        <v>1</v>
      </c>
      <c r="AQ75" s="46">
        <f t="shared" si="60"/>
        <v>1</v>
      </c>
      <c r="AR75" s="46">
        <f t="shared" si="60"/>
        <v>1</v>
      </c>
      <c r="AS75" s="46">
        <f t="shared" si="60"/>
        <v>1</v>
      </c>
      <c r="AT75" s="46">
        <f t="shared" si="60"/>
        <v>1</v>
      </c>
      <c r="AU75" s="46">
        <f t="shared" si="60"/>
        <v>1</v>
      </c>
      <c r="AV75" s="46">
        <f t="shared" si="60"/>
        <v>1</v>
      </c>
      <c r="AW75" s="46">
        <f t="shared" si="60"/>
        <v>1</v>
      </c>
      <c r="AX75" s="46">
        <f t="shared" si="60"/>
        <v>1</v>
      </c>
      <c r="AY75" s="46">
        <f t="shared" si="60"/>
        <v>1</v>
      </c>
      <c r="AZ75" s="46">
        <f t="shared" si="60"/>
        <v>1</v>
      </c>
      <c r="BA75" s="46">
        <f t="shared" si="60"/>
        <v>1</v>
      </c>
      <c r="BB75" s="46">
        <f t="shared" si="60"/>
        <v>1</v>
      </c>
      <c r="BC75" s="46">
        <f t="shared" si="60"/>
        <v>1</v>
      </c>
      <c r="BD75" s="46">
        <f t="shared" si="60"/>
        <v>1</v>
      </c>
      <c r="BE75" s="46">
        <f t="shared" si="60"/>
        <v>1</v>
      </c>
      <c r="BF75" s="46">
        <f t="shared" si="60"/>
        <v>1</v>
      </c>
      <c r="BG75" s="46">
        <f t="shared" si="60"/>
        <v>1</v>
      </c>
      <c r="BH75" s="46">
        <f t="shared" si="60"/>
        <v>1</v>
      </c>
    </row>
    <row r="76" spans="1:60" ht="14.25" customHeight="1" x14ac:dyDescent="0.3">
      <c r="A76" s="46"/>
      <c r="B76" s="37"/>
      <c r="C76" s="37"/>
      <c r="D76" s="46" t="s">
        <v>49</v>
      </c>
      <c r="E76" s="46" t="s">
        <v>50</v>
      </c>
      <c r="F76" s="46" t="s">
        <v>51</v>
      </c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  <c r="AQ76" s="46"/>
      <c r="AR76" s="46"/>
      <c r="AS76" s="46"/>
      <c r="AT76" s="46"/>
      <c r="AU76" s="46"/>
      <c r="AV76" s="46"/>
      <c r="AW76" s="46"/>
      <c r="AX76" s="46"/>
      <c r="AY76" s="46"/>
      <c r="AZ76" s="46"/>
      <c r="BA76" s="46"/>
      <c r="BB76" s="46"/>
      <c r="BC76" s="46"/>
      <c r="BD76" s="46"/>
      <c r="BE76" s="46"/>
      <c r="BF76" s="46"/>
      <c r="BG76" s="46"/>
      <c r="BH76" s="46"/>
    </row>
    <row r="77" spans="1:60" ht="14.25" customHeight="1" x14ac:dyDescent="0.3">
      <c r="A77" s="46"/>
      <c r="B77" s="37"/>
      <c r="C77" s="46" t="s">
        <v>284</v>
      </c>
      <c r="D77" s="49">
        <v>1</v>
      </c>
      <c r="E77" s="49">
        <v>2</v>
      </c>
      <c r="F77" s="50">
        <v>0.01</v>
      </c>
      <c r="G77" s="46"/>
      <c r="H77" s="46"/>
      <c r="I77" s="46"/>
      <c r="J77" s="46">
        <v>0</v>
      </c>
      <c r="K77" s="46">
        <v>0</v>
      </c>
      <c r="L77" s="46">
        <v>0</v>
      </c>
      <c r="M77" s="46">
        <v>0</v>
      </c>
      <c r="N77" s="46">
        <v>0</v>
      </c>
      <c r="O77" s="46">
        <v>0</v>
      </c>
      <c r="P77" s="46">
        <v>0</v>
      </c>
      <c r="Q77" s="46">
        <v>0</v>
      </c>
      <c r="R77" s="46">
        <v>0.7</v>
      </c>
      <c r="S77" s="46">
        <v>2.5</v>
      </c>
      <c r="T77" s="46">
        <f t="shared" ref="T77:AI78" si="61">MIN(MAX($D77,S77)*(1+$F77)*T$75,$E77)</f>
        <v>2</v>
      </c>
      <c r="U77" s="46">
        <f t="shared" si="61"/>
        <v>2</v>
      </c>
      <c r="V77" s="46">
        <f t="shared" si="61"/>
        <v>2</v>
      </c>
      <c r="W77" s="46">
        <f t="shared" si="61"/>
        <v>2</v>
      </c>
      <c r="X77" s="46">
        <f t="shared" si="61"/>
        <v>2</v>
      </c>
      <c r="Y77" s="46">
        <f t="shared" si="61"/>
        <v>2</v>
      </c>
      <c r="Z77" s="46">
        <f t="shared" si="61"/>
        <v>2</v>
      </c>
      <c r="AA77" s="46">
        <f t="shared" si="61"/>
        <v>2</v>
      </c>
      <c r="AB77" s="46">
        <f t="shared" si="61"/>
        <v>2</v>
      </c>
      <c r="AC77" s="46">
        <f t="shared" si="61"/>
        <v>2</v>
      </c>
      <c r="AD77" s="46">
        <f t="shared" si="61"/>
        <v>2</v>
      </c>
      <c r="AE77" s="46">
        <f t="shared" si="61"/>
        <v>2</v>
      </c>
      <c r="AF77" s="46">
        <f t="shared" si="61"/>
        <v>2</v>
      </c>
      <c r="AG77" s="46">
        <f t="shared" si="61"/>
        <v>2</v>
      </c>
      <c r="AH77" s="46">
        <f t="shared" si="61"/>
        <v>2</v>
      </c>
      <c r="AI77" s="46">
        <f t="shared" si="61"/>
        <v>2</v>
      </c>
      <c r="AJ77" s="46">
        <f t="shared" ref="AJ77:AY78" si="62">MIN(MAX($D77,AI77)*(1+$F77)*AJ$75,$E77)</f>
        <v>2</v>
      </c>
      <c r="AK77" s="46">
        <f t="shared" si="62"/>
        <v>2</v>
      </c>
      <c r="AL77" s="46">
        <f t="shared" si="62"/>
        <v>2</v>
      </c>
      <c r="AM77" s="46">
        <f t="shared" si="62"/>
        <v>2</v>
      </c>
      <c r="AN77" s="46">
        <f t="shared" si="62"/>
        <v>2</v>
      </c>
      <c r="AO77" s="46">
        <f t="shared" si="62"/>
        <v>2</v>
      </c>
      <c r="AP77" s="46">
        <f t="shared" si="62"/>
        <v>2</v>
      </c>
      <c r="AQ77" s="46">
        <f t="shared" si="62"/>
        <v>2</v>
      </c>
      <c r="AR77" s="46">
        <f t="shared" si="62"/>
        <v>2</v>
      </c>
      <c r="AS77" s="46">
        <f t="shared" si="62"/>
        <v>2</v>
      </c>
      <c r="AT77" s="46">
        <f t="shared" si="62"/>
        <v>2</v>
      </c>
      <c r="AU77" s="46">
        <f t="shared" si="62"/>
        <v>2</v>
      </c>
      <c r="AV77" s="46">
        <f t="shared" si="62"/>
        <v>2</v>
      </c>
      <c r="AW77" s="46">
        <f t="shared" si="62"/>
        <v>2</v>
      </c>
      <c r="AX77" s="46">
        <f t="shared" si="62"/>
        <v>2</v>
      </c>
      <c r="AY77" s="46">
        <f t="shared" si="62"/>
        <v>2</v>
      </c>
      <c r="AZ77" s="46">
        <f t="shared" ref="AZ77:BH78" si="63">MIN(MAX($D77,AY77)*(1+$F77)*AZ$75,$E77)</f>
        <v>2</v>
      </c>
      <c r="BA77" s="46">
        <f t="shared" si="63"/>
        <v>2</v>
      </c>
      <c r="BB77" s="46">
        <f t="shared" si="63"/>
        <v>2</v>
      </c>
      <c r="BC77" s="46">
        <f t="shared" si="63"/>
        <v>2</v>
      </c>
      <c r="BD77" s="46">
        <f t="shared" si="63"/>
        <v>2</v>
      </c>
      <c r="BE77" s="46">
        <f t="shared" si="63"/>
        <v>2</v>
      </c>
      <c r="BF77" s="46">
        <f t="shared" si="63"/>
        <v>2</v>
      </c>
      <c r="BG77" s="46">
        <f t="shared" si="63"/>
        <v>2</v>
      </c>
      <c r="BH77" s="46">
        <f t="shared" si="63"/>
        <v>2</v>
      </c>
    </row>
    <row r="78" spans="1:60" ht="14.25" customHeight="1" x14ac:dyDescent="0.3">
      <c r="A78" s="46"/>
      <c r="B78" s="37"/>
      <c r="C78" s="46" t="s">
        <v>87</v>
      </c>
      <c r="D78" s="49">
        <v>5830</v>
      </c>
      <c r="E78" s="49">
        <v>5830</v>
      </c>
      <c r="F78" s="50">
        <v>0</v>
      </c>
      <c r="G78" s="46"/>
      <c r="H78" s="46"/>
      <c r="I78" s="46"/>
      <c r="J78" s="46">
        <f>MIN(MAX($D78,I78)*(1+$F78)*J$75,$E78)</f>
        <v>0</v>
      </c>
      <c r="K78" s="46">
        <f t="shared" ref="K78:Z78" si="64">MIN(MAX($D78,J78)*(1+$F78)*K$75,$E78)</f>
        <v>0</v>
      </c>
      <c r="L78" s="46">
        <f t="shared" si="64"/>
        <v>0</v>
      </c>
      <c r="M78" s="46">
        <f t="shared" si="64"/>
        <v>0</v>
      </c>
      <c r="N78" s="46">
        <f t="shared" si="64"/>
        <v>0</v>
      </c>
      <c r="O78" s="46">
        <f t="shared" si="64"/>
        <v>0</v>
      </c>
      <c r="P78" s="46">
        <f t="shared" si="64"/>
        <v>0</v>
      </c>
      <c r="Q78" s="46">
        <f t="shared" si="64"/>
        <v>0</v>
      </c>
      <c r="R78" s="46">
        <f t="shared" si="64"/>
        <v>5830</v>
      </c>
      <c r="S78" s="46">
        <f t="shared" si="64"/>
        <v>5830</v>
      </c>
      <c r="T78" s="46">
        <f t="shared" si="64"/>
        <v>5830</v>
      </c>
      <c r="U78" s="46">
        <f t="shared" si="64"/>
        <v>5830</v>
      </c>
      <c r="V78" s="46">
        <f t="shared" si="64"/>
        <v>5830</v>
      </c>
      <c r="W78" s="46">
        <f t="shared" si="64"/>
        <v>5830</v>
      </c>
      <c r="X78" s="46">
        <f t="shared" si="64"/>
        <v>5830</v>
      </c>
      <c r="Y78" s="46">
        <f t="shared" si="64"/>
        <v>5830</v>
      </c>
      <c r="Z78" s="46">
        <f t="shared" si="64"/>
        <v>5830</v>
      </c>
      <c r="AA78" s="46">
        <f t="shared" si="61"/>
        <v>5830</v>
      </c>
      <c r="AB78" s="46">
        <f t="shared" si="61"/>
        <v>5830</v>
      </c>
      <c r="AC78" s="46">
        <f t="shared" si="61"/>
        <v>5830</v>
      </c>
      <c r="AD78" s="46">
        <f t="shared" si="61"/>
        <v>5830</v>
      </c>
      <c r="AE78" s="46">
        <f t="shared" si="61"/>
        <v>5830</v>
      </c>
      <c r="AF78" s="46">
        <f t="shared" si="61"/>
        <v>5830</v>
      </c>
      <c r="AG78" s="46">
        <f t="shared" si="61"/>
        <v>5830</v>
      </c>
      <c r="AH78" s="46">
        <f t="shared" si="61"/>
        <v>5830</v>
      </c>
      <c r="AI78" s="46">
        <f t="shared" si="61"/>
        <v>5830</v>
      </c>
      <c r="AJ78" s="46">
        <f t="shared" si="62"/>
        <v>5830</v>
      </c>
      <c r="AK78" s="46">
        <f t="shared" si="62"/>
        <v>5830</v>
      </c>
      <c r="AL78" s="46">
        <f t="shared" si="62"/>
        <v>5830</v>
      </c>
      <c r="AM78" s="46">
        <f t="shared" si="62"/>
        <v>5830</v>
      </c>
      <c r="AN78" s="46">
        <f t="shared" si="62"/>
        <v>5830</v>
      </c>
      <c r="AO78" s="46">
        <f t="shared" si="62"/>
        <v>5830</v>
      </c>
      <c r="AP78" s="46">
        <f t="shared" si="62"/>
        <v>5830</v>
      </c>
      <c r="AQ78" s="46">
        <f t="shared" si="62"/>
        <v>5830</v>
      </c>
      <c r="AR78" s="46">
        <f t="shared" si="62"/>
        <v>5830</v>
      </c>
      <c r="AS78" s="46">
        <f t="shared" si="62"/>
        <v>5830</v>
      </c>
      <c r="AT78" s="46">
        <f t="shared" si="62"/>
        <v>5830</v>
      </c>
      <c r="AU78" s="46">
        <f t="shared" si="62"/>
        <v>5830</v>
      </c>
      <c r="AV78" s="46">
        <f t="shared" si="62"/>
        <v>5830</v>
      </c>
      <c r="AW78" s="46">
        <f t="shared" si="62"/>
        <v>5830</v>
      </c>
      <c r="AX78" s="46">
        <f t="shared" si="62"/>
        <v>5830</v>
      </c>
      <c r="AY78" s="46">
        <f t="shared" si="62"/>
        <v>5830</v>
      </c>
      <c r="AZ78" s="46">
        <f t="shared" si="63"/>
        <v>5830</v>
      </c>
      <c r="BA78" s="46">
        <f t="shared" si="63"/>
        <v>5830</v>
      </c>
      <c r="BB78" s="46">
        <f t="shared" si="63"/>
        <v>5830</v>
      </c>
      <c r="BC78" s="46">
        <f t="shared" si="63"/>
        <v>5830</v>
      </c>
      <c r="BD78" s="46">
        <f t="shared" si="63"/>
        <v>5830</v>
      </c>
      <c r="BE78" s="46">
        <f t="shared" si="63"/>
        <v>5830</v>
      </c>
      <c r="BF78" s="46">
        <f t="shared" si="63"/>
        <v>5830</v>
      </c>
      <c r="BG78" s="46">
        <f t="shared" si="63"/>
        <v>5830</v>
      </c>
      <c r="BH78" s="46">
        <f t="shared" si="63"/>
        <v>5830</v>
      </c>
    </row>
    <row r="79" spans="1:60" ht="14.25" customHeight="1" x14ac:dyDescent="0.3">
      <c r="A79" s="46"/>
      <c r="B79" s="37"/>
      <c r="C79" s="46" t="s">
        <v>285</v>
      </c>
      <c r="D79" s="46"/>
      <c r="E79" s="46"/>
      <c r="F79" s="46"/>
      <c r="G79" s="46"/>
      <c r="H79" s="46"/>
      <c r="I79" s="46"/>
      <c r="J79" s="51">
        <f t="shared" ref="J79:BH79" si="65">J77*J78</f>
        <v>0</v>
      </c>
      <c r="K79" s="51">
        <f t="shared" si="65"/>
        <v>0</v>
      </c>
      <c r="L79" s="51">
        <f t="shared" si="65"/>
        <v>0</v>
      </c>
      <c r="M79" s="51">
        <f t="shared" si="65"/>
        <v>0</v>
      </c>
      <c r="N79" s="51">
        <f t="shared" si="65"/>
        <v>0</v>
      </c>
      <c r="O79" s="51">
        <f t="shared" si="65"/>
        <v>0</v>
      </c>
      <c r="P79" s="51">
        <f t="shared" si="65"/>
        <v>0</v>
      </c>
      <c r="Q79" s="51">
        <f t="shared" si="65"/>
        <v>0</v>
      </c>
      <c r="R79" s="51">
        <f t="shared" si="65"/>
        <v>4080.9999999999995</v>
      </c>
      <c r="S79" s="51">
        <f t="shared" si="65"/>
        <v>14575</v>
      </c>
      <c r="T79" s="51">
        <f t="shared" si="65"/>
        <v>11660</v>
      </c>
      <c r="U79" s="51">
        <f t="shared" si="65"/>
        <v>11660</v>
      </c>
      <c r="V79" s="51">
        <f t="shared" si="65"/>
        <v>11660</v>
      </c>
      <c r="W79" s="51">
        <f t="shared" si="65"/>
        <v>11660</v>
      </c>
      <c r="X79" s="51">
        <f t="shared" si="65"/>
        <v>11660</v>
      </c>
      <c r="Y79" s="51">
        <f t="shared" si="65"/>
        <v>11660</v>
      </c>
      <c r="Z79" s="51">
        <f t="shared" si="65"/>
        <v>11660</v>
      </c>
      <c r="AA79" s="51">
        <f t="shared" si="65"/>
        <v>11660</v>
      </c>
      <c r="AB79" s="51">
        <f t="shared" si="65"/>
        <v>11660</v>
      </c>
      <c r="AC79" s="51">
        <f t="shared" si="65"/>
        <v>11660</v>
      </c>
      <c r="AD79" s="51">
        <f t="shared" si="65"/>
        <v>11660</v>
      </c>
      <c r="AE79" s="51">
        <f t="shared" si="65"/>
        <v>11660</v>
      </c>
      <c r="AF79" s="51">
        <f t="shared" si="65"/>
        <v>11660</v>
      </c>
      <c r="AG79" s="51">
        <f t="shared" si="65"/>
        <v>11660</v>
      </c>
      <c r="AH79" s="51">
        <f t="shared" si="65"/>
        <v>11660</v>
      </c>
      <c r="AI79" s="51">
        <f t="shared" si="65"/>
        <v>11660</v>
      </c>
      <c r="AJ79" s="51">
        <f t="shared" si="65"/>
        <v>11660</v>
      </c>
      <c r="AK79" s="51">
        <f t="shared" si="65"/>
        <v>11660</v>
      </c>
      <c r="AL79" s="51">
        <f t="shared" si="65"/>
        <v>11660</v>
      </c>
      <c r="AM79" s="51">
        <f t="shared" si="65"/>
        <v>11660</v>
      </c>
      <c r="AN79" s="51">
        <f t="shared" si="65"/>
        <v>11660</v>
      </c>
      <c r="AO79" s="51">
        <f t="shared" si="65"/>
        <v>11660</v>
      </c>
      <c r="AP79" s="51">
        <f t="shared" si="65"/>
        <v>11660</v>
      </c>
      <c r="AQ79" s="51">
        <f t="shared" si="65"/>
        <v>11660</v>
      </c>
      <c r="AR79" s="51">
        <f t="shared" si="65"/>
        <v>11660</v>
      </c>
      <c r="AS79" s="51">
        <f t="shared" si="65"/>
        <v>11660</v>
      </c>
      <c r="AT79" s="51">
        <f t="shared" si="65"/>
        <v>11660</v>
      </c>
      <c r="AU79" s="51">
        <f t="shared" si="65"/>
        <v>11660</v>
      </c>
      <c r="AV79" s="51">
        <f t="shared" si="65"/>
        <v>11660</v>
      </c>
      <c r="AW79" s="51">
        <f t="shared" si="65"/>
        <v>11660</v>
      </c>
      <c r="AX79" s="51">
        <f t="shared" si="65"/>
        <v>11660</v>
      </c>
      <c r="AY79" s="51">
        <f t="shared" si="65"/>
        <v>11660</v>
      </c>
      <c r="AZ79" s="51">
        <f t="shared" si="65"/>
        <v>11660</v>
      </c>
      <c r="BA79" s="51">
        <f t="shared" si="65"/>
        <v>11660</v>
      </c>
      <c r="BB79" s="51">
        <f t="shared" si="65"/>
        <v>11660</v>
      </c>
      <c r="BC79" s="51">
        <f t="shared" si="65"/>
        <v>11660</v>
      </c>
      <c r="BD79" s="51">
        <f t="shared" si="65"/>
        <v>11660</v>
      </c>
      <c r="BE79" s="51">
        <f t="shared" si="65"/>
        <v>11660</v>
      </c>
      <c r="BF79" s="51">
        <f t="shared" si="65"/>
        <v>11660</v>
      </c>
      <c r="BG79" s="51">
        <f t="shared" si="65"/>
        <v>11660</v>
      </c>
      <c r="BH79" s="51">
        <f t="shared" si="65"/>
        <v>11660</v>
      </c>
    </row>
    <row r="80" spans="1:60" ht="14.25" customHeight="1" x14ac:dyDescent="0.3">
      <c r="A80" s="46"/>
      <c r="B80" s="37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  <c r="AQ80" s="46"/>
      <c r="AR80" s="46"/>
      <c r="AS80" s="46"/>
      <c r="AT80" s="46"/>
      <c r="AU80" s="46"/>
      <c r="AV80" s="46"/>
      <c r="AW80" s="46"/>
      <c r="AX80" s="46"/>
      <c r="AY80" s="46"/>
      <c r="AZ80" s="46"/>
      <c r="BA80" s="46"/>
      <c r="BB80" s="46"/>
      <c r="BC80" s="46"/>
      <c r="BD80" s="46"/>
      <c r="BE80" s="46"/>
      <c r="BF80" s="46"/>
      <c r="BG80" s="46"/>
      <c r="BH80" s="46"/>
    </row>
    <row r="81" spans="1:60" ht="14.25" customHeight="1" x14ac:dyDescent="0.3">
      <c r="A81" s="46"/>
      <c r="B81" s="37"/>
      <c r="C81" s="46" t="s">
        <v>286</v>
      </c>
      <c r="D81" s="52">
        <f>-D78*0.35</f>
        <v>-2040.4999999999998</v>
      </c>
      <c r="E81" s="46"/>
      <c r="F81" s="46"/>
      <c r="G81" s="46"/>
      <c r="H81" s="46"/>
      <c r="I81" s="46"/>
      <c r="J81" s="46">
        <f t="shared" ref="J81:R81" si="66">-J79*0.4</f>
        <v>0</v>
      </c>
      <c r="K81" s="46">
        <f t="shared" si="66"/>
        <v>0</v>
      </c>
      <c r="L81" s="46">
        <f t="shared" si="66"/>
        <v>0</v>
      </c>
      <c r="M81" s="46">
        <f t="shared" si="66"/>
        <v>0</v>
      </c>
      <c r="N81" s="46">
        <f t="shared" si="66"/>
        <v>0</v>
      </c>
      <c r="O81" s="46">
        <f t="shared" si="66"/>
        <v>0</v>
      </c>
      <c r="P81" s="46">
        <f t="shared" si="66"/>
        <v>0</v>
      </c>
      <c r="Q81" s="46">
        <f t="shared" si="66"/>
        <v>0</v>
      </c>
      <c r="R81" s="46">
        <f t="shared" si="66"/>
        <v>-1632.3999999999999</v>
      </c>
      <c r="S81" s="46">
        <f>-S79*0.4</f>
        <v>-5830</v>
      </c>
      <c r="T81" s="46">
        <f t="shared" ref="T81:BH81" si="67">T77*$D81</f>
        <v>-4080.9999999999995</v>
      </c>
      <c r="U81" s="46">
        <f t="shared" si="67"/>
        <v>-4080.9999999999995</v>
      </c>
      <c r="V81" s="46">
        <f t="shared" si="67"/>
        <v>-4080.9999999999995</v>
      </c>
      <c r="W81" s="46">
        <f t="shared" si="67"/>
        <v>-4080.9999999999995</v>
      </c>
      <c r="X81" s="46">
        <f t="shared" si="67"/>
        <v>-4080.9999999999995</v>
      </c>
      <c r="Y81" s="46">
        <f t="shared" si="67"/>
        <v>-4080.9999999999995</v>
      </c>
      <c r="Z81" s="46">
        <f t="shared" si="67"/>
        <v>-4080.9999999999995</v>
      </c>
      <c r="AA81" s="46">
        <f t="shared" si="67"/>
        <v>-4080.9999999999995</v>
      </c>
      <c r="AB81" s="46">
        <f t="shared" si="67"/>
        <v>-4080.9999999999995</v>
      </c>
      <c r="AC81" s="46">
        <f t="shared" si="67"/>
        <v>-4080.9999999999995</v>
      </c>
      <c r="AD81" s="46">
        <f t="shared" si="67"/>
        <v>-4080.9999999999995</v>
      </c>
      <c r="AE81" s="46">
        <f t="shared" si="67"/>
        <v>-4080.9999999999995</v>
      </c>
      <c r="AF81" s="46">
        <f t="shared" si="67"/>
        <v>-4080.9999999999995</v>
      </c>
      <c r="AG81" s="46">
        <f t="shared" si="67"/>
        <v>-4080.9999999999995</v>
      </c>
      <c r="AH81" s="46">
        <f t="shared" si="67"/>
        <v>-4080.9999999999995</v>
      </c>
      <c r="AI81" s="46">
        <f t="shared" si="67"/>
        <v>-4080.9999999999995</v>
      </c>
      <c r="AJ81" s="46">
        <f t="shared" si="67"/>
        <v>-4080.9999999999995</v>
      </c>
      <c r="AK81" s="46">
        <f t="shared" si="67"/>
        <v>-4080.9999999999995</v>
      </c>
      <c r="AL81" s="46">
        <f t="shared" si="67"/>
        <v>-4080.9999999999995</v>
      </c>
      <c r="AM81" s="46">
        <f t="shared" si="67"/>
        <v>-4080.9999999999995</v>
      </c>
      <c r="AN81" s="46">
        <f t="shared" si="67"/>
        <v>-4080.9999999999995</v>
      </c>
      <c r="AO81" s="46">
        <f t="shared" si="67"/>
        <v>-4080.9999999999995</v>
      </c>
      <c r="AP81" s="46">
        <f t="shared" si="67"/>
        <v>-4080.9999999999995</v>
      </c>
      <c r="AQ81" s="46">
        <f t="shared" si="67"/>
        <v>-4080.9999999999995</v>
      </c>
      <c r="AR81" s="46">
        <f t="shared" si="67"/>
        <v>-4080.9999999999995</v>
      </c>
      <c r="AS81" s="46">
        <f t="shared" si="67"/>
        <v>-4080.9999999999995</v>
      </c>
      <c r="AT81" s="46">
        <f t="shared" si="67"/>
        <v>-4080.9999999999995</v>
      </c>
      <c r="AU81" s="46">
        <f t="shared" si="67"/>
        <v>-4080.9999999999995</v>
      </c>
      <c r="AV81" s="46">
        <f t="shared" si="67"/>
        <v>-4080.9999999999995</v>
      </c>
      <c r="AW81" s="46">
        <f t="shared" si="67"/>
        <v>-4080.9999999999995</v>
      </c>
      <c r="AX81" s="46">
        <f t="shared" si="67"/>
        <v>-4080.9999999999995</v>
      </c>
      <c r="AY81" s="46">
        <f t="shared" si="67"/>
        <v>-4080.9999999999995</v>
      </c>
      <c r="AZ81" s="46">
        <f t="shared" si="67"/>
        <v>-4080.9999999999995</v>
      </c>
      <c r="BA81" s="46">
        <f t="shared" si="67"/>
        <v>-4080.9999999999995</v>
      </c>
      <c r="BB81" s="46">
        <f t="shared" si="67"/>
        <v>-4080.9999999999995</v>
      </c>
      <c r="BC81" s="46">
        <f t="shared" si="67"/>
        <v>-4080.9999999999995</v>
      </c>
      <c r="BD81" s="46">
        <f t="shared" si="67"/>
        <v>-4080.9999999999995</v>
      </c>
      <c r="BE81" s="46">
        <f t="shared" si="67"/>
        <v>-4080.9999999999995</v>
      </c>
      <c r="BF81" s="46">
        <f t="shared" si="67"/>
        <v>-4080.9999999999995</v>
      </c>
      <c r="BG81" s="46">
        <f t="shared" si="67"/>
        <v>-4080.9999999999995</v>
      </c>
      <c r="BH81" s="46">
        <f t="shared" si="67"/>
        <v>-4080.9999999999995</v>
      </c>
    </row>
    <row r="82" spans="1:60" ht="14.25" customHeight="1" x14ac:dyDescent="0.3">
      <c r="A82" s="46"/>
      <c r="B82" s="37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  <c r="AK82" s="46"/>
      <c r="AL82" s="46"/>
      <c r="AM82" s="46"/>
      <c r="AN82" s="46"/>
      <c r="AO82" s="46"/>
      <c r="AP82" s="46"/>
      <c r="AQ82" s="46"/>
      <c r="AR82" s="46"/>
      <c r="AS82" s="46"/>
      <c r="AT82" s="46"/>
      <c r="AU82" s="46"/>
      <c r="AV82" s="46"/>
      <c r="AW82" s="46"/>
      <c r="AX82" s="46"/>
      <c r="AY82" s="46"/>
      <c r="AZ82" s="46"/>
      <c r="BA82" s="46"/>
      <c r="BB82" s="46"/>
      <c r="BC82" s="46"/>
      <c r="BD82" s="46"/>
      <c r="BE82" s="46"/>
      <c r="BF82" s="46"/>
      <c r="BG82" s="46"/>
      <c r="BH82" s="46"/>
    </row>
    <row r="83" spans="1:60" ht="14.25" customHeight="1" x14ac:dyDescent="0.3">
      <c r="A83" s="46"/>
      <c r="B83" s="37"/>
      <c r="C83" s="37" t="s">
        <v>287</v>
      </c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  <c r="AK83" s="46"/>
      <c r="AL83" s="46"/>
      <c r="AM83" s="46"/>
      <c r="AN83" s="46"/>
      <c r="AO83" s="46"/>
      <c r="AP83" s="46"/>
      <c r="AQ83" s="46"/>
      <c r="AR83" s="46"/>
      <c r="AS83" s="46"/>
      <c r="AT83" s="46"/>
      <c r="AU83" s="46"/>
      <c r="AV83" s="46"/>
      <c r="AW83" s="46"/>
      <c r="AX83" s="46"/>
      <c r="AY83" s="46"/>
      <c r="AZ83" s="46"/>
      <c r="BA83" s="46"/>
      <c r="BB83" s="46"/>
      <c r="BC83" s="46"/>
      <c r="BD83" s="46"/>
      <c r="BE83" s="46"/>
      <c r="BF83" s="46"/>
      <c r="BG83" s="46"/>
      <c r="BH83" s="46"/>
    </row>
    <row r="84" spans="1:60" ht="14.25" customHeight="1" x14ac:dyDescent="0.3">
      <c r="A84" s="46"/>
      <c r="B84" s="37"/>
      <c r="C84" s="46" t="s">
        <v>288</v>
      </c>
      <c r="D84" s="47">
        <f>W3</f>
        <v>45991</v>
      </c>
      <c r="E84" s="46"/>
      <c r="F84" s="46"/>
      <c r="G84" s="46"/>
      <c r="H84" s="46"/>
      <c r="I84" s="46"/>
      <c r="J84" s="46">
        <f>IF(J$3&gt;=$D$84,1,0)</f>
        <v>0</v>
      </c>
      <c r="K84" s="46">
        <f t="shared" ref="K84:BH84" si="68">IF(K$3&gt;=$D$84,1,0)</f>
        <v>0</v>
      </c>
      <c r="L84" s="46">
        <f t="shared" si="68"/>
        <v>0</v>
      </c>
      <c r="M84" s="46">
        <f t="shared" si="68"/>
        <v>0</v>
      </c>
      <c r="N84" s="46">
        <f t="shared" si="68"/>
        <v>0</v>
      </c>
      <c r="O84" s="46">
        <f t="shared" si="68"/>
        <v>0</v>
      </c>
      <c r="P84" s="46">
        <f t="shared" si="68"/>
        <v>0</v>
      </c>
      <c r="Q84" s="46">
        <f t="shared" si="68"/>
        <v>0</v>
      </c>
      <c r="R84" s="46">
        <f t="shared" si="68"/>
        <v>0</v>
      </c>
      <c r="S84" s="46">
        <f t="shared" si="68"/>
        <v>0</v>
      </c>
      <c r="T84" s="46">
        <f t="shared" si="68"/>
        <v>0</v>
      </c>
      <c r="U84" s="46">
        <f t="shared" si="68"/>
        <v>0</v>
      </c>
      <c r="V84" s="46">
        <f t="shared" si="68"/>
        <v>0</v>
      </c>
      <c r="W84" s="46">
        <f t="shared" si="68"/>
        <v>1</v>
      </c>
      <c r="X84" s="46">
        <f t="shared" si="68"/>
        <v>1</v>
      </c>
      <c r="Y84" s="46">
        <f t="shared" si="68"/>
        <v>1</v>
      </c>
      <c r="Z84" s="46">
        <f t="shared" si="68"/>
        <v>1</v>
      </c>
      <c r="AA84" s="46">
        <f t="shared" si="68"/>
        <v>1</v>
      </c>
      <c r="AB84" s="46">
        <f t="shared" si="68"/>
        <v>1</v>
      </c>
      <c r="AC84" s="46">
        <f t="shared" si="68"/>
        <v>1</v>
      </c>
      <c r="AD84" s="46">
        <f t="shared" si="68"/>
        <v>1</v>
      </c>
      <c r="AE84" s="46">
        <f t="shared" si="68"/>
        <v>1</v>
      </c>
      <c r="AF84" s="46">
        <f t="shared" si="68"/>
        <v>1</v>
      </c>
      <c r="AG84" s="46">
        <f t="shared" si="68"/>
        <v>1</v>
      </c>
      <c r="AH84" s="46">
        <f t="shared" si="68"/>
        <v>1</v>
      </c>
      <c r="AI84" s="46">
        <f t="shared" si="68"/>
        <v>1</v>
      </c>
      <c r="AJ84" s="46">
        <f t="shared" si="68"/>
        <v>1</v>
      </c>
      <c r="AK84" s="46">
        <f t="shared" si="68"/>
        <v>1</v>
      </c>
      <c r="AL84" s="46">
        <f t="shared" si="68"/>
        <v>1</v>
      </c>
      <c r="AM84" s="46">
        <f t="shared" si="68"/>
        <v>1</v>
      </c>
      <c r="AN84" s="46">
        <f t="shared" si="68"/>
        <v>1</v>
      </c>
      <c r="AO84" s="46">
        <f t="shared" si="68"/>
        <v>1</v>
      </c>
      <c r="AP84" s="46">
        <f t="shared" si="68"/>
        <v>1</v>
      </c>
      <c r="AQ84" s="46">
        <f t="shared" si="68"/>
        <v>1</v>
      </c>
      <c r="AR84" s="46">
        <f t="shared" si="68"/>
        <v>1</v>
      </c>
      <c r="AS84" s="46">
        <f t="shared" si="68"/>
        <v>1</v>
      </c>
      <c r="AT84" s="46">
        <f t="shared" si="68"/>
        <v>1</v>
      </c>
      <c r="AU84" s="46">
        <f t="shared" si="68"/>
        <v>1</v>
      </c>
      <c r="AV84" s="46">
        <f t="shared" si="68"/>
        <v>1</v>
      </c>
      <c r="AW84" s="46">
        <f t="shared" si="68"/>
        <v>1</v>
      </c>
      <c r="AX84" s="46">
        <f t="shared" si="68"/>
        <v>1</v>
      </c>
      <c r="AY84" s="46">
        <f t="shared" si="68"/>
        <v>1</v>
      </c>
      <c r="AZ84" s="46">
        <f t="shared" si="68"/>
        <v>1</v>
      </c>
      <c r="BA84" s="46">
        <f t="shared" si="68"/>
        <v>1</v>
      </c>
      <c r="BB84" s="46">
        <f t="shared" si="68"/>
        <v>1</v>
      </c>
      <c r="BC84" s="46">
        <f t="shared" si="68"/>
        <v>1</v>
      </c>
      <c r="BD84" s="46">
        <f t="shared" si="68"/>
        <v>1</v>
      </c>
      <c r="BE84" s="46">
        <f t="shared" si="68"/>
        <v>1</v>
      </c>
      <c r="BF84" s="46">
        <f t="shared" si="68"/>
        <v>1</v>
      </c>
      <c r="BG84" s="46">
        <f t="shared" si="68"/>
        <v>1</v>
      </c>
      <c r="BH84" s="46">
        <f t="shared" si="68"/>
        <v>1</v>
      </c>
    </row>
    <row r="85" spans="1:60" ht="14.25" customHeight="1" x14ac:dyDescent="0.3">
      <c r="A85" s="46"/>
      <c r="B85" s="37"/>
      <c r="C85" s="46"/>
      <c r="D85" s="109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  <c r="AK85" s="46"/>
      <c r="AL85" s="46"/>
      <c r="AM85" s="46"/>
      <c r="AN85" s="46"/>
      <c r="AO85" s="46"/>
      <c r="AP85" s="46"/>
      <c r="AQ85" s="46"/>
      <c r="AR85" s="46"/>
      <c r="AS85" s="46"/>
      <c r="AT85" s="46"/>
      <c r="AU85" s="46"/>
      <c r="AV85" s="46"/>
      <c r="AW85" s="46"/>
      <c r="AX85" s="46"/>
      <c r="AY85" s="46"/>
      <c r="AZ85" s="46"/>
      <c r="BA85" s="46"/>
      <c r="BB85" s="46"/>
      <c r="BC85" s="46"/>
      <c r="BD85" s="46"/>
      <c r="BE85" s="46"/>
      <c r="BF85" s="46"/>
      <c r="BG85" s="46"/>
      <c r="BH85" s="46"/>
    </row>
    <row r="86" spans="1:60" ht="15" customHeight="1" x14ac:dyDescent="0.3">
      <c r="B86" s="37"/>
      <c r="D86" s="46" t="s">
        <v>49</v>
      </c>
      <c r="E86" s="46" t="s">
        <v>50</v>
      </c>
      <c r="F86" s="46" t="s">
        <v>51</v>
      </c>
    </row>
    <row r="87" spans="1:60" ht="15" customHeight="1" x14ac:dyDescent="0.3">
      <c r="B87" s="37"/>
      <c r="C87" s="46" t="s">
        <v>289</v>
      </c>
      <c r="D87" s="49">
        <v>1</v>
      </c>
      <c r="E87" s="49">
        <v>200</v>
      </c>
      <c r="F87" s="50">
        <v>0.1</v>
      </c>
      <c r="I87" s="46">
        <v>0</v>
      </c>
      <c r="J87" s="46">
        <f>MIN(MAX($D87,I87)*(1+$F87)*J$84,$E87)</f>
        <v>0</v>
      </c>
      <c r="K87" s="46">
        <f t="shared" ref="K87:Z88" si="69">MIN(MAX($D87,J87)*(1+$F87)*K$84,$E87)</f>
        <v>0</v>
      </c>
      <c r="L87" s="46">
        <f t="shared" si="69"/>
        <v>0</v>
      </c>
      <c r="M87" s="46">
        <f t="shared" si="69"/>
        <v>0</v>
      </c>
      <c r="N87" s="46">
        <f t="shared" si="69"/>
        <v>0</v>
      </c>
      <c r="O87" s="46">
        <f t="shared" si="69"/>
        <v>0</v>
      </c>
      <c r="P87" s="46">
        <f t="shared" si="69"/>
        <v>0</v>
      </c>
      <c r="Q87" s="46">
        <f t="shared" si="69"/>
        <v>0</v>
      </c>
      <c r="R87" s="46">
        <f t="shared" si="69"/>
        <v>0</v>
      </c>
      <c r="S87" s="46">
        <f t="shared" si="69"/>
        <v>0</v>
      </c>
      <c r="T87" s="46">
        <f t="shared" si="69"/>
        <v>0</v>
      </c>
      <c r="U87" s="46">
        <f t="shared" si="69"/>
        <v>0</v>
      </c>
      <c r="V87" s="46">
        <f t="shared" si="69"/>
        <v>0</v>
      </c>
      <c r="W87" s="46">
        <f t="shared" si="69"/>
        <v>1.1000000000000001</v>
      </c>
      <c r="X87" s="46">
        <f t="shared" si="69"/>
        <v>1.2100000000000002</v>
      </c>
      <c r="Y87" s="46">
        <f t="shared" si="69"/>
        <v>1.3310000000000004</v>
      </c>
      <c r="Z87" s="46">
        <f t="shared" si="69"/>
        <v>1.4641000000000006</v>
      </c>
      <c r="AA87" s="46">
        <f t="shared" ref="AA87:AP88" si="70">MIN(MAX($D87,Z87)*(1+$F87)*AA$84,$E87)</f>
        <v>1.6105100000000008</v>
      </c>
      <c r="AB87" s="46">
        <f t="shared" si="70"/>
        <v>1.7715610000000011</v>
      </c>
      <c r="AC87" s="46">
        <f t="shared" si="70"/>
        <v>1.9487171000000014</v>
      </c>
      <c r="AD87" s="46">
        <f t="shared" si="70"/>
        <v>2.1435888100000016</v>
      </c>
      <c r="AE87" s="46">
        <f t="shared" si="70"/>
        <v>2.3579476910000019</v>
      </c>
      <c r="AF87" s="46">
        <f t="shared" si="70"/>
        <v>2.5937424601000023</v>
      </c>
      <c r="AG87" s="46">
        <f t="shared" si="70"/>
        <v>2.8531167061100029</v>
      </c>
      <c r="AH87" s="46">
        <f t="shared" si="70"/>
        <v>3.1384283767210035</v>
      </c>
      <c r="AI87" s="46">
        <f t="shared" si="70"/>
        <v>3.4522712143931042</v>
      </c>
      <c r="AJ87" s="46">
        <f t="shared" si="70"/>
        <v>3.7974983358324148</v>
      </c>
      <c r="AK87" s="46">
        <f t="shared" si="70"/>
        <v>4.1772481694156562</v>
      </c>
      <c r="AL87" s="46">
        <f t="shared" si="70"/>
        <v>4.594972986357222</v>
      </c>
      <c r="AM87" s="46">
        <f t="shared" si="70"/>
        <v>5.0544702849929442</v>
      </c>
      <c r="AN87" s="46">
        <f t="shared" si="70"/>
        <v>5.5599173134922388</v>
      </c>
      <c r="AO87" s="46">
        <f t="shared" si="70"/>
        <v>6.1159090448414632</v>
      </c>
      <c r="AP87" s="46">
        <f t="shared" si="70"/>
        <v>6.72749994932561</v>
      </c>
      <c r="AQ87" s="46">
        <f t="shared" ref="AQ87:BF88" si="71">MIN(MAX($D87,AP87)*(1+$F87)*AQ$84,$E87)</f>
        <v>7.4002499442581717</v>
      </c>
      <c r="AR87" s="46">
        <f t="shared" si="71"/>
        <v>8.140274938683989</v>
      </c>
      <c r="AS87" s="46">
        <f t="shared" si="71"/>
        <v>8.9543024325523888</v>
      </c>
      <c r="AT87" s="46">
        <f t="shared" si="71"/>
        <v>9.849732675807628</v>
      </c>
      <c r="AU87" s="46">
        <f t="shared" si="71"/>
        <v>10.834705943388391</v>
      </c>
      <c r="AV87" s="46">
        <f t="shared" si="71"/>
        <v>11.918176537727231</v>
      </c>
      <c r="AW87" s="46">
        <f t="shared" si="71"/>
        <v>13.109994191499954</v>
      </c>
      <c r="AX87" s="46">
        <f t="shared" si="71"/>
        <v>14.420993610649951</v>
      </c>
      <c r="AY87" s="46">
        <f t="shared" si="71"/>
        <v>15.863092971714948</v>
      </c>
      <c r="AZ87" s="46">
        <f t="shared" si="71"/>
        <v>17.449402268886445</v>
      </c>
      <c r="BA87" s="46">
        <f t="shared" si="71"/>
        <v>19.194342495775089</v>
      </c>
      <c r="BB87" s="46">
        <f t="shared" si="71"/>
        <v>21.113776745352599</v>
      </c>
      <c r="BC87" s="46">
        <f t="shared" si="71"/>
        <v>23.225154419887861</v>
      </c>
      <c r="BD87" s="46">
        <f t="shared" si="71"/>
        <v>25.547669861876649</v>
      </c>
      <c r="BE87" s="46">
        <f t="shared" si="71"/>
        <v>28.102436848064315</v>
      </c>
      <c r="BF87" s="46">
        <f t="shared" si="71"/>
        <v>30.912680532870748</v>
      </c>
      <c r="BG87" s="46">
        <f t="shared" ref="BG87:BH88" si="72">MIN(MAX($D87,BF87)*(1+$F87)*BG$84,$E87)</f>
        <v>34.003948586157826</v>
      </c>
      <c r="BH87" s="46">
        <f t="shared" si="72"/>
        <v>37.404343444773609</v>
      </c>
    </row>
    <row r="88" spans="1:60" ht="15" customHeight="1" x14ac:dyDescent="0.3">
      <c r="B88" s="37"/>
      <c r="C88" s="46" t="s">
        <v>65</v>
      </c>
      <c r="D88" s="49">
        <v>60</v>
      </c>
      <c r="E88" s="49">
        <v>60</v>
      </c>
      <c r="F88" s="50">
        <v>0</v>
      </c>
      <c r="I88" s="46">
        <v>0</v>
      </c>
      <c r="J88" s="46">
        <f>MIN(MAX($D88,I88)*(1+$F88)*J$84,$E88)</f>
        <v>0</v>
      </c>
      <c r="K88" s="46">
        <f t="shared" si="69"/>
        <v>0</v>
      </c>
      <c r="L88" s="46">
        <f t="shared" si="69"/>
        <v>0</v>
      </c>
      <c r="M88" s="46">
        <f t="shared" si="69"/>
        <v>0</v>
      </c>
      <c r="N88" s="46">
        <f t="shared" si="69"/>
        <v>0</v>
      </c>
      <c r="O88" s="46">
        <f t="shared" si="69"/>
        <v>0</v>
      </c>
      <c r="P88" s="46">
        <f t="shared" si="69"/>
        <v>0</v>
      </c>
      <c r="Q88" s="46">
        <f t="shared" si="69"/>
        <v>0</v>
      </c>
      <c r="R88" s="46">
        <f t="shared" si="69"/>
        <v>0</v>
      </c>
      <c r="S88" s="46">
        <f t="shared" si="69"/>
        <v>0</v>
      </c>
      <c r="T88" s="46">
        <f t="shared" si="69"/>
        <v>0</v>
      </c>
      <c r="U88" s="46">
        <f t="shared" si="69"/>
        <v>0</v>
      </c>
      <c r="V88" s="46">
        <f t="shared" si="69"/>
        <v>0</v>
      </c>
      <c r="W88" s="46">
        <f t="shared" si="69"/>
        <v>60</v>
      </c>
      <c r="X88" s="46">
        <f t="shared" si="69"/>
        <v>60</v>
      </c>
      <c r="Y88" s="46">
        <f t="shared" si="69"/>
        <v>60</v>
      </c>
      <c r="Z88" s="46">
        <f t="shared" si="69"/>
        <v>60</v>
      </c>
      <c r="AA88" s="46">
        <f t="shared" si="70"/>
        <v>60</v>
      </c>
      <c r="AB88" s="46">
        <f t="shared" si="70"/>
        <v>60</v>
      </c>
      <c r="AC88" s="46">
        <f t="shared" si="70"/>
        <v>60</v>
      </c>
      <c r="AD88" s="46">
        <f t="shared" si="70"/>
        <v>60</v>
      </c>
      <c r="AE88" s="46">
        <f t="shared" si="70"/>
        <v>60</v>
      </c>
      <c r="AF88" s="46">
        <f t="shared" si="70"/>
        <v>60</v>
      </c>
      <c r="AG88" s="46">
        <f t="shared" si="70"/>
        <v>60</v>
      </c>
      <c r="AH88" s="46">
        <f t="shared" si="70"/>
        <v>60</v>
      </c>
      <c r="AI88" s="46">
        <f t="shared" si="70"/>
        <v>60</v>
      </c>
      <c r="AJ88" s="46">
        <f t="shared" si="70"/>
        <v>60</v>
      </c>
      <c r="AK88" s="46">
        <f t="shared" si="70"/>
        <v>60</v>
      </c>
      <c r="AL88" s="46">
        <f t="shared" si="70"/>
        <v>60</v>
      </c>
      <c r="AM88" s="46">
        <f t="shared" si="70"/>
        <v>60</v>
      </c>
      <c r="AN88" s="46">
        <f t="shared" si="70"/>
        <v>60</v>
      </c>
      <c r="AO88" s="46">
        <f t="shared" si="70"/>
        <v>60</v>
      </c>
      <c r="AP88" s="46">
        <f t="shared" si="70"/>
        <v>60</v>
      </c>
      <c r="AQ88" s="46">
        <f t="shared" si="71"/>
        <v>60</v>
      </c>
      <c r="AR88" s="46">
        <f t="shared" si="71"/>
        <v>60</v>
      </c>
      <c r="AS88" s="46">
        <f t="shared" si="71"/>
        <v>60</v>
      </c>
      <c r="AT88" s="46">
        <f t="shared" si="71"/>
        <v>60</v>
      </c>
      <c r="AU88" s="46">
        <f t="shared" si="71"/>
        <v>60</v>
      </c>
      <c r="AV88" s="46">
        <f t="shared" si="71"/>
        <v>60</v>
      </c>
      <c r="AW88" s="46">
        <f t="shared" si="71"/>
        <v>60</v>
      </c>
      <c r="AX88" s="46">
        <f t="shared" si="71"/>
        <v>60</v>
      </c>
      <c r="AY88" s="46">
        <f t="shared" si="71"/>
        <v>60</v>
      </c>
      <c r="AZ88" s="46">
        <f t="shared" si="71"/>
        <v>60</v>
      </c>
      <c r="BA88" s="46">
        <f t="shared" si="71"/>
        <v>60</v>
      </c>
      <c r="BB88" s="46">
        <f t="shared" si="71"/>
        <v>60</v>
      </c>
      <c r="BC88" s="46">
        <f t="shared" si="71"/>
        <v>60</v>
      </c>
      <c r="BD88" s="46">
        <f t="shared" si="71"/>
        <v>60</v>
      </c>
      <c r="BE88" s="46">
        <f t="shared" si="71"/>
        <v>60</v>
      </c>
      <c r="BF88" s="46">
        <f t="shared" si="71"/>
        <v>60</v>
      </c>
      <c r="BG88" s="46">
        <f t="shared" si="72"/>
        <v>60</v>
      </c>
      <c r="BH88" s="46">
        <f t="shared" si="72"/>
        <v>60</v>
      </c>
    </row>
    <row r="89" spans="1:60" ht="15" customHeight="1" x14ac:dyDescent="0.3">
      <c r="B89" s="37"/>
      <c r="C89" s="46" t="s">
        <v>290</v>
      </c>
      <c r="D89" s="46"/>
      <c r="E89" s="46"/>
      <c r="F89" s="46"/>
      <c r="I89" s="46">
        <v>0</v>
      </c>
      <c r="J89" s="51">
        <f t="shared" ref="J89:BH89" si="73">J87*J88</f>
        <v>0</v>
      </c>
      <c r="K89" s="51">
        <f t="shared" si="73"/>
        <v>0</v>
      </c>
      <c r="L89" s="51">
        <f t="shared" si="73"/>
        <v>0</v>
      </c>
      <c r="M89" s="51">
        <f t="shared" si="73"/>
        <v>0</v>
      </c>
      <c r="N89" s="51">
        <f t="shared" si="73"/>
        <v>0</v>
      </c>
      <c r="O89" s="51">
        <f t="shared" si="73"/>
        <v>0</v>
      </c>
      <c r="P89" s="51">
        <f t="shared" si="73"/>
        <v>0</v>
      </c>
      <c r="Q89" s="51">
        <f t="shared" si="73"/>
        <v>0</v>
      </c>
      <c r="R89" s="51">
        <f t="shared" si="73"/>
        <v>0</v>
      </c>
      <c r="S89" s="51">
        <f t="shared" si="73"/>
        <v>0</v>
      </c>
      <c r="T89" s="51">
        <f t="shared" si="73"/>
        <v>0</v>
      </c>
      <c r="U89" s="51">
        <f t="shared" si="73"/>
        <v>0</v>
      </c>
      <c r="V89" s="51">
        <f t="shared" si="73"/>
        <v>0</v>
      </c>
      <c r="W89" s="51">
        <f t="shared" si="73"/>
        <v>66</v>
      </c>
      <c r="X89" s="51">
        <f t="shared" si="73"/>
        <v>72.600000000000009</v>
      </c>
      <c r="Y89" s="51">
        <f t="shared" si="73"/>
        <v>79.860000000000028</v>
      </c>
      <c r="Z89" s="51">
        <f t="shared" si="73"/>
        <v>87.846000000000032</v>
      </c>
      <c r="AA89" s="51">
        <f t="shared" si="73"/>
        <v>96.630600000000044</v>
      </c>
      <c r="AB89" s="51">
        <f t="shared" si="73"/>
        <v>106.29366000000006</v>
      </c>
      <c r="AC89" s="51">
        <f t="shared" si="73"/>
        <v>116.92302600000008</v>
      </c>
      <c r="AD89" s="51">
        <f t="shared" si="73"/>
        <v>128.61532860000008</v>
      </c>
      <c r="AE89" s="51">
        <f t="shared" si="73"/>
        <v>141.47686146000012</v>
      </c>
      <c r="AF89" s="51">
        <f t="shared" si="73"/>
        <v>155.62454760600014</v>
      </c>
      <c r="AG89" s="51">
        <f t="shared" si="73"/>
        <v>171.18700236660018</v>
      </c>
      <c r="AH89" s="51">
        <f t="shared" si="73"/>
        <v>188.30570260326022</v>
      </c>
      <c r="AI89" s="51">
        <f t="shared" si="73"/>
        <v>207.13627286358624</v>
      </c>
      <c r="AJ89" s="51">
        <f t="shared" si="73"/>
        <v>227.84990014994489</v>
      </c>
      <c r="AK89" s="51">
        <f t="shared" si="73"/>
        <v>250.63489016493938</v>
      </c>
      <c r="AL89" s="51">
        <f t="shared" si="73"/>
        <v>275.69837918143332</v>
      </c>
      <c r="AM89" s="51">
        <f t="shared" si="73"/>
        <v>303.26821709957665</v>
      </c>
      <c r="AN89" s="51">
        <f t="shared" si="73"/>
        <v>333.59503880953434</v>
      </c>
      <c r="AO89" s="51">
        <f t="shared" si="73"/>
        <v>366.95454269048781</v>
      </c>
      <c r="AP89" s="51">
        <f t="shared" si="73"/>
        <v>403.64999695953662</v>
      </c>
      <c r="AQ89" s="51">
        <f t="shared" si="73"/>
        <v>444.01499665549028</v>
      </c>
      <c r="AR89" s="51">
        <f t="shared" si="73"/>
        <v>488.41649632103935</v>
      </c>
      <c r="AS89" s="51">
        <f t="shared" si="73"/>
        <v>537.2581459531433</v>
      </c>
      <c r="AT89" s="51">
        <f t="shared" si="73"/>
        <v>590.98396054845773</v>
      </c>
      <c r="AU89" s="51">
        <f t="shared" si="73"/>
        <v>650.08235660330342</v>
      </c>
      <c r="AV89" s="51">
        <f t="shared" si="73"/>
        <v>715.09059226363388</v>
      </c>
      <c r="AW89" s="51">
        <f t="shared" si="73"/>
        <v>786.5996514899972</v>
      </c>
      <c r="AX89" s="51">
        <f t="shared" si="73"/>
        <v>865.25961663899704</v>
      </c>
      <c r="AY89" s="51">
        <f t="shared" si="73"/>
        <v>951.78557830289697</v>
      </c>
      <c r="AZ89" s="51">
        <f t="shared" si="73"/>
        <v>1046.9641361331867</v>
      </c>
      <c r="BA89" s="51">
        <f t="shared" si="73"/>
        <v>1151.6605497465052</v>
      </c>
      <c r="BB89" s="51">
        <f t="shared" si="73"/>
        <v>1266.8266047211559</v>
      </c>
      <c r="BC89" s="51">
        <f t="shared" si="73"/>
        <v>1393.5092651932716</v>
      </c>
      <c r="BD89" s="51">
        <f t="shared" si="73"/>
        <v>1532.8601917125989</v>
      </c>
      <c r="BE89" s="51">
        <f t="shared" si="73"/>
        <v>1686.1462108838589</v>
      </c>
      <c r="BF89" s="51">
        <f t="shared" si="73"/>
        <v>1854.7608319722449</v>
      </c>
      <c r="BG89" s="51">
        <f t="shared" si="73"/>
        <v>2040.2369151694695</v>
      </c>
      <c r="BH89" s="51">
        <f t="shared" si="73"/>
        <v>2244.2606066864164</v>
      </c>
    </row>
    <row r="90" spans="1:60" ht="14.25" customHeight="1" x14ac:dyDescent="0.3">
      <c r="A90" s="46"/>
      <c r="B90" s="37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6"/>
      <c r="AM90" s="46"/>
      <c r="AN90" s="46"/>
      <c r="AO90" s="46"/>
      <c r="AP90" s="46"/>
      <c r="AQ90" s="46"/>
      <c r="AR90" s="46"/>
      <c r="AS90" s="46"/>
      <c r="AT90" s="46"/>
      <c r="AU90" s="46"/>
      <c r="AV90" s="46"/>
      <c r="AW90" s="46"/>
      <c r="AX90" s="46"/>
      <c r="AY90" s="46"/>
      <c r="AZ90" s="46"/>
      <c r="BA90" s="46"/>
      <c r="BB90" s="46"/>
      <c r="BC90" s="46"/>
      <c r="BD90" s="46"/>
      <c r="BE90" s="46"/>
      <c r="BF90" s="46"/>
      <c r="BG90" s="46"/>
      <c r="BH90" s="46"/>
    </row>
    <row r="91" spans="1:60" ht="15" customHeight="1" x14ac:dyDescent="0.3">
      <c r="B91" s="37"/>
      <c r="C91" s="37" t="s">
        <v>95</v>
      </c>
      <c r="D91" s="46" t="s">
        <v>49</v>
      </c>
      <c r="E91" s="46" t="s">
        <v>50</v>
      </c>
      <c r="F91" s="46" t="s">
        <v>51</v>
      </c>
    </row>
    <row r="92" spans="1:60" ht="15" customHeight="1" x14ac:dyDescent="0.3">
      <c r="B92" s="37"/>
      <c r="C92" s="46" t="s">
        <v>96</v>
      </c>
      <c r="D92" s="49">
        <v>10</v>
      </c>
      <c r="E92" s="49">
        <v>160</v>
      </c>
      <c r="F92" s="50">
        <v>0.05</v>
      </c>
      <c r="I92" s="46">
        <v>0</v>
      </c>
      <c r="J92" s="46">
        <f t="shared" ref="J92:Y93" si="74">MIN(MAX($D92,I92)*(1+$F92)*J$8,$E92)</f>
        <v>0</v>
      </c>
      <c r="K92" s="46">
        <f t="shared" si="74"/>
        <v>0</v>
      </c>
      <c r="L92" s="46">
        <f t="shared" si="74"/>
        <v>0</v>
      </c>
      <c r="M92" s="46">
        <f t="shared" si="74"/>
        <v>0</v>
      </c>
      <c r="N92" s="46">
        <f t="shared" si="74"/>
        <v>0</v>
      </c>
      <c r="O92" s="46">
        <f t="shared" si="74"/>
        <v>0</v>
      </c>
      <c r="P92" s="46">
        <f t="shared" si="74"/>
        <v>0</v>
      </c>
      <c r="Q92" s="46">
        <v>12.25</v>
      </c>
      <c r="R92" s="46">
        <v>12.25</v>
      </c>
      <c r="S92" s="46">
        <v>14.75</v>
      </c>
      <c r="T92" s="46">
        <f t="shared" si="74"/>
        <v>15.487500000000001</v>
      </c>
      <c r="U92" s="46">
        <f t="shared" si="74"/>
        <v>16.261875</v>
      </c>
      <c r="V92" s="46">
        <f t="shared" si="74"/>
        <v>17.07496875</v>
      </c>
      <c r="W92" s="46">
        <f t="shared" si="74"/>
        <v>17.928717187500002</v>
      </c>
      <c r="X92" s="46">
        <f t="shared" si="74"/>
        <v>18.825153046875002</v>
      </c>
      <c r="Y92" s="46">
        <f t="shared" si="74"/>
        <v>19.766410699218753</v>
      </c>
      <c r="Z92" s="46">
        <f t="shared" ref="Z92:AO93" si="75">MIN(MAX($D92,Y92)*(1+$F92)*Z$8,$E92)</f>
        <v>20.75473123417969</v>
      </c>
      <c r="AA92" s="46">
        <f t="shared" si="75"/>
        <v>21.792467795888676</v>
      </c>
      <c r="AB92" s="46">
        <f t="shared" si="75"/>
        <v>22.882091185683112</v>
      </c>
      <c r="AC92" s="46">
        <f t="shared" si="75"/>
        <v>24.026195744967268</v>
      </c>
      <c r="AD92" s="46">
        <f t="shared" si="75"/>
        <v>25.227505532215634</v>
      </c>
      <c r="AE92" s="46">
        <f t="shared" si="75"/>
        <v>26.488880808826416</v>
      </c>
      <c r="AF92" s="46">
        <f t="shared" si="75"/>
        <v>27.813324849267737</v>
      </c>
      <c r="AG92" s="46">
        <f t="shared" si="75"/>
        <v>29.203991091731126</v>
      </c>
      <c r="AH92" s="46">
        <f t="shared" si="75"/>
        <v>30.664190646317685</v>
      </c>
      <c r="AI92" s="46">
        <f t="shared" si="75"/>
        <v>32.197400178633572</v>
      </c>
      <c r="AJ92" s="46">
        <f t="shared" si="75"/>
        <v>33.807270187565251</v>
      </c>
      <c r="AK92" s="46">
        <f t="shared" si="75"/>
        <v>35.497633696943517</v>
      </c>
      <c r="AL92" s="46">
        <f t="shared" si="75"/>
        <v>37.272515381790697</v>
      </c>
      <c r="AM92" s="46">
        <f t="shared" si="75"/>
        <v>39.136141150880235</v>
      </c>
      <c r="AN92" s="46">
        <f t="shared" si="75"/>
        <v>41.092948208424247</v>
      </c>
      <c r="AO92" s="46">
        <f t="shared" si="75"/>
        <v>43.147595618845457</v>
      </c>
      <c r="AP92" s="46">
        <f t="shared" ref="AP92:BE93" si="76">MIN(MAX($D92,AO92)*(1+$F92)*AP$8,$E92)</f>
        <v>45.304975399787729</v>
      </c>
      <c r="AQ92" s="46">
        <f t="shared" si="76"/>
        <v>47.57022416977712</v>
      </c>
      <c r="AR92" s="46">
        <f t="shared" si="76"/>
        <v>49.94873537826598</v>
      </c>
      <c r="AS92" s="46">
        <f t="shared" si="76"/>
        <v>52.446172147179283</v>
      </c>
      <c r="AT92" s="46">
        <f t="shared" si="76"/>
        <v>55.06848075453825</v>
      </c>
      <c r="AU92" s="46">
        <f t="shared" si="76"/>
        <v>57.821904792265165</v>
      </c>
      <c r="AV92" s="46">
        <f t="shared" si="76"/>
        <v>60.71300003187843</v>
      </c>
      <c r="AW92" s="46">
        <f t="shared" si="76"/>
        <v>63.748650033472352</v>
      </c>
      <c r="AX92" s="46">
        <f t="shared" si="76"/>
        <v>66.936082535145971</v>
      </c>
      <c r="AY92" s="46">
        <f t="shared" si="76"/>
        <v>70.282886661903277</v>
      </c>
      <c r="AZ92" s="46">
        <f t="shared" si="76"/>
        <v>73.797030994998437</v>
      </c>
      <c r="BA92" s="46">
        <f t="shared" si="76"/>
        <v>77.486882544748369</v>
      </c>
      <c r="BB92" s="46">
        <f t="shared" si="76"/>
        <v>81.36122667198579</v>
      </c>
      <c r="BC92" s="46">
        <f t="shared" si="76"/>
        <v>85.429288005585079</v>
      </c>
      <c r="BD92" s="46">
        <f t="shared" si="76"/>
        <v>89.700752405864336</v>
      </c>
      <c r="BE92" s="46">
        <f t="shared" si="76"/>
        <v>94.185790026157562</v>
      </c>
      <c r="BF92" s="46">
        <f t="shared" ref="BF92:BH93" si="77">MIN(MAX($D92,BE92)*(1+$F92)*BF$8,$E92)</f>
        <v>98.895079527465441</v>
      </c>
      <c r="BG92" s="46">
        <f t="shared" si="77"/>
        <v>103.83983350383872</v>
      </c>
      <c r="BH92" s="46">
        <f t="shared" si="77"/>
        <v>109.03182517903066</v>
      </c>
    </row>
    <row r="93" spans="1:60" ht="15" customHeight="1" x14ac:dyDescent="0.3">
      <c r="B93" s="37"/>
      <c r="C93" s="46" t="s">
        <v>65</v>
      </c>
      <c r="D93" s="49">
        <v>350</v>
      </c>
      <c r="E93" s="49">
        <v>500</v>
      </c>
      <c r="F93" s="50">
        <v>0.05</v>
      </c>
      <c r="I93" s="46">
        <v>0</v>
      </c>
      <c r="J93" s="46">
        <f t="shared" si="74"/>
        <v>0</v>
      </c>
      <c r="K93" s="46">
        <f t="shared" si="74"/>
        <v>0</v>
      </c>
      <c r="L93" s="46">
        <f t="shared" si="74"/>
        <v>0</v>
      </c>
      <c r="M93" s="46">
        <f t="shared" si="74"/>
        <v>0</v>
      </c>
      <c r="N93" s="46">
        <f t="shared" si="74"/>
        <v>0</v>
      </c>
      <c r="O93" s="46">
        <f t="shared" si="74"/>
        <v>0</v>
      </c>
      <c r="P93" s="46">
        <f t="shared" si="74"/>
        <v>0</v>
      </c>
      <c r="Q93" s="46">
        <v>743</v>
      </c>
      <c r="R93" s="46">
        <v>970</v>
      </c>
      <c r="S93" s="46">
        <v>722.8</v>
      </c>
      <c r="T93" s="46">
        <f t="shared" si="74"/>
        <v>500</v>
      </c>
      <c r="U93" s="46">
        <f t="shared" si="74"/>
        <v>500</v>
      </c>
      <c r="V93" s="46">
        <f t="shared" si="74"/>
        <v>500</v>
      </c>
      <c r="W93" s="46">
        <f t="shared" si="74"/>
        <v>500</v>
      </c>
      <c r="X93" s="46">
        <f t="shared" si="74"/>
        <v>500</v>
      </c>
      <c r="Y93" s="46">
        <f t="shared" si="74"/>
        <v>500</v>
      </c>
      <c r="Z93" s="46">
        <f t="shared" si="75"/>
        <v>500</v>
      </c>
      <c r="AA93" s="46">
        <f t="shared" si="75"/>
        <v>500</v>
      </c>
      <c r="AB93" s="46">
        <f t="shared" si="75"/>
        <v>500</v>
      </c>
      <c r="AC93" s="46">
        <f t="shared" si="75"/>
        <v>500</v>
      </c>
      <c r="AD93" s="46">
        <f t="shared" si="75"/>
        <v>500</v>
      </c>
      <c r="AE93" s="46">
        <f t="shared" si="75"/>
        <v>500</v>
      </c>
      <c r="AF93" s="46">
        <f t="shared" si="75"/>
        <v>500</v>
      </c>
      <c r="AG93" s="46">
        <f t="shared" si="75"/>
        <v>500</v>
      </c>
      <c r="AH93" s="46">
        <f t="shared" si="75"/>
        <v>500</v>
      </c>
      <c r="AI93" s="46">
        <f t="shared" si="75"/>
        <v>500</v>
      </c>
      <c r="AJ93" s="46">
        <f t="shared" si="75"/>
        <v>500</v>
      </c>
      <c r="AK93" s="46">
        <f t="shared" si="75"/>
        <v>500</v>
      </c>
      <c r="AL93" s="46">
        <f t="shared" si="75"/>
        <v>500</v>
      </c>
      <c r="AM93" s="46">
        <f t="shared" si="75"/>
        <v>500</v>
      </c>
      <c r="AN93" s="46">
        <f t="shared" si="75"/>
        <v>500</v>
      </c>
      <c r="AO93" s="46">
        <f t="shared" si="75"/>
        <v>500</v>
      </c>
      <c r="AP93" s="46">
        <f t="shared" si="76"/>
        <v>500</v>
      </c>
      <c r="AQ93" s="46">
        <f t="shared" si="76"/>
        <v>500</v>
      </c>
      <c r="AR93" s="46">
        <f t="shared" si="76"/>
        <v>500</v>
      </c>
      <c r="AS93" s="46">
        <f t="shared" si="76"/>
        <v>500</v>
      </c>
      <c r="AT93" s="46">
        <f t="shared" si="76"/>
        <v>500</v>
      </c>
      <c r="AU93" s="46">
        <f t="shared" si="76"/>
        <v>500</v>
      </c>
      <c r="AV93" s="46">
        <f t="shared" si="76"/>
        <v>500</v>
      </c>
      <c r="AW93" s="46">
        <f t="shared" si="76"/>
        <v>500</v>
      </c>
      <c r="AX93" s="46">
        <f t="shared" si="76"/>
        <v>500</v>
      </c>
      <c r="AY93" s="46">
        <f t="shared" si="76"/>
        <v>500</v>
      </c>
      <c r="AZ93" s="46">
        <f t="shared" si="76"/>
        <v>500</v>
      </c>
      <c r="BA93" s="46">
        <f t="shared" si="76"/>
        <v>500</v>
      </c>
      <c r="BB93" s="46">
        <f t="shared" si="76"/>
        <v>500</v>
      </c>
      <c r="BC93" s="46">
        <f t="shared" si="76"/>
        <v>500</v>
      </c>
      <c r="BD93" s="46">
        <f t="shared" si="76"/>
        <v>500</v>
      </c>
      <c r="BE93" s="46">
        <f t="shared" si="76"/>
        <v>500</v>
      </c>
      <c r="BF93" s="46">
        <f t="shared" si="77"/>
        <v>500</v>
      </c>
      <c r="BG93" s="46">
        <f t="shared" si="77"/>
        <v>500</v>
      </c>
      <c r="BH93" s="46">
        <f t="shared" si="77"/>
        <v>500</v>
      </c>
    </row>
    <row r="94" spans="1:60" ht="15" customHeight="1" x14ac:dyDescent="0.3">
      <c r="B94" s="37"/>
      <c r="C94" s="46" t="s">
        <v>97</v>
      </c>
      <c r="D94" s="46"/>
      <c r="E94" s="46"/>
      <c r="F94" s="46"/>
      <c r="I94" s="46">
        <v>0</v>
      </c>
      <c r="J94" s="51">
        <f t="shared" ref="J94:BH94" si="78">J92*J93</f>
        <v>0</v>
      </c>
      <c r="K94" s="51">
        <f t="shared" si="78"/>
        <v>0</v>
      </c>
      <c r="L94" s="51">
        <f t="shared" si="78"/>
        <v>0</v>
      </c>
      <c r="M94" s="51">
        <f t="shared" si="78"/>
        <v>0</v>
      </c>
      <c r="N94" s="51">
        <f t="shared" si="78"/>
        <v>0</v>
      </c>
      <c r="O94" s="51">
        <f t="shared" si="78"/>
        <v>0</v>
      </c>
      <c r="P94" s="51">
        <f t="shared" si="78"/>
        <v>0</v>
      </c>
      <c r="Q94" s="51">
        <f t="shared" si="78"/>
        <v>9101.75</v>
      </c>
      <c r="R94" s="51">
        <f t="shared" si="78"/>
        <v>11882.5</v>
      </c>
      <c r="S94" s="51">
        <f t="shared" si="78"/>
        <v>10661.3</v>
      </c>
      <c r="T94" s="51">
        <f t="shared" si="78"/>
        <v>7743.75</v>
      </c>
      <c r="U94" s="51">
        <f t="shared" si="78"/>
        <v>8130.9375</v>
      </c>
      <c r="V94" s="51">
        <f t="shared" si="78"/>
        <v>8537.484375</v>
      </c>
      <c r="W94" s="51">
        <f t="shared" si="78"/>
        <v>8964.3585937500011</v>
      </c>
      <c r="X94" s="51">
        <f t="shared" si="78"/>
        <v>9412.5765234375012</v>
      </c>
      <c r="Y94" s="51">
        <f t="shared" si="78"/>
        <v>9883.2053496093758</v>
      </c>
      <c r="Z94" s="51">
        <f t="shared" si="78"/>
        <v>10377.365617089845</v>
      </c>
      <c r="AA94" s="51">
        <f t="shared" si="78"/>
        <v>10896.233897944338</v>
      </c>
      <c r="AB94" s="51">
        <f t="shared" si="78"/>
        <v>11441.045592841556</v>
      </c>
      <c r="AC94" s="51">
        <f t="shared" si="78"/>
        <v>12013.097872483633</v>
      </c>
      <c r="AD94" s="51">
        <f t="shared" si="78"/>
        <v>12613.752766107817</v>
      </c>
      <c r="AE94" s="51">
        <f t="shared" si="78"/>
        <v>13244.440404413208</v>
      </c>
      <c r="AF94" s="51">
        <f t="shared" si="78"/>
        <v>13906.662424633869</v>
      </c>
      <c r="AG94" s="51">
        <f t="shared" si="78"/>
        <v>14601.995545865562</v>
      </c>
      <c r="AH94" s="51">
        <f t="shared" si="78"/>
        <v>15332.095323158843</v>
      </c>
      <c r="AI94" s="51">
        <f t="shared" si="78"/>
        <v>16098.700089316786</v>
      </c>
      <c r="AJ94" s="51">
        <f t="shared" si="78"/>
        <v>16903.635093782625</v>
      </c>
      <c r="AK94" s="51">
        <f t="shared" si="78"/>
        <v>17748.816848471757</v>
      </c>
      <c r="AL94" s="51">
        <f t="shared" si="78"/>
        <v>18636.257690895349</v>
      </c>
      <c r="AM94" s="51">
        <f t="shared" si="78"/>
        <v>19568.070575440117</v>
      </c>
      <c r="AN94" s="51">
        <f t="shared" si="78"/>
        <v>20546.474104212124</v>
      </c>
      <c r="AO94" s="51">
        <f t="shared" si="78"/>
        <v>21573.797809422729</v>
      </c>
      <c r="AP94" s="51">
        <f t="shared" si="78"/>
        <v>22652.487699893863</v>
      </c>
      <c r="AQ94" s="51">
        <f t="shared" si="78"/>
        <v>23785.112084888558</v>
      </c>
      <c r="AR94" s="51">
        <f t="shared" si="78"/>
        <v>24974.367689132989</v>
      </c>
      <c r="AS94" s="51">
        <f t="shared" si="78"/>
        <v>26223.086073589642</v>
      </c>
      <c r="AT94" s="51">
        <f t="shared" si="78"/>
        <v>27534.240377269125</v>
      </c>
      <c r="AU94" s="51">
        <f t="shared" si="78"/>
        <v>28910.952396132583</v>
      </c>
      <c r="AV94" s="51">
        <f t="shared" si="78"/>
        <v>30356.500015939215</v>
      </c>
      <c r="AW94" s="51">
        <f t="shared" si="78"/>
        <v>31874.325016736177</v>
      </c>
      <c r="AX94" s="51">
        <f t="shared" si="78"/>
        <v>33468.041267572982</v>
      </c>
      <c r="AY94" s="51">
        <f t="shared" si="78"/>
        <v>35141.443330951639</v>
      </c>
      <c r="AZ94" s="51">
        <f t="shared" si="78"/>
        <v>36898.515497499218</v>
      </c>
      <c r="BA94" s="51">
        <f t="shared" si="78"/>
        <v>38743.441272374184</v>
      </c>
      <c r="BB94" s="51">
        <f t="shared" si="78"/>
        <v>40680.613335992894</v>
      </c>
      <c r="BC94" s="51">
        <f t="shared" si="78"/>
        <v>42714.644002792542</v>
      </c>
      <c r="BD94" s="51">
        <f t="shared" si="78"/>
        <v>44850.376202932166</v>
      </c>
      <c r="BE94" s="51">
        <f t="shared" si="78"/>
        <v>47092.895013078778</v>
      </c>
      <c r="BF94" s="51">
        <f t="shared" si="78"/>
        <v>49447.539763732719</v>
      </c>
      <c r="BG94" s="51">
        <f t="shared" si="78"/>
        <v>51919.916751919358</v>
      </c>
      <c r="BH94" s="51">
        <f t="shared" si="78"/>
        <v>54515.912589515334</v>
      </c>
    </row>
    <row r="95" spans="1:60" ht="15" customHeight="1" x14ac:dyDescent="0.3">
      <c r="B95" s="37"/>
      <c r="C95" s="46"/>
      <c r="D95" s="46"/>
      <c r="E95" s="46"/>
      <c r="F95" s="46"/>
      <c r="I95" s="46">
        <v>0</v>
      </c>
    </row>
    <row r="96" spans="1:60" ht="15" customHeight="1" x14ac:dyDescent="0.3">
      <c r="B96" s="37"/>
      <c r="C96" s="37" t="s">
        <v>98</v>
      </c>
      <c r="D96" s="46" t="s">
        <v>49</v>
      </c>
      <c r="E96" s="46" t="s">
        <v>50</v>
      </c>
      <c r="F96" s="46" t="s">
        <v>51</v>
      </c>
      <c r="I96" s="46">
        <v>0</v>
      </c>
    </row>
    <row r="97" spans="1:60" ht="15" customHeight="1" x14ac:dyDescent="0.3">
      <c r="B97" s="37"/>
      <c r="C97" s="46" t="s">
        <v>99</v>
      </c>
      <c r="D97" s="46">
        <f>D$92*0.75</f>
        <v>7.5</v>
      </c>
      <c r="E97" s="46">
        <f>E$92*0.75</f>
        <v>120</v>
      </c>
      <c r="F97" s="50">
        <v>0.05</v>
      </c>
      <c r="I97" s="46">
        <v>0</v>
      </c>
      <c r="J97" s="46">
        <v>0</v>
      </c>
      <c r="K97" s="46">
        <v>0</v>
      </c>
      <c r="L97" s="46">
        <v>0</v>
      </c>
      <c r="M97" s="46">
        <v>0</v>
      </c>
      <c r="N97" s="46">
        <v>0</v>
      </c>
      <c r="O97" s="46">
        <v>0</v>
      </c>
      <c r="P97" s="46">
        <v>0</v>
      </c>
      <c r="Q97" s="46">
        <v>12</v>
      </c>
      <c r="R97" s="46">
        <v>7</v>
      </c>
      <c r="S97" s="46">
        <v>11</v>
      </c>
      <c r="T97" s="46">
        <f t="shared" ref="T97:AI98" si="79">MIN(MAX($D97,S97)*(1+$F97)*T$8,$E97)</f>
        <v>11.55</v>
      </c>
      <c r="U97" s="46">
        <f t="shared" si="79"/>
        <v>12.127500000000001</v>
      </c>
      <c r="V97" s="46">
        <f t="shared" si="79"/>
        <v>12.733875000000001</v>
      </c>
      <c r="W97" s="46">
        <f t="shared" si="79"/>
        <v>13.370568750000002</v>
      </c>
      <c r="X97" s="46">
        <f t="shared" si="79"/>
        <v>14.039097187500003</v>
      </c>
      <c r="Y97" s="46">
        <f t="shared" si="79"/>
        <v>14.741052046875003</v>
      </c>
      <c r="Z97" s="46">
        <f t="shared" si="79"/>
        <v>15.478104649218754</v>
      </c>
      <c r="AA97" s="46">
        <f t="shared" si="79"/>
        <v>16.25200988167969</v>
      </c>
      <c r="AB97" s="46">
        <f t="shared" si="79"/>
        <v>17.064610375763674</v>
      </c>
      <c r="AC97" s="46">
        <f t="shared" si="79"/>
        <v>17.917840894551858</v>
      </c>
      <c r="AD97" s="46">
        <f t="shared" si="79"/>
        <v>18.813732939279451</v>
      </c>
      <c r="AE97" s="46">
        <f t="shared" si="79"/>
        <v>19.754419586243422</v>
      </c>
      <c r="AF97" s="46">
        <f t="shared" si="79"/>
        <v>20.742140565555594</v>
      </c>
      <c r="AG97" s="46">
        <f t="shared" si="79"/>
        <v>21.779247593833375</v>
      </c>
      <c r="AH97" s="46">
        <f t="shared" si="79"/>
        <v>22.868209973525044</v>
      </c>
      <c r="AI97" s="46">
        <f t="shared" si="79"/>
        <v>24.011620472201297</v>
      </c>
      <c r="AJ97" s="46">
        <f t="shared" ref="AJ97:AY98" si="80">MIN(MAX($D97,AI97)*(1+$F97)*AJ$8,$E97)</f>
        <v>25.212201495811364</v>
      </c>
      <c r="AK97" s="46">
        <f t="shared" si="80"/>
        <v>26.472811570601934</v>
      </c>
      <c r="AL97" s="46">
        <f t="shared" si="80"/>
        <v>27.796452149132033</v>
      </c>
      <c r="AM97" s="46">
        <f t="shared" si="80"/>
        <v>29.186274756588634</v>
      </c>
      <c r="AN97" s="46">
        <f t="shared" si="80"/>
        <v>30.645588494418067</v>
      </c>
      <c r="AO97" s="46">
        <f t="shared" si="80"/>
        <v>32.177867919138976</v>
      </c>
      <c r="AP97" s="46">
        <f t="shared" si="80"/>
        <v>33.786761315095923</v>
      </c>
      <c r="AQ97" s="46">
        <f t="shared" si="80"/>
        <v>35.476099380850719</v>
      </c>
      <c r="AR97" s="46">
        <f t="shared" si="80"/>
        <v>37.249904349893256</v>
      </c>
      <c r="AS97" s="46">
        <f t="shared" si="80"/>
        <v>39.112399567387918</v>
      </c>
      <c r="AT97" s="46">
        <f t="shared" si="80"/>
        <v>41.068019545757316</v>
      </c>
      <c r="AU97" s="46">
        <f t="shared" si="80"/>
        <v>43.121420523045181</v>
      </c>
      <c r="AV97" s="46">
        <f t="shared" si="80"/>
        <v>45.277491549197443</v>
      </c>
      <c r="AW97" s="46">
        <f t="shared" si="80"/>
        <v>47.541366126657316</v>
      </c>
      <c r="AX97" s="46">
        <f t="shared" si="80"/>
        <v>49.918434432990182</v>
      </c>
      <c r="AY97" s="46">
        <f t="shared" si="80"/>
        <v>52.414356154639691</v>
      </c>
      <c r="AZ97" s="46">
        <f t="shared" ref="AZ97:BH98" si="81">MIN(MAX($D97,AY97)*(1+$F97)*AZ$8,$E97)</f>
        <v>55.035073962371676</v>
      </c>
      <c r="BA97" s="46">
        <f t="shared" si="81"/>
        <v>57.78682766049026</v>
      </c>
      <c r="BB97" s="46">
        <f t="shared" si="81"/>
        <v>60.676169043514776</v>
      </c>
      <c r="BC97" s="46">
        <f t="shared" si="81"/>
        <v>63.709977495690516</v>
      </c>
      <c r="BD97" s="46">
        <f t="shared" si="81"/>
        <v>66.895476370475052</v>
      </c>
      <c r="BE97" s="46">
        <f t="shared" si="81"/>
        <v>70.240250188998814</v>
      </c>
      <c r="BF97" s="46">
        <f t="shared" si="81"/>
        <v>73.75226269844876</v>
      </c>
      <c r="BG97" s="46">
        <f t="shared" si="81"/>
        <v>77.439875833371204</v>
      </c>
      <c r="BH97" s="46">
        <f t="shared" si="81"/>
        <v>81.311869625039762</v>
      </c>
    </row>
    <row r="98" spans="1:60" ht="15" customHeight="1" x14ac:dyDescent="0.3">
      <c r="B98" s="37"/>
      <c r="C98" s="46" t="s">
        <v>87</v>
      </c>
      <c r="D98" s="49">
        <v>350</v>
      </c>
      <c r="E98" s="49">
        <v>500</v>
      </c>
      <c r="F98" s="50">
        <v>0.05</v>
      </c>
      <c r="I98" s="46">
        <v>0</v>
      </c>
      <c r="J98" s="46">
        <f t="shared" ref="J98:Y98" si="82">MIN(MAX($D98,I98)*(1+$F98)*J$8,$E98)</f>
        <v>0</v>
      </c>
      <c r="K98" s="46">
        <f t="shared" si="82"/>
        <v>0</v>
      </c>
      <c r="L98" s="46">
        <f t="shared" si="82"/>
        <v>0</v>
      </c>
      <c r="M98" s="46">
        <f t="shared" si="82"/>
        <v>0</v>
      </c>
      <c r="N98" s="46">
        <f t="shared" si="82"/>
        <v>0</v>
      </c>
      <c r="O98" s="46">
        <f t="shared" si="82"/>
        <v>0</v>
      </c>
      <c r="P98" s="46">
        <f t="shared" si="82"/>
        <v>0</v>
      </c>
      <c r="Q98" s="46">
        <v>72</v>
      </c>
      <c r="R98" s="46">
        <v>88.28</v>
      </c>
      <c r="S98" s="46">
        <v>65</v>
      </c>
      <c r="T98" s="46">
        <f t="shared" si="82"/>
        <v>367.5</v>
      </c>
      <c r="U98" s="46">
        <f t="shared" si="82"/>
        <v>385.875</v>
      </c>
      <c r="V98" s="46">
        <f t="shared" si="82"/>
        <v>405.16875000000005</v>
      </c>
      <c r="W98" s="46">
        <f t="shared" si="82"/>
        <v>425.42718750000006</v>
      </c>
      <c r="X98" s="46">
        <f t="shared" si="82"/>
        <v>446.69854687500009</v>
      </c>
      <c r="Y98" s="46">
        <f t="shared" si="82"/>
        <v>469.03347421875009</v>
      </c>
      <c r="Z98" s="46">
        <f t="shared" si="79"/>
        <v>492.48514792968763</v>
      </c>
      <c r="AA98" s="46">
        <f t="shared" si="79"/>
        <v>500</v>
      </c>
      <c r="AB98" s="46">
        <f t="shared" si="79"/>
        <v>500</v>
      </c>
      <c r="AC98" s="46">
        <f t="shared" si="79"/>
        <v>500</v>
      </c>
      <c r="AD98" s="46">
        <f t="shared" si="79"/>
        <v>500</v>
      </c>
      <c r="AE98" s="46">
        <f t="shared" si="79"/>
        <v>500</v>
      </c>
      <c r="AF98" s="46">
        <f t="shared" si="79"/>
        <v>500</v>
      </c>
      <c r="AG98" s="46">
        <f t="shared" si="79"/>
        <v>500</v>
      </c>
      <c r="AH98" s="46">
        <f t="shared" si="79"/>
        <v>500</v>
      </c>
      <c r="AI98" s="46">
        <f t="shared" si="79"/>
        <v>500</v>
      </c>
      <c r="AJ98" s="46">
        <f t="shared" si="80"/>
        <v>500</v>
      </c>
      <c r="AK98" s="46">
        <f t="shared" si="80"/>
        <v>500</v>
      </c>
      <c r="AL98" s="46">
        <f t="shared" si="80"/>
        <v>500</v>
      </c>
      <c r="AM98" s="46">
        <f t="shared" si="80"/>
        <v>500</v>
      </c>
      <c r="AN98" s="46">
        <f t="shared" si="80"/>
        <v>500</v>
      </c>
      <c r="AO98" s="46">
        <f t="shared" si="80"/>
        <v>500</v>
      </c>
      <c r="AP98" s="46">
        <f t="shared" si="80"/>
        <v>500</v>
      </c>
      <c r="AQ98" s="46">
        <f t="shared" si="80"/>
        <v>500</v>
      </c>
      <c r="AR98" s="46">
        <f t="shared" si="80"/>
        <v>500</v>
      </c>
      <c r="AS98" s="46">
        <f t="shared" si="80"/>
        <v>500</v>
      </c>
      <c r="AT98" s="46">
        <f t="shared" si="80"/>
        <v>500</v>
      </c>
      <c r="AU98" s="46">
        <f t="shared" si="80"/>
        <v>500</v>
      </c>
      <c r="AV98" s="46">
        <f t="shared" si="80"/>
        <v>500</v>
      </c>
      <c r="AW98" s="46">
        <f t="shared" si="80"/>
        <v>500</v>
      </c>
      <c r="AX98" s="46">
        <f t="shared" si="80"/>
        <v>500</v>
      </c>
      <c r="AY98" s="46">
        <f t="shared" si="80"/>
        <v>500</v>
      </c>
      <c r="AZ98" s="46">
        <f t="shared" si="81"/>
        <v>500</v>
      </c>
      <c r="BA98" s="46">
        <f t="shared" si="81"/>
        <v>500</v>
      </c>
      <c r="BB98" s="46">
        <f t="shared" si="81"/>
        <v>500</v>
      </c>
      <c r="BC98" s="46">
        <f t="shared" si="81"/>
        <v>500</v>
      </c>
      <c r="BD98" s="46">
        <f t="shared" si="81"/>
        <v>500</v>
      </c>
      <c r="BE98" s="46">
        <f t="shared" si="81"/>
        <v>500</v>
      </c>
      <c r="BF98" s="46">
        <f t="shared" si="81"/>
        <v>500</v>
      </c>
      <c r="BG98" s="46">
        <f t="shared" si="81"/>
        <v>500</v>
      </c>
      <c r="BH98" s="46">
        <f t="shared" si="81"/>
        <v>500</v>
      </c>
    </row>
    <row r="99" spans="1:60" ht="15" customHeight="1" x14ac:dyDescent="0.3">
      <c r="B99" s="37"/>
      <c r="C99" s="46" t="s">
        <v>100</v>
      </c>
      <c r="D99" s="46"/>
      <c r="E99" s="46"/>
      <c r="F99" s="46"/>
      <c r="I99" s="46">
        <v>0</v>
      </c>
      <c r="J99" s="51">
        <f t="shared" ref="J99:BH99" si="83">J97*J98</f>
        <v>0</v>
      </c>
      <c r="K99" s="51">
        <f t="shared" si="83"/>
        <v>0</v>
      </c>
      <c r="L99" s="51">
        <f t="shared" si="83"/>
        <v>0</v>
      </c>
      <c r="M99" s="51">
        <f t="shared" si="83"/>
        <v>0</v>
      </c>
      <c r="N99" s="51">
        <f t="shared" si="83"/>
        <v>0</v>
      </c>
      <c r="O99" s="51">
        <f t="shared" si="83"/>
        <v>0</v>
      </c>
      <c r="P99" s="51">
        <f t="shared" si="83"/>
        <v>0</v>
      </c>
      <c r="Q99" s="51">
        <f t="shared" si="83"/>
        <v>864</v>
      </c>
      <c r="R99" s="51">
        <f t="shared" si="83"/>
        <v>617.96</v>
      </c>
      <c r="S99" s="51">
        <f t="shared" si="83"/>
        <v>715</v>
      </c>
      <c r="T99" s="51">
        <f t="shared" si="83"/>
        <v>4244.625</v>
      </c>
      <c r="U99" s="51">
        <f t="shared" si="83"/>
        <v>4679.6990625000008</v>
      </c>
      <c r="V99" s="51">
        <f t="shared" si="83"/>
        <v>5159.3682164062511</v>
      </c>
      <c r="W99" s="51">
        <f t="shared" si="83"/>
        <v>5688.2034585878919</v>
      </c>
      <c r="X99" s="51">
        <f t="shared" si="83"/>
        <v>6271.2443130931524</v>
      </c>
      <c r="Y99" s="51">
        <f t="shared" si="83"/>
        <v>6914.0468551852</v>
      </c>
      <c r="Z99" s="51">
        <f t="shared" si="83"/>
        <v>7622.7366578416841</v>
      </c>
      <c r="AA99" s="51">
        <f t="shared" si="83"/>
        <v>8126.0049408398454</v>
      </c>
      <c r="AB99" s="51">
        <f t="shared" si="83"/>
        <v>8532.3051878818369</v>
      </c>
      <c r="AC99" s="51">
        <f t="shared" si="83"/>
        <v>8958.9204472759284</v>
      </c>
      <c r="AD99" s="51">
        <f t="shared" si="83"/>
        <v>9406.8664696397245</v>
      </c>
      <c r="AE99" s="51">
        <f t="shared" si="83"/>
        <v>9877.2097931217104</v>
      </c>
      <c r="AF99" s="51">
        <f t="shared" si="83"/>
        <v>10371.070282777797</v>
      </c>
      <c r="AG99" s="51">
        <f t="shared" si="83"/>
        <v>10889.623796916687</v>
      </c>
      <c r="AH99" s="51">
        <f t="shared" si="83"/>
        <v>11434.104986762522</v>
      </c>
      <c r="AI99" s="51">
        <f t="shared" si="83"/>
        <v>12005.810236100649</v>
      </c>
      <c r="AJ99" s="51">
        <f t="shared" si="83"/>
        <v>12606.100747905683</v>
      </c>
      <c r="AK99" s="51">
        <f t="shared" si="83"/>
        <v>13236.405785300967</v>
      </c>
      <c r="AL99" s="51">
        <f t="shared" si="83"/>
        <v>13898.226074566017</v>
      </c>
      <c r="AM99" s="51">
        <f t="shared" si="83"/>
        <v>14593.137378294317</v>
      </c>
      <c r="AN99" s="51">
        <f t="shared" si="83"/>
        <v>15322.794247209034</v>
      </c>
      <c r="AO99" s="51">
        <f t="shared" si="83"/>
        <v>16088.933959569487</v>
      </c>
      <c r="AP99" s="51">
        <f t="shared" si="83"/>
        <v>16893.380657547961</v>
      </c>
      <c r="AQ99" s="51">
        <f t="shared" si="83"/>
        <v>17738.04969042536</v>
      </c>
      <c r="AR99" s="51">
        <f t="shared" si="83"/>
        <v>18624.952174946629</v>
      </c>
      <c r="AS99" s="51">
        <f t="shared" si="83"/>
        <v>19556.199783693959</v>
      </c>
      <c r="AT99" s="51">
        <f t="shared" si="83"/>
        <v>20534.009772878657</v>
      </c>
      <c r="AU99" s="51">
        <f t="shared" si="83"/>
        <v>21560.710261522592</v>
      </c>
      <c r="AV99" s="51">
        <f t="shared" si="83"/>
        <v>22638.745774598723</v>
      </c>
      <c r="AW99" s="51">
        <f t="shared" si="83"/>
        <v>23770.683063328659</v>
      </c>
      <c r="AX99" s="51">
        <f t="shared" si="83"/>
        <v>24959.21721649509</v>
      </c>
      <c r="AY99" s="51">
        <f t="shared" si="83"/>
        <v>26207.178077319844</v>
      </c>
      <c r="AZ99" s="51">
        <f t="shared" si="83"/>
        <v>27517.536981185836</v>
      </c>
      <c r="BA99" s="51">
        <f t="shared" si="83"/>
        <v>28893.413830245132</v>
      </c>
      <c r="BB99" s="51">
        <f t="shared" si="83"/>
        <v>30338.084521757388</v>
      </c>
      <c r="BC99" s="51">
        <f t="shared" si="83"/>
        <v>31854.988747845258</v>
      </c>
      <c r="BD99" s="51">
        <f t="shared" si="83"/>
        <v>33447.738185237526</v>
      </c>
      <c r="BE99" s="51">
        <f t="shared" si="83"/>
        <v>35120.12509449941</v>
      </c>
      <c r="BF99" s="51">
        <f t="shared" si="83"/>
        <v>36876.131349224379</v>
      </c>
      <c r="BG99" s="51">
        <f t="shared" si="83"/>
        <v>38719.937916685602</v>
      </c>
      <c r="BH99" s="51">
        <f t="shared" si="83"/>
        <v>40655.934812519881</v>
      </c>
    </row>
    <row r="100" spans="1:60" ht="14.25" customHeight="1" x14ac:dyDescent="0.3">
      <c r="A100" s="46"/>
      <c r="B100" s="37"/>
      <c r="C100" s="46"/>
      <c r="D100" s="46"/>
      <c r="E100" s="46"/>
      <c r="F100" s="46"/>
      <c r="G100" s="46"/>
      <c r="H100" s="46"/>
      <c r="I100" s="46">
        <v>0</v>
      </c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  <c r="AE100" s="46"/>
      <c r="AF100" s="46"/>
      <c r="AG100" s="46"/>
      <c r="AH100" s="46"/>
      <c r="AI100" s="46"/>
      <c r="AJ100" s="46"/>
      <c r="AK100" s="46"/>
      <c r="AL100" s="46"/>
      <c r="AM100" s="46"/>
      <c r="AN100" s="46"/>
      <c r="AO100" s="46"/>
      <c r="AP100" s="46"/>
      <c r="AQ100" s="46"/>
      <c r="AR100" s="46"/>
      <c r="AS100" s="46"/>
      <c r="AT100" s="46"/>
      <c r="AU100" s="46"/>
      <c r="AV100" s="46"/>
      <c r="AW100" s="46"/>
      <c r="AX100" s="46"/>
      <c r="AY100" s="46"/>
      <c r="AZ100" s="46"/>
      <c r="BA100" s="46"/>
      <c r="BB100" s="46"/>
      <c r="BC100" s="46"/>
      <c r="BD100" s="46"/>
      <c r="BE100" s="46"/>
      <c r="BF100" s="46"/>
      <c r="BG100" s="46"/>
      <c r="BH100" s="46"/>
    </row>
    <row r="101" spans="1:60" ht="14.25" customHeight="1" x14ac:dyDescent="0.3">
      <c r="A101" s="46"/>
      <c r="B101" s="37"/>
      <c r="C101" s="46" t="s">
        <v>101</v>
      </c>
      <c r="D101" s="49">
        <f>-D98*0.6</f>
        <v>-210</v>
      </c>
      <c r="E101" s="46"/>
      <c r="F101" s="46"/>
      <c r="G101" s="46"/>
      <c r="H101" s="46"/>
      <c r="I101" s="46"/>
      <c r="J101" s="46">
        <f t="shared" ref="J101:R101" si="84">-J99*0.6</f>
        <v>0</v>
      </c>
      <c r="K101" s="46">
        <f t="shared" si="84"/>
        <v>0</v>
      </c>
      <c r="L101" s="46">
        <f t="shared" si="84"/>
        <v>0</v>
      </c>
      <c r="M101" s="46">
        <f t="shared" si="84"/>
        <v>0</v>
      </c>
      <c r="N101" s="46">
        <f t="shared" si="84"/>
        <v>0</v>
      </c>
      <c r="O101" s="46">
        <f t="shared" si="84"/>
        <v>0</v>
      </c>
      <c r="P101" s="46">
        <f t="shared" si="84"/>
        <v>0</v>
      </c>
      <c r="Q101" s="46">
        <f t="shared" si="84"/>
        <v>-518.4</v>
      </c>
      <c r="R101" s="46">
        <f t="shared" si="84"/>
        <v>-370.77600000000001</v>
      </c>
      <c r="S101" s="46">
        <f>-S99*0.6</f>
        <v>-429</v>
      </c>
      <c r="T101" s="46">
        <f t="shared" ref="T101:BH101" si="85">T97*$D101</f>
        <v>-2425.5</v>
      </c>
      <c r="U101" s="46">
        <f t="shared" si="85"/>
        <v>-2546.7750000000001</v>
      </c>
      <c r="V101" s="46">
        <f t="shared" si="85"/>
        <v>-2674.1137500000004</v>
      </c>
      <c r="W101" s="46">
        <f t="shared" si="85"/>
        <v>-2807.8194375000003</v>
      </c>
      <c r="X101" s="46">
        <f t="shared" si="85"/>
        <v>-2948.2104093750008</v>
      </c>
      <c r="Y101" s="46">
        <f t="shared" si="85"/>
        <v>-3095.6209298437507</v>
      </c>
      <c r="Z101" s="46">
        <f t="shared" si="85"/>
        <v>-3250.4019763359383</v>
      </c>
      <c r="AA101" s="46">
        <f t="shared" si="85"/>
        <v>-3412.922075152735</v>
      </c>
      <c r="AB101" s="46">
        <f t="shared" si="85"/>
        <v>-3583.5681789103714</v>
      </c>
      <c r="AC101" s="46">
        <f t="shared" si="85"/>
        <v>-3762.7465878558901</v>
      </c>
      <c r="AD101" s="46">
        <f t="shared" si="85"/>
        <v>-3950.8839172486846</v>
      </c>
      <c r="AE101" s="46">
        <f t="shared" si="85"/>
        <v>-4148.4281131111184</v>
      </c>
      <c r="AF101" s="46">
        <f t="shared" si="85"/>
        <v>-4355.8495187666749</v>
      </c>
      <c r="AG101" s="46">
        <f t="shared" si="85"/>
        <v>-4573.641994705009</v>
      </c>
      <c r="AH101" s="46">
        <f t="shared" si="85"/>
        <v>-4802.3240944402596</v>
      </c>
      <c r="AI101" s="46">
        <f t="shared" si="85"/>
        <v>-5042.4402991622728</v>
      </c>
      <c r="AJ101" s="46">
        <f t="shared" si="85"/>
        <v>-5294.562314120386</v>
      </c>
      <c r="AK101" s="46">
        <f t="shared" si="85"/>
        <v>-5559.2904298264057</v>
      </c>
      <c r="AL101" s="46">
        <f t="shared" si="85"/>
        <v>-5837.2549513177273</v>
      </c>
      <c r="AM101" s="46">
        <f t="shared" si="85"/>
        <v>-6129.1176988836132</v>
      </c>
      <c r="AN101" s="46">
        <f t="shared" si="85"/>
        <v>-6435.5735838277942</v>
      </c>
      <c r="AO101" s="46">
        <f t="shared" si="85"/>
        <v>-6757.3522630191846</v>
      </c>
      <c r="AP101" s="46">
        <f t="shared" si="85"/>
        <v>-7095.2198761701438</v>
      </c>
      <c r="AQ101" s="46">
        <f t="shared" si="85"/>
        <v>-7449.9808699786508</v>
      </c>
      <c r="AR101" s="46">
        <f t="shared" si="85"/>
        <v>-7822.479913477584</v>
      </c>
      <c r="AS101" s="46">
        <f t="shared" si="85"/>
        <v>-8213.6039091514631</v>
      </c>
      <c r="AT101" s="46">
        <f t="shared" si="85"/>
        <v>-8624.2841046090361</v>
      </c>
      <c r="AU101" s="46">
        <f t="shared" si="85"/>
        <v>-9055.4983098394878</v>
      </c>
      <c r="AV101" s="46">
        <f t="shared" si="85"/>
        <v>-9508.2732253314625</v>
      </c>
      <c r="AW101" s="46">
        <f t="shared" si="85"/>
        <v>-9983.6868865980359</v>
      </c>
      <c r="AX101" s="46">
        <f t="shared" si="85"/>
        <v>-10482.871230927938</v>
      </c>
      <c r="AY101" s="46">
        <f t="shared" si="85"/>
        <v>-11007.014792474336</v>
      </c>
      <c r="AZ101" s="46">
        <f t="shared" si="85"/>
        <v>-11557.365532098052</v>
      </c>
      <c r="BA101" s="46">
        <f t="shared" si="85"/>
        <v>-12135.233808702955</v>
      </c>
      <c r="BB101" s="46">
        <f t="shared" si="85"/>
        <v>-12741.995499138104</v>
      </c>
      <c r="BC101" s="46">
        <f t="shared" si="85"/>
        <v>-13379.095274095009</v>
      </c>
      <c r="BD101" s="46">
        <f t="shared" si="85"/>
        <v>-14048.050037799761</v>
      </c>
      <c r="BE101" s="46">
        <f t="shared" si="85"/>
        <v>-14750.452539689752</v>
      </c>
      <c r="BF101" s="46">
        <f t="shared" si="85"/>
        <v>-15487.97516667424</v>
      </c>
      <c r="BG101" s="46">
        <f t="shared" si="85"/>
        <v>-16262.373925007952</v>
      </c>
      <c r="BH101" s="46">
        <f t="shared" si="85"/>
        <v>-17075.492621258349</v>
      </c>
    </row>
    <row r="102" spans="1:60" ht="14.25" customHeight="1" x14ac:dyDescent="0.3">
      <c r="A102" s="46"/>
      <c r="B102" s="37"/>
      <c r="C102" s="46"/>
      <c r="D102" s="57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  <c r="AD102" s="46"/>
      <c r="AE102" s="46"/>
      <c r="AF102" s="46"/>
      <c r="AG102" s="46"/>
      <c r="AH102" s="46"/>
      <c r="AI102" s="46"/>
      <c r="AJ102" s="46"/>
      <c r="AK102" s="46"/>
      <c r="AL102" s="46"/>
      <c r="AM102" s="46"/>
      <c r="AN102" s="46"/>
      <c r="AO102" s="46"/>
      <c r="AP102" s="46"/>
      <c r="AQ102" s="46"/>
      <c r="AR102" s="46"/>
      <c r="AS102" s="46"/>
      <c r="AT102" s="46"/>
      <c r="AU102" s="46"/>
      <c r="AV102" s="46"/>
      <c r="AW102" s="46"/>
      <c r="AX102" s="46"/>
      <c r="AY102" s="46"/>
      <c r="AZ102" s="46"/>
      <c r="BA102" s="46"/>
      <c r="BB102" s="46"/>
      <c r="BC102" s="46"/>
      <c r="BD102" s="46"/>
      <c r="BE102" s="46"/>
      <c r="BF102" s="46"/>
      <c r="BG102" s="46"/>
      <c r="BH102" s="46"/>
    </row>
    <row r="103" spans="1:60" ht="14.25" customHeight="1" x14ac:dyDescent="0.3">
      <c r="A103" s="46"/>
      <c r="B103" s="37"/>
      <c r="C103" s="110" t="s">
        <v>291</v>
      </c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  <c r="AE103" s="46"/>
      <c r="AF103" s="46"/>
      <c r="AG103" s="46"/>
      <c r="AH103" s="46"/>
      <c r="AI103" s="46"/>
      <c r="AJ103" s="46"/>
      <c r="AK103" s="46"/>
      <c r="AL103" s="46"/>
      <c r="AM103" s="46"/>
      <c r="AN103" s="46"/>
      <c r="AO103" s="46"/>
      <c r="AP103" s="46"/>
      <c r="AQ103" s="46"/>
      <c r="AR103" s="46"/>
      <c r="AS103" s="46"/>
      <c r="AT103" s="46"/>
      <c r="AU103" s="46"/>
      <c r="AV103" s="46"/>
      <c r="AW103" s="46"/>
      <c r="AX103" s="46"/>
      <c r="AY103" s="46"/>
      <c r="AZ103" s="46"/>
      <c r="BA103" s="46"/>
      <c r="BB103" s="46"/>
      <c r="BC103" s="46"/>
      <c r="BD103" s="46"/>
      <c r="BE103" s="46"/>
      <c r="BF103" s="46"/>
      <c r="BG103" s="46"/>
      <c r="BH103" s="46"/>
    </row>
    <row r="104" spans="1:60" ht="14.25" customHeight="1" x14ac:dyDescent="0.3">
      <c r="A104" s="46"/>
      <c r="B104" s="37"/>
      <c r="C104" s="46" t="s">
        <v>292</v>
      </c>
      <c r="D104" s="47">
        <f>U3</f>
        <v>45930</v>
      </c>
      <c r="E104" s="46"/>
      <c r="F104" s="46"/>
      <c r="G104" s="46"/>
      <c r="H104" s="46"/>
      <c r="I104" s="46"/>
      <c r="J104" s="46">
        <f>IF(J$3&gt;=$D$104,1,0)</f>
        <v>0</v>
      </c>
      <c r="K104" s="46">
        <f t="shared" ref="K104:BH104" si="86">IF(K$3&gt;=$D$104,1,0)</f>
        <v>0</v>
      </c>
      <c r="L104" s="46">
        <f t="shared" si="86"/>
        <v>0</v>
      </c>
      <c r="M104" s="46">
        <f t="shared" si="86"/>
        <v>0</v>
      </c>
      <c r="N104" s="46">
        <f t="shared" si="86"/>
        <v>0</v>
      </c>
      <c r="O104" s="46">
        <f t="shared" si="86"/>
        <v>0</v>
      </c>
      <c r="P104" s="46">
        <f t="shared" si="86"/>
        <v>0</v>
      </c>
      <c r="Q104" s="46">
        <f t="shared" si="86"/>
        <v>0</v>
      </c>
      <c r="R104" s="46">
        <f t="shared" si="86"/>
        <v>0</v>
      </c>
      <c r="S104" s="46">
        <f t="shared" si="86"/>
        <v>0</v>
      </c>
      <c r="T104" s="46">
        <f t="shared" si="86"/>
        <v>0</v>
      </c>
      <c r="U104" s="46">
        <f t="shared" si="86"/>
        <v>1</v>
      </c>
      <c r="V104" s="46">
        <f t="shared" si="86"/>
        <v>1</v>
      </c>
      <c r="W104" s="46">
        <f t="shared" si="86"/>
        <v>1</v>
      </c>
      <c r="X104" s="46">
        <f t="shared" si="86"/>
        <v>1</v>
      </c>
      <c r="Y104" s="46">
        <f t="shared" si="86"/>
        <v>1</v>
      </c>
      <c r="Z104" s="46">
        <f t="shared" si="86"/>
        <v>1</v>
      </c>
      <c r="AA104" s="46">
        <f t="shared" si="86"/>
        <v>1</v>
      </c>
      <c r="AB104" s="46">
        <f t="shared" si="86"/>
        <v>1</v>
      </c>
      <c r="AC104" s="46">
        <f t="shared" si="86"/>
        <v>1</v>
      </c>
      <c r="AD104" s="46">
        <f t="shared" si="86"/>
        <v>1</v>
      </c>
      <c r="AE104" s="46">
        <f t="shared" si="86"/>
        <v>1</v>
      </c>
      <c r="AF104" s="46">
        <f t="shared" si="86"/>
        <v>1</v>
      </c>
      <c r="AG104" s="46">
        <f t="shared" si="86"/>
        <v>1</v>
      </c>
      <c r="AH104" s="46">
        <f t="shared" si="86"/>
        <v>1</v>
      </c>
      <c r="AI104" s="46">
        <f t="shared" si="86"/>
        <v>1</v>
      </c>
      <c r="AJ104" s="46">
        <f t="shared" si="86"/>
        <v>1</v>
      </c>
      <c r="AK104" s="46">
        <f t="shared" si="86"/>
        <v>1</v>
      </c>
      <c r="AL104" s="46">
        <f t="shared" si="86"/>
        <v>1</v>
      </c>
      <c r="AM104" s="46">
        <f t="shared" si="86"/>
        <v>1</v>
      </c>
      <c r="AN104" s="46">
        <f t="shared" si="86"/>
        <v>1</v>
      </c>
      <c r="AO104" s="46">
        <f t="shared" si="86"/>
        <v>1</v>
      </c>
      <c r="AP104" s="46">
        <f t="shared" si="86"/>
        <v>1</v>
      </c>
      <c r="AQ104" s="46">
        <f t="shared" si="86"/>
        <v>1</v>
      </c>
      <c r="AR104" s="46">
        <f t="shared" si="86"/>
        <v>1</v>
      </c>
      <c r="AS104" s="46">
        <f t="shared" si="86"/>
        <v>1</v>
      </c>
      <c r="AT104" s="46">
        <f t="shared" si="86"/>
        <v>1</v>
      </c>
      <c r="AU104" s="46">
        <f t="shared" si="86"/>
        <v>1</v>
      </c>
      <c r="AV104" s="46">
        <f t="shared" si="86"/>
        <v>1</v>
      </c>
      <c r="AW104" s="46">
        <f t="shared" si="86"/>
        <v>1</v>
      </c>
      <c r="AX104" s="46">
        <f t="shared" si="86"/>
        <v>1</v>
      </c>
      <c r="AY104" s="46">
        <f t="shared" si="86"/>
        <v>1</v>
      </c>
      <c r="AZ104" s="46">
        <f t="shared" si="86"/>
        <v>1</v>
      </c>
      <c r="BA104" s="46">
        <f t="shared" si="86"/>
        <v>1</v>
      </c>
      <c r="BB104" s="46">
        <f t="shared" si="86"/>
        <v>1</v>
      </c>
      <c r="BC104" s="46">
        <f t="shared" si="86"/>
        <v>1</v>
      </c>
      <c r="BD104" s="46">
        <f t="shared" si="86"/>
        <v>1</v>
      </c>
      <c r="BE104" s="46">
        <f t="shared" si="86"/>
        <v>1</v>
      </c>
      <c r="BF104" s="46">
        <f t="shared" si="86"/>
        <v>1</v>
      </c>
      <c r="BG104" s="46">
        <f t="shared" si="86"/>
        <v>1</v>
      </c>
      <c r="BH104" s="46">
        <f t="shared" si="86"/>
        <v>1</v>
      </c>
    </row>
    <row r="105" spans="1:60" ht="14.25" customHeight="1" x14ac:dyDescent="0.3">
      <c r="A105" s="46"/>
      <c r="B105" s="37"/>
      <c r="C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  <c r="AE105" s="46"/>
      <c r="AF105" s="46"/>
      <c r="AG105" s="46"/>
      <c r="AH105" s="46"/>
      <c r="AI105" s="46"/>
      <c r="AJ105" s="46"/>
      <c r="AK105" s="46"/>
      <c r="AL105" s="46"/>
      <c r="AM105" s="46"/>
      <c r="AN105" s="46"/>
      <c r="AO105" s="46"/>
      <c r="AP105" s="46"/>
      <c r="AQ105" s="46"/>
      <c r="AR105" s="46"/>
      <c r="AS105" s="46"/>
      <c r="AT105" s="46"/>
      <c r="AU105" s="46"/>
      <c r="AV105" s="46"/>
      <c r="AW105" s="46"/>
      <c r="AX105" s="46"/>
      <c r="AY105" s="46"/>
      <c r="AZ105" s="46"/>
      <c r="BA105" s="46"/>
      <c r="BB105" s="46"/>
      <c r="BC105" s="46"/>
      <c r="BD105" s="46"/>
      <c r="BE105" s="46"/>
      <c r="BF105" s="46"/>
      <c r="BG105" s="46"/>
      <c r="BH105" s="46"/>
    </row>
    <row r="106" spans="1:60" ht="15" customHeight="1" x14ac:dyDescent="0.3">
      <c r="B106" s="37"/>
      <c r="D106" s="46" t="s">
        <v>49</v>
      </c>
      <c r="E106" s="46" t="s">
        <v>50</v>
      </c>
      <c r="F106" s="46" t="s">
        <v>51</v>
      </c>
    </row>
    <row r="107" spans="1:60" ht="15" customHeight="1" x14ac:dyDescent="0.3">
      <c r="B107" s="37"/>
      <c r="C107" s="46" t="s">
        <v>293</v>
      </c>
      <c r="D107" s="49">
        <v>20</v>
      </c>
      <c r="E107" s="49">
        <v>150</v>
      </c>
      <c r="F107" s="50">
        <v>0.1</v>
      </c>
      <c r="I107" s="46">
        <v>0</v>
      </c>
      <c r="J107" s="46">
        <f>MIN(MAX($D107,I107)*(1+$F107)*J$104,$E107)</f>
        <v>0</v>
      </c>
      <c r="K107" s="46">
        <f t="shared" ref="K107:Z108" si="87">MIN(MAX($D107,J107)*(1+$F107)*K$104,$E107)</f>
        <v>0</v>
      </c>
      <c r="L107" s="46">
        <f t="shared" si="87"/>
        <v>0</v>
      </c>
      <c r="M107" s="46">
        <f t="shared" si="87"/>
        <v>0</v>
      </c>
      <c r="N107" s="46">
        <f t="shared" si="87"/>
        <v>0</v>
      </c>
      <c r="O107" s="46">
        <f t="shared" si="87"/>
        <v>0</v>
      </c>
      <c r="P107" s="46">
        <f t="shared" si="87"/>
        <v>0</v>
      </c>
      <c r="Q107" s="46">
        <f t="shared" si="87"/>
        <v>0</v>
      </c>
      <c r="R107" s="46">
        <f t="shared" si="87"/>
        <v>0</v>
      </c>
      <c r="S107" s="46">
        <f t="shared" si="87"/>
        <v>0</v>
      </c>
      <c r="T107" s="46">
        <f t="shared" si="87"/>
        <v>0</v>
      </c>
      <c r="U107" s="46">
        <f t="shared" si="87"/>
        <v>22</v>
      </c>
      <c r="V107" s="46">
        <f t="shared" si="87"/>
        <v>24.200000000000003</v>
      </c>
      <c r="W107" s="46">
        <f t="shared" si="87"/>
        <v>26.620000000000005</v>
      </c>
      <c r="X107" s="46">
        <f t="shared" si="87"/>
        <v>29.282000000000007</v>
      </c>
      <c r="Y107" s="46">
        <f t="shared" si="87"/>
        <v>32.210200000000007</v>
      </c>
      <c r="Z107" s="46">
        <f t="shared" si="87"/>
        <v>35.43122000000001</v>
      </c>
      <c r="AA107" s="46">
        <f t="shared" ref="AA107:AP108" si="88">MIN(MAX($D107,Z107)*(1+$F107)*AA$104,$E107)</f>
        <v>38.974342000000014</v>
      </c>
      <c r="AB107" s="46">
        <f t="shared" si="88"/>
        <v>42.871776200000021</v>
      </c>
      <c r="AC107" s="46">
        <f t="shared" si="88"/>
        <v>47.158953820000029</v>
      </c>
      <c r="AD107" s="46">
        <f t="shared" si="88"/>
        <v>51.874849202000036</v>
      </c>
      <c r="AE107" s="46">
        <f t="shared" si="88"/>
        <v>57.062334122200042</v>
      </c>
      <c r="AF107" s="46">
        <f t="shared" si="88"/>
        <v>62.76856753442005</v>
      </c>
      <c r="AG107" s="46">
        <f t="shared" si="88"/>
        <v>69.045424287862062</v>
      </c>
      <c r="AH107" s="46">
        <f t="shared" si="88"/>
        <v>75.949966716648277</v>
      </c>
      <c r="AI107" s="46">
        <f t="shared" si="88"/>
        <v>83.544963388313107</v>
      </c>
      <c r="AJ107" s="46">
        <f t="shared" si="88"/>
        <v>91.899459727144432</v>
      </c>
      <c r="AK107" s="46">
        <f t="shared" si="88"/>
        <v>101.08940569985889</v>
      </c>
      <c r="AL107" s="46">
        <f t="shared" si="88"/>
        <v>111.19834626984479</v>
      </c>
      <c r="AM107" s="46">
        <f t="shared" si="88"/>
        <v>122.31818089682928</v>
      </c>
      <c r="AN107" s="46">
        <f t="shared" si="88"/>
        <v>134.54999898651221</v>
      </c>
      <c r="AO107" s="46">
        <f t="shared" si="88"/>
        <v>148.00499888516345</v>
      </c>
      <c r="AP107" s="46">
        <f t="shared" si="88"/>
        <v>150</v>
      </c>
      <c r="AQ107" s="46">
        <f t="shared" ref="AQ107:BF108" si="89">MIN(MAX($D107,AP107)*(1+$F107)*AQ$104,$E107)</f>
        <v>150</v>
      </c>
      <c r="AR107" s="46">
        <f t="shared" si="89"/>
        <v>150</v>
      </c>
      <c r="AS107" s="46">
        <f t="shared" si="89"/>
        <v>150</v>
      </c>
      <c r="AT107" s="46">
        <f t="shared" si="89"/>
        <v>150</v>
      </c>
      <c r="AU107" s="46">
        <f t="shared" si="89"/>
        <v>150</v>
      </c>
      <c r="AV107" s="46">
        <f t="shared" si="89"/>
        <v>150</v>
      </c>
      <c r="AW107" s="46">
        <f t="shared" si="89"/>
        <v>150</v>
      </c>
      <c r="AX107" s="46">
        <f t="shared" si="89"/>
        <v>150</v>
      </c>
      <c r="AY107" s="46">
        <f t="shared" si="89"/>
        <v>150</v>
      </c>
      <c r="AZ107" s="46">
        <f t="shared" si="89"/>
        <v>150</v>
      </c>
      <c r="BA107" s="46">
        <f t="shared" si="89"/>
        <v>150</v>
      </c>
      <c r="BB107" s="46">
        <f t="shared" si="89"/>
        <v>150</v>
      </c>
      <c r="BC107" s="46">
        <f t="shared" si="89"/>
        <v>150</v>
      </c>
      <c r="BD107" s="46">
        <f t="shared" si="89"/>
        <v>150</v>
      </c>
      <c r="BE107" s="46">
        <f t="shared" si="89"/>
        <v>150</v>
      </c>
      <c r="BF107" s="46">
        <f t="shared" si="89"/>
        <v>150</v>
      </c>
      <c r="BG107" s="46">
        <f t="shared" ref="BG107:BH108" si="90">MIN(MAX($D107,BF107)*(1+$F107)*BG$104,$E107)</f>
        <v>150</v>
      </c>
      <c r="BH107" s="46">
        <f t="shared" si="90"/>
        <v>150</v>
      </c>
    </row>
    <row r="108" spans="1:60" ht="15" customHeight="1" x14ac:dyDescent="0.3">
      <c r="B108" s="37"/>
      <c r="C108" s="46" t="s">
        <v>65</v>
      </c>
      <c r="D108" s="49">
        <v>100</v>
      </c>
      <c r="E108" s="49">
        <v>100</v>
      </c>
      <c r="F108" s="50">
        <v>0</v>
      </c>
      <c r="I108" s="46">
        <v>0</v>
      </c>
      <c r="J108" s="46">
        <f>MIN(MAX($D108,I108)*(1+$F108)*J$104,$E108)</f>
        <v>0</v>
      </c>
      <c r="K108" s="46">
        <f t="shared" si="87"/>
        <v>0</v>
      </c>
      <c r="L108" s="46">
        <f t="shared" si="87"/>
        <v>0</v>
      </c>
      <c r="M108" s="46">
        <f t="shared" si="87"/>
        <v>0</v>
      </c>
      <c r="N108" s="46">
        <f t="shared" si="87"/>
        <v>0</v>
      </c>
      <c r="O108" s="46">
        <f t="shared" si="87"/>
        <v>0</v>
      </c>
      <c r="P108" s="46">
        <f t="shared" si="87"/>
        <v>0</v>
      </c>
      <c r="Q108" s="46">
        <f t="shared" si="87"/>
        <v>0</v>
      </c>
      <c r="R108" s="46">
        <f t="shared" si="87"/>
        <v>0</v>
      </c>
      <c r="S108" s="46">
        <f t="shared" si="87"/>
        <v>0</v>
      </c>
      <c r="T108" s="46">
        <f t="shared" si="87"/>
        <v>0</v>
      </c>
      <c r="U108" s="46">
        <f t="shared" si="87"/>
        <v>100</v>
      </c>
      <c r="V108" s="46">
        <f t="shared" si="87"/>
        <v>100</v>
      </c>
      <c r="W108" s="46">
        <f t="shared" si="87"/>
        <v>100</v>
      </c>
      <c r="X108" s="46">
        <f t="shared" si="87"/>
        <v>100</v>
      </c>
      <c r="Y108" s="46">
        <f t="shared" si="87"/>
        <v>100</v>
      </c>
      <c r="Z108" s="46">
        <f t="shared" si="87"/>
        <v>100</v>
      </c>
      <c r="AA108" s="46">
        <f t="shared" si="88"/>
        <v>100</v>
      </c>
      <c r="AB108" s="46">
        <f t="shared" si="88"/>
        <v>100</v>
      </c>
      <c r="AC108" s="46">
        <f t="shared" si="88"/>
        <v>100</v>
      </c>
      <c r="AD108" s="46">
        <f t="shared" si="88"/>
        <v>100</v>
      </c>
      <c r="AE108" s="46">
        <f t="shared" si="88"/>
        <v>100</v>
      </c>
      <c r="AF108" s="46">
        <f t="shared" si="88"/>
        <v>100</v>
      </c>
      <c r="AG108" s="46">
        <f t="shared" si="88"/>
        <v>100</v>
      </c>
      <c r="AH108" s="46">
        <f t="shared" si="88"/>
        <v>100</v>
      </c>
      <c r="AI108" s="46">
        <f t="shared" si="88"/>
        <v>100</v>
      </c>
      <c r="AJ108" s="46">
        <f t="shared" si="88"/>
        <v>100</v>
      </c>
      <c r="AK108" s="46">
        <f t="shared" si="88"/>
        <v>100</v>
      </c>
      <c r="AL108" s="46">
        <f t="shared" si="88"/>
        <v>100</v>
      </c>
      <c r="AM108" s="46">
        <f t="shared" si="88"/>
        <v>100</v>
      </c>
      <c r="AN108" s="46">
        <f t="shared" si="88"/>
        <v>100</v>
      </c>
      <c r="AO108" s="46">
        <f t="shared" si="88"/>
        <v>100</v>
      </c>
      <c r="AP108" s="46">
        <f t="shared" si="88"/>
        <v>100</v>
      </c>
      <c r="AQ108" s="46">
        <f t="shared" si="89"/>
        <v>100</v>
      </c>
      <c r="AR108" s="46">
        <f t="shared" si="89"/>
        <v>100</v>
      </c>
      <c r="AS108" s="46">
        <f t="shared" si="89"/>
        <v>100</v>
      </c>
      <c r="AT108" s="46">
        <f t="shared" si="89"/>
        <v>100</v>
      </c>
      <c r="AU108" s="46">
        <f t="shared" si="89"/>
        <v>100</v>
      </c>
      <c r="AV108" s="46">
        <f t="shared" si="89"/>
        <v>100</v>
      </c>
      <c r="AW108" s="46">
        <f t="shared" si="89"/>
        <v>100</v>
      </c>
      <c r="AX108" s="46">
        <f t="shared" si="89"/>
        <v>100</v>
      </c>
      <c r="AY108" s="46">
        <f t="shared" si="89"/>
        <v>100</v>
      </c>
      <c r="AZ108" s="46">
        <f t="shared" si="89"/>
        <v>100</v>
      </c>
      <c r="BA108" s="46">
        <f t="shared" si="89"/>
        <v>100</v>
      </c>
      <c r="BB108" s="46">
        <f t="shared" si="89"/>
        <v>100</v>
      </c>
      <c r="BC108" s="46">
        <f t="shared" si="89"/>
        <v>100</v>
      </c>
      <c r="BD108" s="46">
        <f t="shared" si="89"/>
        <v>100</v>
      </c>
      <c r="BE108" s="46">
        <f t="shared" si="89"/>
        <v>100</v>
      </c>
      <c r="BF108" s="46">
        <f t="shared" si="89"/>
        <v>100</v>
      </c>
      <c r="BG108" s="46">
        <f t="shared" si="90"/>
        <v>100</v>
      </c>
      <c r="BH108" s="46">
        <f t="shared" si="90"/>
        <v>100</v>
      </c>
    </row>
    <row r="109" spans="1:60" ht="15" customHeight="1" x14ac:dyDescent="0.3">
      <c r="B109" s="37"/>
      <c r="C109" s="46" t="s">
        <v>294</v>
      </c>
      <c r="D109" s="46"/>
      <c r="E109" s="46"/>
      <c r="F109" s="46"/>
      <c r="I109" s="46">
        <v>0</v>
      </c>
      <c r="J109" s="51">
        <f t="shared" ref="J109:BH109" si="91">J107*J108</f>
        <v>0</v>
      </c>
      <c r="K109" s="51">
        <f t="shared" si="91"/>
        <v>0</v>
      </c>
      <c r="L109" s="51">
        <f t="shared" si="91"/>
        <v>0</v>
      </c>
      <c r="M109" s="51">
        <f t="shared" si="91"/>
        <v>0</v>
      </c>
      <c r="N109" s="51">
        <f t="shared" si="91"/>
        <v>0</v>
      </c>
      <c r="O109" s="51">
        <f t="shared" si="91"/>
        <v>0</v>
      </c>
      <c r="P109" s="51">
        <f t="shared" si="91"/>
        <v>0</v>
      </c>
      <c r="Q109" s="51">
        <f t="shared" si="91"/>
        <v>0</v>
      </c>
      <c r="R109" s="51">
        <f t="shared" si="91"/>
        <v>0</v>
      </c>
      <c r="S109" s="51">
        <f t="shared" si="91"/>
        <v>0</v>
      </c>
      <c r="T109" s="51">
        <f t="shared" si="91"/>
        <v>0</v>
      </c>
      <c r="U109" s="51">
        <f t="shared" si="91"/>
        <v>2200</v>
      </c>
      <c r="V109" s="51">
        <f t="shared" si="91"/>
        <v>2420.0000000000005</v>
      </c>
      <c r="W109" s="51">
        <f t="shared" si="91"/>
        <v>2662.0000000000005</v>
      </c>
      <c r="X109" s="51">
        <f t="shared" si="91"/>
        <v>2928.2000000000007</v>
      </c>
      <c r="Y109" s="51">
        <f t="shared" si="91"/>
        <v>3221.0200000000009</v>
      </c>
      <c r="Z109" s="51">
        <f t="shared" si="91"/>
        <v>3543.1220000000012</v>
      </c>
      <c r="AA109" s="51">
        <f t="shared" si="91"/>
        <v>3897.4342000000015</v>
      </c>
      <c r="AB109" s="51">
        <f t="shared" si="91"/>
        <v>4287.1776200000022</v>
      </c>
      <c r="AC109" s="51">
        <f t="shared" si="91"/>
        <v>4715.8953820000033</v>
      </c>
      <c r="AD109" s="51">
        <f t="shared" si="91"/>
        <v>5187.4849202000032</v>
      </c>
      <c r="AE109" s="51">
        <f t="shared" si="91"/>
        <v>5706.2334122200045</v>
      </c>
      <c r="AF109" s="51">
        <f t="shared" si="91"/>
        <v>6276.8567534420054</v>
      </c>
      <c r="AG109" s="51">
        <f t="shared" si="91"/>
        <v>6904.5424287862061</v>
      </c>
      <c r="AH109" s="51">
        <f t="shared" si="91"/>
        <v>7594.9966716648278</v>
      </c>
      <c r="AI109" s="51">
        <f t="shared" si="91"/>
        <v>8354.4963388313099</v>
      </c>
      <c r="AJ109" s="51">
        <f t="shared" si="91"/>
        <v>9189.945972714444</v>
      </c>
      <c r="AK109" s="51">
        <f t="shared" si="91"/>
        <v>10108.940569985889</v>
      </c>
      <c r="AL109" s="51">
        <f t="shared" si="91"/>
        <v>11119.834626984479</v>
      </c>
      <c r="AM109" s="51">
        <f t="shared" si="91"/>
        <v>12231.818089682927</v>
      </c>
      <c r="AN109" s="51">
        <f t="shared" si="91"/>
        <v>13454.99989865122</v>
      </c>
      <c r="AO109" s="51">
        <f t="shared" si="91"/>
        <v>14800.499888516344</v>
      </c>
      <c r="AP109" s="51">
        <f t="shared" si="91"/>
        <v>15000</v>
      </c>
      <c r="AQ109" s="51">
        <f t="shared" si="91"/>
        <v>15000</v>
      </c>
      <c r="AR109" s="51">
        <f t="shared" si="91"/>
        <v>15000</v>
      </c>
      <c r="AS109" s="51">
        <f t="shared" si="91"/>
        <v>15000</v>
      </c>
      <c r="AT109" s="51">
        <f t="shared" si="91"/>
        <v>15000</v>
      </c>
      <c r="AU109" s="51">
        <f t="shared" si="91"/>
        <v>15000</v>
      </c>
      <c r="AV109" s="51">
        <f t="shared" si="91"/>
        <v>15000</v>
      </c>
      <c r="AW109" s="51">
        <f t="shared" si="91"/>
        <v>15000</v>
      </c>
      <c r="AX109" s="51">
        <f t="shared" si="91"/>
        <v>15000</v>
      </c>
      <c r="AY109" s="51">
        <f t="shared" si="91"/>
        <v>15000</v>
      </c>
      <c r="AZ109" s="51">
        <f t="shared" si="91"/>
        <v>15000</v>
      </c>
      <c r="BA109" s="51">
        <f t="shared" si="91"/>
        <v>15000</v>
      </c>
      <c r="BB109" s="51">
        <f t="shared" si="91"/>
        <v>15000</v>
      </c>
      <c r="BC109" s="51">
        <f t="shared" si="91"/>
        <v>15000</v>
      </c>
      <c r="BD109" s="51">
        <f t="shared" si="91"/>
        <v>15000</v>
      </c>
      <c r="BE109" s="51">
        <f t="shared" si="91"/>
        <v>15000</v>
      </c>
      <c r="BF109" s="51">
        <f t="shared" si="91"/>
        <v>15000</v>
      </c>
      <c r="BG109" s="51">
        <f t="shared" si="91"/>
        <v>15000</v>
      </c>
      <c r="BH109" s="51">
        <f t="shared" si="91"/>
        <v>15000</v>
      </c>
    </row>
    <row r="110" spans="1:60" ht="15" customHeight="1" x14ac:dyDescent="0.3">
      <c r="B110" s="37"/>
      <c r="C110" s="46"/>
      <c r="D110" s="46"/>
      <c r="E110" s="46"/>
      <c r="F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  <c r="AD110" s="46"/>
      <c r="AE110" s="46"/>
      <c r="AF110" s="46"/>
      <c r="AG110" s="46"/>
      <c r="AH110" s="46"/>
      <c r="AI110" s="46"/>
      <c r="AJ110" s="46"/>
      <c r="AK110" s="46"/>
      <c r="AL110" s="46"/>
      <c r="AM110" s="46"/>
      <c r="AN110" s="46"/>
      <c r="AO110" s="46"/>
      <c r="AP110" s="46"/>
      <c r="AQ110" s="46"/>
      <c r="AR110" s="46"/>
      <c r="AS110" s="46"/>
      <c r="AT110" s="46"/>
      <c r="AU110" s="46"/>
      <c r="AV110" s="46"/>
      <c r="AW110" s="46"/>
      <c r="AX110" s="46"/>
      <c r="AY110" s="46"/>
      <c r="AZ110" s="46"/>
      <c r="BA110" s="46"/>
      <c r="BB110" s="46"/>
      <c r="BC110" s="46"/>
      <c r="BD110" s="46"/>
      <c r="BE110" s="46"/>
      <c r="BF110" s="46"/>
      <c r="BG110" s="46"/>
      <c r="BH110" s="46"/>
    </row>
    <row r="111" spans="1:60" ht="14.25" customHeight="1" x14ac:dyDescent="0.3">
      <c r="A111" s="46"/>
      <c r="B111" s="37"/>
      <c r="C111" s="110" t="s">
        <v>295</v>
      </c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  <c r="AC111" s="46"/>
      <c r="AD111" s="46"/>
      <c r="AE111" s="46"/>
      <c r="AF111" s="46"/>
      <c r="AG111" s="46"/>
      <c r="AH111" s="46"/>
      <c r="AI111" s="46"/>
      <c r="AJ111" s="46"/>
      <c r="AK111" s="46"/>
      <c r="AL111" s="46"/>
      <c r="AM111" s="46"/>
      <c r="AN111" s="46"/>
      <c r="AO111" s="46"/>
      <c r="AP111" s="46"/>
      <c r="AQ111" s="46"/>
      <c r="AR111" s="46"/>
      <c r="AS111" s="46"/>
      <c r="AT111" s="46"/>
      <c r="AU111" s="46"/>
      <c r="AV111" s="46"/>
      <c r="AW111" s="46"/>
      <c r="AX111" s="46"/>
      <c r="AY111" s="46"/>
      <c r="AZ111" s="46"/>
      <c r="BA111" s="46"/>
      <c r="BB111" s="46"/>
      <c r="BC111" s="46"/>
      <c r="BD111" s="46"/>
      <c r="BE111" s="46"/>
      <c r="BF111" s="46"/>
      <c r="BG111" s="46"/>
      <c r="BH111" s="46"/>
    </row>
    <row r="112" spans="1:60" ht="14.25" customHeight="1" x14ac:dyDescent="0.3">
      <c r="A112" s="46"/>
      <c r="B112" s="37"/>
      <c r="C112" s="46" t="s">
        <v>296</v>
      </c>
      <c r="D112" s="47">
        <f>V3</f>
        <v>45961</v>
      </c>
      <c r="E112" s="46"/>
      <c r="F112" s="46"/>
      <c r="G112" s="46"/>
      <c r="H112" s="46"/>
      <c r="I112" s="46"/>
      <c r="J112" s="46">
        <f>IF(J$3&gt;=$D$112,1,0)</f>
        <v>0</v>
      </c>
      <c r="K112" s="46">
        <f t="shared" ref="K112:BH112" si="92">IF(K$3&gt;=$D$112,1,0)</f>
        <v>0</v>
      </c>
      <c r="L112" s="46">
        <f t="shared" si="92"/>
        <v>0</v>
      </c>
      <c r="M112" s="46">
        <f t="shared" si="92"/>
        <v>0</v>
      </c>
      <c r="N112" s="46">
        <f t="shared" si="92"/>
        <v>0</v>
      </c>
      <c r="O112" s="46">
        <f t="shared" si="92"/>
        <v>0</v>
      </c>
      <c r="P112" s="46">
        <f t="shared" si="92"/>
        <v>0</v>
      </c>
      <c r="Q112" s="46">
        <f t="shared" si="92"/>
        <v>0</v>
      </c>
      <c r="R112" s="46">
        <f t="shared" si="92"/>
        <v>0</v>
      </c>
      <c r="S112" s="46">
        <f t="shared" si="92"/>
        <v>0</v>
      </c>
      <c r="T112" s="46">
        <f t="shared" si="92"/>
        <v>0</v>
      </c>
      <c r="U112" s="46">
        <f t="shared" si="92"/>
        <v>0</v>
      </c>
      <c r="V112" s="46">
        <f t="shared" si="92"/>
        <v>1</v>
      </c>
      <c r="W112" s="46">
        <f t="shared" si="92"/>
        <v>1</v>
      </c>
      <c r="X112" s="46">
        <f t="shared" si="92"/>
        <v>1</v>
      </c>
      <c r="Y112" s="46">
        <f t="shared" si="92"/>
        <v>1</v>
      </c>
      <c r="Z112" s="46">
        <f t="shared" si="92"/>
        <v>1</v>
      </c>
      <c r="AA112" s="46">
        <f t="shared" si="92"/>
        <v>1</v>
      </c>
      <c r="AB112" s="46">
        <f t="shared" si="92"/>
        <v>1</v>
      </c>
      <c r="AC112" s="46">
        <f t="shared" si="92"/>
        <v>1</v>
      </c>
      <c r="AD112" s="46">
        <f t="shared" si="92"/>
        <v>1</v>
      </c>
      <c r="AE112" s="46">
        <f t="shared" si="92"/>
        <v>1</v>
      </c>
      <c r="AF112" s="46">
        <f t="shared" si="92"/>
        <v>1</v>
      </c>
      <c r="AG112" s="46">
        <f t="shared" si="92"/>
        <v>1</v>
      </c>
      <c r="AH112" s="46">
        <f t="shared" si="92"/>
        <v>1</v>
      </c>
      <c r="AI112" s="46">
        <f t="shared" si="92"/>
        <v>1</v>
      </c>
      <c r="AJ112" s="46">
        <f t="shared" si="92"/>
        <v>1</v>
      </c>
      <c r="AK112" s="46">
        <f t="shared" si="92"/>
        <v>1</v>
      </c>
      <c r="AL112" s="46">
        <f t="shared" si="92"/>
        <v>1</v>
      </c>
      <c r="AM112" s="46">
        <f t="shared" si="92"/>
        <v>1</v>
      </c>
      <c r="AN112" s="46">
        <f t="shared" si="92"/>
        <v>1</v>
      </c>
      <c r="AO112" s="46">
        <f t="shared" si="92"/>
        <v>1</v>
      </c>
      <c r="AP112" s="46">
        <f t="shared" si="92"/>
        <v>1</v>
      </c>
      <c r="AQ112" s="46">
        <f t="shared" si="92"/>
        <v>1</v>
      </c>
      <c r="AR112" s="46">
        <f t="shared" si="92"/>
        <v>1</v>
      </c>
      <c r="AS112" s="46">
        <f t="shared" si="92"/>
        <v>1</v>
      </c>
      <c r="AT112" s="46">
        <f t="shared" si="92"/>
        <v>1</v>
      </c>
      <c r="AU112" s="46">
        <f t="shared" si="92"/>
        <v>1</v>
      </c>
      <c r="AV112" s="46">
        <f t="shared" si="92"/>
        <v>1</v>
      </c>
      <c r="AW112" s="46">
        <f t="shared" si="92"/>
        <v>1</v>
      </c>
      <c r="AX112" s="46">
        <f t="shared" si="92"/>
        <v>1</v>
      </c>
      <c r="AY112" s="46">
        <f t="shared" si="92"/>
        <v>1</v>
      </c>
      <c r="AZ112" s="46">
        <f t="shared" si="92"/>
        <v>1</v>
      </c>
      <c r="BA112" s="46">
        <f t="shared" si="92"/>
        <v>1</v>
      </c>
      <c r="BB112" s="46">
        <f t="shared" si="92"/>
        <v>1</v>
      </c>
      <c r="BC112" s="46">
        <f t="shared" si="92"/>
        <v>1</v>
      </c>
      <c r="BD112" s="46">
        <f t="shared" si="92"/>
        <v>1</v>
      </c>
      <c r="BE112" s="46">
        <f t="shared" si="92"/>
        <v>1</v>
      </c>
      <c r="BF112" s="46">
        <f t="shared" si="92"/>
        <v>1</v>
      </c>
      <c r="BG112" s="46">
        <f t="shared" si="92"/>
        <v>1</v>
      </c>
      <c r="BH112" s="46">
        <f t="shared" si="92"/>
        <v>1</v>
      </c>
    </row>
    <row r="113" spans="1:60" ht="14.25" customHeight="1" x14ac:dyDescent="0.3">
      <c r="A113" s="46"/>
      <c r="B113" s="37"/>
      <c r="C113" s="46"/>
      <c r="D113" s="109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  <c r="AE113" s="46"/>
      <c r="AF113" s="46"/>
      <c r="AG113" s="46"/>
      <c r="AH113" s="46"/>
      <c r="AI113" s="46"/>
      <c r="AJ113" s="46"/>
      <c r="AK113" s="46"/>
      <c r="AL113" s="46"/>
      <c r="AM113" s="46"/>
      <c r="AN113" s="46"/>
      <c r="AO113" s="46"/>
      <c r="AP113" s="46"/>
      <c r="AQ113" s="46"/>
      <c r="AR113" s="46"/>
      <c r="AS113" s="46"/>
      <c r="AT113" s="46"/>
      <c r="AU113" s="46"/>
      <c r="AV113" s="46"/>
      <c r="AW113" s="46"/>
      <c r="AX113" s="46"/>
      <c r="AY113" s="46"/>
      <c r="AZ113" s="46"/>
      <c r="BA113" s="46"/>
      <c r="BB113" s="46"/>
      <c r="BC113" s="46"/>
      <c r="BD113" s="46"/>
      <c r="BE113" s="46"/>
      <c r="BF113" s="46"/>
      <c r="BG113" s="46"/>
      <c r="BH113" s="46"/>
    </row>
    <row r="114" spans="1:60" ht="15" customHeight="1" x14ac:dyDescent="0.3">
      <c r="B114" s="37"/>
      <c r="D114" s="46" t="s">
        <v>49</v>
      </c>
      <c r="E114" s="46" t="s">
        <v>50</v>
      </c>
      <c r="F114" s="46" t="s">
        <v>51</v>
      </c>
    </row>
    <row r="115" spans="1:60" ht="15" customHeight="1" x14ac:dyDescent="0.3">
      <c r="B115" s="37"/>
      <c r="C115" s="46" t="s">
        <v>297</v>
      </c>
      <c r="D115" s="49">
        <v>5</v>
      </c>
      <c r="E115" s="49">
        <v>50</v>
      </c>
      <c r="F115" s="50">
        <v>0.1</v>
      </c>
      <c r="I115" s="46">
        <v>0</v>
      </c>
      <c r="J115" s="46">
        <f>MIN(MAX($D115,I115)*(1+$F115)*J$112,$E115)</f>
        <v>0</v>
      </c>
      <c r="K115" s="46">
        <f t="shared" ref="K115:Z116" si="93">MIN(MAX($D115,J115)*(1+$F115)*K$112,$E115)</f>
        <v>0</v>
      </c>
      <c r="L115" s="46">
        <f t="shared" si="93"/>
        <v>0</v>
      </c>
      <c r="M115" s="46">
        <f t="shared" si="93"/>
        <v>0</v>
      </c>
      <c r="N115" s="46">
        <f t="shared" si="93"/>
        <v>0</v>
      </c>
      <c r="O115" s="46">
        <f t="shared" si="93"/>
        <v>0</v>
      </c>
      <c r="P115" s="46">
        <f t="shared" si="93"/>
        <v>0</v>
      </c>
      <c r="Q115" s="46">
        <f t="shared" si="93"/>
        <v>0</v>
      </c>
      <c r="R115" s="46">
        <f t="shared" si="93"/>
        <v>0</v>
      </c>
      <c r="S115" s="46">
        <f t="shared" si="93"/>
        <v>0</v>
      </c>
      <c r="T115" s="46">
        <f t="shared" si="93"/>
        <v>0</v>
      </c>
      <c r="U115" s="46">
        <f t="shared" si="93"/>
        <v>0</v>
      </c>
      <c r="V115" s="46">
        <f t="shared" si="93"/>
        <v>5.5</v>
      </c>
      <c r="W115" s="46">
        <f t="shared" si="93"/>
        <v>6.0500000000000007</v>
      </c>
      <c r="X115" s="46">
        <f t="shared" si="93"/>
        <v>6.6550000000000011</v>
      </c>
      <c r="Y115" s="46">
        <f t="shared" si="93"/>
        <v>7.3205000000000018</v>
      </c>
      <c r="Z115" s="46">
        <f t="shared" si="93"/>
        <v>8.0525500000000019</v>
      </c>
      <c r="AA115" s="46">
        <f t="shared" ref="AA115:AP116" si="94">MIN(MAX($D115,Z115)*(1+$F115)*AA$112,$E115)</f>
        <v>8.8578050000000026</v>
      </c>
      <c r="AB115" s="46">
        <f t="shared" si="94"/>
        <v>9.7435855000000036</v>
      </c>
      <c r="AC115" s="46">
        <f t="shared" si="94"/>
        <v>10.717944050000005</v>
      </c>
      <c r="AD115" s="46">
        <f t="shared" si="94"/>
        <v>11.789738455000007</v>
      </c>
      <c r="AE115" s="46">
        <f t="shared" si="94"/>
        <v>12.968712300500009</v>
      </c>
      <c r="AF115" s="46">
        <f t="shared" si="94"/>
        <v>14.26558353055001</v>
      </c>
      <c r="AG115" s="46">
        <f t="shared" si="94"/>
        <v>15.692141883605013</v>
      </c>
      <c r="AH115" s="46">
        <f t="shared" si="94"/>
        <v>17.261356071965515</v>
      </c>
      <c r="AI115" s="46">
        <f t="shared" si="94"/>
        <v>18.987491679162069</v>
      </c>
      <c r="AJ115" s="46">
        <f t="shared" si="94"/>
        <v>20.886240847078277</v>
      </c>
      <c r="AK115" s="46">
        <f t="shared" si="94"/>
        <v>22.974864931786108</v>
      </c>
      <c r="AL115" s="46">
        <f t="shared" si="94"/>
        <v>25.272351424964722</v>
      </c>
      <c r="AM115" s="46">
        <f t="shared" si="94"/>
        <v>27.799586567461198</v>
      </c>
      <c r="AN115" s="46">
        <f t="shared" si="94"/>
        <v>30.579545224207319</v>
      </c>
      <c r="AO115" s="46">
        <f t="shared" si="94"/>
        <v>33.637499746628052</v>
      </c>
      <c r="AP115" s="46">
        <f t="shared" si="94"/>
        <v>37.001249721290861</v>
      </c>
      <c r="AQ115" s="46">
        <f t="shared" ref="AQ115:BF116" si="95">MIN(MAX($D115,AP115)*(1+$F115)*AQ$112,$E115)</f>
        <v>40.70137469341995</v>
      </c>
      <c r="AR115" s="46">
        <f t="shared" si="95"/>
        <v>44.771512162761951</v>
      </c>
      <c r="AS115" s="46">
        <f t="shared" si="95"/>
        <v>49.248663379038149</v>
      </c>
      <c r="AT115" s="46">
        <f t="shared" si="95"/>
        <v>50</v>
      </c>
      <c r="AU115" s="46">
        <f t="shared" si="95"/>
        <v>50</v>
      </c>
      <c r="AV115" s="46">
        <f t="shared" si="95"/>
        <v>50</v>
      </c>
      <c r="AW115" s="46">
        <f t="shared" si="95"/>
        <v>50</v>
      </c>
      <c r="AX115" s="46">
        <f t="shared" si="95"/>
        <v>50</v>
      </c>
      <c r="AY115" s="46">
        <f t="shared" si="95"/>
        <v>50</v>
      </c>
      <c r="AZ115" s="46">
        <f t="shared" si="95"/>
        <v>50</v>
      </c>
      <c r="BA115" s="46">
        <f t="shared" si="95"/>
        <v>50</v>
      </c>
      <c r="BB115" s="46">
        <f t="shared" si="95"/>
        <v>50</v>
      </c>
      <c r="BC115" s="46">
        <f t="shared" si="95"/>
        <v>50</v>
      </c>
      <c r="BD115" s="46">
        <f t="shared" si="95"/>
        <v>50</v>
      </c>
      <c r="BE115" s="46">
        <f t="shared" si="95"/>
        <v>50</v>
      </c>
      <c r="BF115" s="46">
        <f t="shared" si="95"/>
        <v>50</v>
      </c>
      <c r="BG115" s="46">
        <f t="shared" ref="BG115:BH116" si="96">MIN(MAX($D115,BF115)*(1+$F115)*BG$112,$E115)</f>
        <v>50</v>
      </c>
      <c r="BH115" s="46">
        <f t="shared" si="96"/>
        <v>50</v>
      </c>
    </row>
    <row r="116" spans="1:60" ht="15" customHeight="1" x14ac:dyDescent="0.3">
      <c r="B116" s="37"/>
      <c r="C116" s="46" t="s">
        <v>65</v>
      </c>
      <c r="D116" s="49">
        <v>100</v>
      </c>
      <c r="E116" s="49">
        <v>150</v>
      </c>
      <c r="F116" s="50">
        <v>0</v>
      </c>
      <c r="I116" s="46">
        <v>0</v>
      </c>
      <c r="J116" s="46">
        <f>MIN(MAX($D116,I116)*(1+$F116)*J$112,$E116)</f>
        <v>0</v>
      </c>
      <c r="K116" s="46">
        <f t="shared" si="93"/>
        <v>0</v>
      </c>
      <c r="L116" s="46">
        <f t="shared" si="93"/>
        <v>0</v>
      </c>
      <c r="M116" s="46">
        <f t="shared" si="93"/>
        <v>0</v>
      </c>
      <c r="N116" s="46">
        <f t="shared" si="93"/>
        <v>0</v>
      </c>
      <c r="O116" s="46">
        <f t="shared" si="93"/>
        <v>0</v>
      </c>
      <c r="P116" s="46">
        <f t="shared" si="93"/>
        <v>0</v>
      </c>
      <c r="Q116" s="46">
        <f t="shared" si="93"/>
        <v>0</v>
      </c>
      <c r="R116" s="46">
        <f t="shared" si="93"/>
        <v>0</v>
      </c>
      <c r="S116" s="46">
        <f t="shared" si="93"/>
        <v>0</v>
      </c>
      <c r="T116" s="46">
        <f t="shared" si="93"/>
        <v>0</v>
      </c>
      <c r="U116" s="46">
        <f t="shared" si="93"/>
        <v>0</v>
      </c>
      <c r="V116" s="46">
        <f t="shared" si="93"/>
        <v>100</v>
      </c>
      <c r="W116" s="46">
        <f t="shared" si="93"/>
        <v>100</v>
      </c>
      <c r="X116" s="46">
        <f t="shared" si="93"/>
        <v>100</v>
      </c>
      <c r="Y116" s="46">
        <f t="shared" si="93"/>
        <v>100</v>
      </c>
      <c r="Z116" s="46">
        <f t="shared" si="93"/>
        <v>100</v>
      </c>
      <c r="AA116" s="46">
        <f t="shared" si="94"/>
        <v>100</v>
      </c>
      <c r="AB116" s="46">
        <f t="shared" si="94"/>
        <v>100</v>
      </c>
      <c r="AC116" s="46">
        <f t="shared" si="94"/>
        <v>100</v>
      </c>
      <c r="AD116" s="46">
        <f t="shared" si="94"/>
        <v>100</v>
      </c>
      <c r="AE116" s="46">
        <f t="shared" si="94"/>
        <v>100</v>
      </c>
      <c r="AF116" s="46">
        <f t="shared" si="94"/>
        <v>100</v>
      </c>
      <c r="AG116" s="46">
        <f t="shared" si="94"/>
        <v>100</v>
      </c>
      <c r="AH116" s="46">
        <f t="shared" si="94"/>
        <v>100</v>
      </c>
      <c r="AI116" s="46">
        <f t="shared" si="94"/>
        <v>100</v>
      </c>
      <c r="AJ116" s="46">
        <f t="shared" si="94"/>
        <v>100</v>
      </c>
      <c r="AK116" s="46">
        <f t="shared" si="94"/>
        <v>100</v>
      </c>
      <c r="AL116" s="46">
        <f t="shared" si="94"/>
        <v>100</v>
      </c>
      <c r="AM116" s="46">
        <f t="shared" si="94"/>
        <v>100</v>
      </c>
      <c r="AN116" s="46">
        <f t="shared" si="94"/>
        <v>100</v>
      </c>
      <c r="AO116" s="46">
        <f t="shared" si="94"/>
        <v>100</v>
      </c>
      <c r="AP116" s="46">
        <f t="shared" si="94"/>
        <v>100</v>
      </c>
      <c r="AQ116" s="46">
        <f t="shared" si="95"/>
        <v>100</v>
      </c>
      <c r="AR116" s="46">
        <f t="shared" si="95"/>
        <v>100</v>
      </c>
      <c r="AS116" s="46">
        <f t="shared" si="95"/>
        <v>100</v>
      </c>
      <c r="AT116" s="46">
        <f t="shared" si="95"/>
        <v>100</v>
      </c>
      <c r="AU116" s="46">
        <f t="shared" si="95"/>
        <v>100</v>
      </c>
      <c r="AV116" s="46">
        <f t="shared" si="95"/>
        <v>100</v>
      </c>
      <c r="AW116" s="46">
        <f t="shared" si="95"/>
        <v>100</v>
      </c>
      <c r="AX116" s="46">
        <f t="shared" si="95"/>
        <v>100</v>
      </c>
      <c r="AY116" s="46">
        <f t="shared" si="95"/>
        <v>100</v>
      </c>
      <c r="AZ116" s="46">
        <f t="shared" si="95"/>
        <v>100</v>
      </c>
      <c r="BA116" s="46">
        <f t="shared" si="95"/>
        <v>100</v>
      </c>
      <c r="BB116" s="46">
        <f t="shared" si="95"/>
        <v>100</v>
      </c>
      <c r="BC116" s="46">
        <f t="shared" si="95"/>
        <v>100</v>
      </c>
      <c r="BD116" s="46">
        <f t="shared" si="95"/>
        <v>100</v>
      </c>
      <c r="BE116" s="46">
        <f t="shared" si="95"/>
        <v>100</v>
      </c>
      <c r="BF116" s="46">
        <f t="shared" si="95"/>
        <v>100</v>
      </c>
      <c r="BG116" s="46">
        <f t="shared" si="96"/>
        <v>100</v>
      </c>
      <c r="BH116" s="46">
        <f t="shared" si="96"/>
        <v>100</v>
      </c>
    </row>
    <row r="117" spans="1:60" ht="15" customHeight="1" x14ac:dyDescent="0.3">
      <c r="B117" s="37"/>
      <c r="C117" s="46" t="s">
        <v>298</v>
      </c>
      <c r="D117" s="46"/>
      <c r="E117" s="46"/>
      <c r="F117" s="46"/>
      <c r="I117" s="46">
        <v>0</v>
      </c>
      <c r="J117" s="51">
        <f t="shared" ref="J117:BH117" si="97">J115*J116</f>
        <v>0</v>
      </c>
      <c r="K117" s="51">
        <f t="shared" si="97"/>
        <v>0</v>
      </c>
      <c r="L117" s="51">
        <f t="shared" si="97"/>
        <v>0</v>
      </c>
      <c r="M117" s="51">
        <f t="shared" si="97"/>
        <v>0</v>
      </c>
      <c r="N117" s="51">
        <f t="shared" si="97"/>
        <v>0</v>
      </c>
      <c r="O117" s="51">
        <f t="shared" si="97"/>
        <v>0</v>
      </c>
      <c r="P117" s="51">
        <f t="shared" si="97"/>
        <v>0</v>
      </c>
      <c r="Q117" s="51">
        <f t="shared" si="97"/>
        <v>0</v>
      </c>
      <c r="R117" s="51">
        <f t="shared" si="97"/>
        <v>0</v>
      </c>
      <c r="S117" s="51">
        <f t="shared" si="97"/>
        <v>0</v>
      </c>
      <c r="T117" s="51">
        <f t="shared" si="97"/>
        <v>0</v>
      </c>
      <c r="U117" s="51">
        <f t="shared" si="97"/>
        <v>0</v>
      </c>
      <c r="V117" s="51">
        <f>V115*V116</f>
        <v>550</v>
      </c>
      <c r="W117" s="51">
        <f t="shared" si="97"/>
        <v>605.00000000000011</v>
      </c>
      <c r="X117" s="51">
        <f t="shared" si="97"/>
        <v>665.50000000000011</v>
      </c>
      <c r="Y117" s="51">
        <f t="shared" si="97"/>
        <v>732.05000000000018</v>
      </c>
      <c r="Z117" s="51">
        <f t="shared" si="97"/>
        <v>805.25500000000022</v>
      </c>
      <c r="AA117" s="51">
        <f t="shared" si="97"/>
        <v>885.7805000000003</v>
      </c>
      <c r="AB117" s="51">
        <f t="shared" si="97"/>
        <v>974.35855000000038</v>
      </c>
      <c r="AC117" s="51">
        <f t="shared" si="97"/>
        <v>1071.7944050000006</v>
      </c>
      <c r="AD117" s="51">
        <f t="shared" si="97"/>
        <v>1178.9738455000008</v>
      </c>
      <c r="AE117" s="51">
        <f t="shared" si="97"/>
        <v>1296.8712300500008</v>
      </c>
      <c r="AF117" s="51">
        <f t="shared" si="97"/>
        <v>1426.5583530550011</v>
      </c>
      <c r="AG117" s="51">
        <f t="shared" si="97"/>
        <v>1569.2141883605013</v>
      </c>
      <c r="AH117" s="51">
        <f t="shared" si="97"/>
        <v>1726.1356071965515</v>
      </c>
      <c r="AI117" s="51">
        <f t="shared" si="97"/>
        <v>1898.7491679162069</v>
      </c>
      <c r="AJ117" s="51">
        <f t="shared" si="97"/>
        <v>2088.6240847078275</v>
      </c>
      <c r="AK117" s="51">
        <f t="shared" si="97"/>
        <v>2297.486493178611</v>
      </c>
      <c r="AL117" s="51">
        <f t="shared" si="97"/>
        <v>2527.2351424964722</v>
      </c>
      <c r="AM117" s="51">
        <f t="shared" si="97"/>
        <v>2779.9586567461197</v>
      </c>
      <c r="AN117" s="51">
        <f t="shared" si="97"/>
        <v>3057.9545224207318</v>
      </c>
      <c r="AO117" s="51">
        <f t="shared" si="97"/>
        <v>3363.749974662805</v>
      </c>
      <c r="AP117" s="51">
        <f t="shared" si="97"/>
        <v>3700.124972129086</v>
      </c>
      <c r="AQ117" s="51">
        <f t="shared" si="97"/>
        <v>4070.1374693419948</v>
      </c>
      <c r="AR117" s="51">
        <f t="shared" si="97"/>
        <v>4477.1512162761956</v>
      </c>
      <c r="AS117" s="51">
        <f t="shared" si="97"/>
        <v>4924.8663379038153</v>
      </c>
      <c r="AT117" s="51">
        <f t="shared" si="97"/>
        <v>5000</v>
      </c>
      <c r="AU117" s="51">
        <f t="shared" si="97"/>
        <v>5000</v>
      </c>
      <c r="AV117" s="51">
        <f t="shared" si="97"/>
        <v>5000</v>
      </c>
      <c r="AW117" s="51">
        <f t="shared" si="97"/>
        <v>5000</v>
      </c>
      <c r="AX117" s="51">
        <f t="shared" si="97"/>
        <v>5000</v>
      </c>
      <c r="AY117" s="51">
        <f t="shared" si="97"/>
        <v>5000</v>
      </c>
      <c r="AZ117" s="51">
        <f t="shared" si="97"/>
        <v>5000</v>
      </c>
      <c r="BA117" s="51">
        <f t="shared" si="97"/>
        <v>5000</v>
      </c>
      <c r="BB117" s="51">
        <f t="shared" si="97"/>
        <v>5000</v>
      </c>
      <c r="BC117" s="51">
        <f t="shared" si="97"/>
        <v>5000</v>
      </c>
      <c r="BD117" s="51">
        <f t="shared" si="97"/>
        <v>5000</v>
      </c>
      <c r="BE117" s="51">
        <f t="shared" si="97"/>
        <v>5000</v>
      </c>
      <c r="BF117" s="51">
        <f t="shared" si="97"/>
        <v>5000</v>
      </c>
      <c r="BG117" s="51">
        <f t="shared" si="97"/>
        <v>5000</v>
      </c>
      <c r="BH117" s="51">
        <f t="shared" si="97"/>
        <v>5000</v>
      </c>
    </row>
    <row r="118" spans="1:60" ht="14.25" customHeight="1" x14ac:dyDescent="0.3">
      <c r="A118" s="46"/>
      <c r="B118" s="37"/>
      <c r="C118" s="46"/>
      <c r="D118" s="46"/>
      <c r="E118" s="46"/>
      <c r="F118" s="46"/>
      <c r="G118" s="46"/>
      <c r="H118" s="46"/>
      <c r="I118" s="46">
        <v>0</v>
      </c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  <c r="AD118" s="46"/>
      <c r="AE118" s="46"/>
      <c r="AF118" s="46"/>
      <c r="AG118" s="46"/>
      <c r="AH118" s="46"/>
      <c r="AI118" s="46"/>
      <c r="AJ118" s="46"/>
      <c r="AK118" s="46"/>
      <c r="AL118" s="46"/>
      <c r="AM118" s="46"/>
      <c r="AN118" s="46"/>
      <c r="AO118" s="46"/>
      <c r="AP118" s="46"/>
      <c r="AQ118" s="46"/>
      <c r="AR118" s="46"/>
      <c r="AS118" s="46"/>
      <c r="AT118" s="46"/>
      <c r="AU118" s="46"/>
      <c r="AV118" s="46"/>
      <c r="AW118" s="46"/>
      <c r="AX118" s="46"/>
      <c r="AY118" s="46"/>
      <c r="AZ118" s="46"/>
      <c r="BA118" s="46"/>
      <c r="BB118" s="46"/>
      <c r="BC118" s="46"/>
      <c r="BD118" s="46"/>
      <c r="BE118" s="46"/>
      <c r="BF118" s="46"/>
      <c r="BG118" s="46"/>
      <c r="BH118" s="46"/>
    </row>
    <row r="119" spans="1:60" ht="14.25" customHeight="1" x14ac:dyDescent="0.3">
      <c r="A119" s="46"/>
      <c r="B119" s="37"/>
      <c r="C119" s="37" t="s">
        <v>299</v>
      </c>
      <c r="E119" s="46"/>
      <c r="F119" s="46" t="s">
        <v>300</v>
      </c>
      <c r="G119" s="46"/>
      <c r="H119" s="46"/>
      <c r="I119" s="46"/>
      <c r="J119" s="46">
        <v>0</v>
      </c>
      <c r="K119" s="46">
        <v>0</v>
      </c>
      <c r="L119" s="46">
        <v>0</v>
      </c>
      <c r="M119" s="46">
        <v>12189</v>
      </c>
      <c r="N119" s="46">
        <v>5857</v>
      </c>
      <c r="O119" s="46">
        <v>12119</v>
      </c>
      <c r="P119" s="46">
        <v>5219</v>
      </c>
      <c r="Q119" s="46">
        <v>0</v>
      </c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46"/>
      <c r="AD119" s="46"/>
      <c r="AE119" s="46"/>
      <c r="AF119" s="46"/>
      <c r="AG119" s="46"/>
      <c r="AH119" s="46"/>
      <c r="AI119" s="46"/>
      <c r="AJ119" s="46"/>
      <c r="AK119" s="46"/>
      <c r="AL119" s="46"/>
      <c r="AM119" s="46"/>
      <c r="AN119" s="46"/>
      <c r="AO119" s="46"/>
      <c r="AP119" s="46"/>
      <c r="AQ119" s="46"/>
      <c r="AR119" s="46"/>
      <c r="AS119" s="46"/>
      <c r="AT119" s="46"/>
      <c r="AU119" s="46"/>
      <c r="AV119" s="46"/>
      <c r="AW119" s="46"/>
      <c r="AX119" s="46"/>
      <c r="AY119" s="46"/>
      <c r="AZ119" s="46"/>
      <c r="BA119" s="46"/>
      <c r="BB119" s="46"/>
      <c r="BC119" s="46"/>
      <c r="BD119" s="46"/>
      <c r="BE119" s="46"/>
      <c r="BF119" s="46"/>
      <c r="BG119" s="46"/>
      <c r="BH119" s="46"/>
    </row>
    <row r="120" spans="1:60" ht="14.25" customHeight="1" x14ac:dyDescent="0.3">
      <c r="A120" s="46"/>
      <c r="B120" s="37"/>
      <c r="C120" s="37" t="s">
        <v>301</v>
      </c>
      <c r="D120" s="52">
        <v>155233.9</v>
      </c>
      <c r="F120" s="46" t="s">
        <v>302</v>
      </c>
      <c r="G120" s="46"/>
      <c r="H120" s="46"/>
      <c r="I120" s="46"/>
      <c r="J120" s="46">
        <v>0</v>
      </c>
      <c r="K120" s="46">
        <v>0</v>
      </c>
      <c r="L120" s="46">
        <v>0</v>
      </c>
      <c r="M120" s="46">
        <v>0</v>
      </c>
      <c r="N120" s="46">
        <v>0</v>
      </c>
      <c r="O120" s="46">
        <v>0</v>
      </c>
      <c r="P120" s="46">
        <f>$D$120</f>
        <v>155233.9</v>
      </c>
      <c r="Q120" s="46">
        <v>0</v>
      </c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  <c r="AD120" s="46"/>
      <c r="AE120" s="46"/>
      <c r="AF120" s="46"/>
      <c r="AG120" s="46"/>
      <c r="AH120" s="46"/>
      <c r="AI120" s="46"/>
      <c r="AJ120" s="46"/>
      <c r="AK120" s="46"/>
      <c r="AL120" s="46"/>
      <c r="AM120" s="46"/>
      <c r="AN120" s="46"/>
      <c r="AO120" s="46"/>
      <c r="AP120" s="46"/>
      <c r="AQ120" s="46"/>
      <c r="AR120" s="46"/>
      <c r="AS120" s="46"/>
      <c r="AT120" s="46"/>
      <c r="AU120" s="46"/>
      <c r="AV120" s="46"/>
      <c r="AW120" s="46"/>
      <c r="AX120" s="46"/>
      <c r="AY120" s="46"/>
      <c r="AZ120" s="46"/>
      <c r="BA120" s="46"/>
      <c r="BB120" s="46"/>
      <c r="BC120" s="46"/>
      <c r="BD120" s="46"/>
      <c r="BE120" s="46"/>
      <c r="BF120" s="46"/>
      <c r="BG120" s="46"/>
      <c r="BH120" s="46"/>
    </row>
    <row r="121" spans="1:60" ht="14.25" customHeight="1" x14ac:dyDescent="0.3">
      <c r="A121" s="46"/>
      <c r="B121" s="37"/>
      <c r="C121" s="46"/>
      <c r="D121" s="46"/>
      <c r="E121" s="46"/>
      <c r="F121" s="46"/>
      <c r="G121" s="46"/>
      <c r="H121" s="46"/>
      <c r="I121" s="46">
        <v>0</v>
      </c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  <c r="AD121" s="46"/>
      <c r="AE121" s="46"/>
      <c r="AF121" s="46"/>
      <c r="AG121" s="46"/>
      <c r="AH121" s="46"/>
      <c r="AI121" s="46"/>
      <c r="AJ121" s="46"/>
      <c r="AK121" s="46"/>
      <c r="AL121" s="46"/>
      <c r="AM121" s="46"/>
      <c r="AN121" s="46"/>
      <c r="AO121" s="46"/>
      <c r="AP121" s="46"/>
      <c r="AQ121" s="46"/>
      <c r="AR121" s="46"/>
      <c r="AS121" s="46"/>
      <c r="AT121" s="46"/>
      <c r="AU121" s="46"/>
      <c r="AV121" s="46"/>
      <c r="AW121" s="46"/>
      <c r="AX121" s="46"/>
      <c r="AY121" s="46"/>
      <c r="AZ121" s="46"/>
      <c r="BA121" s="46"/>
      <c r="BB121" s="46"/>
      <c r="BC121" s="46"/>
      <c r="BD121" s="46"/>
      <c r="BE121" s="46"/>
      <c r="BF121" s="46"/>
      <c r="BG121" s="46"/>
      <c r="BH121" s="46"/>
    </row>
    <row r="122" spans="1:60" ht="14.25" customHeight="1" x14ac:dyDescent="0.3">
      <c r="A122" s="46"/>
      <c r="B122" s="37"/>
      <c r="C122" s="46" t="str">
        <f>C$12</f>
        <v>IV Number of Treatments</v>
      </c>
      <c r="D122" s="46"/>
      <c r="E122" s="46"/>
      <c r="F122" s="46"/>
      <c r="G122" s="46"/>
      <c r="H122" s="46"/>
      <c r="I122" s="46"/>
      <c r="J122" s="46">
        <f t="shared" ref="J122:BH122" si="98">J$12</f>
        <v>0</v>
      </c>
      <c r="K122" s="46">
        <f t="shared" si="98"/>
        <v>0</v>
      </c>
      <c r="L122" s="46">
        <f t="shared" si="98"/>
        <v>0</v>
      </c>
      <c r="M122" s="46">
        <f t="shared" si="98"/>
        <v>0</v>
      </c>
      <c r="N122" s="46">
        <f t="shared" si="98"/>
        <v>0</v>
      </c>
      <c r="O122" s="46">
        <f t="shared" si="98"/>
        <v>0</v>
      </c>
      <c r="P122" s="46">
        <f t="shared" si="98"/>
        <v>0</v>
      </c>
      <c r="Q122" s="46">
        <f t="shared" si="98"/>
        <v>0</v>
      </c>
      <c r="R122" s="46">
        <f t="shared" si="98"/>
        <v>13</v>
      </c>
      <c r="S122" s="46">
        <f t="shared" si="98"/>
        <v>16</v>
      </c>
      <c r="T122" s="46">
        <f t="shared" si="98"/>
        <v>32.25</v>
      </c>
      <c r="U122" s="46">
        <f t="shared" si="98"/>
        <v>34.668749999999996</v>
      </c>
      <c r="V122" s="46">
        <f t="shared" si="98"/>
        <v>37.268906249999993</v>
      </c>
      <c r="W122" s="46">
        <f t="shared" si="98"/>
        <v>40.064074218749994</v>
      </c>
      <c r="X122" s="46">
        <f t="shared" si="98"/>
        <v>43.068879785156241</v>
      </c>
      <c r="Y122" s="46">
        <f t="shared" si="98"/>
        <v>46.299045769042955</v>
      </c>
      <c r="Z122" s="46">
        <f t="shared" si="98"/>
        <v>49.771474201721176</v>
      </c>
      <c r="AA122" s="46">
        <f t="shared" si="98"/>
        <v>53.504334766850263</v>
      </c>
      <c r="AB122" s="46">
        <f t="shared" si="98"/>
        <v>57.517159874364033</v>
      </c>
      <c r="AC122" s="46">
        <f t="shared" si="98"/>
        <v>61.830946864941332</v>
      </c>
      <c r="AD122" s="46">
        <f t="shared" si="98"/>
        <v>66.468267879811933</v>
      </c>
      <c r="AE122" s="46">
        <f t="shared" si="98"/>
        <v>71.45338797079782</v>
      </c>
      <c r="AF122" s="46">
        <f t="shared" si="98"/>
        <v>76.81239206860765</v>
      </c>
      <c r="AG122" s="46">
        <f t="shared" si="98"/>
        <v>82.573321473753225</v>
      </c>
      <c r="AH122" s="46">
        <f t="shared" si="98"/>
        <v>88.766320584284713</v>
      </c>
      <c r="AI122" s="46">
        <f t="shared" si="98"/>
        <v>95.423794628106066</v>
      </c>
      <c r="AJ122" s="46">
        <f t="shared" si="98"/>
        <v>102.58057922521402</v>
      </c>
      <c r="AK122" s="46">
        <f t="shared" si="98"/>
        <v>110.27412266710508</v>
      </c>
      <c r="AL122" s="46">
        <f t="shared" si="98"/>
        <v>118.54468186713795</v>
      </c>
      <c r="AM122" s="46">
        <f t="shared" si="98"/>
        <v>127.43553300717329</v>
      </c>
      <c r="AN122" s="46">
        <f t="shared" si="98"/>
        <v>136.99319798271128</v>
      </c>
      <c r="AO122" s="46">
        <f t="shared" si="98"/>
        <v>147.26768783141463</v>
      </c>
      <c r="AP122" s="46">
        <f t="shared" si="98"/>
        <v>158.31276441877071</v>
      </c>
      <c r="AQ122" s="46">
        <f t="shared" si="98"/>
        <v>170.1862217501785</v>
      </c>
      <c r="AR122" s="46">
        <f t="shared" si="98"/>
        <v>182.95018838144188</v>
      </c>
      <c r="AS122" s="46">
        <f t="shared" si="98"/>
        <v>196.67145251005002</v>
      </c>
      <c r="AT122" s="46">
        <f t="shared" si="98"/>
        <v>211.42181144830377</v>
      </c>
      <c r="AU122" s="46">
        <f t="shared" si="98"/>
        <v>227.27844730692655</v>
      </c>
      <c r="AV122" s="46">
        <f t="shared" si="98"/>
        <v>244.32433085494603</v>
      </c>
      <c r="AW122" s="46">
        <f t="shared" si="98"/>
        <v>262.64865566906695</v>
      </c>
      <c r="AX122" s="46">
        <f t="shared" si="98"/>
        <v>282.34730484424699</v>
      </c>
      <c r="AY122" s="46">
        <f t="shared" si="98"/>
        <v>303.52335270756549</v>
      </c>
      <c r="AZ122" s="46">
        <f t="shared" si="98"/>
        <v>320</v>
      </c>
      <c r="BA122" s="46">
        <f t="shared" si="98"/>
        <v>320</v>
      </c>
      <c r="BB122" s="46">
        <f t="shared" si="98"/>
        <v>320</v>
      </c>
      <c r="BC122" s="46">
        <f t="shared" si="98"/>
        <v>320</v>
      </c>
      <c r="BD122" s="46">
        <f t="shared" si="98"/>
        <v>320</v>
      </c>
      <c r="BE122" s="46">
        <f t="shared" si="98"/>
        <v>320</v>
      </c>
      <c r="BF122" s="46">
        <f t="shared" si="98"/>
        <v>320</v>
      </c>
      <c r="BG122" s="46">
        <f t="shared" si="98"/>
        <v>320</v>
      </c>
      <c r="BH122" s="46">
        <f t="shared" si="98"/>
        <v>320</v>
      </c>
    </row>
    <row r="123" spans="1:60" ht="14.25" customHeight="1" x14ac:dyDescent="0.3">
      <c r="A123" s="46"/>
      <c r="B123" s="37"/>
      <c r="C123" s="46" t="str">
        <f>C$19</f>
        <v>IV Curcumin 100mg Number of Treatments</v>
      </c>
      <c r="D123" s="46"/>
      <c r="E123" s="46"/>
      <c r="F123" s="46"/>
      <c r="G123" s="46"/>
      <c r="H123" s="46"/>
      <c r="I123" s="46"/>
      <c r="J123" s="46">
        <f t="shared" ref="J123:BH123" si="99">J$19</f>
        <v>0</v>
      </c>
      <c r="K123" s="46">
        <f t="shared" si="99"/>
        <v>0</v>
      </c>
      <c r="L123" s="46">
        <f t="shared" si="99"/>
        <v>0</v>
      </c>
      <c r="M123" s="46">
        <f t="shared" si="99"/>
        <v>0</v>
      </c>
      <c r="N123" s="46">
        <f t="shared" si="99"/>
        <v>0</v>
      </c>
      <c r="O123" s="46">
        <f t="shared" si="99"/>
        <v>0</v>
      </c>
      <c r="P123" s="46">
        <f t="shared" si="99"/>
        <v>0</v>
      </c>
      <c r="Q123" s="46">
        <f t="shared" si="99"/>
        <v>27</v>
      </c>
      <c r="R123" s="46">
        <f t="shared" si="99"/>
        <v>22</v>
      </c>
      <c r="S123" s="46">
        <f t="shared" si="99"/>
        <v>37</v>
      </c>
      <c r="T123" s="46">
        <f t="shared" si="99"/>
        <v>37.924999999999997</v>
      </c>
      <c r="U123" s="46">
        <f t="shared" si="99"/>
        <v>38.873124999999995</v>
      </c>
      <c r="V123" s="46">
        <f t="shared" si="99"/>
        <v>39.844953124999989</v>
      </c>
      <c r="W123" s="46">
        <f t="shared" si="99"/>
        <v>40.841076953124983</v>
      </c>
      <c r="X123" s="46">
        <f t="shared" si="99"/>
        <v>41.862103876953107</v>
      </c>
      <c r="Y123" s="46">
        <f t="shared" si="99"/>
        <v>42.908656473876931</v>
      </c>
      <c r="Z123" s="46">
        <f t="shared" si="99"/>
        <v>43.98137288572385</v>
      </c>
      <c r="AA123" s="46">
        <f t="shared" si="99"/>
        <v>45.080907207866943</v>
      </c>
      <c r="AB123" s="46">
        <f t="shared" si="99"/>
        <v>46.20792988806361</v>
      </c>
      <c r="AC123" s="46">
        <f t="shared" si="99"/>
        <v>47.3631281352652</v>
      </c>
      <c r="AD123" s="46">
        <f t="shared" si="99"/>
        <v>48.547206338646824</v>
      </c>
      <c r="AE123" s="46">
        <f t="shared" si="99"/>
        <v>49.760886497112992</v>
      </c>
      <c r="AF123" s="46">
        <f t="shared" si="99"/>
        <v>51.00490865954081</v>
      </c>
      <c r="AG123" s="46">
        <f t="shared" si="99"/>
        <v>52.280031376029328</v>
      </c>
      <c r="AH123" s="46">
        <f t="shared" si="99"/>
        <v>53.587032160430056</v>
      </c>
      <c r="AI123" s="46">
        <f t="shared" si="99"/>
        <v>54.926707964440801</v>
      </c>
      <c r="AJ123" s="46">
        <f t="shared" si="99"/>
        <v>56.299875663551816</v>
      </c>
      <c r="AK123" s="46">
        <f t="shared" si="99"/>
        <v>57.707372555140608</v>
      </c>
      <c r="AL123" s="46">
        <f t="shared" si="99"/>
        <v>59.150056869019117</v>
      </c>
      <c r="AM123" s="46">
        <f t="shared" si="99"/>
        <v>60.628808290744587</v>
      </c>
      <c r="AN123" s="46">
        <f t="shared" si="99"/>
        <v>62.144528498013194</v>
      </c>
      <c r="AO123" s="46">
        <f t="shared" si="99"/>
        <v>63.698141710463517</v>
      </c>
      <c r="AP123" s="46">
        <f t="shared" si="99"/>
        <v>65.290595253225106</v>
      </c>
      <c r="AQ123" s="46">
        <f t="shared" si="99"/>
        <v>66.922860134555734</v>
      </c>
      <c r="AR123" s="46">
        <f t="shared" si="99"/>
        <v>68.59593163791962</v>
      </c>
      <c r="AS123" s="46">
        <f t="shared" si="99"/>
        <v>70.310829928867605</v>
      </c>
      <c r="AT123" s="46">
        <f t="shared" si="99"/>
        <v>72.068600677089293</v>
      </c>
      <c r="AU123" s="46">
        <f t="shared" si="99"/>
        <v>73.870315694016526</v>
      </c>
      <c r="AV123" s="46">
        <f t="shared" si="99"/>
        <v>75.717073586366936</v>
      </c>
      <c r="AW123" s="46">
        <f t="shared" si="99"/>
        <v>77.610000426026104</v>
      </c>
      <c r="AX123" s="46">
        <f t="shared" si="99"/>
        <v>79.550250436676748</v>
      </c>
      <c r="AY123" s="46">
        <f t="shared" si="99"/>
        <v>80</v>
      </c>
      <c r="AZ123" s="46">
        <f t="shared" si="99"/>
        <v>80</v>
      </c>
      <c r="BA123" s="46">
        <f t="shared" si="99"/>
        <v>80</v>
      </c>
      <c r="BB123" s="46">
        <f t="shared" si="99"/>
        <v>80</v>
      </c>
      <c r="BC123" s="46">
        <f t="shared" si="99"/>
        <v>80</v>
      </c>
      <c r="BD123" s="46">
        <f t="shared" si="99"/>
        <v>80</v>
      </c>
      <c r="BE123" s="46">
        <f t="shared" si="99"/>
        <v>80</v>
      </c>
      <c r="BF123" s="46">
        <f t="shared" si="99"/>
        <v>80</v>
      </c>
      <c r="BG123" s="46">
        <f t="shared" si="99"/>
        <v>80</v>
      </c>
      <c r="BH123" s="46">
        <f t="shared" si="99"/>
        <v>80</v>
      </c>
    </row>
    <row r="124" spans="1:60" ht="14.25" customHeight="1" x14ac:dyDescent="0.3">
      <c r="A124" s="46"/>
      <c r="B124" s="37"/>
      <c r="C124" s="46" t="str">
        <f>C$26</f>
        <v>Laser Number of Treatments</v>
      </c>
      <c r="D124" s="46"/>
      <c r="E124" s="46"/>
      <c r="F124" s="46"/>
      <c r="G124" s="46"/>
      <c r="H124" s="46"/>
      <c r="I124" s="46"/>
      <c r="J124" s="46">
        <f t="shared" ref="J124:BH124" si="100">J$26</f>
        <v>0</v>
      </c>
      <c r="K124" s="46">
        <f t="shared" si="100"/>
        <v>0</v>
      </c>
      <c r="L124" s="46">
        <f t="shared" si="100"/>
        <v>0</v>
      </c>
      <c r="M124" s="46">
        <f t="shared" si="100"/>
        <v>0</v>
      </c>
      <c r="N124" s="46">
        <f t="shared" si="100"/>
        <v>0</v>
      </c>
      <c r="O124" s="46">
        <f t="shared" si="100"/>
        <v>0</v>
      </c>
      <c r="P124" s="46">
        <f t="shared" si="100"/>
        <v>0</v>
      </c>
      <c r="Q124" s="46">
        <f t="shared" si="100"/>
        <v>5</v>
      </c>
      <c r="R124" s="46">
        <f t="shared" si="100"/>
        <v>17</v>
      </c>
      <c r="S124" s="46">
        <f t="shared" si="100"/>
        <v>19</v>
      </c>
      <c r="T124" s="46">
        <f t="shared" si="100"/>
        <v>19.95</v>
      </c>
      <c r="U124" s="46">
        <f t="shared" si="100"/>
        <v>20.947500000000002</v>
      </c>
      <c r="V124" s="46">
        <f t="shared" si="100"/>
        <v>21.994875000000004</v>
      </c>
      <c r="W124" s="46">
        <f t="shared" si="100"/>
        <v>23.094618750000006</v>
      </c>
      <c r="X124" s="46">
        <f t="shared" si="100"/>
        <v>24.249349687500008</v>
      </c>
      <c r="Y124" s="46">
        <f t="shared" si="100"/>
        <v>25.461817171875008</v>
      </c>
      <c r="Z124" s="46">
        <f t="shared" si="100"/>
        <v>26.734908030468759</v>
      </c>
      <c r="AA124" s="46">
        <f t="shared" si="100"/>
        <v>28.0716534319922</v>
      </c>
      <c r="AB124" s="46">
        <f t="shared" si="100"/>
        <v>29.475236103591811</v>
      </c>
      <c r="AC124" s="46">
        <f t="shared" si="100"/>
        <v>30.948997908771403</v>
      </c>
      <c r="AD124" s="46">
        <f t="shared" si="100"/>
        <v>32.496447804209971</v>
      </c>
      <c r="AE124" s="46">
        <f t="shared" si="100"/>
        <v>34.121270194420468</v>
      </c>
      <c r="AF124" s="46">
        <f t="shared" si="100"/>
        <v>35.827333704141495</v>
      </c>
      <c r="AG124" s="46">
        <f t="shared" si="100"/>
        <v>37.618700389348568</v>
      </c>
      <c r="AH124" s="46">
        <f t="shared" si="100"/>
        <v>39.499635408815998</v>
      </c>
      <c r="AI124" s="46">
        <f t="shared" si="100"/>
        <v>41.474617179256796</v>
      </c>
      <c r="AJ124" s="46">
        <f t="shared" si="100"/>
        <v>43.548348038219636</v>
      </c>
      <c r="AK124" s="46">
        <f t="shared" si="100"/>
        <v>45.725765440130623</v>
      </c>
      <c r="AL124" s="46">
        <f t="shared" si="100"/>
        <v>48.012053712137153</v>
      </c>
      <c r="AM124" s="46">
        <f t="shared" si="100"/>
        <v>50.412656397744016</v>
      </c>
      <c r="AN124" s="46">
        <f t="shared" si="100"/>
        <v>52.93328921763122</v>
      </c>
      <c r="AO124" s="46">
        <f t="shared" si="100"/>
        <v>55.57995367851278</v>
      </c>
      <c r="AP124" s="46">
        <f t="shared" si="100"/>
        <v>58.358951362438418</v>
      </c>
      <c r="AQ124" s="46">
        <f t="shared" si="100"/>
        <v>61.276898930560343</v>
      </c>
      <c r="AR124" s="46">
        <f t="shared" si="100"/>
        <v>64.340743877088357</v>
      </c>
      <c r="AS124" s="46">
        <f t="shared" si="100"/>
        <v>67.557781070942781</v>
      </c>
      <c r="AT124" s="46">
        <f t="shared" si="100"/>
        <v>70.935670124489917</v>
      </c>
      <c r="AU124" s="46">
        <f t="shared" si="100"/>
        <v>74.482453630714417</v>
      </c>
      <c r="AV124" s="46">
        <f t="shared" si="100"/>
        <v>78.206576312250135</v>
      </c>
      <c r="AW124" s="46">
        <f t="shared" si="100"/>
        <v>82.116905127862651</v>
      </c>
      <c r="AX124" s="46">
        <f t="shared" si="100"/>
        <v>86.222750384255789</v>
      </c>
      <c r="AY124" s="46">
        <f t="shared" si="100"/>
        <v>90.533887903468582</v>
      </c>
      <c r="AZ124" s="46">
        <f t="shared" si="100"/>
        <v>95.060582298642018</v>
      </c>
      <c r="BA124" s="46">
        <f t="shared" si="100"/>
        <v>99.813611413574122</v>
      </c>
      <c r="BB124" s="46">
        <f t="shared" si="100"/>
        <v>104.80429198425283</v>
      </c>
      <c r="BC124" s="46">
        <f t="shared" si="100"/>
        <v>110.04450658346548</v>
      </c>
      <c r="BD124" s="46">
        <f t="shared" si="100"/>
        <v>115.54673191263876</v>
      </c>
      <c r="BE124" s="46">
        <f t="shared" si="100"/>
        <v>121.3240685082707</v>
      </c>
      <c r="BF124" s="46">
        <f t="shared" si="100"/>
        <v>127.39027193368423</v>
      </c>
      <c r="BG124" s="46">
        <f t="shared" si="100"/>
        <v>133.75978553036845</v>
      </c>
      <c r="BH124" s="46">
        <f t="shared" si="100"/>
        <v>140.44777480688688</v>
      </c>
    </row>
    <row r="125" spans="1:60" ht="14.25" customHeight="1" x14ac:dyDescent="0.3">
      <c r="A125" s="46"/>
      <c r="B125" s="37"/>
      <c r="C125" s="46" t="str">
        <f>C$31</f>
        <v>mEHT Number of Sessions</v>
      </c>
      <c r="D125" s="46"/>
      <c r="E125" s="46"/>
      <c r="F125" s="46"/>
      <c r="G125" s="46"/>
      <c r="H125" s="46"/>
      <c r="I125" s="46"/>
      <c r="J125" s="46">
        <f t="shared" ref="J125:BH125" si="101">J$31</f>
        <v>0</v>
      </c>
      <c r="K125" s="46">
        <f t="shared" si="101"/>
        <v>0</v>
      </c>
      <c r="L125" s="46">
        <f t="shared" si="101"/>
        <v>0</v>
      </c>
      <c r="M125" s="46">
        <f t="shared" si="101"/>
        <v>0</v>
      </c>
      <c r="N125" s="46">
        <f t="shared" si="101"/>
        <v>0</v>
      </c>
      <c r="O125" s="46">
        <f t="shared" si="101"/>
        <v>0</v>
      </c>
      <c r="P125" s="46">
        <f t="shared" si="101"/>
        <v>0</v>
      </c>
      <c r="Q125" s="46">
        <f t="shared" si="101"/>
        <v>5</v>
      </c>
      <c r="R125" s="46">
        <f t="shared" si="101"/>
        <v>58</v>
      </c>
      <c r="S125" s="46">
        <f t="shared" si="101"/>
        <v>62</v>
      </c>
      <c r="T125" s="46">
        <f t="shared" si="101"/>
        <v>78</v>
      </c>
      <c r="U125" s="46">
        <f t="shared" si="101"/>
        <v>117</v>
      </c>
      <c r="V125" s="46">
        <f t="shared" si="101"/>
        <v>122.85000000000001</v>
      </c>
      <c r="W125" s="46">
        <f t="shared" si="101"/>
        <v>128.99250000000001</v>
      </c>
      <c r="X125" s="46">
        <f t="shared" si="101"/>
        <v>135.442125</v>
      </c>
      <c r="Y125" s="46">
        <f t="shared" si="101"/>
        <v>142.21423125000001</v>
      </c>
      <c r="Z125" s="46">
        <f t="shared" si="101"/>
        <v>149.32494281250001</v>
      </c>
      <c r="AA125" s="46">
        <f t="shared" si="101"/>
        <v>156.79118995312501</v>
      </c>
      <c r="AB125" s="46">
        <f t="shared" si="101"/>
        <v>164.63074945078128</v>
      </c>
      <c r="AC125" s="46">
        <f t="shared" si="101"/>
        <v>172.86228692332034</v>
      </c>
      <c r="AD125" s="46">
        <f t="shared" si="101"/>
        <v>173</v>
      </c>
      <c r="AE125" s="46">
        <f t="shared" si="101"/>
        <v>173</v>
      </c>
      <c r="AF125" s="46">
        <f t="shared" si="101"/>
        <v>173</v>
      </c>
      <c r="AG125" s="46">
        <f t="shared" si="101"/>
        <v>173</v>
      </c>
      <c r="AH125" s="46">
        <f t="shared" si="101"/>
        <v>173</v>
      </c>
      <c r="AI125" s="46">
        <f t="shared" si="101"/>
        <v>173</v>
      </c>
      <c r="AJ125" s="46">
        <f t="shared" si="101"/>
        <v>173</v>
      </c>
      <c r="AK125" s="46">
        <f t="shared" si="101"/>
        <v>173</v>
      </c>
      <c r="AL125" s="46">
        <f t="shared" si="101"/>
        <v>173</v>
      </c>
      <c r="AM125" s="46">
        <f t="shared" si="101"/>
        <v>173</v>
      </c>
      <c r="AN125" s="46">
        <f t="shared" si="101"/>
        <v>173</v>
      </c>
      <c r="AO125" s="46">
        <f t="shared" si="101"/>
        <v>173</v>
      </c>
      <c r="AP125" s="46">
        <f t="shared" si="101"/>
        <v>173</v>
      </c>
      <c r="AQ125" s="46">
        <f t="shared" si="101"/>
        <v>173</v>
      </c>
      <c r="AR125" s="46">
        <f t="shared" si="101"/>
        <v>173</v>
      </c>
      <c r="AS125" s="46">
        <f t="shared" si="101"/>
        <v>173</v>
      </c>
      <c r="AT125" s="46">
        <f t="shared" si="101"/>
        <v>173</v>
      </c>
      <c r="AU125" s="46">
        <f t="shared" si="101"/>
        <v>173</v>
      </c>
      <c r="AV125" s="46">
        <f t="shared" si="101"/>
        <v>173</v>
      </c>
      <c r="AW125" s="46">
        <f t="shared" si="101"/>
        <v>173</v>
      </c>
      <c r="AX125" s="46">
        <f t="shared" si="101"/>
        <v>173</v>
      </c>
      <c r="AY125" s="46">
        <f t="shared" si="101"/>
        <v>173</v>
      </c>
      <c r="AZ125" s="46">
        <f t="shared" si="101"/>
        <v>173</v>
      </c>
      <c r="BA125" s="46">
        <f t="shared" si="101"/>
        <v>173</v>
      </c>
      <c r="BB125" s="46">
        <f t="shared" si="101"/>
        <v>173</v>
      </c>
      <c r="BC125" s="46">
        <f t="shared" si="101"/>
        <v>173</v>
      </c>
      <c r="BD125" s="46">
        <f t="shared" si="101"/>
        <v>173</v>
      </c>
      <c r="BE125" s="46">
        <f t="shared" si="101"/>
        <v>173</v>
      </c>
      <c r="BF125" s="46">
        <f t="shared" si="101"/>
        <v>173</v>
      </c>
      <c r="BG125" s="46">
        <f t="shared" si="101"/>
        <v>173</v>
      </c>
      <c r="BH125" s="46">
        <f t="shared" si="101"/>
        <v>173</v>
      </c>
    </row>
    <row r="126" spans="1:60" ht="14.25" customHeight="1" x14ac:dyDescent="0.3">
      <c r="A126" s="46"/>
      <c r="B126" s="37"/>
      <c r="C126" s="46" t="str">
        <f>C$38</f>
        <v>mEHT 2 Number of Sessions</v>
      </c>
      <c r="D126" s="46"/>
      <c r="E126" s="46"/>
      <c r="F126" s="46"/>
      <c r="G126" s="46"/>
      <c r="H126" s="46"/>
      <c r="I126" s="46"/>
      <c r="J126" s="46">
        <f t="shared" ref="J126:BH126" si="102">J$38</f>
        <v>0</v>
      </c>
      <c r="K126" s="46">
        <f t="shared" si="102"/>
        <v>0</v>
      </c>
      <c r="L126" s="46">
        <f t="shared" si="102"/>
        <v>0</v>
      </c>
      <c r="M126" s="46">
        <f t="shared" si="102"/>
        <v>0</v>
      </c>
      <c r="N126" s="46">
        <f t="shared" si="102"/>
        <v>0</v>
      </c>
      <c r="O126" s="46">
        <f t="shared" si="102"/>
        <v>0</v>
      </c>
      <c r="P126" s="46">
        <f t="shared" si="102"/>
        <v>0</v>
      </c>
      <c r="Q126" s="46">
        <f t="shared" si="102"/>
        <v>0</v>
      </c>
      <c r="R126" s="46">
        <f t="shared" si="102"/>
        <v>0</v>
      </c>
      <c r="S126" s="46">
        <f t="shared" si="102"/>
        <v>0</v>
      </c>
      <c r="T126" s="46">
        <f t="shared" si="102"/>
        <v>0</v>
      </c>
      <c r="U126" s="46">
        <f t="shared" si="102"/>
        <v>0</v>
      </c>
      <c r="V126" s="46">
        <f t="shared" si="102"/>
        <v>62</v>
      </c>
      <c r="W126" s="46">
        <f t="shared" si="102"/>
        <v>78</v>
      </c>
      <c r="X126" s="46">
        <f t="shared" si="102"/>
        <v>117</v>
      </c>
      <c r="Y126" s="46">
        <f t="shared" si="102"/>
        <v>122.85000000000001</v>
      </c>
      <c r="Z126" s="46">
        <f t="shared" si="102"/>
        <v>128.99250000000001</v>
      </c>
      <c r="AA126" s="46">
        <f t="shared" si="102"/>
        <v>135.442125</v>
      </c>
      <c r="AB126" s="46">
        <f t="shared" si="102"/>
        <v>142.21423125000001</v>
      </c>
      <c r="AC126" s="46">
        <f t="shared" si="102"/>
        <v>149.32494281250001</v>
      </c>
      <c r="AD126" s="46">
        <f t="shared" si="102"/>
        <v>156.79118995312501</v>
      </c>
      <c r="AE126" s="46">
        <f t="shared" si="102"/>
        <v>164.63074945078128</v>
      </c>
      <c r="AF126" s="46">
        <f t="shared" si="102"/>
        <v>172.86228692332034</v>
      </c>
      <c r="AG126" s="46">
        <f t="shared" si="102"/>
        <v>173</v>
      </c>
      <c r="AH126" s="46">
        <f t="shared" si="102"/>
        <v>173</v>
      </c>
      <c r="AI126" s="46">
        <f t="shared" si="102"/>
        <v>173</v>
      </c>
      <c r="AJ126" s="46">
        <f t="shared" si="102"/>
        <v>173</v>
      </c>
      <c r="AK126" s="46">
        <f t="shared" si="102"/>
        <v>173</v>
      </c>
      <c r="AL126" s="46">
        <f t="shared" si="102"/>
        <v>173</v>
      </c>
      <c r="AM126" s="46">
        <f t="shared" si="102"/>
        <v>173</v>
      </c>
      <c r="AN126" s="46">
        <f t="shared" si="102"/>
        <v>173</v>
      </c>
      <c r="AO126" s="46">
        <f t="shared" si="102"/>
        <v>173</v>
      </c>
      <c r="AP126" s="46">
        <f t="shared" si="102"/>
        <v>173</v>
      </c>
      <c r="AQ126" s="46">
        <f t="shared" si="102"/>
        <v>173</v>
      </c>
      <c r="AR126" s="46">
        <f t="shared" si="102"/>
        <v>173</v>
      </c>
      <c r="AS126" s="46">
        <f t="shared" si="102"/>
        <v>173</v>
      </c>
      <c r="AT126" s="46">
        <f t="shared" si="102"/>
        <v>173</v>
      </c>
      <c r="AU126" s="46">
        <f t="shared" si="102"/>
        <v>173</v>
      </c>
      <c r="AV126" s="46">
        <f t="shared" si="102"/>
        <v>173</v>
      </c>
      <c r="AW126" s="46">
        <f t="shared" si="102"/>
        <v>173</v>
      </c>
      <c r="AX126" s="46">
        <f t="shared" si="102"/>
        <v>173</v>
      </c>
      <c r="AY126" s="46">
        <f t="shared" si="102"/>
        <v>173</v>
      </c>
      <c r="AZ126" s="46">
        <f t="shared" si="102"/>
        <v>173</v>
      </c>
      <c r="BA126" s="46">
        <f t="shared" si="102"/>
        <v>173</v>
      </c>
      <c r="BB126" s="46">
        <f t="shared" si="102"/>
        <v>173</v>
      </c>
      <c r="BC126" s="46">
        <f t="shared" si="102"/>
        <v>173</v>
      </c>
      <c r="BD126" s="46">
        <f t="shared" si="102"/>
        <v>173</v>
      </c>
      <c r="BE126" s="46">
        <f t="shared" si="102"/>
        <v>173</v>
      </c>
      <c r="BF126" s="46">
        <f t="shared" si="102"/>
        <v>173</v>
      </c>
      <c r="BG126" s="46">
        <f t="shared" si="102"/>
        <v>173</v>
      </c>
      <c r="BH126" s="46">
        <f t="shared" si="102"/>
        <v>173</v>
      </c>
    </row>
    <row r="127" spans="1:60" ht="14.25" customHeight="1" x14ac:dyDescent="0.3">
      <c r="A127" s="46"/>
      <c r="B127" s="37"/>
      <c r="C127" s="46" t="str">
        <f>C$45</f>
        <v>HBOT 1 Number of Sessions</v>
      </c>
      <c r="D127" s="46"/>
      <c r="E127" s="46"/>
      <c r="F127" s="46"/>
      <c r="G127" s="46"/>
      <c r="H127" s="46"/>
      <c r="I127" s="46"/>
      <c r="J127" s="46">
        <f t="shared" ref="J127:BH127" si="103">J$45</f>
        <v>0</v>
      </c>
      <c r="K127" s="46">
        <f t="shared" si="103"/>
        <v>0</v>
      </c>
      <c r="L127" s="46">
        <f t="shared" si="103"/>
        <v>0</v>
      </c>
      <c r="M127" s="46">
        <f t="shared" si="103"/>
        <v>0</v>
      </c>
      <c r="N127" s="46">
        <f t="shared" si="103"/>
        <v>0</v>
      </c>
      <c r="O127" s="46">
        <f t="shared" si="103"/>
        <v>0</v>
      </c>
      <c r="P127" s="46">
        <f t="shared" si="103"/>
        <v>0</v>
      </c>
      <c r="Q127" s="46">
        <f t="shared" si="103"/>
        <v>0</v>
      </c>
      <c r="R127" s="46">
        <f t="shared" si="103"/>
        <v>0</v>
      </c>
      <c r="S127" s="46">
        <f t="shared" si="103"/>
        <v>1</v>
      </c>
      <c r="T127" s="46">
        <f t="shared" si="103"/>
        <v>22</v>
      </c>
      <c r="U127" s="46">
        <f t="shared" si="103"/>
        <v>24.200000000000003</v>
      </c>
      <c r="V127" s="46">
        <f t="shared" si="103"/>
        <v>26.620000000000005</v>
      </c>
      <c r="W127" s="46">
        <f t="shared" si="103"/>
        <v>29.282000000000007</v>
      </c>
      <c r="X127" s="46">
        <f t="shared" si="103"/>
        <v>32.210200000000007</v>
      </c>
      <c r="Y127" s="46">
        <f t="shared" si="103"/>
        <v>35.43122000000001</v>
      </c>
      <c r="Z127" s="46">
        <f t="shared" si="103"/>
        <v>38.974342000000014</v>
      </c>
      <c r="AA127" s="46">
        <f t="shared" si="103"/>
        <v>42.871776200000021</v>
      </c>
      <c r="AB127" s="46">
        <f t="shared" si="103"/>
        <v>47.158953820000029</v>
      </c>
      <c r="AC127" s="46">
        <f t="shared" si="103"/>
        <v>51.874849202000036</v>
      </c>
      <c r="AD127" s="46">
        <f t="shared" si="103"/>
        <v>57.062334122200042</v>
      </c>
      <c r="AE127" s="46">
        <f t="shared" si="103"/>
        <v>62.76856753442005</v>
      </c>
      <c r="AF127" s="46">
        <f t="shared" si="103"/>
        <v>69.045424287862062</v>
      </c>
      <c r="AG127" s="46">
        <f t="shared" si="103"/>
        <v>75.949966716648277</v>
      </c>
      <c r="AH127" s="46">
        <f t="shared" si="103"/>
        <v>83.544963388313107</v>
      </c>
      <c r="AI127" s="46">
        <f t="shared" si="103"/>
        <v>91.899459727144432</v>
      </c>
      <c r="AJ127" s="46">
        <f t="shared" si="103"/>
        <v>101.08940569985889</v>
      </c>
      <c r="AK127" s="46">
        <f t="shared" si="103"/>
        <v>111.19834626984479</v>
      </c>
      <c r="AL127" s="46">
        <f t="shared" si="103"/>
        <v>120</v>
      </c>
      <c r="AM127" s="46">
        <f t="shared" si="103"/>
        <v>120</v>
      </c>
      <c r="AN127" s="46">
        <f t="shared" si="103"/>
        <v>120</v>
      </c>
      <c r="AO127" s="46">
        <f t="shared" si="103"/>
        <v>120</v>
      </c>
      <c r="AP127" s="46">
        <f t="shared" si="103"/>
        <v>120</v>
      </c>
      <c r="AQ127" s="46">
        <f t="shared" si="103"/>
        <v>120</v>
      </c>
      <c r="AR127" s="46">
        <f t="shared" si="103"/>
        <v>120</v>
      </c>
      <c r="AS127" s="46">
        <f t="shared" si="103"/>
        <v>120</v>
      </c>
      <c r="AT127" s="46">
        <f t="shared" si="103"/>
        <v>120</v>
      </c>
      <c r="AU127" s="46">
        <f t="shared" si="103"/>
        <v>120</v>
      </c>
      <c r="AV127" s="46">
        <f t="shared" si="103"/>
        <v>120</v>
      </c>
      <c r="AW127" s="46">
        <f t="shared" si="103"/>
        <v>120</v>
      </c>
      <c r="AX127" s="46">
        <f t="shared" si="103"/>
        <v>120</v>
      </c>
      <c r="AY127" s="46">
        <f t="shared" si="103"/>
        <v>120</v>
      </c>
      <c r="AZ127" s="46">
        <f t="shared" si="103"/>
        <v>120</v>
      </c>
      <c r="BA127" s="46">
        <f t="shared" si="103"/>
        <v>120</v>
      </c>
      <c r="BB127" s="46">
        <f t="shared" si="103"/>
        <v>120</v>
      </c>
      <c r="BC127" s="46">
        <f t="shared" si="103"/>
        <v>120</v>
      </c>
      <c r="BD127" s="46">
        <f t="shared" si="103"/>
        <v>120</v>
      </c>
      <c r="BE127" s="46">
        <f t="shared" si="103"/>
        <v>120</v>
      </c>
      <c r="BF127" s="46">
        <f t="shared" si="103"/>
        <v>120</v>
      </c>
      <c r="BG127" s="46">
        <f t="shared" si="103"/>
        <v>120</v>
      </c>
      <c r="BH127" s="46">
        <f t="shared" si="103"/>
        <v>120</v>
      </c>
    </row>
    <row r="128" spans="1:60" ht="14.25" customHeight="1" x14ac:dyDescent="0.3">
      <c r="A128" s="46"/>
      <c r="B128" s="37"/>
      <c r="C128" s="46" t="str">
        <f>C$52</f>
        <v>HBOT 2 Number of Sessions</v>
      </c>
      <c r="D128" s="46"/>
      <c r="E128" s="46"/>
      <c r="F128" s="46"/>
      <c r="G128" s="46"/>
      <c r="H128" s="46"/>
      <c r="I128" s="46"/>
      <c r="J128" s="46">
        <f t="shared" ref="J128:BH128" si="104">J$52</f>
        <v>0</v>
      </c>
      <c r="K128" s="46">
        <f t="shared" si="104"/>
        <v>0</v>
      </c>
      <c r="L128" s="46">
        <f t="shared" si="104"/>
        <v>0</v>
      </c>
      <c r="M128" s="46">
        <f t="shared" si="104"/>
        <v>0</v>
      </c>
      <c r="N128" s="46">
        <f t="shared" si="104"/>
        <v>0</v>
      </c>
      <c r="O128" s="46">
        <f t="shared" si="104"/>
        <v>0</v>
      </c>
      <c r="P128" s="46">
        <f t="shared" si="104"/>
        <v>0</v>
      </c>
      <c r="Q128" s="46">
        <f t="shared" si="104"/>
        <v>0</v>
      </c>
      <c r="R128" s="46">
        <f t="shared" si="104"/>
        <v>0</v>
      </c>
      <c r="S128" s="46">
        <f t="shared" si="104"/>
        <v>0</v>
      </c>
      <c r="T128" s="46">
        <f t="shared" si="104"/>
        <v>0</v>
      </c>
      <c r="U128" s="46">
        <f t="shared" si="104"/>
        <v>0</v>
      </c>
      <c r="V128" s="46">
        <f t="shared" si="104"/>
        <v>0</v>
      </c>
      <c r="W128" s="46">
        <f t="shared" si="104"/>
        <v>0</v>
      </c>
      <c r="X128" s="46">
        <f t="shared" si="104"/>
        <v>0</v>
      </c>
      <c r="Y128" s="46">
        <f t="shared" si="104"/>
        <v>0</v>
      </c>
      <c r="Z128" s="46">
        <f t="shared" si="104"/>
        <v>0</v>
      </c>
      <c r="AA128" s="46">
        <f t="shared" si="104"/>
        <v>0</v>
      </c>
      <c r="AB128" s="46">
        <f t="shared" si="104"/>
        <v>0</v>
      </c>
      <c r="AC128" s="46">
        <f t="shared" si="104"/>
        <v>0</v>
      </c>
      <c r="AD128" s="46">
        <f t="shared" si="104"/>
        <v>0</v>
      </c>
      <c r="AE128" s="46">
        <f t="shared" si="104"/>
        <v>0</v>
      </c>
      <c r="AF128" s="46">
        <f t="shared" si="104"/>
        <v>0</v>
      </c>
      <c r="AG128" s="46">
        <f t="shared" si="104"/>
        <v>0</v>
      </c>
      <c r="AH128" s="46">
        <f t="shared" si="104"/>
        <v>0</v>
      </c>
      <c r="AI128" s="46">
        <f t="shared" si="104"/>
        <v>0</v>
      </c>
      <c r="AJ128" s="46">
        <f t="shared" si="104"/>
        <v>0</v>
      </c>
      <c r="AK128" s="46">
        <f t="shared" si="104"/>
        <v>0</v>
      </c>
      <c r="AL128" s="46">
        <f t="shared" si="104"/>
        <v>0</v>
      </c>
      <c r="AM128" s="46">
        <f t="shared" si="104"/>
        <v>0</v>
      </c>
      <c r="AN128" s="46">
        <f t="shared" si="104"/>
        <v>0</v>
      </c>
      <c r="AO128" s="46">
        <f t="shared" si="104"/>
        <v>0</v>
      </c>
      <c r="AP128" s="46">
        <f t="shared" si="104"/>
        <v>0</v>
      </c>
      <c r="AQ128" s="46">
        <f t="shared" si="104"/>
        <v>0</v>
      </c>
      <c r="AR128" s="46">
        <f t="shared" si="104"/>
        <v>0</v>
      </c>
      <c r="AS128" s="46">
        <f t="shared" si="104"/>
        <v>0</v>
      </c>
      <c r="AT128" s="46">
        <f t="shared" si="104"/>
        <v>0</v>
      </c>
      <c r="AU128" s="46">
        <f t="shared" si="104"/>
        <v>0</v>
      </c>
      <c r="AV128" s="46">
        <f t="shared" si="104"/>
        <v>0</v>
      </c>
      <c r="AW128" s="46">
        <f t="shared" si="104"/>
        <v>0</v>
      </c>
      <c r="AX128" s="46">
        <f t="shared" si="104"/>
        <v>0</v>
      </c>
      <c r="AY128" s="46">
        <f t="shared" si="104"/>
        <v>0</v>
      </c>
      <c r="AZ128" s="46">
        <f t="shared" si="104"/>
        <v>0</v>
      </c>
      <c r="BA128" s="46">
        <f t="shared" si="104"/>
        <v>0</v>
      </c>
      <c r="BB128" s="46">
        <f t="shared" si="104"/>
        <v>0</v>
      </c>
      <c r="BC128" s="46">
        <f t="shared" si="104"/>
        <v>0</v>
      </c>
      <c r="BD128" s="46">
        <f t="shared" si="104"/>
        <v>0</v>
      </c>
      <c r="BE128" s="46">
        <f t="shared" si="104"/>
        <v>0</v>
      </c>
      <c r="BF128" s="46">
        <f t="shared" si="104"/>
        <v>0</v>
      </c>
      <c r="BG128" s="46">
        <f t="shared" si="104"/>
        <v>0</v>
      </c>
      <c r="BH128" s="46">
        <f t="shared" si="104"/>
        <v>0</v>
      </c>
    </row>
    <row r="129" spans="1:60" ht="14.25" customHeight="1" x14ac:dyDescent="0.3">
      <c r="A129" s="46"/>
      <c r="B129" s="37"/>
      <c r="C129" s="46" t="str">
        <f>C$59</f>
        <v>CTC PDT Number of Patients</v>
      </c>
      <c r="D129" s="46"/>
      <c r="E129" s="46"/>
      <c r="F129" s="46"/>
      <c r="G129" s="46"/>
      <c r="H129" s="46"/>
      <c r="I129" s="46"/>
      <c r="J129" s="46">
        <f>J$59</f>
        <v>0</v>
      </c>
      <c r="K129" s="46">
        <f t="shared" ref="K129:BH129" si="105">K$59</f>
        <v>0</v>
      </c>
      <c r="L129" s="46">
        <f t="shared" si="105"/>
        <v>0</v>
      </c>
      <c r="M129" s="46">
        <f t="shared" si="105"/>
        <v>0</v>
      </c>
      <c r="N129" s="46">
        <f t="shared" si="105"/>
        <v>0</v>
      </c>
      <c r="O129" s="46">
        <f t="shared" si="105"/>
        <v>0</v>
      </c>
      <c r="P129" s="46">
        <f t="shared" si="105"/>
        <v>0</v>
      </c>
      <c r="Q129" s="46">
        <f t="shared" si="105"/>
        <v>0</v>
      </c>
      <c r="R129" s="46">
        <f t="shared" si="105"/>
        <v>0</v>
      </c>
      <c r="S129" s="46">
        <f t="shared" si="105"/>
        <v>0</v>
      </c>
      <c r="T129" s="46">
        <f t="shared" si="105"/>
        <v>0</v>
      </c>
      <c r="U129" s="46">
        <f t="shared" si="105"/>
        <v>0</v>
      </c>
      <c r="V129" s="46">
        <f t="shared" si="105"/>
        <v>0</v>
      </c>
      <c r="W129" s="46">
        <f t="shared" si="105"/>
        <v>1.05</v>
      </c>
      <c r="X129" s="46">
        <f t="shared" si="105"/>
        <v>1.1025</v>
      </c>
      <c r="Y129" s="46">
        <f t="shared" si="105"/>
        <v>1.1576250000000001</v>
      </c>
      <c r="Z129" s="46">
        <f t="shared" si="105"/>
        <v>1.2155062500000002</v>
      </c>
      <c r="AA129" s="46">
        <f t="shared" si="105"/>
        <v>1.2762815625000004</v>
      </c>
      <c r="AB129" s="46">
        <f t="shared" si="105"/>
        <v>1.3400956406250004</v>
      </c>
      <c r="AC129" s="46">
        <f t="shared" si="105"/>
        <v>1.4071004226562505</v>
      </c>
      <c r="AD129" s="46">
        <f t="shared" si="105"/>
        <v>1.477455443789063</v>
      </c>
      <c r="AE129" s="46">
        <f t="shared" si="105"/>
        <v>1.5513282159785162</v>
      </c>
      <c r="AF129" s="46">
        <f t="shared" si="105"/>
        <v>1.628894626777442</v>
      </c>
      <c r="AG129" s="46">
        <f t="shared" si="105"/>
        <v>1.7103393581163142</v>
      </c>
      <c r="AH129" s="46">
        <f t="shared" si="105"/>
        <v>1.7958563260221301</v>
      </c>
      <c r="AI129" s="46">
        <f t="shared" si="105"/>
        <v>1.8856491423232367</v>
      </c>
      <c r="AJ129" s="46">
        <f t="shared" si="105"/>
        <v>1.9799315994393987</v>
      </c>
      <c r="AK129" s="46">
        <f t="shared" si="105"/>
        <v>2.0789281794113688</v>
      </c>
      <c r="AL129" s="46">
        <f t="shared" si="105"/>
        <v>2.1828745883819374</v>
      </c>
      <c r="AM129" s="46">
        <f t="shared" si="105"/>
        <v>2.2920183178010345</v>
      </c>
      <c r="AN129" s="46">
        <f t="shared" si="105"/>
        <v>2.4066192336910861</v>
      </c>
      <c r="AO129" s="46">
        <f t="shared" si="105"/>
        <v>2.5269501953756404</v>
      </c>
      <c r="AP129" s="46">
        <f t="shared" si="105"/>
        <v>2.6532977051444226</v>
      </c>
      <c r="AQ129" s="46">
        <f t="shared" si="105"/>
        <v>2.7859625904016441</v>
      </c>
      <c r="AR129" s="46">
        <f t="shared" si="105"/>
        <v>2.9252607199217264</v>
      </c>
      <c r="AS129" s="46">
        <f t="shared" si="105"/>
        <v>3.0715237559178128</v>
      </c>
      <c r="AT129" s="46">
        <f t="shared" si="105"/>
        <v>3.2250999437137038</v>
      </c>
      <c r="AU129" s="46">
        <f t="shared" si="105"/>
        <v>3.3863549408993889</v>
      </c>
      <c r="AV129" s="46">
        <f t="shared" si="105"/>
        <v>3.5556726879443583</v>
      </c>
      <c r="AW129" s="46">
        <f t="shared" si="105"/>
        <v>3.7334563223415764</v>
      </c>
      <c r="AX129" s="46">
        <f t="shared" si="105"/>
        <v>3.9201291384586554</v>
      </c>
      <c r="AY129" s="46">
        <f t="shared" si="105"/>
        <v>4.1161355953815884</v>
      </c>
      <c r="AZ129" s="46">
        <f t="shared" si="105"/>
        <v>4.3219423751506678</v>
      </c>
      <c r="BA129" s="46">
        <f t="shared" si="105"/>
        <v>4.5380394939082018</v>
      </c>
      <c r="BB129" s="46">
        <f t="shared" si="105"/>
        <v>4.7649414686036122</v>
      </c>
      <c r="BC129" s="46">
        <f t="shared" si="105"/>
        <v>5.0031885420337927</v>
      </c>
      <c r="BD129" s="46">
        <f t="shared" si="105"/>
        <v>5.2533479691354827</v>
      </c>
      <c r="BE129" s="46">
        <f t="shared" si="105"/>
        <v>5.5160153675922574</v>
      </c>
      <c r="BF129" s="46">
        <f t="shared" si="105"/>
        <v>5.7918161359718709</v>
      </c>
      <c r="BG129" s="46">
        <f t="shared" si="105"/>
        <v>6.0814069427704647</v>
      </c>
      <c r="BH129" s="46">
        <f t="shared" si="105"/>
        <v>6.3854772899089882</v>
      </c>
    </row>
    <row r="130" spans="1:60" ht="14.25" customHeight="1" x14ac:dyDescent="0.3">
      <c r="A130" s="46"/>
      <c r="B130" s="37"/>
      <c r="C130" s="46" t="str">
        <f>C$68</f>
        <v>PDT Number of Patients</v>
      </c>
      <c r="D130" s="46"/>
      <c r="E130" s="46"/>
      <c r="F130" s="46"/>
      <c r="G130" s="46"/>
      <c r="H130" s="46"/>
      <c r="I130" s="46"/>
      <c r="J130" s="46">
        <f t="shared" ref="J130:BH130" si="106">J$68</f>
        <v>0</v>
      </c>
      <c r="K130" s="46">
        <f t="shared" si="106"/>
        <v>0</v>
      </c>
      <c r="L130" s="46">
        <f t="shared" si="106"/>
        <v>0</v>
      </c>
      <c r="M130" s="46">
        <f t="shared" si="106"/>
        <v>0</v>
      </c>
      <c r="N130" s="46">
        <f t="shared" si="106"/>
        <v>0</v>
      </c>
      <c r="O130" s="46">
        <f t="shared" si="106"/>
        <v>0</v>
      </c>
      <c r="P130" s="46">
        <f t="shared" si="106"/>
        <v>0</v>
      </c>
      <c r="Q130" s="46">
        <f t="shared" si="106"/>
        <v>0</v>
      </c>
      <c r="R130" s="46">
        <f t="shared" si="106"/>
        <v>0</v>
      </c>
      <c r="S130" s="46">
        <f t="shared" si="106"/>
        <v>0</v>
      </c>
      <c r="T130" s="46">
        <f t="shared" si="106"/>
        <v>0</v>
      </c>
      <c r="U130" s="46">
        <f t="shared" si="106"/>
        <v>0</v>
      </c>
      <c r="V130" s="46">
        <f t="shared" si="106"/>
        <v>0</v>
      </c>
      <c r="W130" s="46">
        <f t="shared" si="106"/>
        <v>0</v>
      </c>
      <c r="X130" s="46">
        <f t="shared" si="106"/>
        <v>0</v>
      </c>
      <c r="Y130" s="46">
        <f t="shared" si="106"/>
        <v>1</v>
      </c>
      <c r="Z130" s="46">
        <f t="shared" si="106"/>
        <v>1</v>
      </c>
      <c r="AA130" s="46">
        <f t="shared" si="106"/>
        <v>1</v>
      </c>
      <c r="AB130" s="46">
        <f t="shared" si="106"/>
        <v>1</v>
      </c>
      <c r="AC130" s="46">
        <f t="shared" si="106"/>
        <v>1</v>
      </c>
      <c r="AD130" s="46">
        <f t="shared" si="106"/>
        <v>1</v>
      </c>
      <c r="AE130" s="46">
        <f t="shared" si="106"/>
        <v>1</v>
      </c>
      <c r="AF130" s="46">
        <f t="shared" si="106"/>
        <v>1</v>
      </c>
      <c r="AG130" s="46">
        <f t="shared" si="106"/>
        <v>1</v>
      </c>
      <c r="AH130" s="46">
        <f t="shared" si="106"/>
        <v>1</v>
      </c>
      <c r="AI130" s="46">
        <f t="shared" si="106"/>
        <v>1</v>
      </c>
      <c r="AJ130" s="46">
        <f t="shared" si="106"/>
        <v>1</v>
      </c>
      <c r="AK130" s="46">
        <f t="shared" si="106"/>
        <v>1</v>
      </c>
      <c r="AL130" s="46">
        <f t="shared" si="106"/>
        <v>1</v>
      </c>
      <c r="AM130" s="46">
        <f t="shared" si="106"/>
        <v>1</v>
      </c>
      <c r="AN130" s="46">
        <f t="shared" si="106"/>
        <v>1</v>
      </c>
      <c r="AO130" s="46">
        <f t="shared" si="106"/>
        <v>1</v>
      </c>
      <c r="AP130" s="46">
        <f t="shared" si="106"/>
        <v>1</v>
      </c>
      <c r="AQ130" s="46">
        <f t="shared" si="106"/>
        <v>1</v>
      </c>
      <c r="AR130" s="46">
        <f t="shared" si="106"/>
        <v>1</v>
      </c>
      <c r="AS130" s="46">
        <f t="shared" si="106"/>
        <v>1</v>
      </c>
      <c r="AT130" s="46">
        <f t="shared" si="106"/>
        <v>1</v>
      </c>
      <c r="AU130" s="46">
        <f t="shared" si="106"/>
        <v>1</v>
      </c>
      <c r="AV130" s="46">
        <f t="shared" si="106"/>
        <v>1</v>
      </c>
      <c r="AW130" s="46">
        <f t="shared" si="106"/>
        <v>1</v>
      </c>
      <c r="AX130" s="46">
        <f t="shared" si="106"/>
        <v>1</v>
      </c>
      <c r="AY130" s="46">
        <f t="shared" si="106"/>
        <v>1</v>
      </c>
      <c r="AZ130" s="46">
        <f t="shared" si="106"/>
        <v>1</v>
      </c>
      <c r="BA130" s="46">
        <f t="shared" si="106"/>
        <v>1</v>
      </c>
      <c r="BB130" s="46">
        <f t="shared" si="106"/>
        <v>1</v>
      </c>
      <c r="BC130" s="46">
        <f t="shared" si="106"/>
        <v>1</v>
      </c>
      <c r="BD130" s="46">
        <f t="shared" si="106"/>
        <v>1</v>
      </c>
      <c r="BE130" s="46">
        <f t="shared" si="106"/>
        <v>1</v>
      </c>
      <c r="BF130" s="46">
        <f t="shared" si="106"/>
        <v>1</v>
      </c>
      <c r="BG130" s="46">
        <f t="shared" si="106"/>
        <v>1</v>
      </c>
      <c r="BH130" s="46">
        <f t="shared" si="106"/>
        <v>1</v>
      </c>
    </row>
    <row r="131" spans="1:60" ht="14.25" customHeight="1" x14ac:dyDescent="0.3">
      <c r="A131" s="46"/>
      <c r="B131" s="37"/>
      <c r="C131" s="46" t="str">
        <f>C$77</f>
        <v>VIP Number of Patients</v>
      </c>
      <c r="D131" s="46"/>
      <c r="E131" s="46"/>
      <c r="F131" s="46"/>
      <c r="G131" s="46"/>
      <c r="H131" s="46"/>
      <c r="I131" s="46"/>
      <c r="J131" s="46">
        <f t="shared" ref="J131:BH131" si="107">J$77</f>
        <v>0</v>
      </c>
      <c r="K131" s="46">
        <f t="shared" si="107"/>
        <v>0</v>
      </c>
      <c r="L131" s="46">
        <f t="shared" si="107"/>
        <v>0</v>
      </c>
      <c r="M131" s="46">
        <f t="shared" si="107"/>
        <v>0</v>
      </c>
      <c r="N131" s="46">
        <f t="shared" si="107"/>
        <v>0</v>
      </c>
      <c r="O131" s="46">
        <f t="shared" si="107"/>
        <v>0</v>
      </c>
      <c r="P131" s="46">
        <f t="shared" si="107"/>
        <v>0</v>
      </c>
      <c r="Q131" s="46">
        <f t="shared" si="107"/>
        <v>0</v>
      </c>
      <c r="R131" s="46">
        <f t="shared" si="107"/>
        <v>0.7</v>
      </c>
      <c r="S131" s="46">
        <f t="shared" si="107"/>
        <v>2.5</v>
      </c>
      <c r="T131" s="46">
        <f t="shared" si="107"/>
        <v>2</v>
      </c>
      <c r="U131" s="46">
        <f t="shared" si="107"/>
        <v>2</v>
      </c>
      <c r="V131" s="46">
        <f t="shared" si="107"/>
        <v>2</v>
      </c>
      <c r="W131" s="46">
        <f t="shared" si="107"/>
        <v>2</v>
      </c>
      <c r="X131" s="46">
        <f t="shared" si="107"/>
        <v>2</v>
      </c>
      <c r="Y131" s="46">
        <f t="shared" si="107"/>
        <v>2</v>
      </c>
      <c r="Z131" s="46">
        <f t="shared" si="107"/>
        <v>2</v>
      </c>
      <c r="AA131" s="46">
        <f t="shared" si="107"/>
        <v>2</v>
      </c>
      <c r="AB131" s="46">
        <f t="shared" si="107"/>
        <v>2</v>
      </c>
      <c r="AC131" s="46">
        <f t="shared" si="107"/>
        <v>2</v>
      </c>
      <c r="AD131" s="46">
        <f t="shared" si="107"/>
        <v>2</v>
      </c>
      <c r="AE131" s="46">
        <f t="shared" si="107"/>
        <v>2</v>
      </c>
      <c r="AF131" s="46">
        <f t="shared" si="107"/>
        <v>2</v>
      </c>
      <c r="AG131" s="46">
        <f t="shared" si="107"/>
        <v>2</v>
      </c>
      <c r="AH131" s="46">
        <f t="shared" si="107"/>
        <v>2</v>
      </c>
      <c r="AI131" s="46">
        <f t="shared" si="107"/>
        <v>2</v>
      </c>
      <c r="AJ131" s="46">
        <f t="shared" si="107"/>
        <v>2</v>
      </c>
      <c r="AK131" s="46">
        <f t="shared" si="107"/>
        <v>2</v>
      </c>
      <c r="AL131" s="46">
        <f t="shared" si="107"/>
        <v>2</v>
      </c>
      <c r="AM131" s="46">
        <f t="shared" si="107"/>
        <v>2</v>
      </c>
      <c r="AN131" s="46">
        <f t="shared" si="107"/>
        <v>2</v>
      </c>
      <c r="AO131" s="46">
        <f t="shared" si="107"/>
        <v>2</v>
      </c>
      <c r="AP131" s="46">
        <f t="shared" si="107"/>
        <v>2</v>
      </c>
      <c r="AQ131" s="46">
        <f t="shared" si="107"/>
        <v>2</v>
      </c>
      <c r="AR131" s="46">
        <f t="shared" si="107"/>
        <v>2</v>
      </c>
      <c r="AS131" s="46">
        <f t="shared" si="107"/>
        <v>2</v>
      </c>
      <c r="AT131" s="46">
        <f t="shared" si="107"/>
        <v>2</v>
      </c>
      <c r="AU131" s="46">
        <f t="shared" si="107"/>
        <v>2</v>
      </c>
      <c r="AV131" s="46">
        <f t="shared" si="107"/>
        <v>2</v>
      </c>
      <c r="AW131" s="46">
        <f t="shared" si="107"/>
        <v>2</v>
      </c>
      <c r="AX131" s="46">
        <f t="shared" si="107"/>
        <v>2</v>
      </c>
      <c r="AY131" s="46">
        <f t="shared" si="107"/>
        <v>2</v>
      </c>
      <c r="AZ131" s="46">
        <f t="shared" si="107"/>
        <v>2</v>
      </c>
      <c r="BA131" s="46">
        <f t="shared" si="107"/>
        <v>2</v>
      </c>
      <c r="BB131" s="46">
        <f t="shared" si="107"/>
        <v>2</v>
      </c>
      <c r="BC131" s="46">
        <f t="shared" si="107"/>
        <v>2</v>
      </c>
      <c r="BD131" s="46">
        <f t="shared" si="107"/>
        <v>2</v>
      </c>
      <c r="BE131" s="46">
        <f t="shared" si="107"/>
        <v>2</v>
      </c>
      <c r="BF131" s="46">
        <f t="shared" si="107"/>
        <v>2</v>
      </c>
      <c r="BG131" s="46">
        <f t="shared" si="107"/>
        <v>2</v>
      </c>
      <c r="BH131" s="46">
        <f t="shared" si="107"/>
        <v>2</v>
      </c>
    </row>
    <row r="132" spans="1:60" ht="14.25" customHeight="1" x14ac:dyDescent="0.3">
      <c r="A132" s="46"/>
      <c r="B132" s="37"/>
      <c r="C132" s="46" t="str">
        <f>C$87</f>
        <v>Room Rental Number of Sessions</v>
      </c>
      <c r="D132" s="46"/>
      <c r="E132" s="46"/>
      <c r="F132" s="46"/>
      <c r="G132" s="46"/>
      <c r="H132" s="46"/>
      <c r="I132" s="46"/>
      <c r="J132" s="46">
        <f t="shared" ref="J132:BH132" si="108">J$87</f>
        <v>0</v>
      </c>
      <c r="K132" s="46">
        <f t="shared" si="108"/>
        <v>0</v>
      </c>
      <c r="L132" s="46">
        <f t="shared" si="108"/>
        <v>0</v>
      </c>
      <c r="M132" s="46">
        <f t="shared" si="108"/>
        <v>0</v>
      </c>
      <c r="N132" s="46">
        <f t="shared" si="108"/>
        <v>0</v>
      </c>
      <c r="O132" s="46">
        <f t="shared" si="108"/>
        <v>0</v>
      </c>
      <c r="P132" s="46">
        <f t="shared" si="108"/>
        <v>0</v>
      </c>
      <c r="Q132" s="46">
        <f t="shared" si="108"/>
        <v>0</v>
      </c>
      <c r="R132" s="46">
        <f t="shared" si="108"/>
        <v>0</v>
      </c>
      <c r="S132" s="46">
        <f t="shared" si="108"/>
        <v>0</v>
      </c>
      <c r="T132" s="46">
        <f t="shared" si="108"/>
        <v>0</v>
      </c>
      <c r="U132" s="46">
        <f t="shared" si="108"/>
        <v>0</v>
      </c>
      <c r="V132" s="46">
        <f t="shared" si="108"/>
        <v>0</v>
      </c>
      <c r="W132" s="46">
        <f t="shared" si="108"/>
        <v>1.1000000000000001</v>
      </c>
      <c r="X132" s="46">
        <f t="shared" si="108"/>
        <v>1.2100000000000002</v>
      </c>
      <c r="Y132" s="46">
        <f t="shared" si="108"/>
        <v>1.3310000000000004</v>
      </c>
      <c r="Z132" s="46">
        <f t="shared" si="108"/>
        <v>1.4641000000000006</v>
      </c>
      <c r="AA132" s="46">
        <f t="shared" si="108"/>
        <v>1.6105100000000008</v>
      </c>
      <c r="AB132" s="46">
        <f t="shared" si="108"/>
        <v>1.7715610000000011</v>
      </c>
      <c r="AC132" s="46">
        <f t="shared" si="108"/>
        <v>1.9487171000000014</v>
      </c>
      <c r="AD132" s="46">
        <f t="shared" si="108"/>
        <v>2.1435888100000016</v>
      </c>
      <c r="AE132" s="46">
        <f t="shared" si="108"/>
        <v>2.3579476910000019</v>
      </c>
      <c r="AF132" s="46">
        <f t="shared" si="108"/>
        <v>2.5937424601000023</v>
      </c>
      <c r="AG132" s="46">
        <f t="shared" si="108"/>
        <v>2.8531167061100029</v>
      </c>
      <c r="AH132" s="46">
        <f t="shared" si="108"/>
        <v>3.1384283767210035</v>
      </c>
      <c r="AI132" s="46">
        <f t="shared" si="108"/>
        <v>3.4522712143931042</v>
      </c>
      <c r="AJ132" s="46">
        <f t="shared" si="108"/>
        <v>3.7974983358324148</v>
      </c>
      <c r="AK132" s="46">
        <f t="shared" si="108"/>
        <v>4.1772481694156562</v>
      </c>
      <c r="AL132" s="46">
        <f t="shared" si="108"/>
        <v>4.594972986357222</v>
      </c>
      <c r="AM132" s="46">
        <f t="shared" si="108"/>
        <v>5.0544702849929442</v>
      </c>
      <c r="AN132" s="46">
        <f t="shared" si="108"/>
        <v>5.5599173134922388</v>
      </c>
      <c r="AO132" s="46">
        <f t="shared" si="108"/>
        <v>6.1159090448414632</v>
      </c>
      <c r="AP132" s="46">
        <f t="shared" si="108"/>
        <v>6.72749994932561</v>
      </c>
      <c r="AQ132" s="46">
        <f t="shared" si="108"/>
        <v>7.4002499442581717</v>
      </c>
      <c r="AR132" s="46">
        <f t="shared" si="108"/>
        <v>8.140274938683989</v>
      </c>
      <c r="AS132" s="46">
        <f t="shared" si="108"/>
        <v>8.9543024325523888</v>
      </c>
      <c r="AT132" s="46">
        <f t="shared" si="108"/>
        <v>9.849732675807628</v>
      </c>
      <c r="AU132" s="46">
        <f t="shared" si="108"/>
        <v>10.834705943388391</v>
      </c>
      <c r="AV132" s="46">
        <f t="shared" si="108"/>
        <v>11.918176537727231</v>
      </c>
      <c r="AW132" s="46">
        <f t="shared" si="108"/>
        <v>13.109994191499954</v>
      </c>
      <c r="AX132" s="46">
        <f t="shared" si="108"/>
        <v>14.420993610649951</v>
      </c>
      <c r="AY132" s="46">
        <f t="shared" si="108"/>
        <v>15.863092971714948</v>
      </c>
      <c r="AZ132" s="46">
        <f t="shared" si="108"/>
        <v>17.449402268886445</v>
      </c>
      <c r="BA132" s="46">
        <f t="shared" si="108"/>
        <v>19.194342495775089</v>
      </c>
      <c r="BB132" s="46">
        <f t="shared" si="108"/>
        <v>21.113776745352599</v>
      </c>
      <c r="BC132" s="46">
        <f t="shared" si="108"/>
        <v>23.225154419887861</v>
      </c>
      <c r="BD132" s="46">
        <f t="shared" si="108"/>
        <v>25.547669861876649</v>
      </c>
      <c r="BE132" s="46">
        <f t="shared" si="108"/>
        <v>28.102436848064315</v>
      </c>
      <c r="BF132" s="46">
        <f t="shared" si="108"/>
        <v>30.912680532870748</v>
      </c>
      <c r="BG132" s="46">
        <f t="shared" si="108"/>
        <v>34.003948586157826</v>
      </c>
      <c r="BH132" s="46">
        <f t="shared" si="108"/>
        <v>37.404343444773609</v>
      </c>
    </row>
    <row r="133" spans="1:60" ht="14.25" customHeight="1" x14ac:dyDescent="0.3">
      <c r="A133" s="46"/>
      <c r="B133" s="37"/>
      <c r="C133" s="46" t="str">
        <f>C$92</f>
        <v>Consultation Number of Sessions</v>
      </c>
      <c r="D133" s="46"/>
      <c r="E133" s="46"/>
      <c r="F133" s="46"/>
      <c r="G133" s="46"/>
      <c r="H133" s="46"/>
      <c r="I133" s="46"/>
      <c r="J133" s="46">
        <f t="shared" ref="J133:BH133" si="109">J$92</f>
        <v>0</v>
      </c>
      <c r="K133" s="46">
        <f t="shared" si="109"/>
        <v>0</v>
      </c>
      <c r="L133" s="46">
        <f t="shared" si="109"/>
        <v>0</v>
      </c>
      <c r="M133" s="46">
        <f t="shared" si="109"/>
        <v>0</v>
      </c>
      <c r="N133" s="46">
        <f t="shared" si="109"/>
        <v>0</v>
      </c>
      <c r="O133" s="46">
        <f t="shared" si="109"/>
        <v>0</v>
      </c>
      <c r="P133" s="46">
        <f t="shared" si="109"/>
        <v>0</v>
      </c>
      <c r="Q133" s="46">
        <f t="shared" si="109"/>
        <v>12.25</v>
      </c>
      <c r="R133" s="46">
        <f t="shared" si="109"/>
        <v>12.25</v>
      </c>
      <c r="S133" s="46">
        <f t="shared" si="109"/>
        <v>14.75</v>
      </c>
      <c r="T133" s="46">
        <f t="shared" si="109"/>
        <v>15.487500000000001</v>
      </c>
      <c r="U133" s="46">
        <f t="shared" si="109"/>
        <v>16.261875</v>
      </c>
      <c r="V133" s="46">
        <f t="shared" si="109"/>
        <v>17.07496875</v>
      </c>
      <c r="W133" s="46">
        <f t="shared" si="109"/>
        <v>17.928717187500002</v>
      </c>
      <c r="X133" s="46">
        <f t="shared" si="109"/>
        <v>18.825153046875002</v>
      </c>
      <c r="Y133" s="46">
        <f t="shared" si="109"/>
        <v>19.766410699218753</v>
      </c>
      <c r="Z133" s="46">
        <f t="shared" si="109"/>
        <v>20.75473123417969</v>
      </c>
      <c r="AA133" s="46">
        <f t="shared" si="109"/>
        <v>21.792467795888676</v>
      </c>
      <c r="AB133" s="46">
        <f t="shared" si="109"/>
        <v>22.882091185683112</v>
      </c>
      <c r="AC133" s="46">
        <f t="shared" si="109"/>
        <v>24.026195744967268</v>
      </c>
      <c r="AD133" s="46">
        <f t="shared" si="109"/>
        <v>25.227505532215634</v>
      </c>
      <c r="AE133" s="46">
        <f t="shared" si="109"/>
        <v>26.488880808826416</v>
      </c>
      <c r="AF133" s="46">
        <f t="shared" si="109"/>
        <v>27.813324849267737</v>
      </c>
      <c r="AG133" s="46">
        <f t="shared" si="109"/>
        <v>29.203991091731126</v>
      </c>
      <c r="AH133" s="46">
        <f t="shared" si="109"/>
        <v>30.664190646317685</v>
      </c>
      <c r="AI133" s="46">
        <f t="shared" si="109"/>
        <v>32.197400178633572</v>
      </c>
      <c r="AJ133" s="46">
        <f t="shared" si="109"/>
        <v>33.807270187565251</v>
      </c>
      <c r="AK133" s="46">
        <f t="shared" si="109"/>
        <v>35.497633696943517</v>
      </c>
      <c r="AL133" s="46">
        <f t="shared" si="109"/>
        <v>37.272515381790697</v>
      </c>
      <c r="AM133" s="46">
        <f t="shared" si="109"/>
        <v>39.136141150880235</v>
      </c>
      <c r="AN133" s="46">
        <f t="shared" si="109"/>
        <v>41.092948208424247</v>
      </c>
      <c r="AO133" s="46">
        <f t="shared" si="109"/>
        <v>43.147595618845457</v>
      </c>
      <c r="AP133" s="46">
        <f t="shared" si="109"/>
        <v>45.304975399787729</v>
      </c>
      <c r="AQ133" s="46">
        <f t="shared" si="109"/>
        <v>47.57022416977712</v>
      </c>
      <c r="AR133" s="46">
        <f t="shared" si="109"/>
        <v>49.94873537826598</v>
      </c>
      <c r="AS133" s="46">
        <f t="shared" si="109"/>
        <v>52.446172147179283</v>
      </c>
      <c r="AT133" s="46">
        <f t="shared" si="109"/>
        <v>55.06848075453825</v>
      </c>
      <c r="AU133" s="46">
        <f t="shared" si="109"/>
        <v>57.821904792265165</v>
      </c>
      <c r="AV133" s="46">
        <f t="shared" si="109"/>
        <v>60.71300003187843</v>
      </c>
      <c r="AW133" s="46">
        <f t="shared" si="109"/>
        <v>63.748650033472352</v>
      </c>
      <c r="AX133" s="46">
        <f t="shared" si="109"/>
        <v>66.936082535145971</v>
      </c>
      <c r="AY133" s="46">
        <f t="shared" si="109"/>
        <v>70.282886661903277</v>
      </c>
      <c r="AZ133" s="46">
        <f t="shared" si="109"/>
        <v>73.797030994998437</v>
      </c>
      <c r="BA133" s="46">
        <f t="shared" si="109"/>
        <v>77.486882544748369</v>
      </c>
      <c r="BB133" s="46">
        <f t="shared" si="109"/>
        <v>81.36122667198579</v>
      </c>
      <c r="BC133" s="46">
        <f t="shared" si="109"/>
        <v>85.429288005585079</v>
      </c>
      <c r="BD133" s="46">
        <f t="shared" si="109"/>
        <v>89.700752405864336</v>
      </c>
      <c r="BE133" s="46">
        <f t="shared" si="109"/>
        <v>94.185790026157562</v>
      </c>
      <c r="BF133" s="46">
        <f t="shared" si="109"/>
        <v>98.895079527465441</v>
      </c>
      <c r="BG133" s="46">
        <f t="shared" si="109"/>
        <v>103.83983350383872</v>
      </c>
      <c r="BH133" s="46">
        <f t="shared" si="109"/>
        <v>109.03182517903066</v>
      </c>
    </row>
    <row r="134" spans="1:60" ht="14.25" customHeight="1" x14ac:dyDescent="0.3">
      <c r="A134" s="46"/>
      <c r="B134" s="37"/>
      <c r="C134" s="46" t="str">
        <f>C$97</f>
        <v>Supplements Number of Patients</v>
      </c>
      <c r="D134" s="46"/>
      <c r="E134" s="46"/>
      <c r="F134" s="46"/>
      <c r="G134" s="46"/>
      <c r="H134" s="46"/>
      <c r="I134" s="46"/>
      <c r="J134" s="46">
        <f t="shared" ref="J134:BH134" si="110">J$97</f>
        <v>0</v>
      </c>
      <c r="K134" s="46">
        <f t="shared" si="110"/>
        <v>0</v>
      </c>
      <c r="L134" s="46">
        <f t="shared" si="110"/>
        <v>0</v>
      </c>
      <c r="M134" s="46">
        <f t="shared" si="110"/>
        <v>0</v>
      </c>
      <c r="N134" s="46">
        <f t="shared" si="110"/>
        <v>0</v>
      </c>
      <c r="O134" s="46">
        <f t="shared" si="110"/>
        <v>0</v>
      </c>
      <c r="P134" s="46">
        <f t="shared" si="110"/>
        <v>0</v>
      </c>
      <c r="Q134" s="46">
        <f t="shared" si="110"/>
        <v>12</v>
      </c>
      <c r="R134" s="46">
        <f t="shared" si="110"/>
        <v>7</v>
      </c>
      <c r="S134" s="46">
        <f t="shared" si="110"/>
        <v>11</v>
      </c>
      <c r="T134" s="46">
        <f t="shared" si="110"/>
        <v>11.55</v>
      </c>
      <c r="U134" s="46">
        <f t="shared" si="110"/>
        <v>12.127500000000001</v>
      </c>
      <c r="V134" s="46">
        <f t="shared" si="110"/>
        <v>12.733875000000001</v>
      </c>
      <c r="W134" s="46">
        <f t="shared" si="110"/>
        <v>13.370568750000002</v>
      </c>
      <c r="X134" s="46">
        <f t="shared" si="110"/>
        <v>14.039097187500003</v>
      </c>
      <c r="Y134" s="46">
        <f t="shared" si="110"/>
        <v>14.741052046875003</v>
      </c>
      <c r="Z134" s="46">
        <f t="shared" si="110"/>
        <v>15.478104649218754</v>
      </c>
      <c r="AA134" s="46">
        <f t="shared" si="110"/>
        <v>16.25200988167969</v>
      </c>
      <c r="AB134" s="46">
        <f t="shared" si="110"/>
        <v>17.064610375763674</v>
      </c>
      <c r="AC134" s="46">
        <f t="shared" si="110"/>
        <v>17.917840894551858</v>
      </c>
      <c r="AD134" s="46">
        <f t="shared" si="110"/>
        <v>18.813732939279451</v>
      </c>
      <c r="AE134" s="46">
        <f t="shared" si="110"/>
        <v>19.754419586243422</v>
      </c>
      <c r="AF134" s="46">
        <f t="shared" si="110"/>
        <v>20.742140565555594</v>
      </c>
      <c r="AG134" s="46">
        <f t="shared" si="110"/>
        <v>21.779247593833375</v>
      </c>
      <c r="AH134" s="46">
        <f t="shared" si="110"/>
        <v>22.868209973525044</v>
      </c>
      <c r="AI134" s="46">
        <f t="shared" si="110"/>
        <v>24.011620472201297</v>
      </c>
      <c r="AJ134" s="46">
        <f t="shared" si="110"/>
        <v>25.212201495811364</v>
      </c>
      <c r="AK134" s="46">
        <f t="shared" si="110"/>
        <v>26.472811570601934</v>
      </c>
      <c r="AL134" s="46">
        <f t="shared" si="110"/>
        <v>27.796452149132033</v>
      </c>
      <c r="AM134" s="46">
        <f t="shared" si="110"/>
        <v>29.186274756588634</v>
      </c>
      <c r="AN134" s="46">
        <f t="shared" si="110"/>
        <v>30.645588494418067</v>
      </c>
      <c r="AO134" s="46">
        <f t="shared" si="110"/>
        <v>32.177867919138976</v>
      </c>
      <c r="AP134" s="46">
        <f t="shared" si="110"/>
        <v>33.786761315095923</v>
      </c>
      <c r="AQ134" s="46">
        <f t="shared" si="110"/>
        <v>35.476099380850719</v>
      </c>
      <c r="AR134" s="46">
        <f t="shared" si="110"/>
        <v>37.249904349893256</v>
      </c>
      <c r="AS134" s="46">
        <f t="shared" si="110"/>
        <v>39.112399567387918</v>
      </c>
      <c r="AT134" s="46">
        <f t="shared" si="110"/>
        <v>41.068019545757316</v>
      </c>
      <c r="AU134" s="46">
        <f t="shared" si="110"/>
        <v>43.121420523045181</v>
      </c>
      <c r="AV134" s="46">
        <f t="shared" si="110"/>
        <v>45.277491549197443</v>
      </c>
      <c r="AW134" s="46">
        <f t="shared" si="110"/>
        <v>47.541366126657316</v>
      </c>
      <c r="AX134" s="46">
        <f t="shared" si="110"/>
        <v>49.918434432990182</v>
      </c>
      <c r="AY134" s="46">
        <f t="shared" si="110"/>
        <v>52.414356154639691</v>
      </c>
      <c r="AZ134" s="46">
        <f t="shared" si="110"/>
        <v>55.035073962371676</v>
      </c>
      <c r="BA134" s="46">
        <f t="shared" si="110"/>
        <v>57.78682766049026</v>
      </c>
      <c r="BB134" s="46">
        <f t="shared" si="110"/>
        <v>60.676169043514776</v>
      </c>
      <c r="BC134" s="46">
        <f t="shared" si="110"/>
        <v>63.709977495690516</v>
      </c>
      <c r="BD134" s="46">
        <f t="shared" si="110"/>
        <v>66.895476370475052</v>
      </c>
      <c r="BE134" s="46">
        <f t="shared" si="110"/>
        <v>70.240250188998814</v>
      </c>
      <c r="BF134" s="46">
        <f t="shared" si="110"/>
        <v>73.75226269844876</v>
      </c>
      <c r="BG134" s="46">
        <f t="shared" si="110"/>
        <v>77.439875833371204</v>
      </c>
      <c r="BH134" s="46">
        <f t="shared" si="110"/>
        <v>81.311869625039762</v>
      </c>
    </row>
    <row r="135" spans="1:60" ht="14.25" customHeight="1" x14ac:dyDescent="0.3">
      <c r="A135" s="46"/>
      <c r="B135" s="37"/>
      <c r="C135" s="46" t="str">
        <f>C$107</f>
        <v>Oxyhydrogen Therapy  Number of Sessions</v>
      </c>
      <c r="D135" s="46"/>
      <c r="E135" s="46"/>
      <c r="F135" s="46"/>
      <c r="G135" s="46"/>
      <c r="H135" s="46"/>
      <c r="I135" s="46"/>
      <c r="J135" s="46">
        <f t="shared" ref="J135:BH135" si="111">J$107</f>
        <v>0</v>
      </c>
      <c r="K135" s="46">
        <f t="shared" si="111"/>
        <v>0</v>
      </c>
      <c r="L135" s="46">
        <f t="shared" si="111"/>
        <v>0</v>
      </c>
      <c r="M135" s="46">
        <f t="shared" si="111"/>
        <v>0</v>
      </c>
      <c r="N135" s="46">
        <f t="shared" si="111"/>
        <v>0</v>
      </c>
      <c r="O135" s="46">
        <f t="shared" si="111"/>
        <v>0</v>
      </c>
      <c r="P135" s="46">
        <f t="shared" si="111"/>
        <v>0</v>
      </c>
      <c r="Q135" s="46">
        <f t="shared" si="111"/>
        <v>0</v>
      </c>
      <c r="R135" s="46">
        <f t="shared" si="111"/>
        <v>0</v>
      </c>
      <c r="S135" s="46">
        <f t="shared" si="111"/>
        <v>0</v>
      </c>
      <c r="T135" s="46">
        <f t="shared" si="111"/>
        <v>0</v>
      </c>
      <c r="U135" s="46">
        <f t="shared" si="111"/>
        <v>22</v>
      </c>
      <c r="V135" s="46">
        <f t="shared" si="111"/>
        <v>24.200000000000003</v>
      </c>
      <c r="W135" s="46">
        <f t="shared" si="111"/>
        <v>26.620000000000005</v>
      </c>
      <c r="X135" s="46">
        <f t="shared" si="111"/>
        <v>29.282000000000007</v>
      </c>
      <c r="Y135" s="46">
        <f t="shared" si="111"/>
        <v>32.210200000000007</v>
      </c>
      <c r="Z135" s="46">
        <f t="shared" si="111"/>
        <v>35.43122000000001</v>
      </c>
      <c r="AA135" s="46">
        <f t="shared" si="111"/>
        <v>38.974342000000014</v>
      </c>
      <c r="AB135" s="46">
        <f t="shared" si="111"/>
        <v>42.871776200000021</v>
      </c>
      <c r="AC135" s="46">
        <f t="shared" si="111"/>
        <v>47.158953820000029</v>
      </c>
      <c r="AD135" s="46">
        <f t="shared" si="111"/>
        <v>51.874849202000036</v>
      </c>
      <c r="AE135" s="46">
        <f t="shared" si="111"/>
        <v>57.062334122200042</v>
      </c>
      <c r="AF135" s="46">
        <f t="shared" si="111"/>
        <v>62.76856753442005</v>
      </c>
      <c r="AG135" s="46">
        <f t="shared" si="111"/>
        <v>69.045424287862062</v>
      </c>
      <c r="AH135" s="46">
        <f t="shared" si="111"/>
        <v>75.949966716648277</v>
      </c>
      <c r="AI135" s="46">
        <f t="shared" si="111"/>
        <v>83.544963388313107</v>
      </c>
      <c r="AJ135" s="46">
        <f t="shared" si="111"/>
        <v>91.899459727144432</v>
      </c>
      <c r="AK135" s="46">
        <f t="shared" si="111"/>
        <v>101.08940569985889</v>
      </c>
      <c r="AL135" s="46">
        <f t="shared" si="111"/>
        <v>111.19834626984479</v>
      </c>
      <c r="AM135" s="46">
        <f t="shared" si="111"/>
        <v>122.31818089682928</v>
      </c>
      <c r="AN135" s="46">
        <f t="shared" si="111"/>
        <v>134.54999898651221</v>
      </c>
      <c r="AO135" s="46">
        <f t="shared" si="111"/>
        <v>148.00499888516345</v>
      </c>
      <c r="AP135" s="46">
        <f t="shared" si="111"/>
        <v>150</v>
      </c>
      <c r="AQ135" s="46">
        <f t="shared" si="111"/>
        <v>150</v>
      </c>
      <c r="AR135" s="46">
        <f t="shared" si="111"/>
        <v>150</v>
      </c>
      <c r="AS135" s="46">
        <f t="shared" si="111"/>
        <v>150</v>
      </c>
      <c r="AT135" s="46">
        <f t="shared" si="111"/>
        <v>150</v>
      </c>
      <c r="AU135" s="46">
        <f t="shared" si="111"/>
        <v>150</v>
      </c>
      <c r="AV135" s="46">
        <f t="shared" si="111"/>
        <v>150</v>
      </c>
      <c r="AW135" s="46">
        <f t="shared" si="111"/>
        <v>150</v>
      </c>
      <c r="AX135" s="46">
        <f t="shared" si="111"/>
        <v>150</v>
      </c>
      <c r="AY135" s="46">
        <f t="shared" si="111"/>
        <v>150</v>
      </c>
      <c r="AZ135" s="46">
        <f t="shared" si="111"/>
        <v>150</v>
      </c>
      <c r="BA135" s="46">
        <f t="shared" si="111"/>
        <v>150</v>
      </c>
      <c r="BB135" s="46">
        <f t="shared" si="111"/>
        <v>150</v>
      </c>
      <c r="BC135" s="46">
        <f t="shared" si="111"/>
        <v>150</v>
      </c>
      <c r="BD135" s="46">
        <f t="shared" si="111"/>
        <v>150</v>
      </c>
      <c r="BE135" s="46">
        <f t="shared" si="111"/>
        <v>150</v>
      </c>
      <c r="BF135" s="46">
        <f t="shared" si="111"/>
        <v>150</v>
      </c>
      <c r="BG135" s="46">
        <f t="shared" si="111"/>
        <v>150</v>
      </c>
      <c r="BH135" s="46">
        <f t="shared" si="111"/>
        <v>150</v>
      </c>
    </row>
    <row r="136" spans="1:60" ht="14.25" customHeight="1" x14ac:dyDescent="0.3">
      <c r="A136" s="46"/>
      <c r="B136" s="37"/>
      <c r="C136" s="46" t="str">
        <f>C$115</f>
        <v>Pathology Services  Number of Sessions</v>
      </c>
      <c r="D136" s="46"/>
      <c r="E136" s="46"/>
      <c r="F136" s="46"/>
      <c r="G136" s="46"/>
      <c r="H136" s="46"/>
      <c r="I136" s="46"/>
      <c r="J136" s="46">
        <f t="shared" ref="J136:BH136" si="112">J$115</f>
        <v>0</v>
      </c>
      <c r="K136" s="46">
        <f t="shared" si="112"/>
        <v>0</v>
      </c>
      <c r="L136" s="46">
        <f t="shared" si="112"/>
        <v>0</v>
      </c>
      <c r="M136" s="46">
        <f t="shared" si="112"/>
        <v>0</v>
      </c>
      <c r="N136" s="46">
        <f t="shared" si="112"/>
        <v>0</v>
      </c>
      <c r="O136" s="46">
        <f t="shared" si="112"/>
        <v>0</v>
      </c>
      <c r="P136" s="46">
        <f t="shared" si="112"/>
        <v>0</v>
      </c>
      <c r="Q136" s="46">
        <f t="shared" si="112"/>
        <v>0</v>
      </c>
      <c r="R136" s="46">
        <f t="shared" si="112"/>
        <v>0</v>
      </c>
      <c r="S136" s="46">
        <f t="shared" si="112"/>
        <v>0</v>
      </c>
      <c r="T136" s="46">
        <f t="shared" si="112"/>
        <v>0</v>
      </c>
      <c r="U136" s="46">
        <f t="shared" si="112"/>
        <v>0</v>
      </c>
      <c r="V136" s="46">
        <f t="shared" si="112"/>
        <v>5.5</v>
      </c>
      <c r="W136" s="46">
        <f t="shared" si="112"/>
        <v>6.0500000000000007</v>
      </c>
      <c r="X136" s="46">
        <f t="shared" si="112"/>
        <v>6.6550000000000011</v>
      </c>
      <c r="Y136" s="46">
        <f t="shared" si="112"/>
        <v>7.3205000000000018</v>
      </c>
      <c r="Z136" s="46">
        <f t="shared" si="112"/>
        <v>8.0525500000000019</v>
      </c>
      <c r="AA136" s="46">
        <f t="shared" si="112"/>
        <v>8.8578050000000026</v>
      </c>
      <c r="AB136" s="46">
        <f t="shared" si="112"/>
        <v>9.7435855000000036</v>
      </c>
      <c r="AC136" s="46">
        <f t="shared" si="112"/>
        <v>10.717944050000005</v>
      </c>
      <c r="AD136" s="46">
        <f t="shared" si="112"/>
        <v>11.789738455000007</v>
      </c>
      <c r="AE136" s="46">
        <f t="shared" si="112"/>
        <v>12.968712300500009</v>
      </c>
      <c r="AF136" s="46">
        <f t="shared" si="112"/>
        <v>14.26558353055001</v>
      </c>
      <c r="AG136" s="46">
        <f t="shared" si="112"/>
        <v>15.692141883605013</v>
      </c>
      <c r="AH136" s="46">
        <f t="shared" si="112"/>
        <v>17.261356071965515</v>
      </c>
      <c r="AI136" s="46">
        <f t="shared" si="112"/>
        <v>18.987491679162069</v>
      </c>
      <c r="AJ136" s="46">
        <f t="shared" si="112"/>
        <v>20.886240847078277</v>
      </c>
      <c r="AK136" s="46">
        <f t="shared" si="112"/>
        <v>22.974864931786108</v>
      </c>
      <c r="AL136" s="46">
        <f t="shared" si="112"/>
        <v>25.272351424964722</v>
      </c>
      <c r="AM136" s="46">
        <f t="shared" si="112"/>
        <v>27.799586567461198</v>
      </c>
      <c r="AN136" s="46">
        <f t="shared" si="112"/>
        <v>30.579545224207319</v>
      </c>
      <c r="AO136" s="46">
        <f t="shared" si="112"/>
        <v>33.637499746628052</v>
      </c>
      <c r="AP136" s="46">
        <f t="shared" si="112"/>
        <v>37.001249721290861</v>
      </c>
      <c r="AQ136" s="46">
        <f t="shared" si="112"/>
        <v>40.70137469341995</v>
      </c>
      <c r="AR136" s="46">
        <f t="shared" si="112"/>
        <v>44.771512162761951</v>
      </c>
      <c r="AS136" s="46">
        <f t="shared" si="112"/>
        <v>49.248663379038149</v>
      </c>
      <c r="AT136" s="46">
        <f t="shared" si="112"/>
        <v>50</v>
      </c>
      <c r="AU136" s="46">
        <f t="shared" si="112"/>
        <v>50</v>
      </c>
      <c r="AV136" s="46">
        <f t="shared" si="112"/>
        <v>50</v>
      </c>
      <c r="AW136" s="46">
        <f t="shared" si="112"/>
        <v>50</v>
      </c>
      <c r="AX136" s="46">
        <f t="shared" si="112"/>
        <v>50</v>
      </c>
      <c r="AY136" s="46">
        <f t="shared" si="112"/>
        <v>50</v>
      </c>
      <c r="AZ136" s="46">
        <f t="shared" si="112"/>
        <v>50</v>
      </c>
      <c r="BA136" s="46">
        <f t="shared" si="112"/>
        <v>50</v>
      </c>
      <c r="BB136" s="46">
        <f t="shared" si="112"/>
        <v>50</v>
      </c>
      <c r="BC136" s="46">
        <f t="shared" si="112"/>
        <v>50</v>
      </c>
      <c r="BD136" s="46">
        <f t="shared" si="112"/>
        <v>50</v>
      </c>
      <c r="BE136" s="46">
        <f t="shared" si="112"/>
        <v>50</v>
      </c>
      <c r="BF136" s="46">
        <f t="shared" si="112"/>
        <v>50</v>
      </c>
      <c r="BG136" s="46">
        <f t="shared" si="112"/>
        <v>50</v>
      </c>
      <c r="BH136" s="46">
        <f t="shared" si="112"/>
        <v>50</v>
      </c>
    </row>
    <row r="137" spans="1:60" ht="14.25" customHeight="1" x14ac:dyDescent="0.3">
      <c r="A137" s="46"/>
      <c r="B137" s="37"/>
      <c r="C137" s="46" t="s">
        <v>120</v>
      </c>
      <c r="D137" s="46"/>
      <c r="E137" s="46"/>
      <c r="F137" s="46"/>
      <c r="G137" s="46"/>
      <c r="H137" s="46"/>
      <c r="I137" s="46"/>
      <c r="J137" s="51">
        <f>SUM(J122:J134)-J132</f>
        <v>0</v>
      </c>
      <c r="K137" s="51">
        <f t="shared" ref="K137:AZ137" si="113">SUM(K122:K134)-K132</f>
        <v>0</v>
      </c>
      <c r="L137" s="51">
        <f t="shared" si="113"/>
        <v>0</v>
      </c>
      <c r="M137" s="51">
        <f t="shared" si="113"/>
        <v>0</v>
      </c>
      <c r="N137" s="51">
        <f t="shared" si="113"/>
        <v>0</v>
      </c>
      <c r="O137" s="51">
        <f t="shared" si="113"/>
        <v>0</v>
      </c>
      <c r="P137" s="51">
        <f t="shared" si="113"/>
        <v>0</v>
      </c>
      <c r="Q137" s="51">
        <f t="shared" si="113"/>
        <v>61.25</v>
      </c>
      <c r="R137" s="51">
        <f t="shared" si="113"/>
        <v>129.94999999999999</v>
      </c>
      <c r="S137" s="51">
        <f t="shared" si="113"/>
        <v>163.25</v>
      </c>
      <c r="T137" s="51">
        <f t="shared" si="113"/>
        <v>219.16250000000002</v>
      </c>
      <c r="U137" s="51">
        <f t="shared" si="113"/>
        <v>266.07875000000001</v>
      </c>
      <c r="V137" s="51">
        <f t="shared" si="113"/>
        <v>342.387578125</v>
      </c>
      <c r="W137" s="51">
        <f t="shared" si="113"/>
        <v>374.62355585937502</v>
      </c>
      <c r="X137" s="51">
        <f t="shared" si="113"/>
        <v>429.79940858398436</v>
      </c>
      <c r="Y137" s="51">
        <f t="shared" si="113"/>
        <v>453.83005841088863</v>
      </c>
      <c r="Z137" s="51">
        <f t="shared" si="113"/>
        <v>478.22788206381227</v>
      </c>
      <c r="AA137" s="51">
        <f t="shared" si="113"/>
        <v>504.0827457999028</v>
      </c>
      <c r="AB137" s="51">
        <f t="shared" si="113"/>
        <v>531.49105758887254</v>
      </c>
      <c r="AC137" s="51">
        <f t="shared" si="113"/>
        <v>560.55628890897378</v>
      </c>
      <c r="AD137" s="51">
        <f t="shared" si="113"/>
        <v>582.88414001327794</v>
      </c>
      <c r="AE137" s="51">
        <f t="shared" si="113"/>
        <v>606.52949025858095</v>
      </c>
      <c r="AF137" s="51">
        <f t="shared" si="113"/>
        <v>631.73670568507305</v>
      </c>
      <c r="AG137" s="51">
        <f t="shared" si="113"/>
        <v>650.11559799946031</v>
      </c>
      <c r="AH137" s="51">
        <f t="shared" si="113"/>
        <v>669.72620848770873</v>
      </c>
      <c r="AI137" s="51">
        <f t="shared" si="113"/>
        <v>690.81924929210618</v>
      </c>
      <c r="AJ137" s="51">
        <f t="shared" si="113"/>
        <v>713.51761190966022</v>
      </c>
      <c r="AK137" s="51">
        <f t="shared" si="113"/>
        <v>737.95498037917787</v>
      </c>
      <c r="AL137" s="51">
        <f t="shared" si="113"/>
        <v>761.95863456759889</v>
      </c>
      <c r="AM137" s="51">
        <f t="shared" si="113"/>
        <v>778.09143192093188</v>
      </c>
      <c r="AN137" s="51">
        <f t="shared" si="113"/>
        <v>795.21617163488918</v>
      </c>
      <c r="AO137" s="51">
        <f t="shared" si="113"/>
        <v>813.39819695375104</v>
      </c>
      <c r="AP137" s="51">
        <f t="shared" si="113"/>
        <v>832.70734545446214</v>
      </c>
      <c r="AQ137" s="51">
        <f t="shared" si="113"/>
        <v>853.21826695632399</v>
      </c>
      <c r="AR137" s="51">
        <f t="shared" si="113"/>
        <v>875.01076434453091</v>
      </c>
      <c r="AS137" s="51">
        <f t="shared" si="113"/>
        <v>898.17015898034538</v>
      </c>
      <c r="AT137" s="51">
        <f t="shared" si="113"/>
        <v>922.78768249389225</v>
      </c>
      <c r="AU137" s="51">
        <f t="shared" si="113"/>
        <v>948.96089688786731</v>
      </c>
      <c r="AV137" s="51">
        <f t="shared" si="113"/>
        <v>976.79414502258328</v>
      </c>
      <c r="AW137" s="51">
        <f t="shared" si="113"/>
        <v>1006.3990337054269</v>
      </c>
      <c r="AX137" s="51">
        <f t="shared" si="113"/>
        <v>1037.8949517717742</v>
      </c>
      <c r="AY137" s="51">
        <f t="shared" si="113"/>
        <v>1069.8706190229589</v>
      </c>
      <c r="AZ137" s="51">
        <f t="shared" si="113"/>
        <v>1097.2146296311628</v>
      </c>
      <c r="BA137" s="51">
        <f t="shared" ref="BA137:BH137" si="114">SUM(BA122:BA134)-BA132</f>
        <v>1108.6253611127208</v>
      </c>
      <c r="BB137" s="51">
        <f t="shared" si="114"/>
        <v>1120.6066291683571</v>
      </c>
      <c r="BC137" s="51">
        <f t="shared" si="114"/>
        <v>1133.1869606267749</v>
      </c>
      <c r="BD137" s="51">
        <f t="shared" si="114"/>
        <v>1146.3963086581136</v>
      </c>
      <c r="BE137" s="51">
        <f t="shared" si="114"/>
        <v>1160.266124091019</v>
      </c>
      <c r="BF137" s="51">
        <f t="shared" si="114"/>
        <v>1174.8294302955703</v>
      </c>
      <c r="BG137" s="51">
        <f t="shared" si="114"/>
        <v>1190.1209018103489</v>
      </c>
      <c r="BH137" s="51">
        <f t="shared" si="114"/>
        <v>1206.1769469008661</v>
      </c>
    </row>
    <row r="138" spans="1:60" ht="14.25" customHeight="1" x14ac:dyDescent="0.3">
      <c r="A138" s="46"/>
      <c r="B138" s="37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6"/>
      <c r="AN138" s="46"/>
      <c r="AO138" s="46"/>
      <c r="AP138" s="46"/>
      <c r="AQ138" s="46"/>
      <c r="AR138" s="46"/>
      <c r="AS138" s="46"/>
      <c r="AT138" s="46"/>
      <c r="AU138" s="46"/>
      <c r="AV138" s="46"/>
      <c r="AW138" s="46"/>
      <c r="AX138" s="46"/>
      <c r="AY138" s="46"/>
      <c r="AZ138" s="46"/>
      <c r="BA138" s="46"/>
      <c r="BB138" s="46"/>
      <c r="BC138" s="46"/>
      <c r="BD138" s="46"/>
      <c r="BE138" s="46"/>
      <c r="BF138" s="46"/>
      <c r="BG138" s="46"/>
      <c r="BH138" s="46"/>
    </row>
    <row r="139" spans="1:60" ht="14.25" customHeight="1" x14ac:dyDescent="0.3">
      <c r="A139" s="46"/>
      <c r="B139" s="37"/>
      <c r="C139" s="46" t="s">
        <v>121</v>
      </c>
      <c r="D139" s="46"/>
      <c r="E139" s="46"/>
      <c r="F139" s="46"/>
      <c r="G139" s="46"/>
      <c r="H139" s="46"/>
      <c r="I139" s="46"/>
      <c r="J139" s="46">
        <f>J133</f>
        <v>0</v>
      </c>
      <c r="K139" s="46">
        <f t="shared" ref="K139:BH139" si="115">K133</f>
        <v>0</v>
      </c>
      <c r="L139" s="46">
        <f t="shared" si="115"/>
        <v>0</v>
      </c>
      <c r="M139" s="46">
        <f t="shared" si="115"/>
        <v>0</v>
      </c>
      <c r="N139" s="46">
        <f t="shared" si="115"/>
        <v>0</v>
      </c>
      <c r="O139" s="46">
        <f t="shared" si="115"/>
        <v>0</v>
      </c>
      <c r="P139" s="46">
        <f t="shared" si="115"/>
        <v>0</v>
      </c>
      <c r="Q139" s="46">
        <f t="shared" si="115"/>
        <v>12.25</v>
      </c>
      <c r="R139" s="46">
        <f t="shared" si="115"/>
        <v>12.25</v>
      </c>
      <c r="S139" s="46">
        <f t="shared" si="115"/>
        <v>14.75</v>
      </c>
      <c r="T139" s="46">
        <f t="shared" si="115"/>
        <v>15.487500000000001</v>
      </c>
      <c r="U139" s="46">
        <f t="shared" si="115"/>
        <v>16.261875</v>
      </c>
      <c r="V139" s="46">
        <f t="shared" si="115"/>
        <v>17.07496875</v>
      </c>
      <c r="W139" s="46">
        <f t="shared" si="115"/>
        <v>17.928717187500002</v>
      </c>
      <c r="X139" s="46">
        <f t="shared" si="115"/>
        <v>18.825153046875002</v>
      </c>
      <c r="Y139" s="46">
        <f t="shared" si="115"/>
        <v>19.766410699218753</v>
      </c>
      <c r="Z139" s="46">
        <f t="shared" si="115"/>
        <v>20.75473123417969</v>
      </c>
      <c r="AA139" s="46">
        <f t="shared" si="115"/>
        <v>21.792467795888676</v>
      </c>
      <c r="AB139" s="46">
        <f t="shared" si="115"/>
        <v>22.882091185683112</v>
      </c>
      <c r="AC139" s="46">
        <f t="shared" si="115"/>
        <v>24.026195744967268</v>
      </c>
      <c r="AD139" s="46">
        <f t="shared" si="115"/>
        <v>25.227505532215634</v>
      </c>
      <c r="AE139" s="46">
        <f t="shared" si="115"/>
        <v>26.488880808826416</v>
      </c>
      <c r="AF139" s="46">
        <f t="shared" si="115"/>
        <v>27.813324849267737</v>
      </c>
      <c r="AG139" s="46">
        <f t="shared" si="115"/>
        <v>29.203991091731126</v>
      </c>
      <c r="AH139" s="46">
        <f t="shared" si="115"/>
        <v>30.664190646317685</v>
      </c>
      <c r="AI139" s="46">
        <f t="shared" si="115"/>
        <v>32.197400178633572</v>
      </c>
      <c r="AJ139" s="46">
        <f t="shared" si="115"/>
        <v>33.807270187565251</v>
      </c>
      <c r="AK139" s="46">
        <f t="shared" si="115"/>
        <v>35.497633696943517</v>
      </c>
      <c r="AL139" s="46">
        <f t="shared" si="115"/>
        <v>37.272515381790697</v>
      </c>
      <c r="AM139" s="46">
        <f t="shared" si="115"/>
        <v>39.136141150880235</v>
      </c>
      <c r="AN139" s="46">
        <f t="shared" si="115"/>
        <v>41.092948208424247</v>
      </c>
      <c r="AO139" s="46">
        <f t="shared" si="115"/>
        <v>43.147595618845457</v>
      </c>
      <c r="AP139" s="46">
        <f t="shared" si="115"/>
        <v>45.304975399787729</v>
      </c>
      <c r="AQ139" s="46">
        <f t="shared" si="115"/>
        <v>47.57022416977712</v>
      </c>
      <c r="AR139" s="46">
        <f t="shared" si="115"/>
        <v>49.94873537826598</v>
      </c>
      <c r="AS139" s="46">
        <f t="shared" si="115"/>
        <v>52.446172147179283</v>
      </c>
      <c r="AT139" s="46">
        <f t="shared" si="115"/>
        <v>55.06848075453825</v>
      </c>
      <c r="AU139" s="46">
        <f t="shared" si="115"/>
        <v>57.821904792265165</v>
      </c>
      <c r="AV139" s="46">
        <f t="shared" si="115"/>
        <v>60.71300003187843</v>
      </c>
      <c r="AW139" s="46">
        <f t="shared" si="115"/>
        <v>63.748650033472352</v>
      </c>
      <c r="AX139" s="46">
        <f t="shared" si="115"/>
        <v>66.936082535145971</v>
      </c>
      <c r="AY139" s="46">
        <f t="shared" si="115"/>
        <v>70.282886661903277</v>
      </c>
      <c r="AZ139" s="46">
        <f t="shared" si="115"/>
        <v>73.797030994998437</v>
      </c>
      <c r="BA139" s="46">
        <f t="shared" si="115"/>
        <v>77.486882544748369</v>
      </c>
      <c r="BB139" s="46">
        <f t="shared" si="115"/>
        <v>81.36122667198579</v>
      </c>
      <c r="BC139" s="46">
        <f t="shared" si="115"/>
        <v>85.429288005585079</v>
      </c>
      <c r="BD139" s="46">
        <f t="shared" si="115"/>
        <v>89.700752405864336</v>
      </c>
      <c r="BE139" s="46">
        <f t="shared" si="115"/>
        <v>94.185790026157562</v>
      </c>
      <c r="BF139" s="46">
        <f t="shared" si="115"/>
        <v>98.895079527465441</v>
      </c>
      <c r="BG139" s="46">
        <f t="shared" si="115"/>
        <v>103.83983350383872</v>
      </c>
      <c r="BH139" s="46">
        <f t="shared" si="115"/>
        <v>109.03182517903066</v>
      </c>
    </row>
    <row r="140" spans="1:60" ht="14.25" customHeight="1" x14ac:dyDescent="0.3">
      <c r="A140" s="46"/>
      <c r="B140" s="37"/>
      <c r="C140" s="46" t="s">
        <v>122</v>
      </c>
      <c r="D140" s="46"/>
      <c r="E140" s="46"/>
      <c r="F140" s="46"/>
      <c r="G140" s="46"/>
      <c r="H140" s="46"/>
      <c r="I140" s="46"/>
      <c r="J140" s="46">
        <f>J137-J139</f>
        <v>0</v>
      </c>
      <c r="K140" s="46">
        <f t="shared" ref="K140:BH140" si="116">K137-K139</f>
        <v>0</v>
      </c>
      <c r="L140" s="46">
        <f t="shared" si="116"/>
        <v>0</v>
      </c>
      <c r="M140" s="46">
        <f t="shared" si="116"/>
        <v>0</v>
      </c>
      <c r="N140" s="46">
        <f t="shared" si="116"/>
        <v>0</v>
      </c>
      <c r="O140" s="46">
        <f t="shared" si="116"/>
        <v>0</v>
      </c>
      <c r="P140" s="46">
        <f t="shared" si="116"/>
        <v>0</v>
      </c>
      <c r="Q140" s="46">
        <f t="shared" si="116"/>
        <v>49</v>
      </c>
      <c r="R140" s="46">
        <f t="shared" si="116"/>
        <v>117.69999999999999</v>
      </c>
      <c r="S140" s="46">
        <f t="shared" si="116"/>
        <v>148.5</v>
      </c>
      <c r="T140" s="46">
        <f t="shared" si="116"/>
        <v>203.67500000000001</v>
      </c>
      <c r="U140" s="46">
        <f t="shared" si="116"/>
        <v>249.81687500000001</v>
      </c>
      <c r="V140" s="46">
        <f t="shared" si="116"/>
        <v>325.31260937500002</v>
      </c>
      <c r="W140" s="46">
        <f t="shared" si="116"/>
        <v>356.694838671875</v>
      </c>
      <c r="X140" s="46">
        <f t="shared" si="116"/>
        <v>410.97425553710934</v>
      </c>
      <c r="Y140" s="46">
        <f t="shared" si="116"/>
        <v>434.06364771166989</v>
      </c>
      <c r="Z140" s="46">
        <f t="shared" si="116"/>
        <v>457.47315082963257</v>
      </c>
      <c r="AA140" s="46">
        <f t="shared" si="116"/>
        <v>482.29027800401411</v>
      </c>
      <c r="AB140" s="46">
        <f t="shared" si="116"/>
        <v>508.60896640318941</v>
      </c>
      <c r="AC140" s="46">
        <f t="shared" si="116"/>
        <v>536.53009316400653</v>
      </c>
      <c r="AD140" s="46">
        <f t="shared" si="116"/>
        <v>557.65663448106227</v>
      </c>
      <c r="AE140" s="46">
        <f t="shared" si="116"/>
        <v>580.04060944975458</v>
      </c>
      <c r="AF140" s="46">
        <f t="shared" si="116"/>
        <v>603.92338083580535</v>
      </c>
      <c r="AG140" s="46">
        <f t="shared" si="116"/>
        <v>620.91160690772915</v>
      </c>
      <c r="AH140" s="46">
        <f t="shared" si="116"/>
        <v>639.06201784139103</v>
      </c>
      <c r="AI140" s="46">
        <f t="shared" si="116"/>
        <v>658.62184911347265</v>
      </c>
      <c r="AJ140" s="46">
        <f t="shared" si="116"/>
        <v>679.710341722095</v>
      </c>
      <c r="AK140" s="46">
        <f t="shared" si="116"/>
        <v>702.4573466822344</v>
      </c>
      <c r="AL140" s="46">
        <f t="shared" si="116"/>
        <v>724.68611918580814</v>
      </c>
      <c r="AM140" s="46">
        <f t="shared" si="116"/>
        <v>738.95529077005165</v>
      </c>
      <c r="AN140" s="46">
        <f t="shared" si="116"/>
        <v>754.12322342646496</v>
      </c>
      <c r="AO140" s="46">
        <f t="shared" si="116"/>
        <v>770.25060133490558</v>
      </c>
      <c r="AP140" s="46">
        <f t="shared" si="116"/>
        <v>787.40237005467441</v>
      </c>
      <c r="AQ140" s="46">
        <f t="shared" si="116"/>
        <v>805.64804278654685</v>
      </c>
      <c r="AR140" s="46">
        <f t="shared" si="116"/>
        <v>825.06202896626496</v>
      </c>
      <c r="AS140" s="46">
        <f t="shared" si="116"/>
        <v>845.72398683316612</v>
      </c>
      <c r="AT140" s="46">
        <f t="shared" si="116"/>
        <v>867.71920173935405</v>
      </c>
      <c r="AU140" s="46">
        <f t="shared" si="116"/>
        <v>891.13899209560213</v>
      </c>
      <c r="AV140" s="46">
        <f t="shared" si="116"/>
        <v>916.08114499070484</v>
      </c>
      <c r="AW140" s="46">
        <f t="shared" si="116"/>
        <v>942.6503836719545</v>
      </c>
      <c r="AX140" s="46">
        <f t="shared" si="116"/>
        <v>970.95886923662829</v>
      </c>
      <c r="AY140" s="46">
        <f t="shared" si="116"/>
        <v>999.5877323610556</v>
      </c>
      <c r="AZ140" s="46">
        <f t="shared" si="116"/>
        <v>1023.4175986361644</v>
      </c>
      <c r="BA140" s="46">
        <f t="shared" si="116"/>
        <v>1031.1384785679725</v>
      </c>
      <c r="BB140" s="46">
        <f t="shared" si="116"/>
        <v>1039.2454024963713</v>
      </c>
      <c r="BC140" s="46">
        <f t="shared" si="116"/>
        <v>1047.7576726211898</v>
      </c>
      <c r="BD140" s="46">
        <f t="shared" si="116"/>
        <v>1056.6955562522494</v>
      </c>
      <c r="BE140" s="46">
        <f t="shared" si="116"/>
        <v>1066.0803340648615</v>
      </c>
      <c r="BF140" s="46">
        <f t="shared" si="116"/>
        <v>1075.9343507681049</v>
      </c>
      <c r="BG140" s="46">
        <f t="shared" si="116"/>
        <v>1086.2810683065102</v>
      </c>
      <c r="BH140" s="46">
        <f t="shared" si="116"/>
        <v>1097.1451217218355</v>
      </c>
    </row>
    <row r="141" spans="1:60" ht="14.25" customHeight="1" x14ac:dyDescent="0.3">
      <c r="A141" s="46"/>
      <c r="B141" s="37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  <c r="AF141" s="46"/>
      <c r="AG141" s="46"/>
      <c r="AH141" s="46"/>
      <c r="AI141" s="46"/>
      <c r="AJ141" s="46"/>
      <c r="AK141" s="46"/>
      <c r="AL141" s="46"/>
      <c r="AM141" s="46"/>
      <c r="AN141" s="46"/>
      <c r="AO141" s="46"/>
      <c r="AP141" s="46"/>
      <c r="AQ141" s="46"/>
      <c r="AR141" s="46"/>
      <c r="AS141" s="46"/>
      <c r="AT141" s="46"/>
      <c r="AU141" s="46"/>
      <c r="AV141" s="46"/>
      <c r="AW141" s="46"/>
      <c r="AX141" s="46"/>
      <c r="AY141" s="46"/>
      <c r="AZ141" s="46"/>
      <c r="BA141" s="46"/>
      <c r="BB141" s="46"/>
      <c r="BC141" s="46"/>
      <c r="BD141" s="46"/>
      <c r="BE141" s="46"/>
      <c r="BF141" s="46"/>
      <c r="BG141" s="46"/>
      <c r="BH141" s="46"/>
    </row>
    <row r="142" spans="1:60" ht="14.25" customHeight="1" x14ac:dyDescent="0.3">
      <c r="A142" s="46"/>
      <c r="B142" s="37"/>
      <c r="C142" s="46" t="str">
        <f>C$14</f>
        <v>IV Treatment Revenue</v>
      </c>
      <c r="D142" s="46"/>
      <c r="E142" s="46"/>
      <c r="F142" s="46"/>
      <c r="G142" s="46"/>
      <c r="H142" s="46"/>
      <c r="I142" s="46"/>
      <c r="J142" s="46">
        <f t="shared" ref="J142:BH142" si="117">J$14</f>
        <v>0</v>
      </c>
      <c r="K142" s="46">
        <f t="shared" si="117"/>
        <v>0</v>
      </c>
      <c r="L142" s="46">
        <f t="shared" si="117"/>
        <v>0</v>
      </c>
      <c r="M142" s="46">
        <f t="shared" si="117"/>
        <v>0</v>
      </c>
      <c r="N142" s="46">
        <f t="shared" si="117"/>
        <v>0</v>
      </c>
      <c r="O142" s="46">
        <f t="shared" si="117"/>
        <v>0</v>
      </c>
      <c r="P142" s="46">
        <f t="shared" si="117"/>
        <v>0</v>
      </c>
      <c r="Q142" s="46">
        <f t="shared" si="117"/>
        <v>0</v>
      </c>
      <c r="R142" s="46">
        <f t="shared" si="117"/>
        <v>7917</v>
      </c>
      <c r="S142" s="46">
        <f t="shared" si="117"/>
        <v>7584</v>
      </c>
      <c r="T142" s="46">
        <f t="shared" si="117"/>
        <v>15592.230000000001</v>
      </c>
      <c r="U142" s="46">
        <f t="shared" si="117"/>
        <v>17096.880194999998</v>
      </c>
      <c r="V142" s="46">
        <f t="shared" si="117"/>
        <v>18634.453124999996</v>
      </c>
      <c r="W142" s="46">
        <f t="shared" si="117"/>
        <v>20032.037109374996</v>
      </c>
      <c r="X142" s="46">
        <f t="shared" si="117"/>
        <v>21534.439892578121</v>
      </c>
      <c r="Y142" s="46">
        <f t="shared" si="117"/>
        <v>23149.522884521477</v>
      </c>
      <c r="Z142" s="46">
        <f t="shared" si="117"/>
        <v>24885.737100860588</v>
      </c>
      <c r="AA142" s="46">
        <f t="shared" si="117"/>
        <v>26752.167383425131</v>
      </c>
      <c r="AB142" s="46">
        <f t="shared" si="117"/>
        <v>28758.579937182018</v>
      </c>
      <c r="AC142" s="46">
        <f t="shared" si="117"/>
        <v>30915.473432470666</v>
      </c>
      <c r="AD142" s="46">
        <f t="shared" si="117"/>
        <v>33234.133939905965</v>
      </c>
      <c r="AE142" s="46">
        <f t="shared" si="117"/>
        <v>35726.69398539891</v>
      </c>
      <c r="AF142" s="46">
        <f t="shared" si="117"/>
        <v>38406.196034303823</v>
      </c>
      <c r="AG142" s="46">
        <f t="shared" si="117"/>
        <v>41286.660736876613</v>
      </c>
      <c r="AH142" s="46">
        <f t="shared" si="117"/>
        <v>44383.160292142355</v>
      </c>
      <c r="AI142" s="46">
        <f t="shared" si="117"/>
        <v>47711.897314053036</v>
      </c>
      <c r="AJ142" s="46">
        <f t="shared" si="117"/>
        <v>51290.289612607012</v>
      </c>
      <c r="AK142" s="46">
        <f t="shared" si="117"/>
        <v>55137.061333552541</v>
      </c>
      <c r="AL142" s="46">
        <f t="shared" si="117"/>
        <v>59272.340933568979</v>
      </c>
      <c r="AM142" s="46">
        <f t="shared" si="117"/>
        <v>63717.766503586645</v>
      </c>
      <c r="AN142" s="46">
        <f t="shared" si="117"/>
        <v>68496.59899135564</v>
      </c>
      <c r="AO142" s="46">
        <f t="shared" si="117"/>
        <v>73633.843915707315</v>
      </c>
      <c r="AP142" s="46">
        <f t="shared" si="117"/>
        <v>79156.382209385352</v>
      </c>
      <c r="AQ142" s="46">
        <f t="shared" si="117"/>
        <v>85093.110875089245</v>
      </c>
      <c r="AR142" s="46">
        <f t="shared" si="117"/>
        <v>91475.094190720934</v>
      </c>
      <c r="AS142" s="46">
        <f t="shared" si="117"/>
        <v>98335.726255025002</v>
      </c>
      <c r="AT142" s="46">
        <f t="shared" si="117"/>
        <v>105710.90572415189</v>
      </c>
      <c r="AU142" s="46">
        <f t="shared" si="117"/>
        <v>113639.22365346328</v>
      </c>
      <c r="AV142" s="46">
        <f t="shared" si="117"/>
        <v>122162.16542747301</v>
      </c>
      <c r="AW142" s="46">
        <f t="shared" si="117"/>
        <v>131324.32783453347</v>
      </c>
      <c r="AX142" s="46">
        <f t="shared" si="117"/>
        <v>141173.6524221235</v>
      </c>
      <c r="AY142" s="46">
        <f t="shared" si="117"/>
        <v>151761.67635378274</v>
      </c>
      <c r="AZ142" s="46">
        <f t="shared" si="117"/>
        <v>160000</v>
      </c>
      <c r="BA142" s="46">
        <f t="shared" si="117"/>
        <v>160000</v>
      </c>
      <c r="BB142" s="46">
        <f t="shared" si="117"/>
        <v>160000</v>
      </c>
      <c r="BC142" s="46">
        <f t="shared" si="117"/>
        <v>160000</v>
      </c>
      <c r="BD142" s="46">
        <f t="shared" si="117"/>
        <v>160000</v>
      </c>
      <c r="BE142" s="46">
        <f t="shared" si="117"/>
        <v>160000</v>
      </c>
      <c r="BF142" s="46">
        <f t="shared" si="117"/>
        <v>160000</v>
      </c>
      <c r="BG142" s="46">
        <f t="shared" si="117"/>
        <v>160000</v>
      </c>
      <c r="BH142" s="46">
        <f t="shared" si="117"/>
        <v>160000</v>
      </c>
    </row>
    <row r="143" spans="1:60" ht="14.25" customHeight="1" x14ac:dyDescent="0.3">
      <c r="A143" s="46"/>
      <c r="B143" s="37"/>
      <c r="C143" s="46" t="str">
        <f>C$21</f>
        <v>IV Currcumin 100mg Treatment Revenue</v>
      </c>
      <c r="D143" s="46"/>
      <c r="E143" s="46"/>
      <c r="F143" s="46"/>
      <c r="G143" s="46"/>
      <c r="H143" s="46"/>
      <c r="I143" s="46"/>
      <c r="J143" s="46">
        <f t="shared" ref="J143:BH143" si="118">J$21</f>
        <v>0</v>
      </c>
      <c r="K143" s="46">
        <f t="shared" si="118"/>
        <v>0</v>
      </c>
      <c r="L143" s="46">
        <f t="shared" si="118"/>
        <v>0</v>
      </c>
      <c r="M143" s="46">
        <f t="shared" si="118"/>
        <v>0</v>
      </c>
      <c r="N143" s="46">
        <f t="shared" si="118"/>
        <v>0</v>
      </c>
      <c r="O143" s="46">
        <f t="shared" si="118"/>
        <v>0</v>
      </c>
      <c r="P143" s="46">
        <f t="shared" si="118"/>
        <v>0</v>
      </c>
      <c r="Q143" s="46">
        <f t="shared" si="118"/>
        <v>10760.85</v>
      </c>
      <c r="R143" s="46">
        <f t="shared" si="118"/>
        <v>6072</v>
      </c>
      <c r="S143" s="46">
        <f t="shared" si="118"/>
        <v>10175</v>
      </c>
      <c r="T143" s="46">
        <f t="shared" si="118"/>
        <v>14221.874999999998</v>
      </c>
      <c r="U143" s="46">
        <f t="shared" si="118"/>
        <v>14577.421874999998</v>
      </c>
      <c r="V143" s="46">
        <f t="shared" si="118"/>
        <v>14941.857421874996</v>
      </c>
      <c r="W143" s="46">
        <f t="shared" si="118"/>
        <v>15315.403857421868</v>
      </c>
      <c r="X143" s="46">
        <f t="shared" si="118"/>
        <v>15698.288953857415</v>
      </c>
      <c r="Y143" s="46">
        <f t="shared" si="118"/>
        <v>16090.74617770385</v>
      </c>
      <c r="Z143" s="46">
        <f t="shared" si="118"/>
        <v>16493.014832146444</v>
      </c>
      <c r="AA143" s="46">
        <f t="shared" si="118"/>
        <v>16905.340202950105</v>
      </c>
      <c r="AB143" s="46">
        <f t="shared" si="118"/>
        <v>17327.973708023856</v>
      </c>
      <c r="AC143" s="46">
        <f t="shared" si="118"/>
        <v>17761.17305072445</v>
      </c>
      <c r="AD143" s="46">
        <f t="shared" si="118"/>
        <v>18205.202376992558</v>
      </c>
      <c r="AE143" s="46">
        <f t="shared" si="118"/>
        <v>18660.332436417371</v>
      </c>
      <c r="AF143" s="46">
        <f t="shared" si="118"/>
        <v>19126.840747327802</v>
      </c>
      <c r="AG143" s="46">
        <f t="shared" si="118"/>
        <v>19605.011766010997</v>
      </c>
      <c r="AH143" s="46">
        <f t="shared" si="118"/>
        <v>20095.137060161273</v>
      </c>
      <c r="AI143" s="46">
        <f t="shared" si="118"/>
        <v>20597.515486665299</v>
      </c>
      <c r="AJ143" s="46">
        <f t="shared" si="118"/>
        <v>21112.45337383193</v>
      </c>
      <c r="AK143" s="46">
        <f t="shared" si="118"/>
        <v>21640.264708177729</v>
      </c>
      <c r="AL143" s="46">
        <f t="shared" si="118"/>
        <v>22181.271325882168</v>
      </c>
      <c r="AM143" s="46">
        <f t="shared" si="118"/>
        <v>22735.803109029221</v>
      </c>
      <c r="AN143" s="46">
        <f t="shared" si="118"/>
        <v>23304.198186754948</v>
      </c>
      <c r="AO143" s="46">
        <f t="shared" si="118"/>
        <v>23886.803141423818</v>
      </c>
      <c r="AP143" s="46">
        <f t="shared" si="118"/>
        <v>24483.973219959415</v>
      </c>
      <c r="AQ143" s="46">
        <f t="shared" si="118"/>
        <v>25096.072550458401</v>
      </c>
      <c r="AR143" s="46">
        <f t="shared" si="118"/>
        <v>25723.474364219859</v>
      </c>
      <c r="AS143" s="46">
        <f t="shared" si="118"/>
        <v>26366.561223325352</v>
      </c>
      <c r="AT143" s="46">
        <f t="shared" si="118"/>
        <v>27025.725253908484</v>
      </c>
      <c r="AU143" s="46">
        <f t="shared" si="118"/>
        <v>27701.368385256199</v>
      </c>
      <c r="AV143" s="46">
        <f t="shared" si="118"/>
        <v>28393.902594887601</v>
      </c>
      <c r="AW143" s="46">
        <f t="shared" si="118"/>
        <v>29103.750159759787</v>
      </c>
      <c r="AX143" s="46">
        <f t="shared" si="118"/>
        <v>29831.343913753779</v>
      </c>
      <c r="AY143" s="46">
        <f t="shared" si="118"/>
        <v>30000</v>
      </c>
      <c r="AZ143" s="46">
        <f t="shared" si="118"/>
        <v>30000</v>
      </c>
      <c r="BA143" s="46">
        <f t="shared" si="118"/>
        <v>30000</v>
      </c>
      <c r="BB143" s="46">
        <f t="shared" si="118"/>
        <v>30000</v>
      </c>
      <c r="BC143" s="46">
        <f t="shared" si="118"/>
        <v>30000</v>
      </c>
      <c r="BD143" s="46">
        <f t="shared" si="118"/>
        <v>30000</v>
      </c>
      <c r="BE143" s="46">
        <f t="shared" si="118"/>
        <v>30000</v>
      </c>
      <c r="BF143" s="46">
        <f t="shared" si="118"/>
        <v>30000</v>
      </c>
      <c r="BG143" s="46">
        <f t="shared" si="118"/>
        <v>30000</v>
      </c>
      <c r="BH143" s="46">
        <f t="shared" si="118"/>
        <v>30000</v>
      </c>
    </row>
    <row r="144" spans="1:60" ht="14.25" customHeight="1" x14ac:dyDescent="0.3">
      <c r="A144" s="46"/>
      <c r="B144" s="37"/>
      <c r="C144" s="46" t="str">
        <f>C$28</f>
        <v>Laser Patient Revenue</v>
      </c>
      <c r="D144" s="46"/>
      <c r="E144" s="46"/>
      <c r="F144" s="46"/>
      <c r="G144" s="46"/>
      <c r="H144" s="46"/>
      <c r="I144" s="46"/>
      <c r="J144" s="46">
        <f t="shared" ref="J144:BH144" si="119">J$28</f>
        <v>0</v>
      </c>
      <c r="K144" s="46">
        <f t="shared" si="119"/>
        <v>0</v>
      </c>
      <c r="L144" s="46">
        <f t="shared" si="119"/>
        <v>0</v>
      </c>
      <c r="M144" s="46">
        <f t="shared" si="119"/>
        <v>0</v>
      </c>
      <c r="N144" s="46">
        <f t="shared" si="119"/>
        <v>0</v>
      </c>
      <c r="O144" s="46">
        <f t="shared" si="119"/>
        <v>0</v>
      </c>
      <c r="P144" s="46">
        <f t="shared" si="119"/>
        <v>0</v>
      </c>
      <c r="Q144" s="46">
        <f t="shared" si="119"/>
        <v>420</v>
      </c>
      <c r="R144" s="46">
        <f t="shared" si="119"/>
        <v>1700</v>
      </c>
      <c r="S144" s="46">
        <f t="shared" si="119"/>
        <v>1900</v>
      </c>
      <c r="T144" s="46">
        <f t="shared" si="119"/>
        <v>1995</v>
      </c>
      <c r="U144" s="46">
        <f t="shared" si="119"/>
        <v>2094.75</v>
      </c>
      <c r="V144" s="46">
        <f t="shared" si="119"/>
        <v>2199.4875000000002</v>
      </c>
      <c r="W144" s="46">
        <f t="shared" si="119"/>
        <v>2309.4618750000004</v>
      </c>
      <c r="X144" s="46">
        <f t="shared" si="119"/>
        <v>2424.9349687500007</v>
      </c>
      <c r="Y144" s="46">
        <f t="shared" si="119"/>
        <v>2546.1817171875009</v>
      </c>
      <c r="Z144" s="46">
        <f t="shared" si="119"/>
        <v>2673.490803046876</v>
      </c>
      <c r="AA144" s="46">
        <f t="shared" si="119"/>
        <v>2807.1653431992199</v>
      </c>
      <c r="AB144" s="46">
        <f t="shared" si="119"/>
        <v>2947.523610359181</v>
      </c>
      <c r="AC144" s="46">
        <f t="shared" si="119"/>
        <v>3094.8997908771403</v>
      </c>
      <c r="AD144" s="46">
        <f t="shared" si="119"/>
        <v>3249.644780420997</v>
      </c>
      <c r="AE144" s="46">
        <f t="shared" si="119"/>
        <v>3412.1270194420467</v>
      </c>
      <c r="AF144" s="46">
        <f t="shared" si="119"/>
        <v>3582.7333704141492</v>
      </c>
      <c r="AG144" s="46">
        <f t="shared" si="119"/>
        <v>3761.8700389348569</v>
      </c>
      <c r="AH144" s="46">
        <f t="shared" si="119"/>
        <v>3949.9635408815998</v>
      </c>
      <c r="AI144" s="46">
        <f t="shared" si="119"/>
        <v>4147.4617179256793</v>
      </c>
      <c r="AJ144" s="46">
        <f t="shared" si="119"/>
        <v>4354.8348038219638</v>
      </c>
      <c r="AK144" s="46">
        <f t="shared" si="119"/>
        <v>4572.5765440130626</v>
      </c>
      <c r="AL144" s="46">
        <f t="shared" si="119"/>
        <v>4801.2053712137149</v>
      </c>
      <c r="AM144" s="46">
        <f t="shared" si="119"/>
        <v>5041.2656397744013</v>
      </c>
      <c r="AN144" s="46">
        <f t="shared" si="119"/>
        <v>5293.3289217631218</v>
      </c>
      <c r="AO144" s="46">
        <f t="shared" si="119"/>
        <v>5557.9953678512784</v>
      </c>
      <c r="AP144" s="46">
        <f t="shared" si="119"/>
        <v>5835.895136243842</v>
      </c>
      <c r="AQ144" s="46">
        <f t="shared" si="119"/>
        <v>6127.6898930560346</v>
      </c>
      <c r="AR144" s="46">
        <f t="shared" si="119"/>
        <v>6434.0743877088353</v>
      </c>
      <c r="AS144" s="46">
        <f t="shared" si="119"/>
        <v>6755.7781070942783</v>
      </c>
      <c r="AT144" s="46">
        <f t="shared" si="119"/>
        <v>7093.5670124489916</v>
      </c>
      <c r="AU144" s="46">
        <f t="shared" si="119"/>
        <v>7448.2453630714417</v>
      </c>
      <c r="AV144" s="46">
        <f t="shared" si="119"/>
        <v>7820.6576312250136</v>
      </c>
      <c r="AW144" s="46">
        <f t="shared" si="119"/>
        <v>8211.6905127862647</v>
      </c>
      <c r="AX144" s="46">
        <f t="shared" si="119"/>
        <v>8622.2750384255796</v>
      </c>
      <c r="AY144" s="46">
        <f t="shared" si="119"/>
        <v>9053.3887903468585</v>
      </c>
      <c r="AZ144" s="46">
        <f t="shared" si="119"/>
        <v>9506.0582298642021</v>
      </c>
      <c r="BA144" s="46">
        <f t="shared" si="119"/>
        <v>9981.3611413574126</v>
      </c>
      <c r="BB144" s="46">
        <f t="shared" si="119"/>
        <v>10480.429198425283</v>
      </c>
      <c r="BC144" s="46">
        <f t="shared" si="119"/>
        <v>11004.450658346548</v>
      </c>
      <c r="BD144" s="46">
        <f t="shared" si="119"/>
        <v>11554.673191263877</v>
      </c>
      <c r="BE144" s="46">
        <f t="shared" si="119"/>
        <v>12132.40685082707</v>
      </c>
      <c r="BF144" s="46">
        <f t="shared" si="119"/>
        <v>12739.027193368423</v>
      </c>
      <c r="BG144" s="46">
        <f t="shared" si="119"/>
        <v>13375.978553036844</v>
      </c>
      <c r="BH144" s="46">
        <f t="shared" si="119"/>
        <v>14044.777480688688</v>
      </c>
    </row>
    <row r="145" spans="1:60" ht="14.25" customHeight="1" x14ac:dyDescent="0.3">
      <c r="A145" s="46"/>
      <c r="B145" s="37"/>
      <c r="C145" s="46" t="str">
        <f>C$33</f>
        <v>Hyperthermia Session Revenue</v>
      </c>
      <c r="D145" s="46"/>
      <c r="E145" s="46"/>
      <c r="F145" s="46"/>
      <c r="G145" s="46"/>
      <c r="H145" s="46"/>
      <c r="I145" s="46"/>
      <c r="J145" s="46">
        <f t="shared" ref="J145:BH145" si="120">J$33</f>
        <v>0</v>
      </c>
      <c r="K145" s="46">
        <f t="shared" si="120"/>
        <v>0</v>
      </c>
      <c r="L145" s="46">
        <f t="shared" si="120"/>
        <v>0</v>
      </c>
      <c r="M145" s="46">
        <f t="shared" si="120"/>
        <v>0</v>
      </c>
      <c r="N145" s="46">
        <f t="shared" si="120"/>
        <v>0</v>
      </c>
      <c r="O145" s="46">
        <f t="shared" si="120"/>
        <v>0</v>
      </c>
      <c r="P145" s="46">
        <f t="shared" si="120"/>
        <v>0</v>
      </c>
      <c r="Q145" s="46">
        <f t="shared" si="120"/>
        <v>1500</v>
      </c>
      <c r="R145" s="46">
        <f t="shared" si="120"/>
        <v>16936</v>
      </c>
      <c r="S145" s="46">
        <f t="shared" si="120"/>
        <v>18600</v>
      </c>
      <c r="T145" s="46">
        <f t="shared" si="120"/>
        <v>23400</v>
      </c>
      <c r="U145" s="46">
        <f t="shared" si="120"/>
        <v>35100</v>
      </c>
      <c r="V145" s="46">
        <f t="shared" si="120"/>
        <v>36855</v>
      </c>
      <c r="W145" s="46">
        <f t="shared" si="120"/>
        <v>38697.75</v>
      </c>
      <c r="X145" s="46">
        <f t="shared" si="120"/>
        <v>40632.637500000004</v>
      </c>
      <c r="Y145" s="46">
        <f t="shared" si="120"/>
        <v>42664.269375000003</v>
      </c>
      <c r="Z145" s="46">
        <f t="shared" si="120"/>
        <v>44797.482843750004</v>
      </c>
      <c r="AA145" s="46">
        <f t="shared" si="120"/>
        <v>47037.356985937506</v>
      </c>
      <c r="AB145" s="46">
        <f t="shared" si="120"/>
        <v>49389.224835234381</v>
      </c>
      <c r="AC145" s="46">
        <f t="shared" si="120"/>
        <v>51858.686076996099</v>
      </c>
      <c r="AD145" s="46">
        <f t="shared" si="120"/>
        <v>51900</v>
      </c>
      <c r="AE145" s="46">
        <f t="shared" si="120"/>
        <v>51900</v>
      </c>
      <c r="AF145" s="46">
        <f t="shared" si="120"/>
        <v>51900</v>
      </c>
      <c r="AG145" s="46">
        <f t="shared" si="120"/>
        <v>51900</v>
      </c>
      <c r="AH145" s="46">
        <f t="shared" si="120"/>
        <v>51900</v>
      </c>
      <c r="AI145" s="46">
        <f t="shared" si="120"/>
        <v>51900</v>
      </c>
      <c r="AJ145" s="46">
        <f t="shared" si="120"/>
        <v>51900</v>
      </c>
      <c r="AK145" s="46">
        <f t="shared" si="120"/>
        <v>51900</v>
      </c>
      <c r="AL145" s="46">
        <f t="shared" si="120"/>
        <v>51900</v>
      </c>
      <c r="AM145" s="46">
        <f t="shared" si="120"/>
        <v>51900</v>
      </c>
      <c r="AN145" s="46">
        <f t="shared" si="120"/>
        <v>51900</v>
      </c>
      <c r="AO145" s="46">
        <f t="shared" si="120"/>
        <v>51900</v>
      </c>
      <c r="AP145" s="46">
        <f t="shared" si="120"/>
        <v>51900</v>
      </c>
      <c r="AQ145" s="46">
        <f t="shared" si="120"/>
        <v>51900</v>
      </c>
      <c r="AR145" s="46">
        <f t="shared" si="120"/>
        <v>51900</v>
      </c>
      <c r="AS145" s="46">
        <f t="shared" si="120"/>
        <v>51900</v>
      </c>
      <c r="AT145" s="46">
        <f t="shared" si="120"/>
        <v>51900</v>
      </c>
      <c r="AU145" s="46">
        <f t="shared" si="120"/>
        <v>51900</v>
      </c>
      <c r="AV145" s="46">
        <f t="shared" si="120"/>
        <v>51900</v>
      </c>
      <c r="AW145" s="46">
        <f t="shared" si="120"/>
        <v>51900</v>
      </c>
      <c r="AX145" s="46">
        <f t="shared" si="120"/>
        <v>51900</v>
      </c>
      <c r="AY145" s="46">
        <f t="shared" si="120"/>
        <v>51900</v>
      </c>
      <c r="AZ145" s="46">
        <f t="shared" si="120"/>
        <v>51900</v>
      </c>
      <c r="BA145" s="46">
        <f t="shared" si="120"/>
        <v>51900</v>
      </c>
      <c r="BB145" s="46">
        <f t="shared" si="120"/>
        <v>51900</v>
      </c>
      <c r="BC145" s="46">
        <f t="shared" si="120"/>
        <v>51900</v>
      </c>
      <c r="BD145" s="46">
        <f t="shared" si="120"/>
        <v>51900</v>
      </c>
      <c r="BE145" s="46">
        <f t="shared" si="120"/>
        <v>51900</v>
      </c>
      <c r="BF145" s="46">
        <f t="shared" si="120"/>
        <v>51900</v>
      </c>
      <c r="BG145" s="46">
        <f t="shared" si="120"/>
        <v>51900</v>
      </c>
      <c r="BH145" s="46">
        <f t="shared" si="120"/>
        <v>51900</v>
      </c>
    </row>
    <row r="146" spans="1:60" ht="14.25" customHeight="1" x14ac:dyDescent="0.3">
      <c r="A146" s="46"/>
      <c r="B146" s="37"/>
      <c r="C146" s="46" t="str">
        <f>C$40</f>
        <v>Hyperthermia 2 Session Revenue</v>
      </c>
      <c r="D146" s="46"/>
      <c r="E146" s="46"/>
      <c r="F146" s="46"/>
      <c r="G146" s="46"/>
      <c r="H146" s="46"/>
      <c r="I146" s="46"/>
      <c r="J146" s="46">
        <f t="shared" ref="J146:BH146" si="121">J$40</f>
        <v>0</v>
      </c>
      <c r="K146" s="46">
        <f t="shared" si="121"/>
        <v>0</v>
      </c>
      <c r="L146" s="46">
        <f t="shared" si="121"/>
        <v>0</v>
      </c>
      <c r="M146" s="46">
        <f t="shared" si="121"/>
        <v>0</v>
      </c>
      <c r="N146" s="46">
        <f t="shared" si="121"/>
        <v>0</v>
      </c>
      <c r="O146" s="46">
        <f t="shared" si="121"/>
        <v>0</v>
      </c>
      <c r="P146" s="46">
        <f t="shared" si="121"/>
        <v>0</v>
      </c>
      <c r="Q146" s="46">
        <f t="shared" si="121"/>
        <v>0</v>
      </c>
      <c r="R146" s="46">
        <f t="shared" si="121"/>
        <v>0</v>
      </c>
      <c r="S146" s="46">
        <f t="shared" si="121"/>
        <v>0</v>
      </c>
      <c r="T146" s="46">
        <f t="shared" si="121"/>
        <v>0</v>
      </c>
      <c r="U146" s="46">
        <f t="shared" si="121"/>
        <v>0</v>
      </c>
      <c r="V146" s="46">
        <f t="shared" si="121"/>
        <v>18600</v>
      </c>
      <c r="W146" s="46">
        <f t="shared" si="121"/>
        <v>23400</v>
      </c>
      <c r="X146" s="46">
        <f t="shared" si="121"/>
        <v>35100</v>
      </c>
      <c r="Y146" s="46">
        <f t="shared" si="121"/>
        <v>36855</v>
      </c>
      <c r="Z146" s="46">
        <f t="shared" si="121"/>
        <v>38697.75</v>
      </c>
      <c r="AA146" s="46">
        <f t="shared" si="121"/>
        <v>40632.637500000004</v>
      </c>
      <c r="AB146" s="46">
        <f t="shared" si="121"/>
        <v>42664.269375000003</v>
      </c>
      <c r="AC146" s="46">
        <f t="shared" si="121"/>
        <v>44797.482843750004</v>
      </c>
      <c r="AD146" s="46">
        <f t="shared" si="121"/>
        <v>47037.356985937506</v>
      </c>
      <c r="AE146" s="46">
        <f t="shared" si="121"/>
        <v>49389.224835234381</v>
      </c>
      <c r="AF146" s="46">
        <f t="shared" si="121"/>
        <v>51858.686076996099</v>
      </c>
      <c r="AG146" s="46">
        <f t="shared" si="121"/>
        <v>51900</v>
      </c>
      <c r="AH146" s="46">
        <f t="shared" si="121"/>
        <v>51900</v>
      </c>
      <c r="AI146" s="46">
        <f t="shared" si="121"/>
        <v>51900</v>
      </c>
      <c r="AJ146" s="46">
        <f t="shared" si="121"/>
        <v>51900</v>
      </c>
      <c r="AK146" s="46">
        <f t="shared" si="121"/>
        <v>51900</v>
      </c>
      <c r="AL146" s="46">
        <f t="shared" si="121"/>
        <v>51900</v>
      </c>
      <c r="AM146" s="46">
        <f t="shared" si="121"/>
        <v>51900</v>
      </c>
      <c r="AN146" s="46">
        <f t="shared" si="121"/>
        <v>51900</v>
      </c>
      <c r="AO146" s="46">
        <f t="shared" si="121"/>
        <v>51900</v>
      </c>
      <c r="AP146" s="46">
        <f t="shared" si="121"/>
        <v>51900</v>
      </c>
      <c r="AQ146" s="46">
        <f t="shared" si="121"/>
        <v>51900</v>
      </c>
      <c r="AR146" s="46">
        <f t="shared" si="121"/>
        <v>51900</v>
      </c>
      <c r="AS146" s="46">
        <f t="shared" si="121"/>
        <v>51900</v>
      </c>
      <c r="AT146" s="46">
        <f t="shared" si="121"/>
        <v>51900</v>
      </c>
      <c r="AU146" s="46">
        <f t="shared" si="121"/>
        <v>51900</v>
      </c>
      <c r="AV146" s="46">
        <f t="shared" si="121"/>
        <v>51900</v>
      </c>
      <c r="AW146" s="46">
        <f t="shared" si="121"/>
        <v>51900</v>
      </c>
      <c r="AX146" s="46">
        <f t="shared" si="121"/>
        <v>51900</v>
      </c>
      <c r="AY146" s="46">
        <f t="shared" si="121"/>
        <v>51900</v>
      </c>
      <c r="AZ146" s="46">
        <f t="shared" si="121"/>
        <v>51900</v>
      </c>
      <c r="BA146" s="46">
        <f t="shared" si="121"/>
        <v>51900</v>
      </c>
      <c r="BB146" s="46">
        <f t="shared" si="121"/>
        <v>51900</v>
      </c>
      <c r="BC146" s="46">
        <f t="shared" si="121"/>
        <v>51900</v>
      </c>
      <c r="BD146" s="46">
        <f t="shared" si="121"/>
        <v>51900</v>
      </c>
      <c r="BE146" s="46">
        <f t="shared" si="121"/>
        <v>51900</v>
      </c>
      <c r="BF146" s="46">
        <f t="shared" si="121"/>
        <v>51900</v>
      </c>
      <c r="BG146" s="46">
        <f t="shared" si="121"/>
        <v>51900</v>
      </c>
      <c r="BH146" s="46">
        <f t="shared" si="121"/>
        <v>51900</v>
      </c>
    </row>
    <row r="147" spans="1:60" ht="14.25" customHeight="1" x14ac:dyDescent="0.3">
      <c r="A147" s="46"/>
      <c r="B147" s="37"/>
      <c r="C147" s="46" t="str">
        <f>C$47</f>
        <v>HBOT 1 Session Revenue</v>
      </c>
      <c r="D147" s="46"/>
      <c r="E147" s="46"/>
      <c r="F147" s="46"/>
      <c r="G147" s="46"/>
      <c r="H147" s="46"/>
      <c r="I147" s="46"/>
      <c r="J147" s="46">
        <f t="shared" ref="J147:BH147" si="122">J$47</f>
        <v>0</v>
      </c>
      <c r="K147" s="46">
        <f t="shared" si="122"/>
        <v>0</v>
      </c>
      <c r="L147" s="46">
        <f t="shared" si="122"/>
        <v>0</v>
      </c>
      <c r="M147" s="46">
        <f t="shared" si="122"/>
        <v>0</v>
      </c>
      <c r="N147" s="46">
        <f t="shared" si="122"/>
        <v>0</v>
      </c>
      <c r="O147" s="46">
        <f t="shared" si="122"/>
        <v>0</v>
      </c>
      <c r="P147" s="46">
        <f t="shared" si="122"/>
        <v>0</v>
      </c>
      <c r="Q147" s="46">
        <f t="shared" si="122"/>
        <v>0</v>
      </c>
      <c r="R147" s="46">
        <f t="shared" si="122"/>
        <v>0</v>
      </c>
      <c r="S147" s="46">
        <f t="shared" si="122"/>
        <v>200</v>
      </c>
      <c r="T147" s="46">
        <f t="shared" si="122"/>
        <v>4400</v>
      </c>
      <c r="U147" s="46">
        <f t="shared" si="122"/>
        <v>4840.0000000000009</v>
      </c>
      <c r="V147" s="46">
        <f t="shared" si="122"/>
        <v>5324.0000000000009</v>
      </c>
      <c r="W147" s="46">
        <f t="shared" si="122"/>
        <v>5856.4000000000015</v>
      </c>
      <c r="X147" s="46">
        <f t="shared" si="122"/>
        <v>6442.0400000000018</v>
      </c>
      <c r="Y147" s="46">
        <f t="shared" si="122"/>
        <v>7086.2440000000024</v>
      </c>
      <c r="Z147" s="46">
        <f t="shared" si="122"/>
        <v>7794.868400000003</v>
      </c>
      <c r="AA147" s="46">
        <f t="shared" si="122"/>
        <v>8574.3552400000044</v>
      </c>
      <c r="AB147" s="46">
        <f t="shared" si="122"/>
        <v>9431.7907640000067</v>
      </c>
      <c r="AC147" s="46">
        <f t="shared" si="122"/>
        <v>10374.969840400006</v>
      </c>
      <c r="AD147" s="46">
        <f t="shared" si="122"/>
        <v>11412.466824440009</v>
      </c>
      <c r="AE147" s="46">
        <f t="shared" si="122"/>
        <v>12553.713506884011</v>
      </c>
      <c r="AF147" s="46">
        <f t="shared" si="122"/>
        <v>13809.084857572412</v>
      </c>
      <c r="AG147" s="46">
        <f t="shared" si="122"/>
        <v>15189.993343329656</v>
      </c>
      <c r="AH147" s="46">
        <f t="shared" si="122"/>
        <v>16708.99267766262</v>
      </c>
      <c r="AI147" s="46">
        <f t="shared" si="122"/>
        <v>18379.891945428888</v>
      </c>
      <c r="AJ147" s="46">
        <f t="shared" si="122"/>
        <v>20217.881139971778</v>
      </c>
      <c r="AK147" s="46">
        <f t="shared" si="122"/>
        <v>22239.669253968957</v>
      </c>
      <c r="AL147" s="46">
        <f t="shared" si="122"/>
        <v>24000</v>
      </c>
      <c r="AM147" s="46">
        <f t="shared" si="122"/>
        <v>24000</v>
      </c>
      <c r="AN147" s="46">
        <f t="shared" si="122"/>
        <v>24000</v>
      </c>
      <c r="AO147" s="46">
        <f t="shared" si="122"/>
        <v>24000</v>
      </c>
      <c r="AP147" s="46">
        <f t="shared" si="122"/>
        <v>24000</v>
      </c>
      <c r="AQ147" s="46">
        <f t="shared" si="122"/>
        <v>24000</v>
      </c>
      <c r="AR147" s="46">
        <f t="shared" si="122"/>
        <v>24000</v>
      </c>
      <c r="AS147" s="46">
        <f t="shared" si="122"/>
        <v>24000</v>
      </c>
      <c r="AT147" s="46">
        <f t="shared" si="122"/>
        <v>24000</v>
      </c>
      <c r="AU147" s="46">
        <f t="shared" si="122"/>
        <v>24000</v>
      </c>
      <c r="AV147" s="46">
        <f t="shared" si="122"/>
        <v>24000</v>
      </c>
      <c r="AW147" s="46">
        <f t="shared" si="122"/>
        <v>24000</v>
      </c>
      <c r="AX147" s="46">
        <f t="shared" si="122"/>
        <v>24000</v>
      </c>
      <c r="AY147" s="46">
        <f t="shared" si="122"/>
        <v>24000</v>
      </c>
      <c r="AZ147" s="46">
        <f t="shared" si="122"/>
        <v>24000</v>
      </c>
      <c r="BA147" s="46">
        <f t="shared" si="122"/>
        <v>24000</v>
      </c>
      <c r="BB147" s="46">
        <f t="shared" si="122"/>
        <v>24000</v>
      </c>
      <c r="BC147" s="46">
        <f t="shared" si="122"/>
        <v>24000</v>
      </c>
      <c r="BD147" s="46">
        <f t="shared" si="122"/>
        <v>24000</v>
      </c>
      <c r="BE147" s="46">
        <f t="shared" si="122"/>
        <v>24000</v>
      </c>
      <c r="BF147" s="46">
        <f t="shared" si="122"/>
        <v>24000</v>
      </c>
      <c r="BG147" s="46">
        <f t="shared" si="122"/>
        <v>24000</v>
      </c>
      <c r="BH147" s="46">
        <f t="shared" si="122"/>
        <v>24000</v>
      </c>
    </row>
    <row r="148" spans="1:60" ht="14.25" customHeight="1" x14ac:dyDescent="0.3">
      <c r="A148" s="46"/>
      <c r="B148" s="37"/>
      <c r="C148" s="46" t="str">
        <f>C$54</f>
        <v>HBOT 2 Session Revenue</v>
      </c>
      <c r="D148" s="46"/>
      <c r="E148" s="46"/>
      <c r="F148" s="46"/>
      <c r="G148" s="46"/>
      <c r="H148" s="46"/>
      <c r="I148" s="46"/>
      <c r="J148" s="46">
        <f t="shared" ref="J148:BH148" si="123">J$54</f>
        <v>0</v>
      </c>
      <c r="K148" s="46">
        <f t="shared" si="123"/>
        <v>0</v>
      </c>
      <c r="L148" s="46">
        <f t="shared" si="123"/>
        <v>0</v>
      </c>
      <c r="M148" s="46">
        <f t="shared" si="123"/>
        <v>0</v>
      </c>
      <c r="N148" s="46">
        <f t="shared" si="123"/>
        <v>0</v>
      </c>
      <c r="O148" s="46">
        <f t="shared" si="123"/>
        <v>0</v>
      </c>
      <c r="P148" s="46">
        <f t="shared" si="123"/>
        <v>0</v>
      </c>
      <c r="Q148" s="46">
        <f t="shared" si="123"/>
        <v>0</v>
      </c>
      <c r="R148" s="46">
        <f t="shared" si="123"/>
        <v>0</v>
      </c>
      <c r="S148" s="46">
        <f t="shared" si="123"/>
        <v>0</v>
      </c>
      <c r="T148" s="46">
        <f t="shared" si="123"/>
        <v>0</v>
      </c>
      <c r="U148" s="46">
        <f t="shared" si="123"/>
        <v>0</v>
      </c>
      <c r="V148" s="46">
        <f t="shared" si="123"/>
        <v>0</v>
      </c>
      <c r="W148" s="46">
        <f t="shared" si="123"/>
        <v>0</v>
      </c>
      <c r="X148" s="46">
        <f t="shared" si="123"/>
        <v>0</v>
      </c>
      <c r="Y148" s="46">
        <f t="shared" si="123"/>
        <v>0</v>
      </c>
      <c r="Z148" s="46">
        <f t="shared" si="123"/>
        <v>0</v>
      </c>
      <c r="AA148" s="46">
        <f t="shared" si="123"/>
        <v>0</v>
      </c>
      <c r="AB148" s="46">
        <f t="shared" si="123"/>
        <v>0</v>
      </c>
      <c r="AC148" s="46">
        <f t="shared" si="123"/>
        <v>0</v>
      </c>
      <c r="AD148" s="46">
        <f t="shared" si="123"/>
        <v>0</v>
      </c>
      <c r="AE148" s="46">
        <f t="shared" si="123"/>
        <v>0</v>
      </c>
      <c r="AF148" s="46">
        <f t="shared" si="123"/>
        <v>0</v>
      </c>
      <c r="AG148" s="46">
        <f t="shared" si="123"/>
        <v>0</v>
      </c>
      <c r="AH148" s="46">
        <f t="shared" si="123"/>
        <v>0</v>
      </c>
      <c r="AI148" s="46">
        <f t="shared" si="123"/>
        <v>0</v>
      </c>
      <c r="AJ148" s="46">
        <f t="shared" si="123"/>
        <v>0</v>
      </c>
      <c r="AK148" s="46">
        <f t="shared" si="123"/>
        <v>0</v>
      </c>
      <c r="AL148" s="46">
        <f t="shared" si="123"/>
        <v>0</v>
      </c>
      <c r="AM148" s="46">
        <f t="shared" si="123"/>
        <v>0</v>
      </c>
      <c r="AN148" s="46">
        <f t="shared" si="123"/>
        <v>0</v>
      </c>
      <c r="AO148" s="46">
        <f t="shared" si="123"/>
        <v>0</v>
      </c>
      <c r="AP148" s="46">
        <f t="shared" si="123"/>
        <v>0</v>
      </c>
      <c r="AQ148" s="46">
        <f t="shared" si="123"/>
        <v>0</v>
      </c>
      <c r="AR148" s="46">
        <f t="shared" si="123"/>
        <v>0</v>
      </c>
      <c r="AS148" s="46">
        <f t="shared" si="123"/>
        <v>0</v>
      </c>
      <c r="AT148" s="46">
        <f t="shared" si="123"/>
        <v>0</v>
      </c>
      <c r="AU148" s="46">
        <f t="shared" si="123"/>
        <v>0</v>
      </c>
      <c r="AV148" s="46">
        <f t="shared" si="123"/>
        <v>0</v>
      </c>
      <c r="AW148" s="46">
        <f t="shared" si="123"/>
        <v>0</v>
      </c>
      <c r="AX148" s="46">
        <f t="shared" si="123"/>
        <v>0</v>
      </c>
      <c r="AY148" s="46">
        <f t="shared" si="123"/>
        <v>0</v>
      </c>
      <c r="AZ148" s="46">
        <f t="shared" si="123"/>
        <v>0</v>
      </c>
      <c r="BA148" s="46">
        <f t="shared" si="123"/>
        <v>0</v>
      </c>
      <c r="BB148" s="46">
        <f t="shared" si="123"/>
        <v>0</v>
      </c>
      <c r="BC148" s="46">
        <f t="shared" si="123"/>
        <v>0</v>
      </c>
      <c r="BD148" s="46">
        <f t="shared" si="123"/>
        <v>0</v>
      </c>
      <c r="BE148" s="46">
        <f t="shared" si="123"/>
        <v>0</v>
      </c>
      <c r="BF148" s="46">
        <f t="shared" si="123"/>
        <v>0</v>
      </c>
      <c r="BG148" s="46">
        <f t="shared" si="123"/>
        <v>0</v>
      </c>
      <c r="BH148" s="46">
        <f t="shared" si="123"/>
        <v>0</v>
      </c>
    </row>
    <row r="149" spans="1:60" ht="14.25" customHeight="1" x14ac:dyDescent="0.3">
      <c r="A149" s="46"/>
      <c r="B149" s="37"/>
      <c r="C149" s="46" t="str">
        <f>C$61</f>
        <v>CTC PDT Patient Revenue</v>
      </c>
      <c r="D149" s="46"/>
      <c r="E149" s="46"/>
      <c r="F149" s="46"/>
      <c r="G149" s="46"/>
      <c r="H149" s="46"/>
      <c r="I149" s="46"/>
      <c r="J149" s="46">
        <f t="shared" ref="J149:BH149" si="124">J$61</f>
        <v>0</v>
      </c>
      <c r="K149" s="46">
        <f t="shared" si="124"/>
        <v>0</v>
      </c>
      <c r="L149" s="46">
        <f t="shared" si="124"/>
        <v>0</v>
      </c>
      <c r="M149" s="46">
        <f t="shared" si="124"/>
        <v>0</v>
      </c>
      <c r="N149" s="46">
        <f t="shared" si="124"/>
        <v>0</v>
      </c>
      <c r="O149" s="46">
        <f t="shared" si="124"/>
        <v>0</v>
      </c>
      <c r="P149" s="46">
        <f t="shared" si="124"/>
        <v>0</v>
      </c>
      <c r="Q149" s="46">
        <f t="shared" si="124"/>
        <v>0</v>
      </c>
      <c r="R149" s="46">
        <f t="shared" si="124"/>
        <v>0</v>
      </c>
      <c r="S149" s="46">
        <f t="shared" si="124"/>
        <v>0</v>
      </c>
      <c r="T149" s="46">
        <f t="shared" si="124"/>
        <v>0</v>
      </c>
      <c r="U149" s="46">
        <f t="shared" si="124"/>
        <v>0</v>
      </c>
      <c r="V149" s="46">
        <f t="shared" si="124"/>
        <v>0</v>
      </c>
      <c r="W149" s="46">
        <f t="shared" si="124"/>
        <v>913.5</v>
      </c>
      <c r="X149" s="46">
        <f t="shared" si="124"/>
        <v>959.17500000000007</v>
      </c>
      <c r="Y149" s="46">
        <f t="shared" si="124"/>
        <v>1007.1337500000001</v>
      </c>
      <c r="Z149" s="46">
        <f t="shared" si="124"/>
        <v>1057.4904375000001</v>
      </c>
      <c r="AA149" s="46">
        <f t="shared" si="124"/>
        <v>1110.3649593750004</v>
      </c>
      <c r="AB149" s="46">
        <f t="shared" si="124"/>
        <v>1165.8832073437504</v>
      </c>
      <c r="AC149" s="46">
        <f t="shared" si="124"/>
        <v>1224.1773677109379</v>
      </c>
      <c r="AD149" s="46">
        <f t="shared" si="124"/>
        <v>1285.3862360964849</v>
      </c>
      <c r="AE149" s="46">
        <f t="shared" si="124"/>
        <v>1349.6555479013091</v>
      </c>
      <c r="AF149" s="46">
        <f t="shared" si="124"/>
        <v>1417.1383252963747</v>
      </c>
      <c r="AG149" s="46">
        <f t="shared" si="124"/>
        <v>1487.9952415611933</v>
      </c>
      <c r="AH149" s="46">
        <f t="shared" si="124"/>
        <v>1562.3950036392532</v>
      </c>
      <c r="AI149" s="46">
        <f t="shared" si="124"/>
        <v>1640.5147538212159</v>
      </c>
      <c r="AJ149" s="46">
        <f t="shared" si="124"/>
        <v>1722.5404915122767</v>
      </c>
      <c r="AK149" s="46">
        <f t="shared" si="124"/>
        <v>1808.6675160878908</v>
      </c>
      <c r="AL149" s="46">
        <f t="shared" si="124"/>
        <v>1899.1008918922855</v>
      </c>
      <c r="AM149" s="46">
        <f t="shared" si="124"/>
        <v>1994.0559364869</v>
      </c>
      <c r="AN149" s="46">
        <f t="shared" si="124"/>
        <v>2093.7587333112451</v>
      </c>
      <c r="AO149" s="46">
        <f t="shared" si="124"/>
        <v>2198.4466699768072</v>
      </c>
      <c r="AP149" s="46">
        <f t="shared" si="124"/>
        <v>2308.3690034756478</v>
      </c>
      <c r="AQ149" s="46">
        <f t="shared" si="124"/>
        <v>2423.7874536494305</v>
      </c>
      <c r="AR149" s="46">
        <f t="shared" si="124"/>
        <v>2544.976826331902</v>
      </c>
      <c r="AS149" s="46">
        <f t="shared" si="124"/>
        <v>2672.2256676484972</v>
      </c>
      <c r="AT149" s="46">
        <f t="shared" si="124"/>
        <v>2805.8369510309221</v>
      </c>
      <c r="AU149" s="46">
        <f t="shared" si="124"/>
        <v>2946.1287985824683</v>
      </c>
      <c r="AV149" s="46">
        <f t="shared" si="124"/>
        <v>3093.4352385115917</v>
      </c>
      <c r="AW149" s="46">
        <f t="shared" si="124"/>
        <v>3248.1070004371713</v>
      </c>
      <c r="AX149" s="46">
        <f t="shared" si="124"/>
        <v>3410.5123504590301</v>
      </c>
      <c r="AY149" s="46">
        <f t="shared" si="124"/>
        <v>3581.0379679819821</v>
      </c>
      <c r="AZ149" s="46">
        <f t="shared" si="124"/>
        <v>3760.0898663810808</v>
      </c>
      <c r="BA149" s="46">
        <f t="shared" si="124"/>
        <v>3948.0943597001356</v>
      </c>
      <c r="BB149" s="46">
        <f t="shared" si="124"/>
        <v>4145.4990776851428</v>
      </c>
      <c r="BC149" s="46">
        <f t="shared" si="124"/>
        <v>4352.7740315694</v>
      </c>
      <c r="BD149" s="46">
        <f t="shared" si="124"/>
        <v>4570.4127331478703</v>
      </c>
      <c r="BE149" s="46">
        <f t="shared" si="124"/>
        <v>4798.9333698052642</v>
      </c>
      <c r="BF149" s="46">
        <f t="shared" si="124"/>
        <v>5038.8800382955278</v>
      </c>
      <c r="BG149" s="46">
        <f t="shared" si="124"/>
        <v>5290.8240402103047</v>
      </c>
      <c r="BH149" s="46">
        <f t="shared" si="124"/>
        <v>5555.3652422208197</v>
      </c>
    </row>
    <row r="150" spans="1:60" ht="14.25" customHeight="1" x14ac:dyDescent="0.3">
      <c r="A150" s="46"/>
      <c r="B150" s="37"/>
      <c r="C150" s="46" t="str">
        <f>C$70</f>
        <v>PDT Patient Revenue</v>
      </c>
      <c r="D150" s="46"/>
      <c r="E150" s="46"/>
      <c r="F150" s="46"/>
      <c r="G150" s="46"/>
      <c r="H150" s="46"/>
      <c r="I150" s="46"/>
      <c r="J150" s="46">
        <f t="shared" ref="J150:BH150" si="125">J$70</f>
        <v>0</v>
      </c>
      <c r="K150" s="46">
        <f t="shared" si="125"/>
        <v>0</v>
      </c>
      <c r="L150" s="46">
        <f t="shared" si="125"/>
        <v>0</v>
      </c>
      <c r="M150" s="46">
        <f t="shared" si="125"/>
        <v>0</v>
      </c>
      <c r="N150" s="46">
        <f t="shared" si="125"/>
        <v>0</v>
      </c>
      <c r="O150" s="46">
        <f t="shared" si="125"/>
        <v>0</v>
      </c>
      <c r="P150" s="46">
        <f t="shared" si="125"/>
        <v>0</v>
      </c>
      <c r="Q150" s="46">
        <f t="shared" si="125"/>
        <v>0</v>
      </c>
      <c r="R150" s="46">
        <f t="shared" si="125"/>
        <v>0</v>
      </c>
      <c r="S150" s="46">
        <f t="shared" si="125"/>
        <v>0</v>
      </c>
      <c r="T150" s="46">
        <f t="shared" si="125"/>
        <v>0</v>
      </c>
      <c r="U150" s="46">
        <f t="shared" si="125"/>
        <v>0</v>
      </c>
      <c r="V150" s="46">
        <f t="shared" si="125"/>
        <v>0</v>
      </c>
      <c r="W150" s="46">
        <f t="shared" si="125"/>
        <v>0</v>
      </c>
      <c r="X150" s="46">
        <f t="shared" si="125"/>
        <v>0</v>
      </c>
      <c r="Y150" s="46">
        <f t="shared" si="125"/>
        <v>2900</v>
      </c>
      <c r="Z150" s="46">
        <f t="shared" si="125"/>
        <v>2900</v>
      </c>
      <c r="AA150" s="46">
        <f t="shared" si="125"/>
        <v>2900</v>
      </c>
      <c r="AB150" s="46">
        <f t="shared" si="125"/>
        <v>2900</v>
      </c>
      <c r="AC150" s="46">
        <f t="shared" si="125"/>
        <v>2900</v>
      </c>
      <c r="AD150" s="46">
        <f t="shared" si="125"/>
        <v>2900</v>
      </c>
      <c r="AE150" s="46">
        <f t="shared" si="125"/>
        <v>2900</v>
      </c>
      <c r="AF150" s="46">
        <f t="shared" si="125"/>
        <v>2900</v>
      </c>
      <c r="AG150" s="46">
        <f t="shared" si="125"/>
        <v>2900</v>
      </c>
      <c r="AH150" s="46">
        <f t="shared" si="125"/>
        <v>2900</v>
      </c>
      <c r="AI150" s="46">
        <f t="shared" si="125"/>
        <v>2900</v>
      </c>
      <c r="AJ150" s="46">
        <f t="shared" si="125"/>
        <v>2900</v>
      </c>
      <c r="AK150" s="46">
        <f t="shared" si="125"/>
        <v>2900</v>
      </c>
      <c r="AL150" s="46">
        <f t="shared" si="125"/>
        <v>2900</v>
      </c>
      <c r="AM150" s="46">
        <f t="shared" si="125"/>
        <v>2900</v>
      </c>
      <c r="AN150" s="46">
        <f t="shared" si="125"/>
        <v>2900</v>
      </c>
      <c r="AO150" s="46">
        <f t="shared" si="125"/>
        <v>2900</v>
      </c>
      <c r="AP150" s="46">
        <f t="shared" si="125"/>
        <v>2900</v>
      </c>
      <c r="AQ150" s="46">
        <f t="shared" si="125"/>
        <v>2900</v>
      </c>
      <c r="AR150" s="46">
        <f t="shared" si="125"/>
        <v>2900</v>
      </c>
      <c r="AS150" s="46">
        <f t="shared" si="125"/>
        <v>2900</v>
      </c>
      <c r="AT150" s="46">
        <f t="shared" si="125"/>
        <v>2900</v>
      </c>
      <c r="AU150" s="46">
        <f t="shared" si="125"/>
        <v>2900</v>
      </c>
      <c r="AV150" s="46">
        <f t="shared" si="125"/>
        <v>2900</v>
      </c>
      <c r="AW150" s="46">
        <f t="shared" si="125"/>
        <v>2900</v>
      </c>
      <c r="AX150" s="46">
        <f t="shared" si="125"/>
        <v>2900</v>
      </c>
      <c r="AY150" s="46">
        <f t="shared" si="125"/>
        <v>2900</v>
      </c>
      <c r="AZ150" s="46">
        <f t="shared" si="125"/>
        <v>2900</v>
      </c>
      <c r="BA150" s="46">
        <f t="shared" si="125"/>
        <v>2900</v>
      </c>
      <c r="BB150" s="46">
        <f t="shared" si="125"/>
        <v>2900</v>
      </c>
      <c r="BC150" s="46">
        <f t="shared" si="125"/>
        <v>2900</v>
      </c>
      <c r="BD150" s="46">
        <f t="shared" si="125"/>
        <v>2900</v>
      </c>
      <c r="BE150" s="46">
        <f t="shared" si="125"/>
        <v>2900</v>
      </c>
      <c r="BF150" s="46">
        <f t="shared" si="125"/>
        <v>2900</v>
      </c>
      <c r="BG150" s="46">
        <f t="shared" si="125"/>
        <v>2900</v>
      </c>
      <c r="BH150" s="46">
        <f t="shared" si="125"/>
        <v>2900</v>
      </c>
    </row>
    <row r="151" spans="1:60" ht="14.25" customHeight="1" x14ac:dyDescent="0.3">
      <c r="A151" s="46"/>
      <c r="B151" s="37"/>
      <c r="C151" s="46" t="str">
        <f>C$79</f>
        <v>VIP Patient Revenue</v>
      </c>
      <c r="D151" s="46"/>
      <c r="E151" s="46"/>
      <c r="F151" s="46"/>
      <c r="G151" s="46"/>
      <c r="H151" s="46"/>
      <c r="I151" s="46"/>
      <c r="J151" s="46">
        <f t="shared" ref="J151:BH151" si="126">J$79</f>
        <v>0</v>
      </c>
      <c r="K151" s="46">
        <f t="shared" si="126"/>
        <v>0</v>
      </c>
      <c r="L151" s="46">
        <f t="shared" si="126"/>
        <v>0</v>
      </c>
      <c r="M151" s="46">
        <f t="shared" si="126"/>
        <v>0</v>
      </c>
      <c r="N151" s="46">
        <f t="shared" si="126"/>
        <v>0</v>
      </c>
      <c r="O151" s="46">
        <f t="shared" si="126"/>
        <v>0</v>
      </c>
      <c r="P151" s="46">
        <f t="shared" si="126"/>
        <v>0</v>
      </c>
      <c r="Q151" s="46">
        <f t="shared" si="126"/>
        <v>0</v>
      </c>
      <c r="R151" s="46">
        <f t="shared" si="126"/>
        <v>4080.9999999999995</v>
      </c>
      <c r="S151" s="46">
        <f t="shared" si="126"/>
        <v>14575</v>
      </c>
      <c r="T151" s="46">
        <f t="shared" si="126"/>
        <v>11660</v>
      </c>
      <c r="U151" s="46">
        <f t="shared" si="126"/>
        <v>11660</v>
      </c>
      <c r="V151" s="46">
        <f t="shared" si="126"/>
        <v>11660</v>
      </c>
      <c r="W151" s="46">
        <f t="shared" si="126"/>
        <v>11660</v>
      </c>
      <c r="X151" s="46">
        <f t="shared" si="126"/>
        <v>11660</v>
      </c>
      <c r="Y151" s="46">
        <f t="shared" si="126"/>
        <v>11660</v>
      </c>
      <c r="Z151" s="46">
        <f t="shared" si="126"/>
        <v>11660</v>
      </c>
      <c r="AA151" s="46">
        <f t="shared" si="126"/>
        <v>11660</v>
      </c>
      <c r="AB151" s="46">
        <f t="shared" si="126"/>
        <v>11660</v>
      </c>
      <c r="AC151" s="46">
        <f t="shared" si="126"/>
        <v>11660</v>
      </c>
      <c r="AD151" s="46">
        <f t="shared" si="126"/>
        <v>11660</v>
      </c>
      <c r="AE151" s="46">
        <f t="shared" si="126"/>
        <v>11660</v>
      </c>
      <c r="AF151" s="46">
        <f t="shared" si="126"/>
        <v>11660</v>
      </c>
      <c r="AG151" s="46">
        <f t="shared" si="126"/>
        <v>11660</v>
      </c>
      <c r="AH151" s="46">
        <f t="shared" si="126"/>
        <v>11660</v>
      </c>
      <c r="AI151" s="46">
        <f t="shared" si="126"/>
        <v>11660</v>
      </c>
      <c r="AJ151" s="46">
        <f t="shared" si="126"/>
        <v>11660</v>
      </c>
      <c r="AK151" s="46">
        <f t="shared" si="126"/>
        <v>11660</v>
      </c>
      <c r="AL151" s="46">
        <f t="shared" si="126"/>
        <v>11660</v>
      </c>
      <c r="AM151" s="46">
        <f t="shared" si="126"/>
        <v>11660</v>
      </c>
      <c r="AN151" s="46">
        <f t="shared" si="126"/>
        <v>11660</v>
      </c>
      <c r="AO151" s="46">
        <f t="shared" si="126"/>
        <v>11660</v>
      </c>
      <c r="AP151" s="46">
        <f t="shared" si="126"/>
        <v>11660</v>
      </c>
      <c r="AQ151" s="46">
        <f t="shared" si="126"/>
        <v>11660</v>
      </c>
      <c r="AR151" s="46">
        <f t="shared" si="126"/>
        <v>11660</v>
      </c>
      <c r="AS151" s="46">
        <f t="shared" si="126"/>
        <v>11660</v>
      </c>
      <c r="AT151" s="46">
        <f t="shared" si="126"/>
        <v>11660</v>
      </c>
      <c r="AU151" s="46">
        <f t="shared" si="126"/>
        <v>11660</v>
      </c>
      <c r="AV151" s="46">
        <f t="shared" si="126"/>
        <v>11660</v>
      </c>
      <c r="AW151" s="46">
        <f t="shared" si="126"/>
        <v>11660</v>
      </c>
      <c r="AX151" s="46">
        <f t="shared" si="126"/>
        <v>11660</v>
      </c>
      <c r="AY151" s="46">
        <f t="shared" si="126"/>
        <v>11660</v>
      </c>
      <c r="AZ151" s="46">
        <f t="shared" si="126"/>
        <v>11660</v>
      </c>
      <c r="BA151" s="46">
        <f t="shared" si="126"/>
        <v>11660</v>
      </c>
      <c r="BB151" s="46">
        <f t="shared" si="126"/>
        <v>11660</v>
      </c>
      <c r="BC151" s="46">
        <f t="shared" si="126"/>
        <v>11660</v>
      </c>
      <c r="BD151" s="46">
        <f t="shared" si="126"/>
        <v>11660</v>
      </c>
      <c r="BE151" s="46">
        <f t="shared" si="126"/>
        <v>11660</v>
      </c>
      <c r="BF151" s="46">
        <f t="shared" si="126"/>
        <v>11660</v>
      </c>
      <c r="BG151" s="46">
        <f t="shared" si="126"/>
        <v>11660</v>
      </c>
      <c r="BH151" s="46">
        <f t="shared" si="126"/>
        <v>11660</v>
      </c>
    </row>
    <row r="152" spans="1:60" ht="14.25" customHeight="1" x14ac:dyDescent="0.3">
      <c r="A152" s="46"/>
      <c r="B152" s="37"/>
      <c r="C152" s="46" t="str">
        <f>C$89</f>
        <v>Sessional Room Rental Revenue</v>
      </c>
      <c r="D152" s="46"/>
      <c r="E152" s="46"/>
      <c r="F152" s="46"/>
      <c r="G152" s="46"/>
      <c r="H152" s="46"/>
      <c r="I152" s="46"/>
      <c r="J152" s="46">
        <f t="shared" ref="J152:BH152" si="127">J$89</f>
        <v>0</v>
      </c>
      <c r="K152" s="46">
        <f t="shared" si="127"/>
        <v>0</v>
      </c>
      <c r="L152" s="46">
        <f t="shared" si="127"/>
        <v>0</v>
      </c>
      <c r="M152" s="46">
        <f t="shared" si="127"/>
        <v>0</v>
      </c>
      <c r="N152" s="46">
        <f t="shared" si="127"/>
        <v>0</v>
      </c>
      <c r="O152" s="46">
        <f t="shared" si="127"/>
        <v>0</v>
      </c>
      <c r="P152" s="46">
        <f t="shared" si="127"/>
        <v>0</v>
      </c>
      <c r="Q152" s="46">
        <f t="shared" si="127"/>
        <v>0</v>
      </c>
      <c r="R152" s="46">
        <f t="shared" si="127"/>
        <v>0</v>
      </c>
      <c r="S152" s="46">
        <f t="shared" si="127"/>
        <v>0</v>
      </c>
      <c r="T152" s="46">
        <f t="shared" si="127"/>
        <v>0</v>
      </c>
      <c r="U152" s="46">
        <f t="shared" si="127"/>
        <v>0</v>
      </c>
      <c r="V152" s="46">
        <f t="shared" si="127"/>
        <v>0</v>
      </c>
      <c r="W152" s="46">
        <f t="shared" si="127"/>
        <v>66</v>
      </c>
      <c r="X152" s="46">
        <f t="shared" si="127"/>
        <v>72.600000000000009</v>
      </c>
      <c r="Y152" s="46">
        <f t="shared" si="127"/>
        <v>79.860000000000028</v>
      </c>
      <c r="Z152" s="46">
        <f t="shared" si="127"/>
        <v>87.846000000000032</v>
      </c>
      <c r="AA152" s="46">
        <f t="shared" si="127"/>
        <v>96.630600000000044</v>
      </c>
      <c r="AB152" s="46">
        <f t="shared" si="127"/>
        <v>106.29366000000006</v>
      </c>
      <c r="AC152" s="46">
        <f t="shared" si="127"/>
        <v>116.92302600000008</v>
      </c>
      <c r="AD152" s="46">
        <f t="shared" si="127"/>
        <v>128.61532860000008</v>
      </c>
      <c r="AE152" s="46">
        <f t="shared" si="127"/>
        <v>141.47686146000012</v>
      </c>
      <c r="AF152" s="46">
        <f t="shared" si="127"/>
        <v>155.62454760600014</v>
      </c>
      <c r="AG152" s="46">
        <f t="shared" si="127"/>
        <v>171.18700236660018</v>
      </c>
      <c r="AH152" s="46">
        <f t="shared" si="127"/>
        <v>188.30570260326022</v>
      </c>
      <c r="AI152" s="46">
        <f t="shared" si="127"/>
        <v>207.13627286358624</v>
      </c>
      <c r="AJ152" s="46">
        <f t="shared" si="127"/>
        <v>227.84990014994489</v>
      </c>
      <c r="AK152" s="46">
        <f t="shared" si="127"/>
        <v>250.63489016493938</v>
      </c>
      <c r="AL152" s="46">
        <f t="shared" si="127"/>
        <v>275.69837918143332</v>
      </c>
      <c r="AM152" s="46">
        <f t="shared" si="127"/>
        <v>303.26821709957665</v>
      </c>
      <c r="AN152" s="46">
        <f t="shared" si="127"/>
        <v>333.59503880953434</v>
      </c>
      <c r="AO152" s="46">
        <f t="shared" si="127"/>
        <v>366.95454269048781</v>
      </c>
      <c r="AP152" s="46">
        <f t="shared" si="127"/>
        <v>403.64999695953662</v>
      </c>
      <c r="AQ152" s="46">
        <f t="shared" si="127"/>
        <v>444.01499665549028</v>
      </c>
      <c r="AR152" s="46">
        <f t="shared" si="127"/>
        <v>488.41649632103935</v>
      </c>
      <c r="AS152" s="46">
        <f t="shared" si="127"/>
        <v>537.2581459531433</v>
      </c>
      <c r="AT152" s="46">
        <f t="shared" si="127"/>
        <v>590.98396054845773</v>
      </c>
      <c r="AU152" s="46">
        <f t="shared" si="127"/>
        <v>650.08235660330342</v>
      </c>
      <c r="AV152" s="46">
        <f t="shared" si="127"/>
        <v>715.09059226363388</v>
      </c>
      <c r="AW152" s="46">
        <f t="shared" si="127"/>
        <v>786.5996514899972</v>
      </c>
      <c r="AX152" s="46">
        <f t="shared" si="127"/>
        <v>865.25961663899704</v>
      </c>
      <c r="AY152" s="46">
        <f t="shared" si="127"/>
        <v>951.78557830289697</v>
      </c>
      <c r="AZ152" s="46">
        <f t="shared" si="127"/>
        <v>1046.9641361331867</v>
      </c>
      <c r="BA152" s="46">
        <f t="shared" si="127"/>
        <v>1151.6605497465052</v>
      </c>
      <c r="BB152" s="46">
        <f t="shared" si="127"/>
        <v>1266.8266047211559</v>
      </c>
      <c r="BC152" s="46">
        <f t="shared" si="127"/>
        <v>1393.5092651932716</v>
      </c>
      <c r="BD152" s="46">
        <f t="shared" si="127"/>
        <v>1532.8601917125989</v>
      </c>
      <c r="BE152" s="46">
        <f t="shared" si="127"/>
        <v>1686.1462108838589</v>
      </c>
      <c r="BF152" s="46">
        <f t="shared" si="127"/>
        <v>1854.7608319722449</v>
      </c>
      <c r="BG152" s="46">
        <f t="shared" si="127"/>
        <v>2040.2369151694695</v>
      </c>
      <c r="BH152" s="46">
        <f t="shared" si="127"/>
        <v>2244.2606066864164</v>
      </c>
    </row>
    <row r="153" spans="1:60" ht="14.25" customHeight="1" x14ac:dyDescent="0.3">
      <c r="A153" s="46"/>
      <c r="B153" s="37"/>
      <c r="C153" s="46" t="str">
        <f>C$94</f>
        <v>Consultation Session Revenue</v>
      </c>
      <c r="D153" s="46"/>
      <c r="E153" s="46"/>
      <c r="F153" s="46"/>
      <c r="G153" s="46"/>
      <c r="H153" s="46"/>
      <c r="I153" s="46"/>
      <c r="J153" s="46">
        <f t="shared" ref="J153:BH153" si="128">J$94</f>
        <v>0</v>
      </c>
      <c r="K153" s="46">
        <f t="shared" si="128"/>
        <v>0</v>
      </c>
      <c r="L153" s="46">
        <f t="shared" si="128"/>
        <v>0</v>
      </c>
      <c r="M153" s="46">
        <f t="shared" si="128"/>
        <v>0</v>
      </c>
      <c r="N153" s="46">
        <f t="shared" si="128"/>
        <v>0</v>
      </c>
      <c r="O153" s="46">
        <f t="shared" si="128"/>
        <v>0</v>
      </c>
      <c r="P153" s="46">
        <f t="shared" si="128"/>
        <v>0</v>
      </c>
      <c r="Q153" s="46">
        <f t="shared" si="128"/>
        <v>9101.75</v>
      </c>
      <c r="R153" s="46">
        <f t="shared" si="128"/>
        <v>11882.5</v>
      </c>
      <c r="S153" s="46">
        <f t="shared" si="128"/>
        <v>10661.3</v>
      </c>
      <c r="T153" s="46">
        <f t="shared" si="128"/>
        <v>7743.75</v>
      </c>
      <c r="U153" s="46">
        <f t="shared" si="128"/>
        <v>8130.9375</v>
      </c>
      <c r="V153" s="46">
        <f t="shared" si="128"/>
        <v>8537.484375</v>
      </c>
      <c r="W153" s="46">
        <f t="shared" si="128"/>
        <v>8964.3585937500011</v>
      </c>
      <c r="X153" s="46">
        <f t="shared" si="128"/>
        <v>9412.5765234375012</v>
      </c>
      <c r="Y153" s="46">
        <f t="shared" si="128"/>
        <v>9883.2053496093758</v>
      </c>
      <c r="Z153" s="46">
        <f t="shared" si="128"/>
        <v>10377.365617089845</v>
      </c>
      <c r="AA153" s="46">
        <f t="shared" si="128"/>
        <v>10896.233897944338</v>
      </c>
      <c r="AB153" s="46">
        <f t="shared" si="128"/>
        <v>11441.045592841556</v>
      </c>
      <c r="AC153" s="46">
        <f t="shared" si="128"/>
        <v>12013.097872483633</v>
      </c>
      <c r="AD153" s="46">
        <f t="shared" si="128"/>
        <v>12613.752766107817</v>
      </c>
      <c r="AE153" s="46">
        <f t="shared" si="128"/>
        <v>13244.440404413208</v>
      </c>
      <c r="AF153" s="46">
        <f t="shared" si="128"/>
        <v>13906.662424633869</v>
      </c>
      <c r="AG153" s="46">
        <f t="shared" si="128"/>
        <v>14601.995545865562</v>
      </c>
      <c r="AH153" s="46">
        <f t="shared" si="128"/>
        <v>15332.095323158843</v>
      </c>
      <c r="AI153" s="46">
        <f t="shared" si="128"/>
        <v>16098.700089316786</v>
      </c>
      <c r="AJ153" s="46">
        <f t="shared" si="128"/>
        <v>16903.635093782625</v>
      </c>
      <c r="AK153" s="46">
        <f t="shared" si="128"/>
        <v>17748.816848471757</v>
      </c>
      <c r="AL153" s="46">
        <f t="shared" si="128"/>
        <v>18636.257690895349</v>
      </c>
      <c r="AM153" s="46">
        <f t="shared" si="128"/>
        <v>19568.070575440117</v>
      </c>
      <c r="AN153" s="46">
        <f t="shared" si="128"/>
        <v>20546.474104212124</v>
      </c>
      <c r="AO153" s="46">
        <f t="shared" si="128"/>
        <v>21573.797809422729</v>
      </c>
      <c r="AP153" s="46">
        <f t="shared" si="128"/>
        <v>22652.487699893863</v>
      </c>
      <c r="AQ153" s="46">
        <f t="shared" si="128"/>
        <v>23785.112084888558</v>
      </c>
      <c r="AR153" s="46">
        <f t="shared" si="128"/>
        <v>24974.367689132989</v>
      </c>
      <c r="AS153" s="46">
        <f t="shared" si="128"/>
        <v>26223.086073589642</v>
      </c>
      <c r="AT153" s="46">
        <f t="shared" si="128"/>
        <v>27534.240377269125</v>
      </c>
      <c r="AU153" s="46">
        <f t="shared" si="128"/>
        <v>28910.952396132583</v>
      </c>
      <c r="AV153" s="46">
        <f t="shared" si="128"/>
        <v>30356.500015939215</v>
      </c>
      <c r="AW153" s="46">
        <f t="shared" si="128"/>
        <v>31874.325016736177</v>
      </c>
      <c r="AX153" s="46">
        <f t="shared" si="128"/>
        <v>33468.041267572982</v>
      </c>
      <c r="AY153" s="46">
        <f t="shared" si="128"/>
        <v>35141.443330951639</v>
      </c>
      <c r="AZ153" s="46">
        <f t="shared" si="128"/>
        <v>36898.515497499218</v>
      </c>
      <c r="BA153" s="46">
        <f t="shared" si="128"/>
        <v>38743.441272374184</v>
      </c>
      <c r="BB153" s="46">
        <f t="shared" si="128"/>
        <v>40680.613335992894</v>
      </c>
      <c r="BC153" s="46">
        <f t="shared" si="128"/>
        <v>42714.644002792542</v>
      </c>
      <c r="BD153" s="46">
        <f t="shared" si="128"/>
        <v>44850.376202932166</v>
      </c>
      <c r="BE153" s="46">
        <f t="shared" si="128"/>
        <v>47092.895013078778</v>
      </c>
      <c r="BF153" s="46">
        <f t="shared" si="128"/>
        <v>49447.539763732719</v>
      </c>
      <c r="BG153" s="46">
        <f t="shared" si="128"/>
        <v>51919.916751919358</v>
      </c>
      <c r="BH153" s="46">
        <f t="shared" si="128"/>
        <v>54515.912589515334</v>
      </c>
    </row>
    <row r="154" spans="1:60" ht="14.25" customHeight="1" x14ac:dyDescent="0.3">
      <c r="A154" s="46"/>
      <c r="B154" s="37"/>
      <c r="C154" s="46" t="str">
        <f>C$99</f>
        <v>Supplements Patient Revenue</v>
      </c>
      <c r="D154" s="46"/>
      <c r="E154" s="46"/>
      <c r="F154" s="46"/>
      <c r="G154" s="46"/>
      <c r="H154" s="46"/>
      <c r="I154" s="46"/>
      <c r="J154" s="46">
        <f t="shared" ref="J154:BH154" si="129">J$99</f>
        <v>0</v>
      </c>
      <c r="K154" s="46">
        <f t="shared" si="129"/>
        <v>0</v>
      </c>
      <c r="L154" s="46">
        <f t="shared" si="129"/>
        <v>0</v>
      </c>
      <c r="M154" s="46">
        <f t="shared" si="129"/>
        <v>0</v>
      </c>
      <c r="N154" s="46">
        <f t="shared" si="129"/>
        <v>0</v>
      </c>
      <c r="O154" s="46">
        <f t="shared" si="129"/>
        <v>0</v>
      </c>
      <c r="P154" s="46">
        <f t="shared" si="129"/>
        <v>0</v>
      </c>
      <c r="Q154" s="46">
        <f t="shared" si="129"/>
        <v>864</v>
      </c>
      <c r="R154" s="46">
        <f t="shared" si="129"/>
        <v>617.96</v>
      </c>
      <c r="S154" s="46">
        <f t="shared" si="129"/>
        <v>715</v>
      </c>
      <c r="T154" s="46">
        <f t="shared" si="129"/>
        <v>4244.625</v>
      </c>
      <c r="U154" s="46">
        <f t="shared" si="129"/>
        <v>4679.6990625000008</v>
      </c>
      <c r="V154" s="46">
        <f t="shared" si="129"/>
        <v>5159.3682164062511</v>
      </c>
      <c r="W154" s="46">
        <f t="shared" si="129"/>
        <v>5688.2034585878919</v>
      </c>
      <c r="X154" s="46">
        <f t="shared" si="129"/>
        <v>6271.2443130931524</v>
      </c>
      <c r="Y154" s="46">
        <f t="shared" si="129"/>
        <v>6914.0468551852</v>
      </c>
      <c r="Z154" s="46">
        <f t="shared" si="129"/>
        <v>7622.7366578416841</v>
      </c>
      <c r="AA154" s="46">
        <f t="shared" si="129"/>
        <v>8126.0049408398454</v>
      </c>
      <c r="AB154" s="46">
        <f t="shared" si="129"/>
        <v>8532.3051878818369</v>
      </c>
      <c r="AC154" s="46">
        <f t="shared" si="129"/>
        <v>8958.9204472759284</v>
      </c>
      <c r="AD154" s="46">
        <f t="shared" si="129"/>
        <v>9406.8664696397245</v>
      </c>
      <c r="AE154" s="46">
        <f t="shared" si="129"/>
        <v>9877.2097931217104</v>
      </c>
      <c r="AF154" s="46">
        <f t="shared" si="129"/>
        <v>10371.070282777797</v>
      </c>
      <c r="AG154" s="46">
        <f t="shared" si="129"/>
        <v>10889.623796916687</v>
      </c>
      <c r="AH154" s="46">
        <f t="shared" si="129"/>
        <v>11434.104986762522</v>
      </c>
      <c r="AI154" s="46">
        <f t="shared" si="129"/>
        <v>12005.810236100649</v>
      </c>
      <c r="AJ154" s="46">
        <f t="shared" si="129"/>
        <v>12606.100747905683</v>
      </c>
      <c r="AK154" s="46">
        <f t="shared" si="129"/>
        <v>13236.405785300967</v>
      </c>
      <c r="AL154" s="46">
        <f t="shared" si="129"/>
        <v>13898.226074566017</v>
      </c>
      <c r="AM154" s="46">
        <f t="shared" si="129"/>
        <v>14593.137378294317</v>
      </c>
      <c r="AN154" s="46">
        <f t="shared" si="129"/>
        <v>15322.794247209034</v>
      </c>
      <c r="AO154" s="46">
        <f t="shared" si="129"/>
        <v>16088.933959569487</v>
      </c>
      <c r="AP154" s="46">
        <f t="shared" si="129"/>
        <v>16893.380657547961</v>
      </c>
      <c r="AQ154" s="46">
        <f t="shared" si="129"/>
        <v>17738.04969042536</v>
      </c>
      <c r="AR154" s="46">
        <f t="shared" si="129"/>
        <v>18624.952174946629</v>
      </c>
      <c r="AS154" s="46">
        <f t="shared" si="129"/>
        <v>19556.199783693959</v>
      </c>
      <c r="AT154" s="46">
        <f t="shared" si="129"/>
        <v>20534.009772878657</v>
      </c>
      <c r="AU154" s="46">
        <f t="shared" si="129"/>
        <v>21560.710261522592</v>
      </c>
      <c r="AV154" s="46">
        <f t="shared" si="129"/>
        <v>22638.745774598723</v>
      </c>
      <c r="AW154" s="46">
        <f t="shared" si="129"/>
        <v>23770.683063328659</v>
      </c>
      <c r="AX154" s="46">
        <f t="shared" si="129"/>
        <v>24959.21721649509</v>
      </c>
      <c r="AY154" s="46">
        <f t="shared" si="129"/>
        <v>26207.178077319844</v>
      </c>
      <c r="AZ154" s="46">
        <f t="shared" si="129"/>
        <v>27517.536981185836</v>
      </c>
      <c r="BA154" s="46">
        <f t="shared" si="129"/>
        <v>28893.413830245132</v>
      </c>
      <c r="BB154" s="46">
        <f t="shared" si="129"/>
        <v>30338.084521757388</v>
      </c>
      <c r="BC154" s="46">
        <f t="shared" si="129"/>
        <v>31854.988747845258</v>
      </c>
      <c r="BD154" s="46">
        <f t="shared" si="129"/>
        <v>33447.738185237526</v>
      </c>
      <c r="BE154" s="46">
        <f t="shared" si="129"/>
        <v>35120.12509449941</v>
      </c>
      <c r="BF154" s="46">
        <f t="shared" si="129"/>
        <v>36876.131349224379</v>
      </c>
      <c r="BG154" s="46">
        <f t="shared" si="129"/>
        <v>38719.937916685602</v>
      </c>
      <c r="BH154" s="46">
        <f t="shared" si="129"/>
        <v>40655.934812519881</v>
      </c>
    </row>
    <row r="155" spans="1:60" ht="14.25" customHeight="1" x14ac:dyDescent="0.3">
      <c r="A155" s="46"/>
      <c r="B155" s="37"/>
      <c r="C155" s="46" t="str">
        <f>C$109</f>
        <v>Oxyhydrogen Therapy  Revenue</v>
      </c>
      <c r="D155" s="46"/>
      <c r="E155" s="46"/>
      <c r="F155" s="46"/>
      <c r="G155" s="46"/>
      <c r="H155" s="46"/>
      <c r="I155" s="46"/>
      <c r="J155" s="46">
        <f t="shared" ref="J155:BH155" si="130">J$109</f>
        <v>0</v>
      </c>
      <c r="K155" s="46">
        <f t="shared" si="130"/>
        <v>0</v>
      </c>
      <c r="L155" s="46">
        <f t="shared" si="130"/>
        <v>0</v>
      </c>
      <c r="M155" s="46">
        <f t="shared" si="130"/>
        <v>0</v>
      </c>
      <c r="N155" s="46">
        <f t="shared" si="130"/>
        <v>0</v>
      </c>
      <c r="O155" s="46">
        <f t="shared" si="130"/>
        <v>0</v>
      </c>
      <c r="P155" s="46">
        <f t="shared" si="130"/>
        <v>0</v>
      </c>
      <c r="Q155" s="46">
        <f t="shared" si="130"/>
        <v>0</v>
      </c>
      <c r="R155" s="46">
        <f t="shared" si="130"/>
        <v>0</v>
      </c>
      <c r="S155" s="46">
        <f t="shared" si="130"/>
        <v>0</v>
      </c>
      <c r="T155" s="46">
        <f t="shared" si="130"/>
        <v>0</v>
      </c>
      <c r="U155" s="46">
        <f t="shared" si="130"/>
        <v>2200</v>
      </c>
      <c r="V155" s="46">
        <f t="shared" si="130"/>
        <v>2420.0000000000005</v>
      </c>
      <c r="W155" s="46">
        <f t="shared" si="130"/>
        <v>2662.0000000000005</v>
      </c>
      <c r="X155" s="46">
        <f t="shared" si="130"/>
        <v>2928.2000000000007</v>
      </c>
      <c r="Y155" s="46">
        <f t="shared" si="130"/>
        <v>3221.0200000000009</v>
      </c>
      <c r="Z155" s="46">
        <f t="shared" si="130"/>
        <v>3543.1220000000012</v>
      </c>
      <c r="AA155" s="46">
        <f t="shared" si="130"/>
        <v>3897.4342000000015</v>
      </c>
      <c r="AB155" s="46">
        <f t="shared" si="130"/>
        <v>4287.1776200000022</v>
      </c>
      <c r="AC155" s="46">
        <f t="shared" si="130"/>
        <v>4715.8953820000033</v>
      </c>
      <c r="AD155" s="46">
        <f t="shared" si="130"/>
        <v>5187.4849202000032</v>
      </c>
      <c r="AE155" s="46">
        <f t="shared" si="130"/>
        <v>5706.2334122200045</v>
      </c>
      <c r="AF155" s="46">
        <f t="shared" si="130"/>
        <v>6276.8567534420054</v>
      </c>
      <c r="AG155" s="46">
        <f t="shared" si="130"/>
        <v>6904.5424287862061</v>
      </c>
      <c r="AH155" s="46">
        <f t="shared" si="130"/>
        <v>7594.9966716648278</v>
      </c>
      <c r="AI155" s="46">
        <f t="shared" si="130"/>
        <v>8354.4963388313099</v>
      </c>
      <c r="AJ155" s="46">
        <f t="shared" si="130"/>
        <v>9189.945972714444</v>
      </c>
      <c r="AK155" s="46">
        <f t="shared" si="130"/>
        <v>10108.940569985889</v>
      </c>
      <c r="AL155" s="46">
        <f t="shared" si="130"/>
        <v>11119.834626984479</v>
      </c>
      <c r="AM155" s="46">
        <f t="shared" si="130"/>
        <v>12231.818089682927</v>
      </c>
      <c r="AN155" s="46">
        <f t="shared" si="130"/>
        <v>13454.99989865122</v>
      </c>
      <c r="AO155" s="46">
        <f t="shared" si="130"/>
        <v>14800.499888516344</v>
      </c>
      <c r="AP155" s="46">
        <f t="shared" si="130"/>
        <v>15000</v>
      </c>
      <c r="AQ155" s="46">
        <f t="shared" si="130"/>
        <v>15000</v>
      </c>
      <c r="AR155" s="46">
        <f t="shared" si="130"/>
        <v>15000</v>
      </c>
      <c r="AS155" s="46">
        <f t="shared" si="130"/>
        <v>15000</v>
      </c>
      <c r="AT155" s="46">
        <f t="shared" si="130"/>
        <v>15000</v>
      </c>
      <c r="AU155" s="46">
        <f t="shared" si="130"/>
        <v>15000</v>
      </c>
      <c r="AV155" s="46">
        <f t="shared" si="130"/>
        <v>15000</v>
      </c>
      <c r="AW155" s="46">
        <f t="shared" si="130"/>
        <v>15000</v>
      </c>
      <c r="AX155" s="46">
        <f t="shared" si="130"/>
        <v>15000</v>
      </c>
      <c r="AY155" s="46">
        <f t="shared" si="130"/>
        <v>15000</v>
      </c>
      <c r="AZ155" s="46">
        <f t="shared" si="130"/>
        <v>15000</v>
      </c>
      <c r="BA155" s="46">
        <f t="shared" si="130"/>
        <v>15000</v>
      </c>
      <c r="BB155" s="46">
        <f t="shared" si="130"/>
        <v>15000</v>
      </c>
      <c r="BC155" s="46">
        <f t="shared" si="130"/>
        <v>15000</v>
      </c>
      <c r="BD155" s="46">
        <f t="shared" si="130"/>
        <v>15000</v>
      </c>
      <c r="BE155" s="46">
        <f t="shared" si="130"/>
        <v>15000</v>
      </c>
      <c r="BF155" s="46">
        <f t="shared" si="130"/>
        <v>15000</v>
      </c>
      <c r="BG155" s="46">
        <f t="shared" si="130"/>
        <v>15000</v>
      </c>
      <c r="BH155" s="46">
        <f t="shared" si="130"/>
        <v>15000</v>
      </c>
    </row>
    <row r="156" spans="1:60" ht="14.25" customHeight="1" x14ac:dyDescent="0.3">
      <c r="A156" s="46"/>
      <c r="B156" s="37"/>
      <c r="C156" s="46" t="str">
        <f>C$111</f>
        <v>Pathology Services</v>
      </c>
      <c r="D156" s="46"/>
      <c r="E156" s="46"/>
      <c r="F156" s="46"/>
      <c r="G156" s="46"/>
      <c r="H156" s="46"/>
      <c r="I156" s="46"/>
      <c r="J156" s="46"/>
      <c r="K156" s="46">
        <f t="shared" ref="K156:BH156" si="131">K$111</f>
        <v>0</v>
      </c>
      <c r="L156" s="46">
        <f t="shared" si="131"/>
        <v>0</v>
      </c>
      <c r="M156" s="46">
        <f t="shared" si="131"/>
        <v>0</v>
      </c>
      <c r="N156" s="46">
        <f t="shared" si="131"/>
        <v>0</v>
      </c>
      <c r="O156" s="46">
        <f t="shared" si="131"/>
        <v>0</v>
      </c>
      <c r="P156" s="46">
        <f t="shared" si="131"/>
        <v>0</v>
      </c>
      <c r="Q156" s="46">
        <f t="shared" si="131"/>
        <v>0</v>
      </c>
      <c r="R156" s="46">
        <f t="shared" si="131"/>
        <v>0</v>
      </c>
      <c r="S156" s="46">
        <f t="shared" si="131"/>
        <v>0</v>
      </c>
      <c r="T156" s="46">
        <f t="shared" si="131"/>
        <v>0</v>
      </c>
      <c r="U156" s="46">
        <f t="shared" si="131"/>
        <v>0</v>
      </c>
      <c r="V156" s="46">
        <f t="shared" si="131"/>
        <v>0</v>
      </c>
      <c r="W156" s="46">
        <f t="shared" si="131"/>
        <v>0</v>
      </c>
      <c r="X156" s="46">
        <f t="shared" si="131"/>
        <v>0</v>
      </c>
      <c r="Y156" s="46">
        <f t="shared" si="131"/>
        <v>0</v>
      </c>
      <c r="Z156" s="46">
        <f t="shared" si="131"/>
        <v>0</v>
      </c>
      <c r="AA156" s="46">
        <f t="shared" si="131"/>
        <v>0</v>
      </c>
      <c r="AB156" s="46">
        <f t="shared" si="131"/>
        <v>0</v>
      </c>
      <c r="AC156" s="46">
        <f t="shared" si="131"/>
        <v>0</v>
      </c>
      <c r="AD156" s="46">
        <f t="shared" si="131"/>
        <v>0</v>
      </c>
      <c r="AE156" s="46">
        <f t="shared" si="131"/>
        <v>0</v>
      </c>
      <c r="AF156" s="46">
        <f t="shared" si="131"/>
        <v>0</v>
      </c>
      <c r="AG156" s="46">
        <f t="shared" si="131"/>
        <v>0</v>
      </c>
      <c r="AH156" s="46">
        <f t="shared" si="131"/>
        <v>0</v>
      </c>
      <c r="AI156" s="46">
        <f t="shared" si="131"/>
        <v>0</v>
      </c>
      <c r="AJ156" s="46">
        <f t="shared" si="131"/>
        <v>0</v>
      </c>
      <c r="AK156" s="46">
        <f t="shared" si="131"/>
        <v>0</v>
      </c>
      <c r="AL156" s="46">
        <f t="shared" si="131"/>
        <v>0</v>
      </c>
      <c r="AM156" s="46">
        <f t="shared" si="131"/>
        <v>0</v>
      </c>
      <c r="AN156" s="46">
        <f t="shared" si="131"/>
        <v>0</v>
      </c>
      <c r="AO156" s="46">
        <f t="shared" si="131"/>
        <v>0</v>
      </c>
      <c r="AP156" s="46">
        <f t="shared" si="131"/>
        <v>0</v>
      </c>
      <c r="AQ156" s="46">
        <f t="shared" si="131"/>
        <v>0</v>
      </c>
      <c r="AR156" s="46">
        <f t="shared" si="131"/>
        <v>0</v>
      </c>
      <c r="AS156" s="46">
        <f t="shared" si="131"/>
        <v>0</v>
      </c>
      <c r="AT156" s="46">
        <f t="shared" si="131"/>
        <v>0</v>
      </c>
      <c r="AU156" s="46">
        <f t="shared" si="131"/>
        <v>0</v>
      </c>
      <c r="AV156" s="46">
        <f t="shared" si="131"/>
        <v>0</v>
      </c>
      <c r="AW156" s="46">
        <f t="shared" si="131"/>
        <v>0</v>
      </c>
      <c r="AX156" s="46">
        <f t="shared" si="131"/>
        <v>0</v>
      </c>
      <c r="AY156" s="46">
        <f t="shared" si="131"/>
        <v>0</v>
      </c>
      <c r="AZ156" s="46">
        <f t="shared" si="131"/>
        <v>0</v>
      </c>
      <c r="BA156" s="46">
        <f t="shared" si="131"/>
        <v>0</v>
      </c>
      <c r="BB156" s="46">
        <f t="shared" si="131"/>
        <v>0</v>
      </c>
      <c r="BC156" s="46">
        <f t="shared" si="131"/>
        <v>0</v>
      </c>
      <c r="BD156" s="46">
        <f t="shared" si="131"/>
        <v>0</v>
      </c>
      <c r="BE156" s="46">
        <f t="shared" si="131"/>
        <v>0</v>
      </c>
      <c r="BF156" s="46">
        <f t="shared" si="131"/>
        <v>0</v>
      </c>
      <c r="BG156" s="46">
        <f t="shared" si="131"/>
        <v>0</v>
      </c>
      <c r="BH156" s="46">
        <f t="shared" si="131"/>
        <v>0</v>
      </c>
    </row>
    <row r="157" spans="1:60" ht="14.25" customHeight="1" x14ac:dyDescent="0.3">
      <c r="A157" s="46"/>
      <c r="B157" s="37"/>
      <c r="C157" s="46" t="str">
        <f>C$119</f>
        <v>Sanctura Lite</v>
      </c>
      <c r="D157" s="46"/>
      <c r="E157" s="46"/>
      <c r="F157" s="46"/>
      <c r="G157" s="46"/>
      <c r="H157" s="46"/>
      <c r="I157" s="46"/>
      <c r="J157" s="46">
        <f t="shared" ref="J157:BH157" si="132">J$119</f>
        <v>0</v>
      </c>
      <c r="K157" s="46">
        <f t="shared" si="132"/>
        <v>0</v>
      </c>
      <c r="L157" s="46">
        <f t="shared" si="132"/>
        <v>0</v>
      </c>
      <c r="M157" s="46">
        <f t="shared" si="132"/>
        <v>12189</v>
      </c>
      <c r="N157" s="46">
        <f t="shared" si="132"/>
        <v>5857</v>
      </c>
      <c r="O157" s="46">
        <f t="shared" si="132"/>
        <v>12119</v>
      </c>
      <c r="P157" s="46">
        <f t="shared" si="132"/>
        <v>5219</v>
      </c>
      <c r="Q157" s="46">
        <f t="shared" si="132"/>
        <v>0</v>
      </c>
      <c r="R157" s="46">
        <f t="shared" si="132"/>
        <v>0</v>
      </c>
      <c r="S157" s="46">
        <f t="shared" si="132"/>
        <v>0</v>
      </c>
      <c r="T157" s="46">
        <f t="shared" si="132"/>
        <v>0</v>
      </c>
      <c r="U157" s="46">
        <f t="shared" si="132"/>
        <v>0</v>
      </c>
      <c r="V157" s="46">
        <f t="shared" si="132"/>
        <v>0</v>
      </c>
      <c r="W157" s="46">
        <f t="shared" si="132"/>
        <v>0</v>
      </c>
      <c r="X157" s="46">
        <f t="shared" si="132"/>
        <v>0</v>
      </c>
      <c r="Y157" s="46">
        <f t="shared" si="132"/>
        <v>0</v>
      </c>
      <c r="Z157" s="46">
        <f t="shared" si="132"/>
        <v>0</v>
      </c>
      <c r="AA157" s="46">
        <f t="shared" si="132"/>
        <v>0</v>
      </c>
      <c r="AB157" s="46">
        <f t="shared" si="132"/>
        <v>0</v>
      </c>
      <c r="AC157" s="46">
        <f t="shared" si="132"/>
        <v>0</v>
      </c>
      <c r="AD157" s="46">
        <f t="shared" si="132"/>
        <v>0</v>
      </c>
      <c r="AE157" s="46">
        <f t="shared" si="132"/>
        <v>0</v>
      </c>
      <c r="AF157" s="46">
        <f t="shared" si="132"/>
        <v>0</v>
      </c>
      <c r="AG157" s="46">
        <f t="shared" si="132"/>
        <v>0</v>
      </c>
      <c r="AH157" s="46">
        <f t="shared" si="132"/>
        <v>0</v>
      </c>
      <c r="AI157" s="46">
        <f t="shared" si="132"/>
        <v>0</v>
      </c>
      <c r="AJ157" s="46">
        <f t="shared" si="132"/>
        <v>0</v>
      </c>
      <c r="AK157" s="46">
        <f t="shared" si="132"/>
        <v>0</v>
      </c>
      <c r="AL157" s="46">
        <f t="shared" si="132"/>
        <v>0</v>
      </c>
      <c r="AM157" s="46">
        <f t="shared" si="132"/>
        <v>0</v>
      </c>
      <c r="AN157" s="46">
        <f t="shared" si="132"/>
        <v>0</v>
      </c>
      <c r="AO157" s="46">
        <f t="shared" si="132"/>
        <v>0</v>
      </c>
      <c r="AP157" s="46">
        <f t="shared" si="132"/>
        <v>0</v>
      </c>
      <c r="AQ157" s="46">
        <f t="shared" si="132"/>
        <v>0</v>
      </c>
      <c r="AR157" s="46">
        <f t="shared" si="132"/>
        <v>0</v>
      </c>
      <c r="AS157" s="46">
        <f t="shared" si="132"/>
        <v>0</v>
      </c>
      <c r="AT157" s="46">
        <f t="shared" si="132"/>
        <v>0</v>
      </c>
      <c r="AU157" s="46">
        <f t="shared" si="132"/>
        <v>0</v>
      </c>
      <c r="AV157" s="46">
        <f t="shared" si="132"/>
        <v>0</v>
      </c>
      <c r="AW157" s="46">
        <f t="shared" si="132"/>
        <v>0</v>
      </c>
      <c r="AX157" s="46">
        <f t="shared" si="132"/>
        <v>0</v>
      </c>
      <c r="AY157" s="46">
        <f t="shared" si="132"/>
        <v>0</v>
      </c>
      <c r="AZ157" s="46">
        <f t="shared" si="132"/>
        <v>0</v>
      </c>
      <c r="BA157" s="46">
        <f t="shared" si="132"/>
        <v>0</v>
      </c>
      <c r="BB157" s="46">
        <f t="shared" si="132"/>
        <v>0</v>
      </c>
      <c r="BC157" s="46">
        <f t="shared" si="132"/>
        <v>0</v>
      </c>
      <c r="BD157" s="46">
        <f t="shared" si="132"/>
        <v>0</v>
      </c>
      <c r="BE157" s="46">
        <f t="shared" si="132"/>
        <v>0</v>
      </c>
      <c r="BF157" s="46">
        <f t="shared" si="132"/>
        <v>0</v>
      </c>
      <c r="BG157" s="46">
        <f t="shared" si="132"/>
        <v>0</v>
      </c>
      <c r="BH157" s="46">
        <f t="shared" si="132"/>
        <v>0</v>
      </c>
    </row>
    <row r="158" spans="1:60" ht="14.25" customHeight="1" x14ac:dyDescent="0.3">
      <c r="A158" s="46"/>
      <c r="B158" s="37"/>
      <c r="C158" s="46" t="str">
        <f>C$120</f>
        <v>Oncotherm Bed Sale</v>
      </c>
      <c r="D158" s="46"/>
      <c r="E158" s="46"/>
      <c r="F158" s="46"/>
      <c r="G158" s="46"/>
      <c r="H158" s="46"/>
      <c r="I158" s="46"/>
      <c r="J158" s="46">
        <f t="shared" ref="J158:BH158" si="133">J$120</f>
        <v>0</v>
      </c>
      <c r="K158" s="46">
        <f t="shared" si="133"/>
        <v>0</v>
      </c>
      <c r="L158" s="46">
        <f t="shared" si="133"/>
        <v>0</v>
      </c>
      <c r="M158" s="46">
        <f t="shared" si="133"/>
        <v>0</v>
      </c>
      <c r="N158" s="46">
        <f t="shared" si="133"/>
        <v>0</v>
      </c>
      <c r="O158" s="46">
        <f t="shared" si="133"/>
        <v>0</v>
      </c>
      <c r="P158" s="46">
        <f>P$120</f>
        <v>155233.9</v>
      </c>
      <c r="Q158" s="46">
        <f t="shared" si="133"/>
        <v>0</v>
      </c>
      <c r="R158" s="46">
        <f t="shared" si="133"/>
        <v>0</v>
      </c>
      <c r="S158" s="46">
        <f t="shared" si="133"/>
        <v>0</v>
      </c>
      <c r="T158" s="46">
        <f t="shared" si="133"/>
        <v>0</v>
      </c>
      <c r="U158" s="46">
        <f t="shared" si="133"/>
        <v>0</v>
      </c>
      <c r="V158" s="46">
        <f t="shared" si="133"/>
        <v>0</v>
      </c>
      <c r="W158" s="46">
        <f t="shared" si="133"/>
        <v>0</v>
      </c>
      <c r="X158" s="46">
        <f t="shared" si="133"/>
        <v>0</v>
      </c>
      <c r="Y158" s="46">
        <f t="shared" si="133"/>
        <v>0</v>
      </c>
      <c r="Z158" s="46">
        <f t="shared" si="133"/>
        <v>0</v>
      </c>
      <c r="AA158" s="46">
        <f t="shared" si="133"/>
        <v>0</v>
      </c>
      <c r="AB158" s="46">
        <f t="shared" si="133"/>
        <v>0</v>
      </c>
      <c r="AC158" s="46">
        <f t="shared" si="133"/>
        <v>0</v>
      </c>
      <c r="AD158" s="46">
        <f t="shared" si="133"/>
        <v>0</v>
      </c>
      <c r="AE158" s="46">
        <f t="shared" si="133"/>
        <v>0</v>
      </c>
      <c r="AF158" s="46">
        <f t="shared" si="133"/>
        <v>0</v>
      </c>
      <c r="AG158" s="46">
        <f t="shared" si="133"/>
        <v>0</v>
      </c>
      <c r="AH158" s="46">
        <f t="shared" si="133"/>
        <v>0</v>
      </c>
      <c r="AI158" s="46">
        <f t="shared" si="133"/>
        <v>0</v>
      </c>
      <c r="AJ158" s="46">
        <f t="shared" si="133"/>
        <v>0</v>
      </c>
      <c r="AK158" s="46">
        <f t="shared" si="133"/>
        <v>0</v>
      </c>
      <c r="AL158" s="46">
        <f t="shared" si="133"/>
        <v>0</v>
      </c>
      <c r="AM158" s="46">
        <f t="shared" si="133"/>
        <v>0</v>
      </c>
      <c r="AN158" s="46">
        <f t="shared" si="133"/>
        <v>0</v>
      </c>
      <c r="AO158" s="46">
        <f t="shared" si="133"/>
        <v>0</v>
      </c>
      <c r="AP158" s="46">
        <f t="shared" si="133"/>
        <v>0</v>
      </c>
      <c r="AQ158" s="46">
        <f t="shared" si="133"/>
        <v>0</v>
      </c>
      <c r="AR158" s="46">
        <f t="shared" si="133"/>
        <v>0</v>
      </c>
      <c r="AS158" s="46">
        <f t="shared" si="133"/>
        <v>0</v>
      </c>
      <c r="AT158" s="46">
        <f t="shared" si="133"/>
        <v>0</v>
      </c>
      <c r="AU158" s="46">
        <f t="shared" si="133"/>
        <v>0</v>
      </c>
      <c r="AV158" s="46">
        <f t="shared" si="133"/>
        <v>0</v>
      </c>
      <c r="AW158" s="46">
        <f t="shared" si="133"/>
        <v>0</v>
      </c>
      <c r="AX158" s="46">
        <f t="shared" si="133"/>
        <v>0</v>
      </c>
      <c r="AY158" s="46">
        <f t="shared" si="133"/>
        <v>0</v>
      </c>
      <c r="AZ158" s="46">
        <f t="shared" si="133"/>
        <v>0</v>
      </c>
      <c r="BA158" s="46">
        <f t="shared" si="133"/>
        <v>0</v>
      </c>
      <c r="BB158" s="46">
        <f t="shared" si="133"/>
        <v>0</v>
      </c>
      <c r="BC158" s="46">
        <f t="shared" si="133"/>
        <v>0</v>
      </c>
      <c r="BD158" s="46">
        <f t="shared" si="133"/>
        <v>0</v>
      </c>
      <c r="BE158" s="46">
        <f t="shared" si="133"/>
        <v>0</v>
      </c>
      <c r="BF158" s="46">
        <f t="shared" si="133"/>
        <v>0</v>
      </c>
      <c r="BG158" s="46">
        <f t="shared" si="133"/>
        <v>0</v>
      </c>
      <c r="BH158" s="46">
        <f t="shared" si="133"/>
        <v>0</v>
      </c>
    </row>
    <row r="159" spans="1:60" ht="14.25" customHeight="1" x14ac:dyDescent="0.3">
      <c r="A159" s="46"/>
      <c r="B159" s="37"/>
      <c r="C159" s="46" t="s">
        <v>123</v>
      </c>
      <c r="D159" s="46"/>
      <c r="E159" s="46"/>
      <c r="F159" s="46"/>
      <c r="G159" s="46"/>
      <c r="H159" s="46"/>
      <c r="I159" s="46"/>
      <c r="J159" s="51">
        <f>SUM(J142:J158)</f>
        <v>0</v>
      </c>
      <c r="K159" s="51">
        <f t="shared" ref="K159:BH159" si="134">SUM(K142:K158)</f>
        <v>0</v>
      </c>
      <c r="L159" s="51">
        <f t="shared" si="134"/>
        <v>0</v>
      </c>
      <c r="M159" s="51">
        <f t="shared" si="134"/>
        <v>12189</v>
      </c>
      <c r="N159" s="51">
        <f t="shared" si="134"/>
        <v>5857</v>
      </c>
      <c r="O159" s="51">
        <f t="shared" si="134"/>
        <v>12119</v>
      </c>
      <c r="P159" s="51">
        <f t="shared" si="134"/>
        <v>160452.9</v>
      </c>
      <c r="Q159" s="51">
        <f t="shared" si="134"/>
        <v>22646.6</v>
      </c>
      <c r="R159" s="51">
        <f t="shared" si="134"/>
        <v>49206.46</v>
      </c>
      <c r="S159" s="51">
        <f t="shared" si="134"/>
        <v>64410.3</v>
      </c>
      <c r="T159" s="51">
        <f t="shared" si="134"/>
        <v>83257.48</v>
      </c>
      <c r="U159" s="51">
        <f>SUM(U142:U158)</f>
        <v>100379.68863250001</v>
      </c>
      <c r="V159" s="51">
        <f t="shared" si="134"/>
        <v>124331.65063828124</v>
      </c>
      <c r="W159" s="51">
        <f t="shared" si="134"/>
        <v>135565.11489413475</v>
      </c>
      <c r="X159" s="51">
        <f t="shared" si="134"/>
        <v>153136.13715171625</v>
      </c>
      <c r="Y159" s="51">
        <f t="shared" si="134"/>
        <v>164057.23010920739</v>
      </c>
      <c r="Z159" s="51">
        <f t="shared" si="134"/>
        <v>172590.90469223546</v>
      </c>
      <c r="AA159" s="51">
        <f t="shared" si="134"/>
        <v>181395.69125367113</v>
      </c>
      <c r="AB159" s="51">
        <f t="shared" si="134"/>
        <v>190612.06749786658</v>
      </c>
      <c r="AC159" s="51">
        <f t="shared" si="134"/>
        <v>200391.69913068888</v>
      </c>
      <c r="AD159" s="51">
        <f t="shared" si="134"/>
        <v>208220.91062834105</v>
      </c>
      <c r="AE159" s="51">
        <f t="shared" si="134"/>
        <v>216521.10780249292</v>
      </c>
      <c r="AF159" s="51">
        <f t="shared" si="134"/>
        <v>225370.89342037035</v>
      </c>
      <c r="AG159" s="51">
        <f t="shared" si="134"/>
        <v>232258.8799006484</v>
      </c>
      <c r="AH159" s="51">
        <f t="shared" si="134"/>
        <v>239609.15125867649</v>
      </c>
      <c r="AI159" s="51">
        <f t="shared" si="134"/>
        <v>247503.42415500645</v>
      </c>
      <c r="AJ159" s="51">
        <f t="shared" si="134"/>
        <v>255985.53113629765</v>
      </c>
      <c r="AK159" s="51">
        <f t="shared" si="134"/>
        <v>265103.03744972375</v>
      </c>
      <c r="AL159" s="51">
        <f t="shared" si="134"/>
        <v>274443.93529418443</v>
      </c>
      <c r="AM159" s="51">
        <f t="shared" si="134"/>
        <v>282545.18544939405</v>
      </c>
      <c r="AN159" s="51">
        <f t="shared" si="134"/>
        <v>291205.74812206684</v>
      </c>
      <c r="AO159" s="51">
        <f t="shared" si="134"/>
        <v>300467.27529515827</v>
      </c>
      <c r="AP159" s="51">
        <f t="shared" si="134"/>
        <v>309094.13792346563</v>
      </c>
      <c r="AQ159" s="51">
        <f t="shared" si="134"/>
        <v>318067.83754422248</v>
      </c>
      <c r="AR159" s="51">
        <f t="shared" si="134"/>
        <v>327625.35612938215</v>
      </c>
      <c r="AS159" s="51">
        <f t="shared" si="134"/>
        <v>337806.8352563298</v>
      </c>
      <c r="AT159" s="51">
        <f t="shared" si="134"/>
        <v>348655.26905223652</v>
      </c>
      <c r="AU159" s="51">
        <f t="shared" si="134"/>
        <v>360216.71121463185</v>
      </c>
      <c r="AV159" s="51">
        <f t="shared" si="134"/>
        <v>372540.49727489881</v>
      </c>
      <c r="AW159" s="51">
        <f t="shared" si="134"/>
        <v>385679.4832390715</v>
      </c>
      <c r="AX159" s="51">
        <f t="shared" si="134"/>
        <v>399690.30182546895</v>
      </c>
      <c r="AY159" s="51">
        <f t="shared" si="134"/>
        <v>414056.51009868598</v>
      </c>
      <c r="AZ159" s="51">
        <f t="shared" si="134"/>
        <v>426089.16471106355</v>
      </c>
      <c r="BA159" s="51">
        <f t="shared" si="134"/>
        <v>430077.97115342342</v>
      </c>
      <c r="BB159" s="51">
        <f t="shared" si="134"/>
        <v>434271.45273858181</v>
      </c>
      <c r="BC159" s="51">
        <f t="shared" si="134"/>
        <v>438680.36670574697</v>
      </c>
      <c r="BD159" s="51">
        <f t="shared" si="134"/>
        <v>443316.060504294</v>
      </c>
      <c r="BE159" s="51">
        <f t="shared" si="134"/>
        <v>448190.50653909438</v>
      </c>
      <c r="BF159" s="51">
        <f t="shared" si="134"/>
        <v>453316.33917659323</v>
      </c>
      <c r="BG159" s="51">
        <f t="shared" si="134"/>
        <v>458706.89417702152</v>
      </c>
      <c r="BH159" s="51">
        <f t="shared" si="134"/>
        <v>464376.25073163112</v>
      </c>
    </row>
    <row r="160" spans="1:60" ht="14.25" customHeight="1" x14ac:dyDescent="0.3">
      <c r="A160" s="46"/>
      <c r="B160" s="37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  <c r="AD160" s="46"/>
      <c r="AE160" s="46"/>
      <c r="AF160" s="46"/>
      <c r="AG160" s="46"/>
      <c r="AH160" s="46"/>
      <c r="AI160" s="46"/>
      <c r="AJ160" s="46"/>
      <c r="AK160" s="46"/>
      <c r="AL160" s="46"/>
      <c r="AM160" s="46"/>
      <c r="AN160" s="46"/>
      <c r="AO160" s="46"/>
      <c r="AP160" s="46"/>
      <c r="AQ160" s="46"/>
      <c r="AR160" s="46"/>
      <c r="AS160" s="46"/>
      <c r="AT160" s="46"/>
      <c r="AU160" s="46"/>
      <c r="AV160" s="46"/>
      <c r="AW160" s="46"/>
      <c r="AX160" s="46"/>
      <c r="AY160" s="46"/>
      <c r="AZ160" s="46"/>
      <c r="BA160" s="46"/>
      <c r="BB160" s="46"/>
      <c r="BC160" s="46"/>
      <c r="BD160" s="46"/>
      <c r="BE160" s="46"/>
      <c r="BF160" s="46"/>
      <c r="BG160" s="46"/>
      <c r="BH160" s="46"/>
    </row>
    <row r="161" spans="1:60" ht="14.25" customHeight="1" x14ac:dyDescent="0.3">
      <c r="A161" s="46"/>
      <c r="B161" s="37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  <c r="AC161" s="46"/>
      <c r="AD161" s="46"/>
      <c r="AE161" s="46"/>
      <c r="AF161" s="46"/>
      <c r="AG161" s="46"/>
      <c r="AH161" s="46"/>
      <c r="AI161" s="46"/>
      <c r="AJ161" s="46"/>
      <c r="AK161" s="46"/>
      <c r="AL161" s="46"/>
      <c r="AM161" s="46"/>
      <c r="AN161" s="46"/>
      <c r="AO161" s="46"/>
      <c r="AP161" s="46"/>
      <c r="AQ161" s="46"/>
      <c r="AR161" s="46"/>
      <c r="AS161" s="46"/>
      <c r="AT161" s="46"/>
      <c r="AU161" s="46"/>
      <c r="AV161" s="46"/>
      <c r="AW161" s="46"/>
      <c r="AX161" s="46"/>
      <c r="AY161" s="46"/>
      <c r="AZ161" s="46"/>
      <c r="BA161" s="46"/>
      <c r="BB161" s="46"/>
      <c r="BC161" s="46"/>
      <c r="BD161" s="46"/>
      <c r="BE161" s="46"/>
      <c r="BF161" s="46"/>
      <c r="BG161" s="46"/>
      <c r="BH161" s="46"/>
    </row>
    <row r="162" spans="1:60" ht="14.25" customHeight="1" x14ac:dyDescent="0.3">
      <c r="A162" s="46"/>
      <c r="B162" s="37" t="s">
        <v>124</v>
      </c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  <c r="AE162" s="46"/>
      <c r="AF162" s="46"/>
      <c r="AG162" s="46"/>
      <c r="AH162" s="46"/>
      <c r="AI162" s="46"/>
      <c r="AJ162" s="46"/>
      <c r="AK162" s="46"/>
      <c r="AL162" s="46"/>
      <c r="AM162" s="46"/>
      <c r="AN162" s="46"/>
      <c r="AO162" s="46"/>
      <c r="AP162" s="46"/>
      <c r="AQ162" s="46"/>
      <c r="AR162" s="46"/>
      <c r="AS162" s="46"/>
      <c r="AT162" s="46"/>
      <c r="AU162" s="46"/>
      <c r="AV162" s="46"/>
      <c r="AW162" s="46"/>
      <c r="AX162" s="46"/>
      <c r="AY162" s="46"/>
      <c r="AZ162" s="46"/>
      <c r="BA162" s="46"/>
      <c r="BB162" s="46"/>
      <c r="BC162" s="46"/>
      <c r="BD162" s="46"/>
      <c r="BE162" s="46"/>
      <c r="BF162" s="46"/>
      <c r="BG162" s="46"/>
      <c r="BH162" s="46"/>
    </row>
    <row r="163" spans="1:60" ht="14.25" customHeight="1" x14ac:dyDescent="0.3">
      <c r="A163" s="46"/>
      <c r="B163" s="37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  <c r="AC163" s="46"/>
      <c r="AD163" s="46"/>
      <c r="AE163" s="46"/>
      <c r="AF163" s="46"/>
      <c r="AG163" s="46"/>
      <c r="AH163" s="46"/>
      <c r="AI163" s="46"/>
      <c r="AJ163" s="46"/>
      <c r="AK163" s="46"/>
      <c r="AL163" s="46"/>
      <c r="AM163" s="46"/>
      <c r="AN163" s="46"/>
      <c r="AO163" s="46"/>
      <c r="AP163" s="46"/>
      <c r="AQ163" s="46"/>
      <c r="AR163" s="46"/>
      <c r="AS163" s="46"/>
      <c r="AT163" s="46"/>
      <c r="AU163" s="46"/>
      <c r="AV163" s="46"/>
      <c r="AW163" s="46"/>
      <c r="AX163" s="46"/>
      <c r="AY163" s="46"/>
      <c r="AZ163" s="46"/>
      <c r="BA163" s="46"/>
      <c r="BB163" s="46"/>
      <c r="BC163" s="46"/>
      <c r="BD163" s="46"/>
      <c r="BE163" s="46"/>
      <c r="BF163" s="46"/>
      <c r="BG163" s="46"/>
      <c r="BH163" s="46"/>
    </row>
    <row r="164" spans="1:60" ht="14.25" customHeight="1" x14ac:dyDescent="0.3">
      <c r="A164" s="46"/>
      <c r="B164" s="37"/>
      <c r="C164" s="37" t="s">
        <v>125</v>
      </c>
      <c r="D164" s="46"/>
      <c r="E164" s="46"/>
      <c r="F164" s="46" t="s">
        <v>303</v>
      </c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  <c r="AD164" s="46"/>
      <c r="AE164" s="46"/>
      <c r="AF164" s="46"/>
      <c r="AG164" s="46"/>
      <c r="AH164" s="46"/>
      <c r="AI164" s="46"/>
      <c r="AJ164" s="46"/>
      <c r="AK164" s="46"/>
      <c r="AL164" s="46"/>
      <c r="AM164" s="46"/>
      <c r="AN164" s="46"/>
      <c r="AO164" s="46"/>
      <c r="AP164" s="46"/>
      <c r="AQ164" s="46"/>
      <c r="AR164" s="46"/>
      <c r="AS164" s="46"/>
      <c r="AT164" s="46"/>
      <c r="AU164" s="46"/>
      <c r="AV164" s="46"/>
      <c r="AW164" s="46"/>
      <c r="AX164" s="46"/>
      <c r="AY164" s="46"/>
      <c r="AZ164" s="46"/>
      <c r="BA164" s="46"/>
      <c r="BB164" s="46"/>
      <c r="BC164" s="46"/>
      <c r="BD164" s="46"/>
      <c r="BE164" s="46"/>
      <c r="BF164" s="46"/>
      <c r="BG164" s="46"/>
      <c r="BH164" s="46"/>
    </row>
    <row r="165" spans="1:60" ht="14.25" customHeight="1" x14ac:dyDescent="0.3">
      <c r="A165" s="46"/>
      <c r="B165" s="37"/>
      <c r="C165" s="46" t="s">
        <v>304</v>
      </c>
      <c r="D165" s="46"/>
      <c r="E165" s="53">
        <v>2820</v>
      </c>
      <c r="F165" s="66">
        <f>S3</f>
        <v>45869</v>
      </c>
      <c r="G165" s="46"/>
      <c r="H165" s="46"/>
      <c r="I165" s="46"/>
      <c r="J165" s="46">
        <f t="shared" ref="J165:Y167" si="135">IF($F165&lt;=J$3,$E165,0)</f>
        <v>0</v>
      </c>
      <c r="K165" s="46">
        <f t="shared" si="135"/>
        <v>0</v>
      </c>
      <c r="L165" s="46">
        <f t="shared" si="135"/>
        <v>0</v>
      </c>
      <c r="M165" s="46">
        <f t="shared" si="135"/>
        <v>0</v>
      </c>
      <c r="N165" s="46">
        <f t="shared" si="135"/>
        <v>0</v>
      </c>
      <c r="O165" s="46">
        <f t="shared" si="135"/>
        <v>0</v>
      </c>
      <c r="P165" s="46">
        <f t="shared" si="135"/>
        <v>0</v>
      </c>
      <c r="Q165" s="46">
        <f t="shared" si="135"/>
        <v>0</v>
      </c>
      <c r="R165" s="46">
        <f t="shared" si="135"/>
        <v>0</v>
      </c>
      <c r="S165" s="46">
        <f t="shared" si="135"/>
        <v>2820</v>
      </c>
      <c r="T165" s="46">
        <f t="shared" si="135"/>
        <v>2820</v>
      </c>
      <c r="U165" s="46">
        <f t="shared" si="135"/>
        <v>2820</v>
      </c>
      <c r="V165" s="46">
        <f t="shared" si="135"/>
        <v>2820</v>
      </c>
      <c r="W165" s="46">
        <f t="shared" si="135"/>
        <v>2820</v>
      </c>
      <c r="X165" s="46">
        <f t="shared" si="135"/>
        <v>2820</v>
      </c>
      <c r="Y165" s="46">
        <f t="shared" si="135"/>
        <v>2820</v>
      </c>
      <c r="Z165" s="46">
        <f t="shared" ref="Z165:AO167" si="136">IF($F165&lt;=Z$3,$E165,0)</f>
        <v>2820</v>
      </c>
      <c r="AA165" s="46">
        <f t="shared" si="136"/>
        <v>2820</v>
      </c>
      <c r="AB165" s="46">
        <f t="shared" si="136"/>
        <v>2820</v>
      </c>
      <c r="AC165" s="46">
        <f t="shared" si="136"/>
        <v>2820</v>
      </c>
      <c r="AD165" s="46">
        <f t="shared" si="136"/>
        <v>2820</v>
      </c>
      <c r="AE165" s="46">
        <f t="shared" si="136"/>
        <v>2820</v>
      </c>
      <c r="AF165" s="46">
        <f t="shared" si="136"/>
        <v>2820</v>
      </c>
      <c r="AG165" s="46">
        <f t="shared" si="136"/>
        <v>2820</v>
      </c>
      <c r="AH165" s="46">
        <f t="shared" si="136"/>
        <v>2820</v>
      </c>
      <c r="AI165" s="46">
        <f t="shared" si="136"/>
        <v>2820</v>
      </c>
      <c r="AJ165" s="46">
        <f t="shared" si="136"/>
        <v>2820</v>
      </c>
      <c r="AK165" s="46">
        <f t="shared" si="136"/>
        <v>2820</v>
      </c>
      <c r="AL165" s="46">
        <f t="shared" si="136"/>
        <v>2820</v>
      </c>
      <c r="AM165" s="46">
        <f t="shared" si="136"/>
        <v>2820</v>
      </c>
      <c r="AN165" s="46">
        <f t="shared" si="136"/>
        <v>2820</v>
      </c>
      <c r="AO165" s="46">
        <f t="shared" si="136"/>
        <v>2820</v>
      </c>
      <c r="AP165" s="46">
        <f t="shared" ref="AP165:BE167" si="137">IF($F165&lt;=AP$3,$E165,0)</f>
        <v>2820</v>
      </c>
      <c r="AQ165" s="46">
        <f t="shared" si="137"/>
        <v>2820</v>
      </c>
      <c r="AR165" s="46">
        <f t="shared" si="137"/>
        <v>2820</v>
      </c>
      <c r="AS165" s="46">
        <f t="shared" si="137"/>
        <v>2820</v>
      </c>
      <c r="AT165" s="46">
        <f t="shared" si="137"/>
        <v>2820</v>
      </c>
      <c r="AU165" s="46">
        <f t="shared" si="137"/>
        <v>2820</v>
      </c>
      <c r="AV165" s="46">
        <f t="shared" si="137"/>
        <v>2820</v>
      </c>
      <c r="AW165" s="46">
        <f t="shared" si="137"/>
        <v>2820</v>
      </c>
      <c r="AX165" s="46">
        <f t="shared" si="137"/>
        <v>2820</v>
      </c>
      <c r="AY165" s="46">
        <f t="shared" si="137"/>
        <v>2820</v>
      </c>
      <c r="AZ165" s="46">
        <f t="shared" si="137"/>
        <v>2820</v>
      </c>
      <c r="BA165" s="46">
        <f t="shared" si="137"/>
        <v>2820</v>
      </c>
      <c r="BB165" s="46">
        <f t="shared" si="137"/>
        <v>2820</v>
      </c>
      <c r="BC165" s="46">
        <f t="shared" si="137"/>
        <v>2820</v>
      </c>
      <c r="BD165" s="46">
        <f t="shared" si="137"/>
        <v>2820</v>
      </c>
      <c r="BE165" s="46">
        <f t="shared" si="137"/>
        <v>2820</v>
      </c>
      <c r="BF165" s="46">
        <f t="shared" ref="BF165:BH167" si="138">IF($F165&lt;=BF$3,$E165,0)</f>
        <v>2820</v>
      </c>
      <c r="BG165" s="46">
        <f t="shared" si="138"/>
        <v>2820</v>
      </c>
      <c r="BH165" s="46">
        <f t="shared" si="138"/>
        <v>2820</v>
      </c>
    </row>
    <row r="166" spans="1:60" ht="14.25" customHeight="1" x14ac:dyDescent="0.3">
      <c r="A166" s="46"/>
      <c r="B166" s="37"/>
      <c r="C166" s="46" t="s">
        <v>305</v>
      </c>
      <c r="D166" s="46"/>
      <c r="E166" s="53">
        <v>3000</v>
      </c>
      <c r="F166" s="66">
        <f>T3</f>
        <v>45900</v>
      </c>
      <c r="G166" s="46"/>
      <c r="H166" s="46"/>
      <c r="I166" s="46"/>
      <c r="J166" s="46">
        <f t="shared" si="135"/>
        <v>0</v>
      </c>
      <c r="K166" s="46">
        <f t="shared" si="135"/>
        <v>0</v>
      </c>
      <c r="L166" s="46">
        <f t="shared" si="135"/>
        <v>0</v>
      </c>
      <c r="M166" s="46">
        <f t="shared" si="135"/>
        <v>0</v>
      </c>
      <c r="N166" s="46">
        <f t="shared" si="135"/>
        <v>0</v>
      </c>
      <c r="O166" s="46">
        <f t="shared" si="135"/>
        <v>0</v>
      </c>
      <c r="P166" s="46">
        <f t="shared" si="135"/>
        <v>0</v>
      </c>
      <c r="Q166" s="46">
        <f t="shared" si="135"/>
        <v>0</v>
      </c>
      <c r="R166" s="46">
        <f t="shared" si="135"/>
        <v>0</v>
      </c>
      <c r="S166" s="46">
        <v>1720</v>
      </c>
      <c r="T166" s="46">
        <f t="shared" si="135"/>
        <v>3000</v>
      </c>
      <c r="U166" s="46">
        <f t="shared" si="135"/>
        <v>3000</v>
      </c>
      <c r="V166" s="46">
        <f t="shared" si="135"/>
        <v>3000</v>
      </c>
      <c r="W166" s="46">
        <f t="shared" si="135"/>
        <v>3000</v>
      </c>
      <c r="X166" s="46">
        <f t="shared" si="135"/>
        <v>3000</v>
      </c>
      <c r="Y166" s="46">
        <f t="shared" si="135"/>
        <v>3000</v>
      </c>
      <c r="Z166" s="46">
        <f t="shared" si="136"/>
        <v>3000</v>
      </c>
      <c r="AA166" s="46">
        <f t="shared" si="136"/>
        <v>3000</v>
      </c>
      <c r="AB166" s="46">
        <f t="shared" si="136"/>
        <v>3000</v>
      </c>
      <c r="AC166" s="46">
        <f t="shared" si="136"/>
        <v>3000</v>
      </c>
      <c r="AD166" s="46">
        <f t="shared" si="136"/>
        <v>3000</v>
      </c>
      <c r="AE166" s="46">
        <f t="shared" si="136"/>
        <v>3000</v>
      </c>
      <c r="AF166" s="46">
        <f t="shared" si="136"/>
        <v>3000</v>
      </c>
      <c r="AG166" s="46">
        <f t="shared" si="136"/>
        <v>3000</v>
      </c>
      <c r="AH166" s="46">
        <f t="shared" si="136"/>
        <v>3000</v>
      </c>
      <c r="AI166" s="46">
        <f t="shared" si="136"/>
        <v>3000</v>
      </c>
      <c r="AJ166" s="46">
        <f t="shared" si="136"/>
        <v>3000</v>
      </c>
      <c r="AK166" s="46">
        <f t="shared" si="136"/>
        <v>3000</v>
      </c>
      <c r="AL166" s="46">
        <f t="shared" si="136"/>
        <v>3000</v>
      </c>
      <c r="AM166" s="46">
        <f t="shared" si="136"/>
        <v>3000</v>
      </c>
      <c r="AN166" s="46">
        <f t="shared" si="136"/>
        <v>3000</v>
      </c>
      <c r="AO166" s="46">
        <f t="shared" si="136"/>
        <v>3000</v>
      </c>
      <c r="AP166" s="46">
        <f t="shared" si="137"/>
        <v>3000</v>
      </c>
      <c r="AQ166" s="46">
        <f t="shared" si="137"/>
        <v>3000</v>
      </c>
      <c r="AR166" s="46">
        <f t="shared" si="137"/>
        <v>3000</v>
      </c>
      <c r="AS166" s="46">
        <f t="shared" si="137"/>
        <v>3000</v>
      </c>
      <c r="AT166" s="46">
        <f t="shared" si="137"/>
        <v>3000</v>
      </c>
      <c r="AU166" s="46">
        <f t="shared" si="137"/>
        <v>3000</v>
      </c>
      <c r="AV166" s="46">
        <f t="shared" si="137"/>
        <v>3000</v>
      </c>
      <c r="AW166" s="46">
        <f t="shared" si="137"/>
        <v>3000</v>
      </c>
      <c r="AX166" s="46">
        <f t="shared" si="137"/>
        <v>3000</v>
      </c>
      <c r="AY166" s="46">
        <f t="shared" si="137"/>
        <v>3000</v>
      </c>
      <c r="AZ166" s="46">
        <f t="shared" si="137"/>
        <v>3000</v>
      </c>
      <c r="BA166" s="46">
        <f t="shared" si="137"/>
        <v>3000</v>
      </c>
      <c r="BB166" s="46">
        <f t="shared" si="137"/>
        <v>3000</v>
      </c>
      <c r="BC166" s="46">
        <f t="shared" si="137"/>
        <v>3000</v>
      </c>
      <c r="BD166" s="46">
        <f t="shared" si="137"/>
        <v>3000</v>
      </c>
      <c r="BE166" s="46">
        <f t="shared" si="137"/>
        <v>3000</v>
      </c>
      <c r="BF166" s="46">
        <f t="shared" si="138"/>
        <v>3000</v>
      </c>
      <c r="BG166" s="46">
        <f t="shared" si="138"/>
        <v>3000</v>
      </c>
      <c r="BH166" s="46">
        <f t="shared" si="138"/>
        <v>3000</v>
      </c>
    </row>
    <row r="167" spans="1:60" s="58" customFormat="1" ht="14.25" customHeight="1" x14ac:dyDescent="0.3">
      <c r="A167" s="46"/>
      <c r="B167" s="37"/>
      <c r="C167" s="46" t="s">
        <v>306</v>
      </c>
      <c r="D167" s="56"/>
      <c r="E167" s="53">
        <v>5000</v>
      </c>
      <c r="F167" s="66">
        <f>J3</f>
        <v>45596</v>
      </c>
      <c r="G167" s="46"/>
      <c r="H167" s="46"/>
      <c r="I167" s="46"/>
      <c r="J167" s="46">
        <f t="shared" si="135"/>
        <v>5000</v>
      </c>
      <c r="K167" s="46">
        <f t="shared" si="135"/>
        <v>5000</v>
      </c>
      <c r="L167" s="46">
        <f t="shared" si="135"/>
        <v>5000</v>
      </c>
      <c r="M167" s="46">
        <f t="shared" si="135"/>
        <v>5000</v>
      </c>
      <c r="N167" s="46">
        <f t="shared" si="135"/>
        <v>5000</v>
      </c>
      <c r="O167" s="46">
        <f t="shared" si="135"/>
        <v>5000</v>
      </c>
      <c r="P167" s="46">
        <f t="shared" si="135"/>
        <v>5000</v>
      </c>
      <c r="Q167" s="46">
        <f t="shared" si="135"/>
        <v>5000</v>
      </c>
      <c r="R167" s="46">
        <f t="shared" si="135"/>
        <v>5000</v>
      </c>
      <c r="S167" s="46">
        <f t="shared" si="135"/>
        <v>5000</v>
      </c>
      <c r="T167" s="46">
        <f t="shared" si="135"/>
        <v>5000</v>
      </c>
      <c r="U167" s="46">
        <f t="shared" si="135"/>
        <v>5000</v>
      </c>
      <c r="V167" s="46">
        <f t="shared" si="135"/>
        <v>5000</v>
      </c>
      <c r="W167" s="46">
        <f t="shared" si="135"/>
        <v>5000</v>
      </c>
      <c r="X167" s="46">
        <f t="shared" si="135"/>
        <v>5000</v>
      </c>
      <c r="Y167" s="46">
        <f t="shared" si="135"/>
        <v>5000</v>
      </c>
      <c r="Z167" s="46">
        <f t="shared" si="136"/>
        <v>5000</v>
      </c>
      <c r="AA167" s="46">
        <f t="shared" si="136"/>
        <v>5000</v>
      </c>
      <c r="AB167" s="46">
        <f t="shared" si="136"/>
        <v>5000</v>
      </c>
      <c r="AC167" s="46">
        <f t="shared" si="136"/>
        <v>5000</v>
      </c>
      <c r="AD167" s="46">
        <f t="shared" si="136"/>
        <v>5000</v>
      </c>
      <c r="AE167" s="46">
        <f t="shared" si="136"/>
        <v>5000</v>
      </c>
      <c r="AF167" s="46">
        <f t="shared" si="136"/>
        <v>5000</v>
      </c>
      <c r="AG167" s="46">
        <f t="shared" si="136"/>
        <v>5000</v>
      </c>
      <c r="AH167" s="46">
        <f t="shared" si="136"/>
        <v>5000</v>
      </c>
      <c r="AI167" s="46">
        <f t="shared" si="136"/>
        <v>5000</v>
      </c>
      <c r="AJ167" s="46">
        <f t="shared" si="136"/>
        <v>5000</v>
      </c>
      <c r="AK167" s="46">
        <f t="shared" si="136"/>
        <v>5000</v>
      </c>
      <c r="AL167" s="46">
        <f t="shared" si="136"/>
        <v>5000</v>
      </c>
      <c r="AM167" s="46">
        <f t="shared" si="136"/>
        <v>5000</v>
      </c>
      <c r="AN167" s="46">
        <f t="shared" si="136"/>
        <v>5000</v>
      </c>
      <c r="AO167" s="46">
        <f t="shared" si="136"/>
        <v>5000</v>
      </c>
      <c r="AP167" s="46">
        <f t="shared" si="137"/>
        <v>5000</v>
      </c>
      <c r="AQ167" s="46">
        <f t="shared" si="137"/>
        <v>5000</v>
      </c>
      <c r="AR167" s="46">
        <f t="shared" si="137"/>
        <v>5000</v>
      </c>
      <c r="AS167" s="46">
        <f t="shared" si="137"/>
        <v>5000</v>
      </c>
      <c r="AT167" s="46">
        <f t="shared" si="137"/>
        <v>5000</v>
      </c>
      <c r="AU167" s="46">
        <f t="shared" si="137"/>
        <v>5000</v>
      </c>
      <c r="AV167" s="46">
        <f t="shared" si="137"/>
        <v>5000</v>
      </c>
      <c r="AW167" s="46">
        <f t="shared" si="137"/>
        <v>5000</v>
      </c>
      <c r="AX167" s="46">
        <f t="shared" si="137"/>
        <v>5000</v>
      </c>
      <c r="AY167" s="46">
        <f t="shared" si="137"/>
        <v>5000</v>
      </c>
      <c r="AZ167" s="46">
        <f t="shared" si="137"/>
        <v>5000</v>
      </c>
      <c r="BA167" s="46">
        <f t="shared" si="137"/>
        <v>5000</v>
      </c>
      <c r="BB167" s="46">
        <f t="shared" si="137"/>
        <v>5000</v>
      </c>
      <c r="BC167" s="46">
        <f t="shared" si="137"/>
        <v>5000</v>
      </c>
      <c r="BD167" s="46">
        <f t="shared" si="137"/>
        <v>5000</v>
      </c>
      <c r="BE167" s="46">
        <f t="shared" si="137"/>
        <v>5000</v>
      </c>
      <c r="BF167" s="46">
        <f t="shared" si="138"/>
        <v>5000</v>
      </c>
      <c r="BG167" s="46">
        <f t="shared" si="138"/>
        <v>5000</v>
      </c>
      <c r="BH167" s="46">
        <f t="shared" si="138"/>
        <v>5000</v>
      </c>
    </row>
    <row r="168" spans="1:60" ht="14.25" customHeight="1" x14ac:dyDescent="0.3">
      <c r="A168" s="46"/>
      <c r="B168" s="37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  <c r="AC168" s="46"/>
      <c r="AD168" s="46"/>
      <c r="AE168" s="46"/>
      <c r="AF168" s="46"/>
      <c r="AG168" s="46"/>
      <c r="AH168" s="46"/>
      <c r="AI168" s="46"/>
      <c r="AJ168" s="46"/>
      <c r="AK168" s="46"/>
      <c r="AL168" s="46"/>
      <c r="AM168" s="46"/>
      <c r="AN168" s="46"/>
      <c r="AO168" s="46"/>
      <c r="AP168" s="46"/>
      <c r="AQ168" s="46"/>
      <c r="AR168" s="46"/>
      <c r="AS168" s="46"/>
      <c r="AT168" s="46"/>
      <c r="AU168" s="46"/>
      <c r="AV168" s="46"/>
      <c r="AW168" s="46"/>
      <c r="AX168" s="46"/>
      <c r="AY168" s="46"/>
      <c r="AZ168" s="46"/>
      <c r="BA168" s="46"/>
      <c r="BB168" s="46"/>
      <c r="BC168" s="46"/>
      <c r="BD168" s="46"/>
      <c r="BE168" s="46"/>
      <c r="BF168" s="46"/>
      <c r="BG168" s="46"/>
      <c r="BH168" s="46"/>
    </row>
    <row r="169" spans="1:60" s="58" customFormat="1" ht="14.25" customHeight="1" x14ac:dyDescent="0.3">
      <c r="A169" s="46"/>
      <c r="B169" s="37"/>
      <c r="C169" s="37" t="s">
        <v>134</v>
      </c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  <c r="AF169" s="46"/>
      <c r="AG169" s="46"/>
      <c r="AH169" s="46"/>
      <c r="AI169" s="46"/>
      <c r="AJ169" s="46"/>
      <c r="AK169" s="46"/>
      <c r="AL169" s="46"/>
      <c r="AM169" s="46"/>
      <c r="AN169" s="46"/>
      <c r="AO169" s="46"/>
      <c r="AP169" s="46"/>
      <c r="AQ169" s="46"/>
      <c r="AR169" s="46"/>
      <c r="AS169" s="46"/>
      <c r="AT169" s="46"/>
      <c r="AU169" s="46"/>
      <c r="AV169" s="46"/>
      <c r="AW169" s="46"/>
      <c r="AX169" s="46"/>
      <c r="AY169" s="46"/>
      <c r="AZ169" s="46"/>
      <c r="BA169" s="46"/>
      <c r="BB169" s="46"/>
      <c r="BC169" s="46"/>
      <c r="BD169" s="46"/>
      <c r="BE169" s="46"/>
      <c r="BF169" s="46"/>
      <c r="BG169" s="46"/>
      <c r="BH169" s="46"/>
    </row>
    <row r="170" spans="1:60" s="58" customFormat="1" ht="14.25" customHeight="1" x14ac:dyDescent="0.3">
      <c r="A170" s="46"/>
      <c r="B170" s="37"/>
      <c r="C170" s="46" t="s">
        <v>135</v>
      </c>
      <c r="D170" s="53">
        <v>1</v>
      </c>
      <c r="E170" s="53">
        <v>5500</v>
      </c>
      <c r="F170" s="66">
        <v>45900</v>
      </c>
      <c r="G170" s="46" t="s">
        <v>307</v>
      </c>
      <c r="H170" s="46"/>
      <c r="I170" s="46"/>
      <c r="J170" s="46">
        <f t="shared" ref="J170:K174" si="139">IF(J$169&gt;=$D170,$E170,0)</f>
        <v>0</v>
      </c>
      <c r="K170" s="46">
        <f t="shared" si="139"/>
        <v>0</v>
      </c>
      <c r="L170" s="46"/>
      <c r="M170" s="46">
        <v>1912</v>
      </c>
      <c r="N170" s="46">
        <v>2297</v>
      </c>
      <c r="O170" s="46">
        <v>3240</v>
      </c>
      <c r="P170" s="46">
        <v>2600</v>
      </c>
      <c r="Q170" s="46">
        <v>2550</v>
      </c>
      <c r="R170" s="46">
        <v>5300</v>
      </c>
      <c r="S170" s="46">
        <v>5300</v>
      </c>
      <c r="T170" s="46">
        <f t="shared" ref="T170:BH174" si="140">IF($F170&lt;=T$3,$E170,0)</f>
        <v>5500</v>
      </c>
      <c r="U170" s="46">
        <f t="shared" si="140"/>
        <v>5500</v>
      </c>
      <c r="V170" s="46">
        <f t="shared" si="140"/>
        <v>5500</v>
      </c>
      <c r="W170" s="46">
        <f t="shared" si="140"/>
        <v>5500</v>
      </c>
      <c r="X170" s="46">
        <f t="shared" si="140"/>
        <v>5500</v>
      </c>
      <c r="Y170" s="46">
        <f t="shared" si="140"/>
        <v>5500</v>
      </c>
      <c r="Z170" s="46">
        <f t="shared" si="140"/>
        <v>5500</v>
      </c>
      <c r="AA170" s="46">
        <f t="shared" si="140"/>
        <v>5500</v>
      </c>
      <c r="AB170" s="46">
        <f t="shared" si="140"/>
        <v>5500</v>
      </c>
      <c r="AC170" s="46">
        <f t="shared" si="140"/>
        <v>5500</v>
      </c>
      <c r="AD170" s="46">
        <f t="shared" si="140"/>
        <v>5500</v>
      </c>
      <c r="AE170" s="46">
        <f t="shared" si="140"/>
        <v>5500</v>
      </c>
      <c r="AF170" s="46">
        <f t="shared" si="140"/>
        <v>5500</v>
      </c>
      <c r="AG170" s="46">
        <f t="shared" si="140"/>
        <v>5500</v>
      </c>
      <c r="AH170" s="46">
        <f t="shared" si="140"/>
        <v>5500</v>
      </c>
      <c r="AI170" s="46">
        <f t="shared" si="140"/>
        <v>5500</v>
      </c>
      <c r="AJ170" s="46">
        <f t="shared" si="140"/>
        <v>5500</v>
      </c>
      <c r="AK170" s="46">
        <f t="shared" si="140"/>
        <v>5500</v>
      </c>
      <c r="AL170" s="46">
        <f t="shared" si="140"/>
        <v>5500</v>
      </c>
      <c r="AM170" s="46">
        <f t="shared" si="140"/>
        <v>5500</v>
      </c>
      <c r="AN170" s="46">
        <f t="shared" si="140"/>
        <v>5500</v>
      </c>
      <c r="AO170" s="46">
        <f t="shared" si="140"/>
        <v>5500</v>
      </c>
      <c r="AP170" s="46">
        <f t="shared" si="140"/>
        <v>5500</v>
      </c>
      <c r="AQ170" s="46">
        <f t="shared" si="140"/>
        <v>5500</v>
      </c>
      <c r="AR170" s="46">
        <f t="shared" si="140"/>
        <v>5500</v>
      </c>
      <c r="AS170" s="46">
        <f t="shared" si="140"/>
        <v>5500</v>
      </c>
      <c r="AT170" s="46">
        <f t="shared" si="140"/>
        <v>5500</v>
      </c>
      <c r="AU170" s="46">
        <f t="shared" si="140"/>
        <v>5500</v>
      </c>
      <c r="AV170" s="46">
        <f t="shared" si="140"/>
        <v>5500</v>
      </c>
      <c r="AW170" s="46">
        <f t="shared" si="140"/>
        <v>5500</v>
      </c>
      <c r="AX170" s="46">
        <f t="shared" si="140"/>
        <v>5500</v>
      </c>
      <c r="AY170" s="46">
        <f t="shared" si="140"/>
        <v>5500</v>
      </c>
      <c r="AZ170" s="46">
        <f t="shared" si="140"/>
        <v>5500</v>
      </c>
      <c r="BA170" s="46">
        <f t="shared" si="140"/>
        <v>5500</v>
      </c>
      <c r="BB170" s="46">
        <f t="shared" si="140"/>
        <v>5500</v>
      </c>
      <c r="BC170" s="46">
        <f t="shared" si="140"/>
        <v>5500</v>
      </c>
      <c r="BD170" s="46">
        <f t="shared" si="140"/>
        <v>5500</v>
      </c>
      <c r="BE170" s="46">
        <f t="shared" si="140"/>
        <v>5500</v>
      </c>
      <c r="BF170" s="46">
        <f t="shared" si="140"/>
        <v>5500</v>
      </c>
      <c r="BG170" s="46">
        <f t="shared" si="140"/>
        <v>5500</v>
      </c>
      <c r="BH170" s="46">
        <f t="shared" si="140"/>
        <v>5500</v>
      </c>
    </row>
    <row r="171" spans="1:60" s="58" customFormat="1" ht="14.25" customHeight="1" x14ac:dyDescent="0.3">
      <c r="A171" s="46"/>
      <c r="B171" s="37"/>
      <c r="C171" s="46" t="s">
        <v>136</v>
      </c>
      <c r="D171" s="56">
        <f>D170+1</f>
        <v>2</v>
      </c>
      <c r="E171" s="53">
        <v>5000</v>
      </c>
      <c r="F171" s="66">
        <v>45961</v>
      </c>
      <c r="G171" s="46" t="s">
        <v>308</v>
      </c>
      <c r="H171" s="46"/>
      <c r="I171" s="46"/>
      <c r="J171" s="46">
        <f t="shared" si="139"/>
        <v>0</v>
      </c>
      <c r="K171" s="46">
        <f t="shared" si="139"/>
        <v>0</v>
      </c>
      <c r="L171" s="46"/>
      <c r="M171" s="46"/>
      <c r="N171" s="46"/>
      <c r="O171" s="46"/>
      <c r="P171" s="46"/>
      <c r="Q171" s="46"/>
      <c r="R171" s="46"/>
      <c r="S171" s="46"/>
      <c r="T171" s="46">
        <f t="shared" si="140"/>
        <v>0</v>
      </c>
      <c r="U171" s="46">
        <f t="shared" si="140"/>
        <v>0</v>
      </c>
      <c r="V171" s="46">
        <f t="shared" si="140"/>
        <v>5000</v>
      </c>
      <c r="W171" s="46">
        <f t="shared" si="140"/>
        <v>5000</v>
      </c>
      <c r="X171" s="46">
        <f t="shared" si="140"/>
        <v>5000</v>
      </c>
      <c r="Y171" s="46">
        <f t="shared" si="140"/>
        <v>5000</v>
      </c>
      <c r="Z171" s="46">
        <f t="shared" si="140"/>
        <v>5000</v>
      </c>
      <c r="AA171" s="46">
        <f t="shared" si="140"/>
        <v>5000</v>
      </c>
      <c r="AB171" s="46">
        <f t="shared" si="140"/>
        <v>5000</v>
      </c>
      <c r="AC171" s="46">
        <f t="shared" si="140"/>
        <v>5000</v>
      </c>
      <c r="AD171" s="46">
        <f t="shared" si="140"/>
        <v>5000</v>
      </c>
      <c r="AE171" s="46">
        <f t="shared" si="140"/>
        <v>5000</v>
      </c>
      <c r="AF171" s="46">
        <f t="shared" si="140"/>
        <v>5000</v>
      </c>
      <c r="AG171" s="46">
        <f t="shared" si="140"/>
        <v>5000</v>
      </c>
      <c r="AH171" s="46">
        <f t="shared" si="140"/>
        <v>5000</v>
      </c>
      <c r="AI171" s="46">
        <f t="shared" si="140"/>
        <v>5000</v>
      </c>
      <c r="AJ171" s="46">
        <f t="shared" si="140"/>
        <v>5000</v>
      </c>
      <c r="AK171" s="46">
        <f t="shared" si="140"/>
        <v>5000</v>
      </c>
      <c r="AL171" s="46">
        <f t="shared" si="140"/>
        <v>5000</v>
      </c>
      <c r="AM171" s="46">
        <f t="shared" si="140"/>
        <v>5000</v>
      </c>
      <c r="AN171" s="46">
        <f t="shared" si="140"/>
        <v>5000</v>
      </c>
      <c r="AO171" s="46">
        <f t="shared" si="140"/>
        <v>5000</v>
      </c>
      <c r="AP171" s="46">
        <f t="shared" si="140"/>
        <v>5000</v>
      </c>
      <c r="AQ171" s="46">
        <f t="shared" si="140"/>
        <v>5000</v>
      </c>
      <c r="AR171" s="46">
        <f t="shared" si="140"/>
        <v>5000</v>
      </c>
      <c r="AS171" s="46">
        <f t="shared" si="140"/>
        <v>5000</v>
      </c>
      <c r="AT171" s="46">
        <f t="shared" si="140"/>
        <v>5000</v>
      </c>
      <c r="AU171" s="46">
        <f t="shared" si="140"/>
        <v>5000</v>
      </c>
      <c r="AV171" s="46">
        <f t="shared" si="140"/>
        <v>5000</v>
      </c>
      <c r="AW171" s="46">
        <f t="shared" si="140"/>
        <v>5000</v>
      </c>
      <c r="AX171" s="46">
        <f t="shared" si="140"/>
        <v>5000</v>
      </c>
      <c r="AY171" s="46">
        <f t="shared" si="140"/>
        <v>5000</v>
      </c>
      <c r="AZ171" s="46">
        <f t="shared" si="140"/>
        <v>5000</v>
      </c>
      <c r="BA171" s="46">
        <f t="shared" si="140"/>
        <v>5000</v>
      </c>
      <c r="BB171" s="46">
        <f t="shared" si="140"/>
        <v>5000</v>
      </c>
      <c r="BC171" s="46">
        <f t="shared" si="140"/>
        <v>5000</v>
      </c>
      <c r="BD171" s="46">
        <f t="shared" si="140"/>
        <v>5000</v>
      </c>
      <c r="BE171" s="46">
        <f t="shared" si="140"/>
        <v>5000</v>
      </c>
      <c r="BF171" s="46">
        <f t="shared" si="140"/>
        <v>5000</v>
      </c>
      <c r="BG171" s="46">
        <f t="shared" si="140"/>
        <v>5000</v>
      </c>
      <c r="BH171" s="46">
        <f t="shared" si="140"/>
        <v>5000</v>
      </c>
    </row>
    <row r="172" spans="1:60" ht="14.25" customHeight="1" x14ac:dyDescent="0.3">
      <c r="A172" s="46"/>
      <c r="B172" s="37"/>
      <c r="C172" s="46" t="s">
        <v>137</v>
      </c>
      <c r="D172" s="46">
        <f>1+D171</f>
        <v>3</v>
      </c>
      <c r="E172" s="53">
        <v>2300</v>
      </c>
      <c r="F172" s="66">
        <v>45900</v>
      </c>
      <c r="G172" s="46" t="s">
        <v>309</v>
      </c>
      <c r="H172" s="46"/>
      <c r="I172" s="46"/>
      <c r="J172" s="46">
        <f t="shared" si="139"/>
        <v>0</v>
      </c>
      <c r="K172" s="46">
        <f t="shared" si="139"/>
        <v>0</v>
      </c>
      <c r="L172" s="46"/>
      <c r="M172" s="46"/>
      <c r="N172" s="46"/>
      <c r="O172" s="46"/>
      <c r="P172" s="46"/>
      <c r="Q172" s="46"/>
      <c r="R172" s="46"/>
      <c r="S172" s="46">
        <v>1800</v>
      </c>
      <c r="T172" s="46">
        <f t="shared" si="140"/>
        <v>2300</v>
      </c>
      <c r="U172" s="46">
        <f t="shared" si="140"/>
        <v>2300</v>
      </c>
      <c r="V172" s="46">
        <f t="shared" si="140"/>
        <v>2300</v>
      </c>
      <c r="W172" s="46">
        <f t="shared" si="140"/>
        <v>2300</v>
      </c>
      <c r="X172" s="46">
        <f t="shared" si="140"/>
        <v>2300</v>
      </c>
      <c r="Y172" s="46">
        <f t="shared" si="140"/>
        <v>2300</v>
      </c>
      <c r="Z172" s="46">
        <f t="shared" si="140"/>
        <v>2300</v>
      </c>
      <c r="AA172" s="46">
        <f t="shared" si="140"/>
        <v>2300</v>
      </c>
      <c r="AB172" s="46">
        <f t="shared" si="140"/>
        <v>2300</v>
      </c>
      <c r="AC172" s="46">
        <f t="shared" si="140"/>
        <v>2300</v>
      </c>
      <c r="AD172" s="46">
        <f t="shared" si="140"/>
        <v>2300</v>
      </c>
      <c r="AE172" s="46">
        <f t="shared" si="140"/>
        <v>2300</v>
      </c>
      <c r="AF172" s="46">
        <f t="shared" si="140"/>
        <v>2300</v>
      </c>
      <c r="AG172" s="46">
        <f t="shared" si="140"/>
        <v>2300</v>
      </c>
      <c r="AH172" s="46">
        <f t="shared" si="140"/>
        <v>2300</v>
      </c>
      <c r="AI172" s="46">
        <f t="shared" si="140"/>
        <v>2300</v>
      </c>
      <c r="AJ172" s="46">
        <f t="shared" si="140"/>
        <v>2300</v>
      </c>
      <c r="AK172" s="46">
        <f t="shared" si="140"/>
        <v>2300</v>
      </c>
      <c r="AL172" s="46">
        <f t="shared" si="140"/>
        <v>2300</v>
      </c>
      <c r="AM172" s="46">
        <f t="shared" si="140"/>
        <v>2300</v>
      </c>
      <c r="AN172" s="46">
        <f t="shared" si="140"/>
        <v>2300</v>
      </c>
      <c r="AO172" s="46">
        <f t="shared" si="140"/>
        <v>2300</v>
      </c>
      <c r="AP172" s="46">
        <f t="shared" si="140"/>
        <v>2300</v>
      </c>
      <c r="AQ172" s="46">
        <f t="shared" si="140"/>
        <v>2300</v>
      </c>
      <c r="AR172" s="46">
        <f t="shared" si="140"/>
        <v>2300</v>
      </c>
      <c r="AS172" s="46">
        <f t="shared" si="140"/>
        <v>2300</v>
      </c>
      <c r="AT172" s="46">
        <f t="shared" si="140"/>
        <v>2300</v>
      </c>
      <c r="AU172" s="46">
        <f t="shared" si="140"/>
        <v>2300</v>
      </c>
      <c r="AV172" s="46">
        <f t="shared" si="140"/>
        <v>2300</v>
      </c>
      <c r="AW172" s="46">
        <f t="shared" si="140"/>
        <v>2300</v>
      </c>
      <c r="AX172" s="46">
        <f t="shared" si="140"/>
        <v>2300</v>
      </c>
      <c r="AY172" s="46">
        <f t="shared" si="140"/>
        <v>2300</v>
      </c>
      <c r="AZ172" s="46">
        <f t="shared" si="140"/>
        <v>2300</v>
      </c>
      <c r="BA172" s="46">
        <f t="shared" si="140"/>
        <v>2300</v>
      </c>
      <c r="BB172" s="46">
        <f t="shared" si="140"/>
        <v>2300</v>
      </c>
      <c r="BC172" s="46">
        <f t="shared" si="140"/>
        <v>2300</v>
      </c>
      <c r="BD172" s="46">
        <f t="shared" si="140"/>
        <v>2300</v>
      </c>
      <c r="BE172" s="46">
        <f t="shared" si="140"/>
        <v>2300</v>
      </c>
      <c r="BF172" s="46">
        <f t="shared" si="140"/>
        <v>2300</v>
      </c>
      <c r="BG172" s="46">
        <f t="shared" si="140"/>
        <v>2300</v>
      </c>
      <c r="BH172" s="46">
        <f t="shared" si="140"/>
        <v>2300</v>
      </c>
    </row>
    <row r="173" spans="1:60" ht="14.25" customHeight="1" x14ac:dyDescent="0.3">
      <c r="A173" s="46"/>
      <c r="B173" s="37"/>
      <c r="C173" s="46" t="s">
        <v>138</v>
      </c>
      <c r="D173" s="46">
        <f>1+D172</f>
        <v>4</v>
      </c>
      <c r="E173" s="53">
        <v>4000</v>
      </c>
      <c r="F173" s="66">
        <v>45930</v>
      </c>
      <c r="G173" s="46" t="s">
        <v>310</v>
      </c>
      <c r="H173" s="46"/>
      <c r="I173" s="46"/>
      <c r="J173" s="46">
        <f t="shared" si="139"/>
        <v>0</v>
      </c>
      <c r="K173" s="46">
        <f t="shared" si="139"/>
        <v>0</v>
      </c>
      <c r="L173" s="46"/>
      <c r="M173" s="46"/>
      <c r="N173" s="46"/>
      <c r="O173" s="46"/>
      <c r="P173" s="46"/>
      <c r="Q173" s="46"/>
      <c r="R173" s="46"/>
      <c r="S173" s="46"/>
      <c r="T173" s="46">
        <f t="shared" si="140"/>
        <v>0</v>
      </c>
      <c r="U173" s="46">
        <f t="shared" si="140"/>
        <v>4000</v>
      </c>
      <c r="V173" s="46">
        <f t="shared" si="140"/>
        <v>4000</v>
      </c>
      <c r="W173" s="46">
        <f t="shared" si="140"/>
        <v>4000</v>
      </c>
      <c r="X173" s="46">
        <f t="shared" si="140"/>
        <v>4000</v>
      </c>
      <c r="Y173" s="46">
        <f t="shared" si="140"/>
        <v>4000</v>
      </c>
      <c r="Z173" s="46">
        <f t="shared" si="140"/>
        <v>4000</v>
      </c>
      <c r="AA173" s="46">
        <f t="shared" si="140"/>
        <v>4000</v>
      </c>
      <c r="AB173" s="46">
        <f t="shared" si="140"/>
        <v>4000</v>
      </c>
      <c r="AC173" s="46">
        <f t="shared" si="140"/>
        <v>4000</v>
      </c>
      <c r="AD173" s="46">
        <f t="shared" si="140"/>
        <v>4000</v>
      </c>
      <c r="AE173" s="46">
        <f t="shared" si="140"/>
        <v>4000</v>
      </c>
      <c r="AF173" s="46">
        <f t="shared" si="140"/>
        <v>4000</v>
      </c>
      <c r="AG173" s="46">
        <f t="shared" si="140"/>
        <v>4000</v>
      </c>
      <c r="AH173" s="46">
        <f t="shared" si="140"/>
        <v>4000</v>
      </c>
      <c r="AI173" s="46">
        <f t="shared" si="140"/>
        <v>4000</v>
      </c>
      <c r="AJ173" s="46">
        <f t="shared" si="140"/>
        <v>4000</v>
      </c>
      <c r="AK173" s="46">
        <f t="shared" si="140"/>
        <v>4000</v>
      </c>
      <c r="AL173" s="46">
        <f t="shared" si="140"/>
        <v>4000</v>
      </c>
      <c r="AM173" s="46">
        <f t="shared" si="140"/>
        <v>4000</v>
      </c>
      <c r="AN173" s="46">
        <f t="shared" si="140"/>
        <v>4000</v>
      </c>
      <c r="AO173" s="46">
        <f t="shared" si="140"/>
        <v>4000</v>
      </c>
      <c r="AP173" s="46">
        <f t="shared" si="140"/>
        <v>4000</v>
      </c>
      <c r="AQ173" s="46">
        <f t="shared" si="140"/>
        <v>4000</v>
      </c>
      <c r="AR173" s="46">
        <f t="shared" si="140"/>
        <v>4000</v>
      </c>
      <c r="AS173" s="46">
        <f t="shared" si="140"/>
        <v>4000</v>
      </c>
      <c r="AT173" s="46">
        <f t="shared" si="140"/>
        <v>4000</v>
      </c>
      <c r="AU173" s="46">
        <f t="shared" si="140"/>
        <v>4000</v>
      </c>
      <c r="AV173" s="46">
        <f t="shared" si="140"/>
        <v>4000</v>
      </c>
      <c r="AW173" s="46">
        <f t="shared" si="140"/>
        <v>4000</v>
      </c>
      <c r="AX173" s="46">
        <f t="shared" si="140"/>
        <v>4000</v>
      </c>
      <c r="AY173" s="46">
        <f t="shared" si="140"/>
        <v>4000</v>
      </c>
      <c r="AZ173" s="46">
        <f t="shared" si="140"/>
        <v>4000</v>
      </c>
      <c r="BA173" s="46">
        <f t="shared" si="140"/>
        <v>4000</v>
      </c>
      <c r="BB173" s="46">
        <f t="shared" si="140"/>
        <v>4000</v>
      </c>
      <c r="BC173" s="46">
        <f t="shared" si="140"/>
        <v>4000</v>
      </c>
      <c r="BD173" s="46">
        <f t="shared" si="140"/>
        <v>4000</v>
      </c>
      <c r="BE173" s="46">
        <f t="shared" si="140"/>
        <v>4000</v>
      </c>
      <c r="BF173" s="46">
        <f t="shared" si="140"/>
        <v>4000</v>
      </c>
      <c r="BG173" s="46">
        <f t="shared" si="140"/>
        <v>4000</v>
      </c>
      <c r="BH173" s="46">
        <f t="shared" si="140"/>
        <v>4000</v>
      </c>
    </row>
    <row r="174" spans="1:60" ht="14.25" customHeight="1" x14ac:dyDescent="0.3">
      <c r="A174" s="46"/>
      <c r="B174" s="37"/>
      <c r="C174" s="46" t="s">
        <v>215</v>
      </c>
      <c r="D174" s="46">
        <f>1+D173</f>
        <v>5</v>
      </c>
      <c r="E174" s="53">
        <v>4000</v>
      </c>
      <c r="F174" s="66">
        <v>46022</v>
      </c>
      <c r="G174" s="46" t="s">
        <v>310</v>
      </c>
      <c r="H174" s="46"/>
      <c r="I174" s="46"/>
      <c r="J174" s="46">
        <f t="shared" si="139"/>
        <v>0</v>
      </c>
      <c r="K174" s="46">
        <f t="shared" si="139"/>
        <v>0</v>
      </c>
      <c r="L174" s="46"/>
      <c r="M174" s="46"/>
      <c r="N174" s="46"/>
      <c r="O174" s="46"/>
      <c r="P174" s="46"/>
      <c r="Q174" s="46"/>
      <c r="R174" s="46"/>
      <c r="S174" s="46"/>
      <c r="T174" s="46">
        <f t="shared" si="140"/>
        <v>0</v>
      </c>
      <c r="U174" s="46">
        <f t="shared" si="140"/>
        <v>0</v>
      </c>
      <c r="V174" s="46">
        <f t="shared" si="140"/>
        <v>0</v>
      </c>
      <c r="W174" s="46">
        <f t="shared" si="140"/>
        <v>0</v>
      </c>
      <c r="X174" s="46">
        <f t="shared" si="140"/>
        <v>4000</v>
      </c>
      <c r="Y174" s="46">
        <f t="shared" si="140"/>
        <v>4000</v>
      </c>
      <c r="Z174" s="46">
        <f t="shared" si="140"/>
        <v>4000</v>
      </c>
      <c r="AA174" s="46">
        <f t="shared" si="140"/>
        <v>4000</v>
      </c>
      <c r="AB174" s="46">
        <f t="shared" si="140"/>
        <v>4000</v>
      </c>
      <c r="AC174" s="46">
        <f t="shared" si="140"/>
        <v>4000</v>
      </c>
      <c r="AD174" s="46">
        <f t="shared" si="140"/>
        <v>4000</v>
      </c>
      <c r="AE174" s="46">
        <f t="shared" si="140"/>
        <v>4000</v>
      </c>
      <c r="AF174" s="46">
        <f t="shared" si="140"/>
        <v>4000</v>
      </c>
      <c r="AG174" s="46">
        <f t="shared" si="140"/>
        <v>4000</v>
      </c>
      <c r="AH174" s="46">
        <f t="shared" si="140"/>
        <v>4000</v>
      </c>
      <c r="AI174" s="46">
        <f t="shared" si="140"/>
        <v>4000</v>
      </c>
      <c r="AJ174" s="46">
        <f t="shared" si="140"/>
        <v>4000</v>
      </c>
      <c r="AK174" s="46">
        <f t="shared" si="140"/>
        <v>4000</v>
      </c>
      <c r="AL174" s="46">
        <f t="shared" si="140"/>
        <v>4000</v>
      </c>
      <c r="AM174" s="46">
        <f t="shared" si="140"/>
        <v>4000</v>
      </c>
      <c r="AN174" s="46">
        <f t="shared" si="140"/>
        <v>4000</v>
      </c>
      <c r="AO174" s="46">
        <f t="shared" si="140"/>
        <v>4000</v>
      </c>
      <c r="AP174" s="46">
        <f t="shared" si="140"/>
        <v>4000</v>
      </c>
      <c r="AQ174" s="46">
        <f t="shared" si="140"/>
        <v>4000</v>
      </c>
      <c r="AR174" s="46">
        <f t="shared" si="140"/>
        <v>4000</v>
      </c>
      <c r="AS174" s="46">
        <f t="shared" si="140"/>
        <v>4000</v>
      </c>
      <c r="AT174" s="46">
        <f t="shared" si="140"/>
        <v>4000</v>
      </c>
      <c r="AU174" s="46">
        <f t="shared" si="140"/>
        <v>4000</v>
      </c>
      <c r="AV174" s="46">
        <f t="shared" si="140"/>
        <v>4000</v>
      </c>
      <c r="AW174" s="46">
        <f t="shared" si="140"/>
        <v>4000</v>
      </c>
      <c r="AX174" s="46">
        <f t="shared" si="140"/>
        <v>4000</v>
      </c>
      <c r="AY174" s="46">
        <f t="shared" si="140"/>
        <v>4000</v>
      </c>
      <c r="AZ174" s="46">
        <f t="shared" si="140"/>
        <v>4000</v>
      </c>
      <c r="BA174" s="46">
        <f t="shared" si="140"/>
        <v>4000</v>
      </c>
      <c r="BB174" s="46">
        <f t="shared" si="140"/>
        <v>4000</v>
      </c>
      <c r="BC174" s="46">
        <f t="shared" si="140"/>
        <v>4000</v>
      </c>
      <c r="BD174" s="46">
        <f t="shared" si="140"/>
        <v>4000</v>
      </c>
      <c r="BE174" s="46">
        <f t="shared" si="140"/>
        <v>4000</v>
      </c>
      <c r="BF174" s="46">
        <f t="shared" si="140"/>
        <v>4000</v>
      </c>
      <c r="BG174" s="46">
        <f t="shared" si="140"/>
        <v>4000</v>
      </c>
      <c r="BH174" s="46">
        <f t="shared" si="140"/>
        <v>4000</v>
      </c>
    </row>
    <row r="175" spans="1:60" ht="14.25" customHeight="1" x14ac:dyDescent="0.3">
      <c r="A175" s="46"/>
      <c r="B175" s="37"/>
      <c r="C175" s="46" t="s">
        <v>139</v>
      </c>
      <c r="D175" s="46"/>
      <c r="E175" s="46"/>
      <c r="F175" s="46"/>
      <c r="G175" s="46"/>
      <c r="H175" s="46"/>
      <c r="I175" s="46"/>
      <c r="J175" s="51">
        <f t="shared" ref="J175:AZ175" si="141">SUM(J170:J174)</f>
        <v>0</v>
      </c>
      <c r="K175" s="51">
        <f t="shared" si="141"/>
        <v>0</v>
      </c>
      <c r="L175" s="51">
        <f t="shared" si="141"/>
        <v>0</v>
      </c>
      <c r="M175" s="51">
        <f t="shared" si="141"/>
        <v>1912</v>
      </c>
      <c r="N175" s="51">
        <f t="shared" si="141"/>
        <v>2297</v>
      </c>
      <c r="O175" s="51">
        <f t="shared" si="141"/>
        <v>3240</v>
      </c>
      <c r="P175" s="51">
        <f t="shared" si="141"/>
        <v>2600</v>
      </c>
      <c r="Q175" s="51">
        <f t="shared" si="141"/>
        <v>2550</v>
      </c>
      <c r="R175" s="51">
        <f t="shared" si="141"/>
        <v>5300</v>
      </c>
      <c r="S175" s="51">
        <f t="shared" si="141"/>
        <v>7100</v>
      </c>
      <c r="T175" s="51">
        <f t="shared" si="141"/>
        <v>7800</v>
      </c>
      <c r="U175" s="51">
        <f t="shared" si="141"/>
        <v>11800</v>
      </c>
      <c r="V175" s="51">
        <f t="shared" si="141"/>
        <v>16800</v>
      </c>
      <c r="W175" s="51">
        <f t="shared" si="141"/>
        <v>16800</v>
      </c>
      <c r="X175" s="51">
        <f t="shared" si="141"/>
        <v>20800</v>
      </c>
      <c r="Y175" s="51">
        <f t="shared" si="141"/>
        <v>20800</v>
      </c>
      <c r="Z175" s="51">
        <f t="shared" si="141"/>
        <v>20800</v>
      </c>
      <c r="AA175" s="51">
        <f t="shared" si="141"/>
        <v>20800</v>
      </c>
      <c r="AB175" s="51">
        <f t="shared" si="141"/>
        <v>20800</v>
      </c>
      <c r="AC175" s="51">
        <f t="shared" si="141"/>
        <v>20800</v>
      </c>
      <c r="AD175" s="51">
        <f t="shared" si="141"/>
        <v>20800</v>
      </c>
      <c r="AE175" s="51">
        <f t="shared" si="141"/>
        <v>20800</v>
      </c>
      <c r="AF175" s="51">
        <f t="shared" si="141"/>
        <v>20800</v>
      </c>
      <c r="AG175" s="51">
        <f t="shared" si="141"/>
        <v>20800</v>
      </c>
      <c r="AH175" s="51">
        <f t="shared" si="141"/>
        <v>20800</v>
      </c>
      <c r="AI175" s="51">
        <f t="shared" si="141"/>
        <v>20800</v>
      </c>
      <c r="AJ175" s="51">
        <f t="shared" si="141"/>
        <v>20800</v>
      </c>
      <c r="AK175" s="51">
        <f t="shared" si="141"/>
        <v>20800</v>
      </c>
      <c r="AL175" s="51">
        <f t="shared" si="141"/>
        <v>20800</v>
      </c>
      <c r="AM175" s="51">
        <f t="shared" si="141"/>
        <v>20800</v>
      </c>
      <c r="AN175" s="51">
        <f t="shared" si="141"/>
        <v>20800</v>
      </c>
      <c r="AO175" s="51">
        <f t="shared" si="141"/>
        <v>20800</v>
      </c>
      <c r="AP175" s="51">
        <f t="shared" si="141"/>
        <v>20800</v>
      </c>
      <c r="AQ175" s="51">
        <f t="shared" si="141"/>
        <v>20800</v>
      </c>
      <c r="AR175" s="51">
        <f t="shared" si="141"/>
        <v>20800</v>
      </c>
      <c r="AS175" s="51">
        <f t="shared" si="141"/>
        <v>20800</v>
      </c>
      <c r="AT175" s="51">
        <f t="shared" si="141"/>
        <v>20800</v>
      </c>
      <c r="AU175" s="51">
        <f t="shared" si="141"/>
        <v>20800</v>
      </c>
      <c r="AV175" s="51">
        <f t="shared" si="141"/>
        <v>20800</v>
      </c>
      <c r="AW175" s="51">
        <f t="shared" si="141"/>
        <v>20800</v>
      </c>
      <c r="AX175" s="51">
        <f t="shared" si="141"/>
        <v>20800</v>
      </c>
      <c r="AY175" s="51">
        <f t="shared" si="141"/>
        <v>20800</v>
      </c>
      <c r="AZ175" s="51">
        <f t="shared" si="141"/>
        <v>20800</v>
      </c>
      <c r="BA175" s="51">
        <f t="shared" ref="BA175:BH175" si="142">SUM(BA170:BA174)</f>
        <v>20800</v>
      </c>
      <c r="BB175" s="51">
        <f t="shared" si="142"/>
        <v>20800</v>
      </c>
      <c r="BC175" s="51">
        <f t="shared" si="142"/>
        <v>20800</v>
      </c>
      <c r="BD175" s="51">
        <f t="shared" si="142"/>
        <v>20800</v>
      </c>
      <c r="BE175" s="51">
        <f t="shared" si="142"/>
        <v>20800</v>
      </c>
      <c r="BF175" s="51">
        <f t="shared" si="142"/>
        <v>20800</v>
      </c>
      <c r="BG175" s="51">
        <f t="shared" si="142"/>
        <v>20800</v>
      </c>
      <c r="BH175" s="51">
        <f t="shared" si="142"/>
        <v>20800</v>
      </c>
    </row>
    <row r="176" spans="1:60" ht="14.25" customHeight="1" x14ac:dyDescent="0.3">
      <c r="A176" s="46"/>
      <c r="B176" s="37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  <c r="AF176" s="46"/>
      <c r="AG176" s="46"/>
      <c r="AH176" s="46"/>
      <c r="AI176" s="46"/>
      <c r="AJ176" s="46"/>
      <c r="AK176" s="46"/>
      <c r="AL176" s="46"/>
      <c r="AM176" s="46"/>
      <c r="AN176" s="46"/>
      <c r="AO176" s="46"/>
      <c r="AP176" s="46"/>
      <c r="AQ176" s="46"/>
      <c r="AR176" s="46"/>
      <c r="AS176" s="46"/>
      <c r="AT176" s="46"/>
      <c r="AU176" s="46"/>
      <c r="AV176" s="46"/>
      <c r="AW176" s="46"/>
      <c r="AX176" s="46"/>
      <c r="AY176" s="46"/>
      <c r="AZ176" s="46"/>
      <c r="BA176" s="46"/>
      <c r="BB176" s="46"/>
      <c r="BC176" s="46"/>
      <c r="BD176" s="46"/>
      <c r="BE176" s="46"/>
      <c r="BF176" s="46"/>
      <c r="BG176" s="46"/>
      <c r="BH176" s="46"/>
    </row>
    <row r="177" spans="1:60" s="58" customFormat="1" ht="14.25" customHeight="1" x14ac:dyDescent="0.3">
      <c r="A177" s="46"/>
      <c r="B177" s="37"/>
      <c r="C177" s="37" t="s">
        <v>140</v>
      </c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6"/>
      <c r="AM177" s="46"/>
      <c r="AN177" s="46"/>
      <c r="AO177" s="46"/>
      <c r="AP177" s="46"/>
      <c r="AQ177" s="46"/>
      <c r="AR177" s="46"/>
      <c r="AS177" s="46"/>
      <c r="AT177" s="46"/>
      <c r="AU177" s="46"/>
      <c r="AV177" s="46"/>
      <c r="AW177" s="46"/>
      <c r="AX177" s="46"/>
      <c r="AY177" s="46"/>
      <c r="AZ177" s="46"/>
      <c r="BA177" s="46"/>
      <c r="BB177" s="46"/>
      <c r="BC177" s="46"/>
      <c r="BD177" s="46"/>
      <c r="BE177" s="46"/>
      <c r="BF177" s="46"/>
      <c r="BG177" s="46"/>
      <c r="BH177" s="46"/>
    </row>
    <row r="178" spans="1:60" s="58" customFormat="1" ht="14.25" customHeight="1" x14ac:dyDescent="0.3">
      <c r="A178" s="46"/>
      <c r="B178" s="37"/>
      <c r="C178" s="46" t="s">
        <v>142</v>
      </c>
      <c r="D178" s="53">
        <v>1</v>
      </c>
      <c r="E178" s="53">
        <v>12000</v>
      </c>
      <c r="F178" s="66">
        <v>45961</v>
      </c>
      <c r="G178" s="46" t="s">
        <v>311</v>
      </c>
      <c r="H178" s="46"/>
      <c r="I178" s="46"/>
      <c r="J178" s="46">
        <v>0</v>
      </c>
      <c r="K178" s="46">
        <v>0</v>
      </c>
      <c r="L178" s="46">
        <v>0</v>
      </c>
      <c r="M178" s="46">
        <v>0</v>
      </c>
      <c r="N178" s="46">
        <v>0</v>
      </c>
      <c r="O178" s="46">
        <v>0</v>
      </c>
      <c r="P178" s="46">
        <v>0</v>
      </c>
      <c r="Q178" s="46">
        <v>0</v>
      </c>
      <c r="R178" s="46">
        <v>0</v>
      </c>
      <c r="S178" s="46">
        <f>5000*0.5</f>
        <v>2500</v>
      </c>
      <c r="T178" s="46">
        <v>5000</v>
      </c>
      <c r="U178" s="46">
        <v>5000</v>
      </c>
      <c r="V178" s="46">
        <f t="shared" ref="V178:BH180" si="143">IF($F178&lt;=V$3,$E178,0)</f>
        <v>12000</v>
      </c>
      <c r="W178" s="46">
        <f t="shared" si="143"/>
        <v>12000</v>
      </c>
      <c r="X178" s="46">
        <f t="shared" si="143"/>
        <v>12000</v>
      </c>
      <c r="Y178" s="46">
        <f t="shared" si="143"/>
        <v>12000</v>
      </c>
      <c r="Z178" s="46">
        <f t="shared" si="143"/>
        <v>12000</v>
      </c>
      <c r="AA178" s="46">
        <f t="shared" si="143"/>
        <v>12000</v>
      </c>
      <c r="AB178" s="46">
        <f t="shared" si="143"/>
        <v>12000</v>
      </c>
      <c r="AC178" s="46">
        <f t="shared" si="143"/>
        <v>12000</v>
      </c>
      <c r="AD178" s="46">
        <f t="shared" si="143"/>
        <v>12000</v>
      </c>
      <c r="AE178" s="46">
        <f t="shared" si="143"/>
        <v>12000</v>
      </c>
      <c r="AF178" s="46">
        <f t="shared" si="143"/>
        <v>12000</v>
      </c>
      <c r="AG178" s="46">
        <f t="shared" si="143"/>
        <v>12000</v>
      </c>
      <c r="AH178" s="46">
        <f t="shared" si="143"/>
        <v>12000</v>
      </c>
      <c r="AI178" s="46">
        <f t="shared" si="143"/>
        <v>12000</v>
      </c>
      <c r="AJ178" s="46">
        <f t="shared" si="143"/>
        <v>12000</v>
      </c>
      <c r="AK178" s="46">
        <f t="shared" si="143"/>
        <v>12000</v>
      </c>
      <c r="AL178" s="46">
        <f t="shared" si="143"/>
        <v>12000</v>
      </c>
      <c r="AM178" s="46">
        <f t="shared" si="143"/>
        <v>12000</v>
      </c>
      <c r="AN178" s="46">
        <f t="shared" si="143"/>
        <v>12000</v>
      </c>
      <c r="AO178" s="46">
        <f t="shared" si="143"/>
        <v>12000</v>
      </c>
      <c r="AP178" s="46">
        <f t="shared" si="143"/>
        <v>12000</v>
      </c>
      <c r="AQ178" s="46">
        <f t="shared" si="143"/>
        <v>12000</v>
      </c>
      <c r="AR178" s="46">
        <f t="shared" si="143"/>
        <v>12000</v>
      </c>
      <c r="AS178" s="46">
        <f t="shared" si="143"/>
        <v>12000</v>
      </c>
      <c r="AT178" s="46">
        <f t="shared" si="143"/>
        <v>12000</v>
      </c>
      <c r="AU178" s="46">
        <f t="shared" si="143"/>
        <v>12000</v>
      </c>
      <c r="AV178" s="46">
        <f t="shared" si="143"/>
        <v>12000</v>
      </c>
      <c r="AW178" s="46">
        <f t="shared" si="143"/>
        <v>12000</v>
      </c>
      <c r="AX178" s="46">
        <f t="shared" si="143"/>
        <v>12000</v>
      </c>
      <c r="AY178" s="46">
        <f t="shared" si="143"/>
        <v>12000</v>
      </c>
      <c r="AZ178" s="46">
        <f t="shared" si="143"/>
        <v>12000</v>
      </c>
      <c r="BA178" s="46">
        <f t="shared" si="143"/>
        <v>12000</v>
      </c>
      <c r="BB178" s="46">
        <f t="shared" si="143"/>
        <v>12000</v>
      </c>
      <c r="BC178" s="46">
        <f t="shared" si="143"/>
        <v>12000</v>
      </c>
      <c r="BD178" s="46">
        <f t="shared" si="143"/>
        <v>12000</v>
      </c>
      <c r="BE178" s="46">
        <f t="shared" si="143"/>
        <v>12000</v>
      </c>
      <c r="BF178" s="46">
        <f t="shared" si="143"/>
        <v>12000</v>
      </c>
      <c r="BG178" s="46">
        <f t="shared" si="143"/>
        <v>12000</v>
      </c>
      <c r="BH178" s="46">
        <f t="shared" si="143"/>
        <v>12000</v>
      </c>
    </row>
    <row r="179" spans="1:60" s="58" customFormat="1" ht="14.25" customHeight="1" x14ac:dyDescent="0.3">
      <c r="A179" s="46"/>
      <c r="B179" s="37"/>
      <c r="C179" s="46" t="s">
        <v>143</v>
      </c>
      <c r="D179" s="56">
        <f>1+D178</f>
        <v>2</v>
      </c>
      <c r="E179" s="53">
        <v>10000</v>
      </c>
      <c r="F179" s="66">
        <v>46752</v>
      </c>
      <c r="G179" s="46"/>
      <c r="H179" s="46"/>
      <c r="I179" s="46"/>
      <c r="J179" s="46">
        <f t="shared" ref="J179:Y180" si="144">IF($F179&lt;=J$3,$E179,0)</f>
        <v>0</v>
      </c>
      <c r="K179" s="46">
        <f t="shared" si="144"/>
        <v>0</v>
      </c>
      <c r="L179" s="46">
        <f t="shared" si="144"/>
        <v>0</v>
      </c>
      <c r="M179" s="46">
        <f t="shared" si="144"/>
        <v>0</v>
      </c>
      <c r="N179" s="46">
        <f t="shared" si="144"/>
        <v>0</v>
      </c>
      <c r="O179" s="46">
        <f t="shared" si="144"/>
        <v>0</v>
      </c>
      <c r="P179" s="46">
        <f t="shared" si="144"/>
        <v>0</v>
      </c>
      <c r="Q179" s="46">
        <f t="shared" si="144"/>
        <v>0</v>
      </c>
      <c r="R179" s="46">
        <f t="shared" si="144"/>
        <v>0</v>
      </c>
      <c r="S179" s="46">
        <f t="shared" si="144"/>
        <v>0</v>
      </c>
      <c r="T179" s="46">
        <f t="shared" si="144"/>
        <v>0</v>
      </c>
      <c r="U179" s="46">
        <f t="shared" si="144"/>
        <v>0</v>
      </c>
      <c r="V179" s="46">
        <f t="shared" si="144"/>
        <v>0</v>
      </c>
      <c r="W179" s="46">
        <f t="shared" si="144"/>
        <v>0</v>
      </c>
      <c r="X179" s="46">
        <f t="shared" si="144"/>
        <v>0</v>
      </c>
      <c r="Y179" s="46">
        <f t="shared" si="144"/>
        <v>0</v>
      </c>
      <c r="Z179" s="46">
        <f t="shared" si="143"/>
        <v>0</v>
      </c>
      <c r="AA179" s="46">
        <f t="shared" si="143"/>
        <v>0</v>
      </c>
      <c r="AB179" s="46">
        <f t="shared" si="143"/>
        <v>0</v>
      </c>
      <c r="AC179" s="46">
        <f t="shared" si="143"/>
        <v>0</v>
      </c>
      <c r="AD179" s="46">
        <f t="shared" si="143"/>
        <v>0</v>
      </c>
      <c r="AE179" s="46">
        <f t="shared" si="143"/>
        <v>0</v>
      </c>
      <c r="AF179" s="46">
        <f t="shared" si="143"/>
        <v>0</v>
      </c>
      <c r="AG179" s="46">
        <f t="shared" si="143"/>
        <v>0</v>
      </c>
      <c r="AH179" s="46">
        <f t="shared" si="143"/>
        <v>0</v>
      </c>
      <c r="AI179" s="46">
        <f t="shared" si="143"/>
        <v>0</v>
      </c>
      <c r="AJ179" s="46">
        <f t="shared" si="143"/>
        <v>0</v>
      </c>
      <c r="AK179" s="46">
        <f t="shared" si="143"/>
        <v>0</v>
      </c>
      <c r="AL179" s="46">
        <f t="shared" si="143"/>
        <v>0</v>
      </c>
      <c r="AM179" s="46">
        <f t="shared" si="143"/>
        <v>0</v>
      </c>
      <c r="AN179" s="46">
        <f t="shared" si="143"/>
        <v>0</v>
      </c>
      <c r="AO179" s="46">
        <f t="shared" si="143"/>
        <v>0</v>
      </c>
      <c r="AP179" s="46">
        <f t="shared" si="143"/>
        <v>0</v>
      </c>
      <c r="AQ179" s="46">
        <f t="shared" si="143"/>
        <v>0</v>
      </c>
      <c r="AR179" s="46">
        <f t="shared" si="143"/>
        <v>0</v>
      </c>
      <c r="AS179" s="46">
        <f t="shared" si="143"/>
        <v>0</v>
      </c>
      <c r="AT179" s="46">
        <f t="shared" si="143"/>
        <v>0</v>
      </c>
      <c r="AU179" s="46">
        <f t="shared" si="143"/>
        <v>0</v>
      </c>
      <c r="AV179" s="46">
        <f t="shared" si="143"/>
        <v>10000</v>
      </c>
      <c r="AW179" s="46">
        <f t="shared" si="143"/>
        <v>10000</v>
      </c>
      <c r="AX179" s="46">
        <f t="shared" si="143"/>
        <v>10000</v>
      </c>
      <c r="AY179" s="46">
        <f t="shared" si="143"/>
        <v>10000</v>
      </c>
      <c r="AZ179" s="46">
        <f t="shared" si="143"/>
        <v>10000</v>
      </c>
      <c r="BA179" s="46">
        <f t="shared" si="143"/>
        <v>10000</v>
      </c>
      <c r="BB179" s="46">
        <f t="shared" si="143"/>
        <v>10000</v>
      </c>
      <c r="BC179" s="46">
        <f t="shared" si="143"/>
        <v>10000</v>
      </c>
      <c r="BD179" s="46">
        <f t="shared" si="143"/>
        <v>10000</v>
      </c>
      <c r="BE179" s="46">
        <f t="shared" si="143"/>
        <v>10000</v>
      </c>
      <c r="BF179" s="46">
        <f t="shared" si="143"/>
        <v>10000</v>
      </c>
      <c r="BG179" s="46">
        <f t="shared" si="143"/>
        <v>10000</v>
      </c>
      <c r="BH179" s="46">
        <f t="shared" si="143"/>
        <v>10000</v>
      </c>
    </row>
    <row r="180" spans="1:60" ht="14.25" customHeight="1" x14ac:dyDescent="0.3">
      <c r="A180" s="46"/>
      <c r="B180" s="37"/>
      <c r="C180" s="46" t="s">
        <v>312</v>
      </c>
      <c r="D180" s="46">
        <f>1+D179</f>
        <v>3</v>
      </c>
      <c r="E180" s="53">
        <v>10000</v>
      </c>
      <c r="F180" s="66">
        <v>47118</v>
      </c>
      <c r="G180" s="46"/>
      <c r="H180" s="46"/>
      <c r="I180" s="46"/>
      <c r="J180" s="46">
        <f t="shared" si="144"/>
        <v>0</v>
      </c>
      <c r="K180" s="46">
        <f t="shared" si="144"/>
        <v>0</v>
      </c>
      <c r="L180" s="46">
        <f t="shared" si="144"/>
        <v>0</v>
      </c>
      <c r="M180" s="46">
        <f t="shared" si="144"/>
        <v>0</v>
      </c>
      <c r="N180" s="46">
        <f t="shared" si="144"/>
        <v>0</v>
      </c>
      <c r="O180" s="46">
        <f t="shared" si="144"/>
        <v>0</v>
      </c>
      <c r="P180" s="46">
        <f t="shared" si="144"/>
        <v>0</v>
      </c>
      <c r="Q180" s="46">
        <f t="shared" si="144"/>
        <v>0</v>
      </c>
      <c r="R180" s="46">
        <f t="shared" si="144"/>
        <v>0</v>
      </c>
      <c r="S180" s="46">
        <f t="shared" si="144"/>
        <v>0</v>
      </c>
      <c r="T180" s="46">
        <f t="shared" si="144"/>
        <v>0</v>
      </c>
      <c r="U180" s="46">
        <f t="shared" si="144"/>
        <v>0</v>
      </c>
      <c r="V180" s="46">
        <f t="shared" si="144"/>
        <v>0</v>
      </c>
      <c r="W180" s="46">
        <f t="shared" si="144"/>
        <v>0</v>
      </c>
      <c r="X180" s="46">
        <f t="shared" si="144"/>
        <v>0</v>
      </c>
      <c r="Y180" s="46">
        <f t="shared" si="144"/>
        <v>0</v>
      </c>
      <c r="Z180" s="46">
        <f t="shared" si="143"/>
        <v>0</v>
      </c>
      <c r="AA180" s="46">
        <f t="shared" si="143"/>
        <v>0</v>
      </c>
      <c r="AB180" s="46">
        <f t="shared" si="143"/>
        <v>0</v>
      </c>
      <c r="AC180" s="46">
        <f t="shared" si="143"/>
        <v>0</v>
      </c>
      <c r="AD180" s="46">
        <f t="shared" si="143"/>
        <v>0</v>
      </c>
      <c r="AE180" s="46">
        <f t="shared" si="143"/>
        <v>0</v>
      </c>
      <c r="AF180" s="46">
        <f t="shared" si="143"/>
        <v>0</v>
      </c>
      <c r="AG180" s="46">
        <f t="shared" si="143"/>
        <v>0</v>
      </c>
      <c r="AH180" s="46">
        <f t="shared" si="143"/>
        <v>0</v>
      </c>
      <c r="AI180" s="46">
        <f t="shared" si="143"/>
        <v>0</v>
      </c>
      <c r="AJ180" s="46">
        <f t="shared" si="143"/>
        <v>0</v>
      </c>
      <c r="AK180" s="46">
        <f t="shared" si="143"/>
        <v>0</v>
      </c>
      <c r="AL180" s="46">
        <f t="shared" si="143"/>
        <v>0</v>
      </c>
      <c r="AM180" s="46">
        <f t="shared" si="143"/>
        <v>0</v>
      </c>
      <c r="AN180" s="46">
        <f t="shared" si="143"/>
        <v>0</v>
      </c>
      <c r="AO180" s="46">
        <f t="shared" si="143"/>
        <v>0</v>
      </c>
      <c r="AP180" s="46">
        <f t="shared" si="143"/>
        <v>0</v>
      </c>
      <c r="AQ180" s="46">
        <f t="shared" si="143"/>
        <v>0</v>
      </c>
      <c r="AR180" s="46">
        <f t="shared" si="143"/>
        <v>0</v>
      </c>
      <c r="AS180" s="46">
        <f t="shared" si="143"/>
        <v>0</v>
      </c>
      <c r="AT180" s="46">
        <f t="shared" si="143"/>
        <v>0</v>
      </c>
      <c r="AU180" s="46">
        <f t="shared" si="143"/>
        <v>0</v>
      </c>
      <c r="AV180" s="46">
        <f t="shared" si="143"/>
        <v>0</v>
      </c>
      <c r="AW180" s="46">
        <f t="shared" si="143"/>
        <v>0</v>
      </c>
      <c r="AX180" s="46">
        <f t="shared" si="143"/>
        <v>0</v>
      </c>
      <c r="AY180" s="46">
        <f t="shared" si="143"/>
        <v>0</v>
      </c>
      <c r="AZ180" s="46">
        <f t="shared" si="143"/>
        <v>0</v>
      </c>
      <c r="BA180" s="46">
        <f t="shared" si="143"/>
        <v>0</v>
      </c>
      <c r="BB180" s="46">
        <f t="shared" si="143"/>
        <v>0</v>
      </c>
      <c r="BC180" s="46">
        <f t="shared" si="143"/>
        <v>0</v>
      </c>
      <c r="BD180" s="46">
        <f t="shared" si="143"/>
        <v>0</v>
      </c>
      <c r="BE180" s="46">
        <f t="shared" si="143"/>
        <v>0</v>
      </c>
      <c r="BF180" s="46">
        <f t="shared" si="143"/>
        <v>0</v>
      </c>
      <c r="BG180" s="46">
        <f t="shared" si="143"/>
        <v>0</v>
      </c>
      <c r="BH180" s="46">
        <f t="shared" si="143"/>
        <v>10000</v>
      </c>
    </row>
    <row r="181" spans="1:60" ht="14.25" customHeight="1" x14ac:dyDescent="0.3">
      <c r="A181" s="46"/>
      <c r="B181" s="37"/>
      <c r="C181" s="46" t="s">
        <v>144</v>
      </c>
      <c r="D181" s="46"/>
      <c r="E181" s="46"/>
      <c r="F181" s="46"/>
      <c r="G181" s="46"/>
      <c r="H181" s="46"/>
      <c r="I181" s="46"/>
      <c r="J181" s="51">
        <f t="shared" ref="J181:AZ181" si="145">SUM(J178:J180)</f>
        <v>0</v>
      </c>
      <c r="K181" s="51">
        <f t="shared" si="145"/>
        <v>0</v>
      </c>
      <c r="L181" s="51">
        <f t="shared" si="145"/>
        <v>0</v>
      </c>
      <c r="M181" s="51">
        <f t="shared" si="145"/>
        <v>0</v>
      </c>
      <c r="N181" s="51">
        <f t="shared" si="145"/>
        <v>0</v>
      </c>
      <c r="O181" s="51">
        <f t="shared" si="145"/>
        <v>0</v>
      </c>
      <c r="P181" s="51">
        <f t="shared" si="145"/>
        <v>0</v>
      </c>
      <c r="Q181" s="51">
        <f t="shared" si="145"/>
        <v>0</v>
      </c>
      <c r="R181" s="51">
        <f t="shared" si="145"/>
        <v>0</v>
      </c>
      <c r="S181" s="51">
        <f t="shared" si="145"/>
        <v>2500</v>
      </c>
      <c r="T181" s="51">
        <f t="shared" si="145"/>
        <v>5000</v>
      </c>
      <c r="U181" s="51">
        <f t="shared" si="145"/>
        <v>5000</v>
      </c>
      <c r="V181" s="51">
        <f t="shared" si="145"/>
        <v>12000</v>
      </c>
      <c r="W181" s="51">
        <f t="shared" si="145"/>
        <v>12000</v>
      </c>
      <c r="X181" s="51">
        <f t="shared" si="145"/>
        <v>12000</v>
      </c>
      <c r="Y181" s="51">
        <f t="shared" si="145"/>
        <v>12000</v>
      </c>
      <c r="Z181" s="51">
        <f t="shared" si="145"/>
        <v>12000</v>
      </c>
      <c r="AA181" s="51">
        <f t="shared" si="145"/>
        <v>12000</v>
      </c>
      <c r="AB181" s="51">
        <f t="shared" si="145"/>
        <v>12000</v>
      </c>
      <c r="AC181" s="51">
        <f t="shared" si="145"/>
        <v>12000</v>
      </c>
      <c r="AD181" s="51">
        <f t="shared" si="145"/>
        <v>12000</v>
      </c>
      <c r="AE181" s="51">
        <f t="shared" si="145"/>
        <v>12000</v>
      </c>
      <c r="AF181" s="51">
        <f t="shared" si="145"/>
        <v>12000</v>
      </c>
      <c r="AG181" s="51">
        <f t="shared" si="145"/>
        <v>12000</v>
      </c>
      <c r="AH181" s="51">
        <f t="shared" si="145"/>
        <v>12000</v>
      </c>
      <c r="AI181" s="51">
        <f t="shared" si="145"/>
        <v>12000</v>
      </c>
      <c r="AJ181" s="51">
        <f t="shared" si="145"/>
        <v>12000</v>
      </c>
      <c r="AK181" s="51">
        <f t="shared" si="145"/>
        <v>12000</v>
      </c>
      <c r="AL181" s="51">
        <f t="shared" si="145"/>
        <v>12000</v>
      </c>
      <c r="AM181" s="51">
        <f t="shared" si="145"/>
        <v>12000</v>
      </c>
      <c r="AN181" s="51">
        <f t="shared" si="145"/>
        <v>12000</v>
      </c>
      <c r="AO181" s="51">
        <f t="shared" si="145"/>
        <v>12000</v>
      </c>
      <c r="AP181" s="51">
        <f t="shared" si="145"/>
        <v>12000</v>
      </c>
      <c r="AQ181" s="51">
        <f t="shared" si="145"/>
        <v>12000</v>
      </c>
      <c r="AR181" s="51">
        <f t="shared" si="145"/>
        <v>12000</v>
      </c>
      <c r="AS181" s="51">
        <f t="shared" si="145"/>
        <v>12000</v>
      </c>
      <c r="AT181" s="51">
        <f t="shared" si="145"/>
        <v>12000</v>
      </c>
      <c r="AU181" s="51">
        <f t="shared" si="145"/>
        <v>12000</v>
      </c>
      <c r="AV181" s="51">
        <f t="shared" si="145"/>
        <v>22000</v>
      </c>
      <c r="AW181" s="51">
        <f t="shared" si="145"/>
        <v>22000</v>
      </c>
      <c r="AX181" s="51">
        <f t="shared" si="145"/>
        <v>22000</v>
      </c>
      <c r="AY181" s="51">
        <f t="shared" si="145"/>
        <v>22000</v>
      </c>
      <c r="AZ181" s="51">
        <f t="shared" si="145"/>
        <v>22000</v>
      </c>
      <c r="BA181" s="51">
        <f t="shared" ref="BA181:BH181" si="146">SUM(BA178:BA180)</f>
        <v>22000</v>
      </c>
      <c r="BB181" s="51">
        <f t="shared" si="146"/>
        <v>22000</v>
      </c>
      <c r="BC181" s="51">
        <f t="shared" si="146"/>
        <v>22000</v>
      </c>
      <c r="BD181" s="51">
        <f t="shared" si="146"/>
        <v>22000</v>
      </c>
      <c r="BE181" s="51">
        <f t="shared" si="146"/>
        <v>22000</v>
      </c>
      <c r="BF181" s="51">
        <f t="shared" si="146"/>
        <v>22000</v>
      </c>
      <c r="BG181" s="51">
        <f t="shared" si="146"/>
        <v>22000</v>
      </c>
      <c r="BH181" s="51">
        <f t="shared" si="146"/>
        <v>32000</v>
      </c>
    </row>
    <row r="182" spans="1:60" ht="14.25" customHeight="1" x14ac:dyDescent="0.3">
      <c r="A182" s="46"/>
      <c r="B182" s="37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46"/>
      <c r="AD182" s="46"/>
      <c r="AE182" s="46"/>
      <c r="AF182" s="46"/>
      <c r="AG182" s="46"/>
      <c r="AH182" s="46"/>
      <c r="AI182" s="46"/>
      <c r="AJ182" s="46"/>
      <c r="AK182" s="46"/>
      <c r="AL182" s="46"/>
      <c r="AM182" s="46"/>
      <c r="AN182" s="46"/>
      <c r="AO182" s="46"/>
      <c r="AP182" s="46"/>
      <c r="AQ182" s="46"/>
      <c r="AR182" s="46"/>
      <c r="AS182" s="46"/>
      <c r="AT182" s="46"/>
      <c r="AU182" s="46"/>
      <c r="AV182" s="46"/>
      <c r="AW182" s="46"/>
      <c r="AX182" s="46"/>
      <c r="AY182" s="46"/>
      <c r="AZ182" s="46"/>
      <c r="BA182" s="46"/>
      <c r="BB182" s="46"/>
      <c r="BC182" s="46"/>
      <c r="BD182" s="46"/>
      <c r="BE182" s="46"/>
      <c r="BF182" s="46"/>
      <c r="BG182" s="46"/>
      <c r="BH182" s="46"/>
    </row>
    <row r="183" spans="1:60" ht="14.25" customHeight="1" x14ac:dyDescent="0.3">
      <c r="A183" s="46"/>
      <c r="B183" s="37"/>
      <c r="C183" s="37" t="s">
        <v>145</v>
      </c>
      <c r="D183" s="46" t="s">
        <v>146</v>
      </c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  <c r="AF183" s="46"/>
      <c r="AG183" s="46"/>
      <c r="AH183" s="46"/>
      <c r="AI183" s="46"/>
      <c r="AJ183" s="46"/>
      <c r="AK183" s="46"/>
      <c r="AL183" s="46"/>
      <c r="AM183" s="46"/>
      <c r="AN183" s="46"/>
      <c r="AO183" s="46"/>
      <c r="AP183" s="46"/>
      <c r="AQ183" s="46"/>
      <c r="AR183" s="46"/>
      <c r="AS183" s="46"/>
      <c r="AT183" s="46"/>
      <c r="AU183" s="46"/>
      <c r="AV183" s="46"/>
      <c r="AW183" s="46"/>
      <c r="AX183" s="46"/>
      <c r="AY183" s="46"/>
      <c r="AZ183" s="46"/>
      <c r="BA183" s="46"/>
      <c r="BB183" s="46"/>
      <c r="BC183" s="46"/>
      <c r="BD183" s="46"/>
      <c r="BE183" s="46"/>
      <c r="BF183" s="46"/>
      <c r="BG183" s="46"/>
      <c r="BH183" s="46"/>
    </row>
    <row r="184" spans="1:60" ht="14.25" customHeight="1" x14ac:dyDescent="0.3">
      <c r="A184" s="46"/>
      <c r="B184" s="37"/>
      <c r="C184" s="46" t="s">
        <v>313</v>
      </c>
      <c r="D184" s="62">
        <v>0.15</v>
      </c>
      <c r="E184" s="46"/>
      <c r="F184" s="46"/>
      <c r="G184" s="46"/>
      <c r="H184" s="46"/>
      <c r="I184" s="46"/>
      <c r="J184" s="46">
        <f>(J$165+J166+J$167+J$175+J$181)*$D$184</f>
        <v>750</v>
      </c>
      <c r="K184" s="46">
        <f t="shared" ref="K184:BH184" si="147">(K$165+K166+K$167+K$175+K$181)*$D$184</f>
        <v>750</v>
      </c>
      <c r="L184" s="46">
        <f t="shared" si="147"/>
        <v>750</v>
      </c>
      <c r="M184" s="46">
        <f t="shared" si="147"/>
        <v>1036.8</v>
      </c>
      <c r="N184" s="46">
        <f t="shared" si="147"/>
        <v>1094.55</v>
      </c>
      <c r="O184" s="46">
        <f t="shared" si="147"/>
        <v>1236</v>
      </c>
      <c r="P184" s="46">
        <f t="shared" si="147"/>
        <v>1140</v>
      </c>
      <c r="Q184" s="46">
        <f t="shared" si="147"/>
        <v>1132.5</v>
      </c>
      <c r="R184" s="46">
        <f t="shared" si="147"/>
        <v>1545</v>
      </c>
      <c r="S184" s="46">
        <f>(S$165+S166+S$167+S$175+S$181)*$D$184</f>
        <v>2871</v>
      </c>
      <c r="T184" s="46">
        <f t="shared" si="147"/>
        <v>3543</v>
      </c>
      <c r="U184" s="46">
        <f t="shared" si="147"/>
        <v>4143</v>
      </c>
      <c r="V184" s="46">
        <f t="shared" si="147"/>
        <v>5943</v>
      </c>
      <c r="W184" s="46">
        <f t="shared" si="147"/>
        <v>5943</v>
      </c>
      <c r="X184" s="46">
        <f t="shared" si="147"/>
        <v>6543</v>
      </c>
      <c r="Y184" s="46">
        <f t="shared" si="147"/>
        <v>6543</v>
      </c>
      <c r="Z184" s="46">
        <f t="shared" si="147"/>
        <v>6543</v>
      </c>
      <c r="AA184" s="46">
        <f t="shared" si="147"/>
        <v>6543</v>
      </c>
      <c r="AB184" s="46">
        <f t="shared" si="147"/>
        <v>6543</v>
      </c>
      <c r="AC184" s="46">
        <f t="shared" si="147"/>
        <v>6543</v>
      </c>
      <c r="AD184" s="46">
        <f t="shared" si="147"/>
        <v>6543</v>
      </c>
      <c r="AE184" s="46">
        <f t="shared" si="147"/>
        <v>6543</v>
      </c>
      <c r="AF184" s="46">
        <f t="shared" si="147"/>
        <v>6543</v>
      </c>
      <c r="AG184" s="46">
        <f t="shared" si="147"/>
        <v>6543</v>
      </c>
      <c r="AH184" s="46">
        <f t="shared" si="147"/>
        <v>6543</v>
      </c>
      <c r="AI184" s="46">
        <f t="shared" si="147"/>
        <v>6543</v>
      </c>
      <c r="AJ184" s="46">
        <f t="shared" si="147"/>
        <v>6543</v>
      </c>
      <c r="AK184" s="46">
        <f t="shared" si="147"/>
        <v>6543</v>
      </c>
      <c r="AL184" s="46">
        <f t="shared" si="147"/>
        <v>6543</v>
      </c>
      <c r="AM184" s="46">
        <f t="shared" si="147"/>
        <v>6543</v>
      </c>
      <c r="AN184" s="46">
        <f t="shared" si="147"/>
        <v>6543</v>
      </c>
      <c r="AO184" s="46">
        <f t="shared" si="147"/>
        <v>6543</v>
      </c>
      <c r="AP184" s="46">
        <f t="shared" si="147"/>
        <v>6543</v>
      </c>
      <c r="AQ184" s="46">
        <f t="shared" si="147"/>
        <v>6543</v>
      </c>
      <c r="AR184" s="46">
        <f t="shared" si="147"/>
        <v>6543</v>
      </c>
      <c r="AS184" s="46">
        <f t="shared" si="147"/>
        <v>6543</v>
      </c>
      <c r="AT184" s="46">
        <f t="shared" si="147"/>
        <v>6543</v>
      </c>
      <c r="AU184" s="46">
        <f t="shared" si="147"/>
        <v>6543</v>
      </c>
      <c r="AV184" s="46">
        <f t="shared" si="147"/>
        <v>8043</v>
      </c>
      <c r="AW184" s="46">
        <f t="shared" si="147"/>
        <v>8043</v>
      </c>
      <c r="AX184" s="46">
        <f t="shared" si="147"/>
        <v>8043</v>
      </c>
      <c r="AY184" s="46">
        <f t="shared" si="147"/>
        <v>8043</v>
      </c>
      <c r="AZ184" s="46">
        <f t="shared" si="147"/>
        <v>8043</v>
      </c>
      <c r="BA184" s="46">
        <f t="shared" si="147"/>
        <v>8043</v>
      </c>
      <c r="BB184" s="46">
        <f t="shared" si="147"/>
        <v>8043</v>
      </c>
      <c r="BC184" s="46">
        <f t="shared" si="147"/>
        <v>8043</v>
      </c>
      <c r="BD184" s="46">
        <f t="shared" si="147"/>
        <v>8043</v>
      </c>
      <c r="BE184" s="46">
        <f t="shared" si="147"/>
        <v>8043</v>
      </c>
      <c r="BF184" s="46">
        <f t="shared" si="147"/>
        <v>8043</v>
      </c>
      <c r="BG184" s="46">
        <f t="shared" si="147"/>
        <v>8043</v>
      </c>
      <c r="BH184" s="46">
        <f t="shared" si="147"/>
        <v>9543</v>
      </c>
    </row>
    <row r="185" spans="1:60" ht="14.25" customHeight="1" x14ac:dyDescent="0.3">
      <c r="A185" s="46"/>
      <c r="B185" s="37"/>
      <c r="C185" s="46" t="s">
        <v>314</v>
      </c>
      <c r="D185" s="62">
        <v>0.03</v>
      </c>
      <c r="E185" s="46"/>
      <c r="F185" s="46"/>
      <c r="G185" s="46"/>
      <c r="H185" s="46"/>
      <c r="I185" s="46"/>
      <c r="J185" s="46">
        <f>(J$165+J166+J$167+J$175+J$181)*$D185</f>
        <v>150</v>
      </c>
      <c r="K185" s="46">
        <f t="shared" ref="K185:BH185" si="148">(K$165+K166+K$167+K$175+K$181)*$D185</f>
        <v>150</v>
      </c>
      <c r="L185" s="46">
        <f t="shared" si="148"/>
        <v>150</v>
      </c>
      <c r="M185" s="46">
        <f t="shared" si="148"/>
        <v>207.35999999999999</v>
      </c>
      <c r="N185" s="46">
        <f t="shared" si="148"/>
        <v>218.91</v>
      </c>
      <c r="O185" s="46">
        <f t="shared" si="148"/>
        <v>247.2</v>
      </c>
      <c r="P185" s="46">
        <f t="shared" si="148"/>
        <v>228</v>
      </c>
      <c r="Q185" s="46">
        <f t="shared" si="148"/>
        <v>226.5</v>
      </c>
      <c r="R185" s="46">
        <f t="shared" si="148"/>
        <v>309</v>
      </c>
      <c r="S185" s="46">
        <f t="shared" si="148"/>
        <v>574.19999999999993</v>
      </c>
      <c r="T185" s="46">
        <f t="shared" si="148"/>
        <v>708.6</v>
      </c>
      <c r="U185" s="46">
        <f t="shared" si="148"/>
        <v>828.6</v>
      </c>
      <c r="V185" s="46">
        <f t="shared" si="148"/>
        <v>1188.5999999999999</v>
      </c>
      <c r="W185" s="46">
        <f t="shared" si="148"/>
        <v>1188.5999999999999</v>
      </c>
      <c r="X185" s="46">
        <f t="shared" si="148"/>
        <v>1308.5999999999999</v>
      </c>
      <c r="Y185" s="46">
        <f t="shared" si="148"/>
        <v>1308.5999999999999</v>
      </c>
      <c r="Z185" s="46">
        <f t="shared" si="148"/>
        <v>1308.5999999999999</v>
      </c>
      <c r="AA185" s="46">
        <f t="shared" si="148"/>
        <v>1308.5999999999999</v>
      </c>
      <c r="AB185" s="46">
        <f t="shared" si="148"/>
        <v>1308.5999999999999</v>
      </c>
      <c r="AC185" s="46">
        <f t="shared" si="148"/>
        <v>1308.5999999999999</v>
      </c>
      <c r="AD185" s="46">
        <f t="shared" si="148"/>
        <v>1308.5999999999999</v>
      </c>
      <c r="AE185" s="46">
        <f t="shared" si="148"/>
        <v>1308.5999999999999</v>
      </c>
      <c r="AF185" s="46">
        <f t="shared" si="148"/>
        <v>1308.5999999999999</v>
      </c>
      <c r="AG185" s="46">
        <f t="shared" si="148"/>
        <v>1308.5999999999999</v>
      </c>
      <c r="AH185" s="46">
        <f t="shared" si="148"/>
        <v>1308.5999999999999</v>
      </c>
      <c r="AI185" s="46">
        <f t="shared" si="148"/>
        <v>1308.5999999999999</v>
      </c>
      <c r="AJ185" s="46">
        <f t="shared" si="148"/>
        <v>1308.5999999999999</v>
      </c>
      <c r="AK185" s="46">
        <f t="shared" si="148"/>
        <v>1308.5999999999999</v>
      </c>
      <c r="AL185" s="46">
        <f t="shared" si="148"/>
        <v>1308.5999999999999</v>
      </c>
      <c r="AM185" s="46">
        <f t="shared" si="148"/>
        <v>1308.5999999999999</v>
      </c>
      <c r="AN185" s="46">
        <f t="shared" si="148"/>
        <v>1308.5999999999999</v>
      </c>
      <c r="AO185" s="46">
        <f t="shared" si="148"/>
        <v>1308.5999999999999</v>
      </c>
      <c r="AP185" s="46">
        <f t="shared" si="148"/>
        <v>1308.5999999999999</v>
      </c>
      <c r="AQ185" s="46">
        <f t="shared" si="148"/>
        <v>1308.5999999999999</v>
      </c>
      <c r="AR185" s="46">
        <f t="shared" si="148"/>
        <v>1308.5999999999999</v>
      </c>
      <c r="AS185" s="46">
        <f t="shared" si="148"/>
        <v>1308.5999999999999</v>
      </c>
      <c r="AT185" s="46">
        <f t="shared" si="148"/>
        <v>1308.5999999999999</v>
      </c>
      <c r="AU185" s="46">
        <f t="shared" si="148"/>
        <v>1308.5999999999999</v>
      </c>
      <c r="AV185" s="46">
        <f t="shared" si="148"/>
        <v>1608.6</v>
      </c>
      <c r="AW185" s="46">
        <f t="shared" si="148"/>
        <v>1608.6</v>
      </c>
      <c r="AX185" s="46">
        <f t="shared" si="148"/>
        <v>1608.6</v>
      </c>
      <c r="AY185" s="46">
        <f t="shared" si="148"/>
        <v>1608.6</v>
      </c>
      <c r="AZ185" s="46">
        <f t="shared" si="148"/>
        <v>1608.6</v>
      </c>
      <c r="BA185" s="46">
        <f t="shared" si="148"/>
        <v>1608.6</v>
      </c>
      <c r="BB185" s="46">
        <f t="shared" si="148"/>
        <v>1608.6</v>
      </c>
      <c r="BC185" s="46">
        <f t="shared" si="148"/>
        <v>1608.6</v>
      </c>
      <c r="BD185" s="46">
        <f t="shared" si="148"/>
        <v>1608.6</v>
      </c>
      <c r="BE185" s="46">
        <f t="shared" si="148"/>
        <v>1608.6</v>
      </c>
      <c r="BF185" s="46">
        <f t="shared" si="148"/>
        <v>1608.6</v>
      </c>
      <c r="BG185" s="46">
        <f t="shared" si="148"/>
        <v>1608.6</v>
      </c>
      <c r="BH185" s="46">
        <f t="shared" si="148"/>
        <v>1908.6</v>
      </c>
    </row>
    <row r="186" spans="1:60" ht="14.25" customHeight="1" x14ac:dyDescent="0.3">
      <c r="A186" s="46"/>
      <c r="B186" s="37"/>
      <c r="C186" s="46" t="s">
        <v>315</v>
      </c>
      <c r="D186" s="62">
        <v>8.9999999999999993E-3</v>
      </c>
      <c r="E186" s="46"/>
      <c r="F186" s="46"/>
      <c r="G186" s="46"/>
      <c r="H186" s="46"/>
      <c r="I186" s="46"/>
      <c r="J186" s="46">
        <f>(J$165+J166+J$167+J$175+J$181)*$D$186</f>
        <v>45</v>
      </c>
      <c r="K186" s="46">
        <f t="shared" ref="K186:BH186" si="149">(K$165+K166+K$167+K$175+K$181)*$D$186</f>
        <v>45</v>
      </c>
      <c r="L186" s="46">
        <f t="shared" si="149"/>
        <v>45</v>
      </c>
      <c r="M186" s="46">
        <f t="shared" si="149"/>
        <v>62.207999999999998</v>
      </c>
      <c r="N186" s="46">
        <f t="shared" si="149"/>
        <v>65.673000000000002</v>
      </c>
      <c r="O186" s="46">
        <f t="shared" si="149"/>
        <v>74.16</v>
      </c>
      <c r="P186" s="46">
        <f t="shared" si="149"/>
        <v>68.399999999999991</v>
      </c>
      <c r="Q186" s="46">
        <f t="shared" si="149"/>
        <v>67.949999999999989</v>
      </c>
      <c r="R186" s="46">
        <f t="shared" si="149"/>
        <v>92.699999999999989</v>
      </c>
      <c r="S186" s="46">
        <f t="shared" si="149"/>
        <v>172.26</v>
      </c>
      <c r="T186" s="46">
        <f t="shared" si="149"/>
        <v>212.57999999999998</v>
      </c>
      <c r="U186" s="46">
        <f t="shared" si="149"/>
        <v>248.57999999999998</v>
      </c>
      <c r="V186" s="46">
        <f t="shared" si="149"/>
        <v>356.58</v>
      </c>
      <c r="W186" s="46">
        <f t="shared" si="149"/>
        <v>356.58</v>
      </c>
      <c r="X186" s="46">
        <f t="shared" si="149"/>
        <v>392.58</v>
      </c>
      <c r="Y186" s="46">
        <f t="shared" si="149"/>
        <v>392.58</v>
      </c>
      <c r="Z186" s="46">
        <f t="shared" si="149"/>
        <v>392.58</v>
      </c>
      <c r="AA186" s="46">
        <f t="shared" si="149"/>
        <v>392.58</v>
      </c>
      <c r="AB186" s="46">
        <f t="shared" si="149"/>
        <v>392.58</v>
      </c>
      <c r="AC186" s="46">
        <f t="shared" si="149"/>
        <v>392.58</v>
      </c>
      <c r="AD186" s="46">
        <f t="shared" si="149"/>
        <v>392.58</v>
      </c>
      <c r="AE186" s="46">
        <f t="shared" si="149"/>
        <v>392.58</v>
      </c>
      <c r="AF186" s="46">
        <f t="shared" si="149"/>
        <v>392.58</v>
      </c>
      <c r="AG186" s="46">
        <f t="shared" si="149"/>
        <v>392.58</v>
      </c>
      <c r="AH186" s="46">
        <f t="shared" si="149"/>
        <v>392.58</v>
      </c>
      <c r="AI186" s="46">
        <f t="shared" si="149"/>
        <v>392.58</v>
      </c>
      <c r="AJ186" s="46">
        <f t="shared" si="149"/>
        <v>392.58</v>
      </c>
      <c r="AK186" s="46">
        <f t="shared" si="149"/>
        <v>392.58</v>
      </c>
      <c r="AL186" s="46">
        <f t="shared" si="149"/>
        <v>392.58</v>
      </c>
      <c r="AM186" s="46">
        <f t="shared" si="149"/>
        <v>392.58</v>
      </c>
      <c r="AN186" s="46">
        <f t="shared" si="149"/>
        <v>392.58</v>
      </c>
      <c r="AO186" s="46">
        <f t="shared" si="149"/>
        <v>392.58</v>
      </c>
      <c r="AP186" s="46">
        <f t="shared" si="149"/>
        <v>392.58</v>
      </c>
      <c r="AQ186" s="46">
        <f t="shared" si="149"/>
        <v>392.58</v>
      </c>
      <c r="AR186" s="46">
        <f t="shared" si="149"/>
        <v>392.58</v>
      </c>
      <c r="AS186" s="46">
        <f t="shared" si="149"/>
        <v>392.58</v>
      </c>
      <c r="AT186" s="46">
        <f t="shared" si="149"/>
        <v>392.58</v>
      </c>
      <c r="AU186" s="46">
        <f t="shared" si="149"/>
        <v>392.58</v>
      </c>
      <c r="AV186" s="46">
        <f t="shared" si="149"/>
        <v>482.58</v>
      </c>
      <c r="AW186" s="46">
        <f t="shared" si="149"/>
        <v>482.58</v>
      </c>
      <c r="AX186" s="46">
        <f t="shared" si="149"/>
        <v>482.58</v>
      </c>
      <c r="AY186" s="46">
        <f t="shared" si="149"/>
        <v>482.58</v>
      </c>
      <c r="AZ186" s="46">
        <f t="shared" si="149"/>
        <v>482.58</v>
      </c>
      <c r="BA186" s="46">
        <f t="shared" si="149"/>
        <v>482.58</v>
      </c>
      <c r="BB186" s="46">
        <f t="shared" si="149"/>
        <v>482.58</v>
      </c>
      <c r="BC186" s="46">
        <f t="shared" si="149"/>
        <v>482.58</v>
      </c>
      <c r="BD186" s="46">
        <f t="shared" si="149"/>
        <v>482.58</v>
      </c>
      <c r="BE186" s="46">
        <f t="shared" si="149"/>
        <v>482.58</v>
      </c>
      <c r="BF186" s="46">
        <f t="shared" si="149"/>
        <v>482.58</v>
      </c>
      <c r="BG186" s="46">
        <f t="shared" si="149"/>
        <v>482.58</v>
      </c>
      <c r="BH186" s="46">
        <f t="shared" si="149"/>
        <v>572.57999999999993</v>
      </c>
    </row>
    <row r="187" spans="1:60" ht="14.25" customHeight="1" x14ac:dyDescent="0.3">
      <c r="A187" s="46"/>
      <c r="B187" s="37"/>
      <c r="C187" s="46" t="s">
        <v>316</v>
      </c>
      <c r="D187" s="62">
        <v>8.9999999999999993E-3</v>
      </c>
      <c r="E187" s="46"/>
      <c r="F187" s="46"/>
      <c r="G187" s="46"/>
      <c r="H187" s="46"/>
      <c r="I187" s="46"/>
      <c r="J187" s="46">
        <f>(J$165+J166+J$167+J$175+J$181)*$D$187</f>
        <v>45</v>
      </c>
      <c r="K187" s="46">
        <f t="shared" ref="K187:BH187" si="150">(K$165+K166+K$167+K$175+K$181)*$D$187</f>
        <v>45</v>
      </c>
      <c r="L187" s="46">
        <f t="shared" si="150"/>
        <v>45</v>
      </c>
      <c r="M187" s="46">
        <f t="shared" si="150"/>
        <v>62.207999999999998</v>
      </c>
      <c r="N187" s="46">
        <f t="shared" si="150"/>
        <v>65.673000000000002</v>
      </c>
      <c r="O187" s="46">
        <f t="shared" si="150"/>
        <v>74.16</v>
      </c>
      <c r="P187" s="46">
        <f t="shared" si="150"/>
        <v>68.399999999999991</v>
      </c>
      <c r="Q187" s="46">
        <f t="shared" si="150"/>
        <v>67.949999999999989</v>
      </c>
      <c r="R187" s="46">
        <f t="shared" si="150"/>
        <v>92.699999999999989</v>
      </c>
      <c r="S187" s="46">
        <f t="shared" si="150"/>
        <v>172.26</v>
      </c>
      <c r="T187" s="46">
        <f t="shared" si="150"/>
        <v>212.57999999999998</v>
      </c>
      <c r="U187" s="46">
        <f t="shared" si="150"/>
        <v>248.57999999999998</v>
      </c>
      <c r="V187" s="46">
        <f t="shared" si="150"/>
        <v>356.58</v>
      </c>
      <c r="W187" s="46">
        <f t="shared" si="150"/>
        <v>356.58</v>
      </c>
      <c r="X187" s="46">
        <f t="shared" si="150"/>
        <v>392.58</v>
      </c>
      <c r="Y187" s="46">
        <f t="shared" si="150"/>
        <v>392.58</v>
      </c>
      <c r="Z187" s="46">
        <f t="shared" si="150"/>
        <v>392.58</v>
      </c>
      <c r="AA187" s="46">
        <f t="shared" si="150"/>
        <v>392.58</v>
      </c>
      <c r="AB187" s="46">
        <f t="shared" si="150"/>
        <v>392.58</v>
      </c>
      <c r="AC187" s="46">
        <f t="shared" si="150"/>
        <v>392.58</v>
      </c>
      <c r="AD187" s="46">
        <f t="shared" si="150"/>
        <v>392.58</v>
      </c>
      <c r="AE187" s="46">
        <f t="shared" si="150"/>
        <v>392.58</v>
      </c>
      <c r="AF187" s="46">
        <f t="shared" si="150"/>
        <v>392.58</v>
      </c>
      <c r="AG187" s="46">
        <f t="shared" si="150"/>
        <v>392.58</v>
      </c>
      <c r="AH187" s="46">
        <f t="shared" si="150"/>
        <v>392.58</v>
      </c>
      <c r="AI187" s="46">
        <f t="shared" si="150"/>
        <v>392.58</v>
      </c>
      <c r="AJ187" s="46">
        <f t="shared" si="150"/>
        <v>392.58</v>
      </c>
      <c r="AK187" s="46">
        <f t="shared" si="150"/>
        <v>392.58</v>
      </c>
      <c r="AL187" s="46">
        <f t="shared" si="150"/>
        <v>392.58</v>
      </c>
      <c r="AM187" s="46">
        <f t="shared" si="150"/>
        <v>392.58</v>
      </c>
      <c r="AN187" s="46">
        <f t="shared" si="150"/>
        <v>392.58</v>
      </c>
      <c r="AO187" s="46">
        <f t="shared" si="150"/>
        <v>392.58</v>
      </c>
      <c r="AP187" s="46">
        <f t="shared" si="150"/>
        <v>392.58</v>
      </c>
      <c r="AQ187" s="46">
        <f t="shared" si="150"/>
        <v>392.58</v>
      </c>
      <c r="AR187" s="46">
        <f t="shared" si="150"/>
        <v>392.58</v>
      </c>
      <c r="AS187" s="46">
        <f t="shared" si="150"/>
        <v>392.58</v>
      </c>
      <c r="AT187" s="46">
        <f t="shared" si="150"/>
        <v>392.58</v>
      </c>
      <c r="AU187" s="46">
        <f t="shared" si="150"/>
        <v>392.58</v>
      </c>
      <c r="AV187" s="46">
        <f t="shared" si="150"/>
        <v>482.58</v>
      </c>
      <c r="AW187" s="46">
        <f t="shared" si="150"/>
        <v>482.58</v>
      </c>
      <c r="AX187" s="46">
        <f t="shared" si="150"/>
        <v>482.58</v>
      </c>
      <c r="AY187" s="46">
        <f t="shared" si="150"/>
        <v>482.58</v>
      </c>
      <c r="AZ187" s="46">
        <f t="shared" si="150"/>
        <v>482.58</v>
      </c>
      <c r="BA187" s="46">
        <f t="shared" si="150"/>
        <v>482.58</v>
      </c>
      <c r="BB187" s="46">
        <f t="shared" si="150"/>
        <v>482.58</v>
      </c>
      <c r="BC187" s="46">
        <f t="shared" si="150"/>
        <v>482.58</v>
      </c>
      <c r="BD187" s="46">
        <f t="shared" si="150"/>
        <v>482.58</v>
      </c>
      <c r="BE187" s="46">
        <f t="shared" si="150"/>
        <v>482.58</v>
      </c>
      <c r="BF187" s="46">
        <f t="shared" si="150"/>
        <v>482.58</v>
      </c>
      <c r="BG187" s="46">
        <f t="shared" si="150"/>
        <v>482.58</v>
      </c>
      <c r="BH187" s="46">
        <f t="shared" si="150"/>
        <v>572.57999999999993</v>
      </c>
    </row>
    <row r="188" spans="1:60" ht="14.25" customHeight="1" x14ac:dyDescent="0.3">
      <c r="A188" s="46"/>
      <c r="B188" s="37"/>
      <c r="C188" s="46" t="s">
        <v>150</v>
      </c>
      <c r="D188" s="46"/>
      <c r="E188" s="46"/>
      <c r="F188" s="46"/>
      <c r="G188" s="46"/>
      <c r="H188" s="46"/>
      <c r="I188" s="46"/>
      <c r="J188" s="63">
        <f>SUM(J184:J187)</f>
        <v>990</v>
      </c>
      <c r="K188" s="63">
        <f t="shared" ref="K188:BH188" si="151">SUM(K184:K187)</f>
        <v>990</v>
      </c>
      <c r="L188" s="63">
        <f t="shared" si="151"/>
        <v>990</v>
      </c>
      <c r="M188" s="63">
        <f t="shared" si="151"/>
        <v>1368.576</v>
      </c>
      <c r="N188" s="63">
        <f t="shared" si="151"/>
        <v>1444.806</v>
      </c>
      <c r="O188" s="63">
        <f t="shared" si="151"/>
        <v>1631.5200000000002</v>
      </c>
      <c r="P188" s="63">
        <f t="shared" si="151"/>
        <v>1504.8000000000002</v>
      </c>
      <c r="Q188" s="63">
        <f t="shared" si="151"/>
        <v>1494.9</v>
      </c>
      <c r="R188" s="63">
        <f t="shared" si="151"/>
        <v>2039.4</v>
      </c>
      <c r="S188" s="63">
        <f>SUM(S184:S187)</f>
        <v>3789.7200000000003</v>
      </c>
      <c r="T188" s="63">
        <f t="shared" si="151"/>
        <v>4676.76</v>
      </c>
      <c r="U188" s="63">
        <f t="shared" si="151"/>
        <v>5468.76</v>
      </c>
      <c r="V188" s="63">
        <f t="shared" si="151"/>
        <v>7844.76</v>
      </c>
      <c r="W188" s="63">
        <f t="shared" si="151"/>
        <v>7844.76</v>
      </c>
      <c r="X188" s="63">
        <f t="shared" si="151"/>
        <v>8636.76</v>
      </c>
      <c r="Y188" s="63">
        <f t="shared" si="151"/>
        <v>8636.76</v>
      </c>
      <c r="Z188" s="63">
        <f t="shared" si="151"/>
        <v>8636.76</v>
      </c>
      <c r="AA188" s="63">
        <f t="shared" si="151"/>
        <v>8636.76</v>
      </c>
      <c r="AB188" s="63">
        <f t="shared" si="151"/>
        <v>8636.76</v>
      </c>
      <c r="AC188" s="63">
        <f t="shared" si="151"/>
        <v>8636.76</v>
      </c>
      <c r="AD188" s="63">
        <f t="shared" si="151"/>
        <v>8636.76</v>
      </c>
      <c r="AE188" s="63">
        <f t="shared" si="151"/>
        <v>8636.76</v>
      </c>
      <c r="AF188" s="63">
        <f t="shared" si="151"/>
        <v>8636.76</v>
      </c>
      <c r="AG188" s="63">
        <f t="shared" si="151"/>
        <v>8636.76</v>
      </c>
      <c r="AH188" s="63">
        <f t="shared" si="151"/>
        <v>8636.76</v>
      </c>
      <c r="AI188" s="63">
        <f t="shared" si="151"/>
        <v>8636.76</v>
      </c>
      <c r="AJ188" s="63">
        <f t="shared" si="151"/>
        <v>8636.76</v>
      </c>
      <c r="AK188" s="63">
        <f t="shared" si="151"/>
        <v>8636.76</v>
      </c>
      <c r="AL188" s="63">
        <f t="shared" si="151"/>
        <v>8636.76</v>
      </c>
      <c r="AM188" s="63">
        <f t="shared" si="151"/>
        <v>8636.76</v>
      </c>
      <c r="AN188" s="63">
        <f t="shared" si="151"/>
        <v>8636.76</v>
      </c>
      <c r="AO188" s="63">
        <f t="shared" si="151"/>
        <v>8636.76</v>
      </c>
      <c r="AP188" s="63">
        <f t="shared" si="151"/>
        <v>8636.76</v>
      </c>
      <c r="AQ188" s="63">
        <f t="shared" si="151"/>
        <v>8636.76</v>
      </c>
      <c r="AR188" s="63">
        <f t="shared" si="151"/>
        <v>8636.76</v>
      </c>
      <c r="AS188" s="63">
        <f t="shared" si="151"/>
        <v>8636.76</v>
      </c>
      <c r="AT188" s="63">
        <f t="shared" si="151"/>
        <v>8636.76</v>
      </c>
      <c r="AU188" s="63">
        <f t="shared" si="151"/>
        <v>8636.76</v>
      </c>
      <c r="AV188" s="63">
        <f t="shared" si="151"/>
        <v>10616.76</v>
      </c>
      <c r="AW188" s="63">
        <f t="shared" si="151"/>
        <v>10616.76</v>
      </c>
      <c r="AX188" s="63">
        <f t="shared" si="151"/>
        <v>10616.76</v>
      </c>
      <c r="AY188" s="63">
        <f t="shared" si="151"/>
        <v>10616.76</v>
      </c>
      <c r="AZ188" s="63">
        <f t="shared" si="151"/>
        <v>10616.76</v>
      </c>
      <c r="BA188" s="63">
        <f t="shared" si="151"/>
        <v>10616.76</v>
      </c>
      <c r="BB188" s="63">
        <f t="shared" si="151"/>
        <v>10616.76</v>
      </c>
      <c r="BC188" s="63">
        <f t="shared" si="151"/>
        <v>10616.76</v>
      </c>
      <c r="BD188" s="63">
        <f t="shared" si="151"/>
        <v>10616.76</v>
      </c>
      <c r="BE188" s="63">
        <f t="shared" si="151"/>
        <v>10616.76</v>
      </c>
      <c r="BF188" s="63">
        <f t="shared" si="151"/>
        <v>10616.76</v>
      </c>
      <c r="BG188" s="63">
        <f t="shared" si="151"/>
        <v>10616.76</v>
      </c>
      <c r="BH188" s="63">
        <f t="shared" si="151"/>
        <v>12596.76</v>
      </c>
    </row>
    <row r="189" spans="1:60" ht="14.25" customHeight="1" x14ac:dyDescent="0.3">
      <c r="A189" s="46"/>
      <c r="B189" s="37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  <c r="AI189" s="46"/>
      <c r="AJ189" s="46"/>
      <c r="AK189" s="46"/>
      <c r="AL189" s="46"/>
      <c r="AM189" s="46"/>
      <c r="AN189" s="46"/>
      <c r="AO189" s="46"/>
      <c r="AP189" s="46"/>
      <c r="AQ189" s="46"/>
      <c r="AR189" s="46"/>
      <c r="AS189" s="46"/>
      <c r="AT189" s="46"/>
      <c r="AU189" s="46"/>
      <c r="AV189" s="46"/>
      <c r="AW189" s="46"/>
      <c r="AX189" s="46"/>
      <c r="AY189" s="46"/>
      <c r="AZ189" s="46"/>
      <c r="BA189" s="46"/>
      <c r="BB189" s="46"/>
      <c r="BC189" s="46"/>
      <c r="BD189" s="46"/>
      <c r="BE189" s="46"/>
      <c r="BF189" s="46"/>
      <c r="BG189" s="46"/>
      <c r="BH189" s="46"/>
    </row>
    <row r="190" spans="1:60" ht="14.25" customHeight="1" x14ac:dyDescent="0.3">
      <c r="A190" s="46"/>
      <c r="B190" s="37"/>
      <c r="C190" s="46"/>
      <c r="D190" s="46"/>
      <c r="E190" s="46"/>
      <c r="F190" s="46" t="s">
        <v>303</v>
      </c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  <c r="AH190" s="46"/>
      <c r="AI190" s="46"/>
      <c r="AJ190" s="46"/>
      <c r="AK190" s="46"/>
      <c r="AL190" s="46"/>
      <c r="AM190" s="46"/>
      <c r="AN190" s="46"/>
      <c r="AO190" s="46"/>
      <c r="AP190" s="46"/>
      <c r="AQ190" s="46"/>
      <c r="AR190" s="46"/>
      <c r="AS190" s="46"/>
      <c r="AT190" s="46"/>
      <c r="AU190" s="46"/>
      <c r="AV190" s="46"/>
      <c r="AW190" s="46"/>
      <c r="AX190" s="46"/>
      <c r="AY190" s="46"/>
      <c r="AZ190" s="46"/>
      <c r="BA190" s="46"/>
      <c r="BB190" s="46"/>
      <c r="BC190" s="46"/>
      <c r="BD190" s="46"/>
      <c r="BE190" s="46"/>
      <c r="BF190" s="46"/>
      <c r="BG190" s="46"/>
      <c r="BH190" s="46"/>
    </row>
    <row r="191" spans="1:60" ht="14.25" customHeight="1" x14ac:dyDescent="0.3">
      <c r="A191" s="46"/>
      <c r="B191" s="37"/>
      <c r="C191" s="46" t="s">
        <v>216</v>
      </c>
      <c r="D191" s="46"/>
      <c r="E191" s="53">
        <f>250000/'[2]SA V2'!D2</f>
        <v>11106.37239222376</v>
      </c>
      <c r="F191" s="66">
        <v>45658</v>
      </c>
      <c r="G191" s="60" t="s">
        <v>317</v>
      </c>
      <c r="H191" s="60"/>
      <c r="I191" s="46"/>
      <c r="J191" s="46">
        <f t="shared" ref="J191:Y201" si="152">IF($F191&lt;=J$3,$E191,0)</f>
        <v>0</v>
      </c>
      <c r="K191" s="46">
        <f t="shared" si="152"/>
        <v>0</v>
      </c>
      <c r="L191" s="46">
        <f t="shared" si="152"/>
        <v>0</v>
      </c>
      <c r="M191" s="46">
        <f t="shared" si="152"/>
        <v>11106.37239222376</v>
      </c>
      <c r="N191" s="46">
        <f t="shared" si="152"/>
        <v>11106.37239222376</v>
      </c>
      <c r="O191" s="46">
        <f t="shared" si="152"/>
        <v>11106.37239222376</v>
      </c>
      <c r="P191" s="46">
        <f t="shared" si="152"/>
        <v>11106.37239222376</v>
      </c>
      <c r="Q191" s="46">
        <f t="shared" si="152"/>
        <v>11106.37239222376</v>
      </c>
      <c r="R191" s="46">
        <f t="shared" si="152"/>
        <v>11106.37239222376</v>
      </c>
      <c r="S191" s="46">
        <f t="shared" si="152"/>
        <v>11106.37239222376</v>
      </c>
      <c r="T191" s="46">
        <f t="shared" si="152"/>
        <v>11106.37239222376</v>
      </c>
      <c r="U191" s="46">
        <f t="shared" si="152"/>
        <v>11106.37239222376</v>
      </c>
      <c r="V191" s="46">
        <f t="shared" si="152"/>
        <v>11106.37239222376</v>
      </c>
      <c r="W191" s="46">
        <f t="shared" si="152"/>
        <v>11106.37239222376</v>
      </c>
      <c r="X191" s="46">
        <f t="shared" si="152"/>
        <v>11106.37239222376</v>
      </c>
      <c r="Y191" s="46">
        <f t="shared" si="152"/>
        <v>11106.37239222376</v>
      </c>
      <c r="Z191" s="46">
        <f t="shared" ref="Z191:AO201" si="153">IF($F191&lt;=Z$3,$E191,0)</f>
        <v>11106.37239222376</v>
      </c>
      <c r="AA191" s="46">
        <f t="shared" si="153"/>
        <v>11106.37239222376</v>
      </c>
      <c r="AB191" s="46">
        <f t="shared" si="153"/>
        <v>11106.37239222376</v>
      </c>
      <c r="AC191" s="46">
        <f t="shared" si="153"/>
        <v>11106.37239222376</v>
      </c>
      <c r="AD191" s="46">
        <f t="shared" si="153"/>
        <v>11106.37239222376</v>
      </c>
      <c r="AE191" s="46">
        <f t="shared" si="153"/>
        <v>11106.37239222376</v>
      </c>
      <c r="AF191" s="46">
        <f t="shared" si="153"/>
        <v>11106.37239222376</v>
      </c>
      <c r="AG191" s="46">
        <f t="shared" si="153"/>
        <v>11106.37239222376</v>
      </c>
      <c r="AH191" s="46">
        <f t="shared" si="153"/>
        <v>11106.37239222376</v>
      </c>
      <c r="AI191" s="46">
        <f t="shared" si="153"/>
        <v>11106.37239222376</v>
      </c>
      <c r="AJ191" s="46">
        <f t="shared" si="153"/>
        <v>11106.37239222376</v>
      </c>
      <c r="AK191" s="46">
        <f t="shared" si="153"/>
        <v>11106.37239222376</v>
      </c>
      <c r="AL191" s="46">
        <f t="shared" si="153"/>
        <v>11106.37239222376</v>
      </c>
      <c r="AM191" s="46">
        <f t="shared" si="153"/>
        <v>11106.37239222376</v>
      </c>
      <c r="AN191" s="46">
        <f t="shared" si="153"/>
        <v>11106.37239222376</v>
      </c>
      <c r="AO191" s="46">
        <f t="shared" si="153"/>
        <v>11106.37239222376</v>
      </c>
      <c r="AP191" s="46">
        <f t="shared" ref="AP191:BE201" si="154">IF($F191&lt;=AP$3,$E191,0)</f>
        <v>11106.37239222376</v>
      </c>
      <c r="AQ191" s="46">
        <f t="shared" si="154"/>
        <v>11106.37239222376</v>
      </c>
      <c r="AR191" s="46">
        <f t="shared" si="154"/>
        <v>11106.37239222376</v>
      </c>
      <c r="AS191" s="46">
        <f t="shared" si="154"/>
        <v>11106.37239222376</v>
      </c>
      <c r="AT191" s="46">
        <f t="shared" si="154"/>
        <v>11106.37239222376</v>
      </c>
      <c r="AU191" s="46">
        <f t="shared" si="154"/>
        <v>11106.37239222376</v>
      </c>
      <c r="AV191" s="46">
        <f t="shared" si="154"/>
        <v>11106.37239222376</v>
      </c>
      <c r="AW191" s="46">
        <f t="shared" si="154"/>
        <v>11106.37239222376</v>
      </c>
      <c r="AX191" s="46">
        <f t="shared" si="154"/>
        <v>11106.37239222376</v>
      </c>
      <c r="AY191" s="46">
        <f t="shared" si="154"/>
        <v>11106.37239222376</v>
      </c>
      <c r="AZ191" s="46">
        <f t="shared" si="154"/>
        <v>11106.37239222376</v>
      </c>
      <c r="BA191" s="46">
        <f t="shared" si="154"/>
        <v>11106.37239222376</v>
      </c>
      <c r="BB191" s="46">
        <f t="shared" si="154"/>
        <v>11106.37239222376</v>
      </c>
      <c r="BC191" s="46">
        <f t="shared" si="154"/>
        <v>11106.37239222376</v>
      </c>
      <c r="BD191" s="46">
        <f t="shared" si="154"/>
        <v>11106.37239222376</v>
      </c>
      <c r="BE191" s="46">
        <f t="shared" si="154"/>
        <v>11106.37239222376</v>
      </c>
      <c r="BF191" s="46">
        <f t="shared" ref="BF191:BH201" si="155">IF($F191&lt;=BF$3,$E191,0)</f>
        <v>11106.37239222376</v>
      </c>
      <c r="BG191" s="46">
        <f t="shared" si="155"/>
        <v>11106.37239222376</v>
      </c>
      <c r="BH191" s="46">
        <f t="shared" si="155"/>
        <v>11106.37239222376</v>
      </c>
    </row>
    <row r="192" spans="1:60" ht="14.25" customHeight="1" x14ac:dyDescent="0.3">
      <c r="A192" s="46"/>
      <c r="B192" s="37"/>
      <c r="C192" s="46" t="s">
        <v>318</v>
      </c>
      <c r="D192" s="46"/>
      <c r="E192" s="53">
        <v>0</v>
      </c>
      <c r="F192" s="66"/>
      <c r="G192" s="60" t="s">
        <v>319</v>
      </c>
      <c r="H192" s="60"/>
      <c r="I192" s="46"/>
      <c r="J192" s="46">
        <f t="shared" si="152"/>
        <v>0</v>
      </c>
      <c r="K192" s="46">
        <f t="shared" si="152"/>
        <v>0</v>
      </c>
      <c r="L192" s="46">
        <f t="shared" si="152"/>
        <v>0</v>
      </c>
      <c r="M192" s="46">
        <f t="shared" si="152"/>
        <v>0</v>
      </c>
      <c r="N192" s="46">
        <f t="shared" si="152"/>
        <v>0</v>
      </c>
      <c r="O192" s="46">
        <f t="shared" si="152"/>
        <v>0</v>
      </c>
      <c r="P192" s="46">
        <f t="shared" si="152"/>
        <v>0</v>
      </c>
      <c r="Q192" s="46">
        <f t="shared" si="152"/>
        <v>0</v>
      </c>
      <c r="R192" s="46">
        <f t="shared" si="152"/>
        <v>0</v>
      </c>
      <c r="S192" s="46">
        <f t="shared" si="152"/>
        <v>0</v>
      </c>
      <c r="T192" s="46">
        <f t="shared" si="152"/>
        <v>0</v>
      </c>
      <c r="U192" s="46">
        <f t="shared" si="152"/>
        <v>0</v>
      </c>
      <c r="V192" s="46">
        <f t="shared" si="152"/>
        <v>0</v>
      </c>
      <c r="W192" s="46">
        <f t="shared" si="152"/>
        <v>0</v>
      </c>
      <c r="X192" s="46">
        <f t="shared" si="152"/>
        <v>0</v>
      </c>
      <c r="Y192" s="46">
        <f t="shared" si="152"/>
        <v>0</v>
      </c>
      <c r="Z192" s="46">
        <f t="shared" si="153"/>
        <v>0</v>
      </c>
      <c r="AA192" s="46">
        <f t="shared" si="153"/>
        <v>0</v>
      </c>
      <c r="AB192" s="46">
        <f t="shared" si="153"/>
        <v>0</v>
      </c>
      <c r="AC192" s="46">
        <f t="shared" si="153"/>
        <v>0</v>
      </c>
      <c r="AD192" s="46">
        <f t="shared" si="153"/>
        <v>0</v>
      </c>
      <c r="AE192" s="46">
        <f t="shared" si="153"/>
        <v>0</v>
      </c>
      <c r="AF192" s="46">
        <f t="shared" si="153"/>
        <v>0</v>
      </c>
      <c r="AG192" s="46">
        <f t="shared" si="153"/>
        <v>0</v>
      </c>
      <c r="AH192" s="46">
        <f t="shared" si="153"/>
        <v>0</v>
      </c>
      <c r="AI192" s="46">
        <f t="shared" si="153"/>
        <v>0</v>
      </c>
      <c r="AJ192" s="46">
        <f t="shared" si="153"/>
        <v>0</v>
      </c>
      <c r="AK192" s="46">
        <f t="shared" si="153"/>
        <v>0</v>
      </c>
      <c r="AL192" s="46">
        <f t="shared" si="153"/>
        <v>0</v>
      </c>
      <c r="AM192" s="46">
        <f t="shared" si="153"/>
        <v>0</v>
      </c>
      <c r="AN192" s="46">
        <f t="shared" si="153"/>
        <v>0</v>
      </c>
      <c r="AO192" s="46">
        <f t="shared" si="153"/>
        <v>0</v>
      </c>
      <c r="AP192" s="46">
        <f t="shared" si="154"/>
        <v>0</v>
      </c>
      <c r="AQ192" s="46">
        <f t="shared" si="154"/>
        <v>0</v>
      </c>
      <c r="AR192" s="46">
        <f t="shared" si="154"/>
        <v>0</v>
      </c>
      <c r="AS192" s="46">
        <f t="shared" si="154"/>
        <v>0</v>
      </c>
      <c r="AT192" s="46">
        <f t="shared" si="154"/>
        <v>0</v>
      </c>
      <c r="AU192" s="46">
        <f t="shared" si="154"/>
        <v>0</v>
      </c>
      <c r="AV192" s="46">
        <f t="shared" si="154"/>
        <v>0</v>
      </c>
      <c r="AW192" s="46">
        <f t="shared" si="154"/>
        <v>0</v>
      </c>
      <c r="AX192" s="46">
        <f t="shared" si="154"/>
        <v>0</v>
      </c>
      <c r="AY192" s="46">
        <f t="shared" si="154"/>
        <v>0</v>
      </c>
      <c r="AZ192" s="46">
        <f t="shared" si="154"/>
        <v>0</v>
      </c>
      <c r="BA192" s="46">
        <f t="shared" si="154"/>
        <v>0</v>
      </c>
      <c r="BB192" s="46">
        <f t="shared" si="154"/>
        <v>0</v>
      </c>
      <c r="BC192" s="46">
        <f t="shared" si="154"/>
        <v>0</v>
      </c>
      <c r="BD192" s="46">
        <f t="shared" si="154"/>
        <v>0</v>
      </c>
      <c r="BE192" s="46">
        <f t="shared" si="154"/>
        <v>0</v>
      </c>
      <c r="BF192" s="46">
        <f t="shared" si="155"/>
        <v>0</v>
      </c>
      <c r="BG192" s="46">
        <f t="shared" si="155"/>
        <v>0</v>
      </c>
      <c r="BH192" s="46">
        <f t="shared" si="155"/>
        <v>0</v>
      </c>
    </row>
    <row r="193" spans="1:60" ht="14.25" customHeight="1" x14ac:dyDescent="0.3">
      <c r="A193" s="46"/>
      <c r="B193" s="37"/>
      <c r="C193" s="46" t="s">
        <v>320</v>
      </c>
      <c r="D193" s="46"/>
      <c r="E193" s="53">
        <v>0</v>
      </c>
      <c r="F193" s="66"/>
      <c r="G193" s="60" t="s">
        <v>321</v>
      </c>
      <c r="H193" s="60"/>
      <c r="I193" s="46"/>
      <c r="J193" s="46">
        <f t="shared" si="152"/>
        <v>0</v>
      </c>
      <c r="K193" s="46">
        <f t="shared" si="152"/>
        <v>0</v>
      </c>
      <c r="L193" s="46">
        <f t="shared" si="152"/>
        <v>0</v>
      </c>
      <c r="M193" s="46">
        <f t="shared" si="152"/>
        <v>0</v>
      </c>
      <c r="N193" s="46">
        <f t="shared" si="152"/>
        <v>0</v>
      </c>
      <c r="O193" s="46">
        <f t="shared" si="152"/>
        <v>0</v>
      </c>
      <c r="P193" s="46">
        <f t="shared" si="152"/>
        <v>0</v>
      </c>
      <c r="Q193" s="46">
        <f t="shared" si="152"/>
        <v>0</v>
      </c>
      <c r="R193" s="46">
        <f t="shared" si="152"/>
        <v>0</v>
      </c>
      <c r="S193" s="46">
        <f t="shared" si="152"/>
        <v>0</v>
      </c>
      <c r="T193" s="46">
        <f t="shared" si="152"/>
        <v>0</v>
      </c>
      <c r="U193" s="46">
        <f t="shared" si="152"/>
        <v>0</v>
      </c>
      <c r="V193" s="46">
        <f t="shared" si="152"/>
        <v>0</v>
      </c>
      <c r="W193" s="46">
        <f t="shared" si="152"/>
        <v>0</v>
      </c>
      <c r="X193" s="46">
        <f t="shared" si="152"/>
        <v>0</v>
      </c>
      <c r="Y193" s="46">
        <f t="shared" si="152"/>
        <v>0</v>
      </c>
      <c r="Z193" s="46">
        <f t="shared" si="153"/>
        <v>0</v>
      </c>
      <c r="AA193" s="46">
        <f t="shared" si="153"/>
        <v>0</v>
      </c>
      <c r="AB193" s="46">
        <f t="shared" si="153"/>
        <v>0</v>
      </c>
      <c r="AC193" s="46">
        <f t="shared" si="153"/>
        <v>0</v>
      </c>
      <c r="AD193" s="46">
        <f t="shared" si="153"/>
        <v>0</v>
      </c>
      <c r="AE193" s="46">
        <f t="shared" si="153"/>
        <v>0</v>
      </c>
      <c r="AF193" s="46">
        <f t="shared" si="153"/>
        <v>0</v>
      </c>
      <c r="AG193" s="46">
        <f t="shared" si="153"/>
        <v>0</v>
      </c>
      <c r="AH193" s="46">
        <f t="shared" si="153"/>
        <v>0</v>
      </c>
      <c r="AI193" s="46">
        <f t="shared" si="153"/>
        <v>0</v>
      </c>
      <c r="AJ193" s="46">
        <f t="shared" si="153"/>
        <v>0</v>
      </c>
      <c r="AK193" s="46">
        <f t="shared" si="153"/>
        <v>0</v>
      </c>
      <c r="AL193" s="46">
        <f t="shared" si="153"/>
        <v>0</v>
      </c>
      <c r="AM193" s="46">
        <f t="shared" si="153"/>
        <v>0</v>
      </c>
      <c r="AN193" s="46">
        <f t="shared" si="153"/>
        <v>0</v>
      </c>
      <c r="AO193" s="46">
        <f t="shared" si="153"/>
        <v>0</v>
      </c>
      <c r="AP193" s="46">
        <f t="shared" si="154"/>
        <v>0</v>
      </c>
      <c r="AQ193" s="46">
        <f t="shared" si="154"/>
        <v>0</v>
      </c>
      <c r="AR193" s="46">
        <f t="shared" si="154"/>
        <v>0</v>
      </c>
      <c r="AS193" s="46">
        <f t="shared" si="154"/>
        <v>0</v>
      </c>
      <c r="AT193" s="46">
        <f t="shared" si="154"/>
        <v>0</v>
      </c>
      <c r="AU193" s="46">
        <f t="shared" si="154"/>
        <v>0</v>
      </c>
      <c r="AV193" s="46">
        <f t="shared" si="154"/>
        <v>0</v>
      </c>
      <c r="AW193" s="46">
        <f t="shared" si="154"/>
        <v>0</v>
      </c>
      <c r="AX193" s="46">
        <f t="shared" si="154"/>
        <v>0</v>
      </c>
      <c r="AY193" s="46">
        <f t="shared" si="154"/>
        <v>0</v>
      </c>
      <c r="AZ193" s="46">
        <f t="shared" si="154"/>
        <v>0</v>
      </c>
      <c r="BA193" s="46">
        <f t="shared" si="154"/>
        <v>0</v>
      </c>
      <c r="BB193" s="46">
        <f t="shared" si="154"/>
        <v>0</v>
      </c>
      <c r="BC193" s="46">
        <f t="shared" si="154"/>
        <v>0</v>
      </c>
      <c r="BD193" s="46">
        <f t="shared" si="154"/>
        <v>0</v>
      </c>
      <c r="BE193" s="46">
        <f t="shared" si="154"/>
        <v>0</v>
      </c>
      <c r="BF193" s="46">
        <f t="shared" si="155"/>
        <v>0</v>
      </c>
      <c r="BG193" s="46">
        <f t="shared" si="155"/>
        <v>0</v>
      </c>
      <c r="BH193" s="46">
        <f t="shared" si="155"/>
        <v>0</v>
      </c>
    </row>
    <row r="194" spans="1:60" ht="14.25" customHeight="1" x14ac:dyDescent="0.3">
      <c r="A194" s="46"/>
      <c r="B194" s="37"/>
      <c r="C194" s="46" t="s">
        <v>322</v>
      </c>
      <c r="D194" s="46"/>
      <c r="E194" s="53">
        <v>1600</v>
      </c>
      <c r="F194" s="66">
        <f>P3</f>
        <v>45777</v>
      </c>
      <c r="G194" s="46"/>
      <c r="H194" s="46"/>
      <c r="I194" s="46"/>
      <c r="J194" s="46">
        <f t="shared" si="152"/>
        <v>0</v>
      </c>
      <c r="K194" s="46">
        <f t="shared" si="152"/>
        <v>0</v>
      </c>
      <c r="L194" s="46">
        <f t="shared" si="152"/>
        <v>0</v>
      </c>
      <c r="M194" s="46">
        <f t="shared" si="152"/>
        <v>0</v>
      </c>
      <c r="N194" s="46">
        <f t="shared" si="152"/>
        <v>0</v>
      </c>
      <c r="O194" s="46">
        <f t="shared" si="152"/>
        <v>0</v>
      </c>
      <c r="P194" s="46">
        <f t="shared" si="152"/>
        <v>1600</v>
      </c>
      <c r="Q194" s="46">
        <f t="shared" si="152"/>
        <v>1600</v>
      </c>
      <c r="R194" s="46">
        <f t="shared" si="152"/>
        <v>1600</v>
      </c>
      <c r="S194" s="46">
        <f t="shared" si="152"/>
        <v>1600</v>
      </c>
      <c r="T194" s="46">
        <f t="shared" si="152"/>
        <v>1600</v>
      </c>
      <c r="U194" s="46">
        <f t="shared" si="152"/>
        <v>1600</v>
      </c>
      <c r="V194" s="46">
        <f t="shared" si="152"/>
        <v>1600</v>
      </c>
      <c r="W194" s="46">
        <f t="shared" si="152"/>
        <v>1600</v>
      </c>
      <c r="X194" s="46">
        <f t="shared" si="152"/>
        <v>1600</v>
      </c>
      <c r="Y194" s="46">
        <f t="shared" si="152"/>
        <v>1600</v>
      </c>
      <c r="Z194" s="46">
        <f t="shared" si="153"/>
        <v>1600</v>
      </c>
      <c r="AA194" s="46">
        <f>IF($F194&lt;=AA$3,$E194,0)</f>
        <v>1600</v>
      </c>
      <c r="AB194" s="46">
        <f t="shared" si="153"/>
        <v>1600</v>
      </c>
      <c r="AC194" s="46">
        <f t="shared" si="153"/>
        <v>1600</v>
      </c>
      <c r="AD194" s="46">
        <f t="shared" si="153"/>
        <v>1600</v>
      </c>
      <c r="AE194" s="46">
        <f t="shared" si="153"/>
        <v>1600</v>
      </c>
      <c r="AF194" s="46">
        <f t="shared" si="153"/>
        <v>1600</v>
      </c>
      <c r="AG194" s="46">
        <f t="shared" si="153"/>
        <v>1600</v>
      </c>
      <c r="AH194" s="46">
        <f t="shared" si="153"/>
        <v>1600</v>
      </c>
      <c r="AI194" s="46">
        <f t="shared" si="153"/>
        <v>1600</v>
      </c>
      <c r="AJ194" s="46">
        <f t="shared" si="153"/>
        <v>1600</v>
      </c>
      <c r="AK194" s="46">
        <f t="shared" si="153"/>
        <v>1600</v>
      </c>
      <c r="AL194" s="46">
        <f t="shared" si="153"/>
        <v>1600</v>
      </c>
      <c r="AM194" s="46">
        <f t="shared" si="153"/>
        <v>1600</v>
      </c>
      <c r="AN194" s="46">
        <f t="shared" si="153"/>
        <v>1600</v>
      </c>
      <c r="AO194" s="46">
        <f t="shared" si="153"/>
        <v>1600</v>
      </c>
      <c r="AP194" s="46">
        <f t="shared" si="154"/>
        <v>1600</v>
      </c>
      <c r="AQ194" s="46">
        <f t="shared" si="154"/>
        <v>1600</v>
      </c>
      <c r="AR194" s="46">
        <f t="shared" si="154"/>
        <v>1600</v>
      </c>
      <c r="AS194" s="46">
        <f t="shared" si="154"/>
        <v>1600</v>
      </c>
      <c r="AT194" s="46">
        <f t="shared" si="154"/>
        <v>1600</v>
      </c>
      <c r="AU194" s="46">
        <f t="shared" si="154"/>
        <v>1600</v>
      </c>
      <c r="AV194" s="46">
        <f t="shared" si="154"/>
        <v>1600</v>
      </c>
      <c r="AW194" s="46">
        <f t="shared" si="154"/>
        <v>1600</v>
      </c>
      <c r="AX194" s="46">
        <f t="shared" si="154"/>
        <v>1600</v>
      </c>
      <c r="AY194" s="46">
        <f t="shared" si="154"/>
        <v>1600</v>
      </c>
      <c r="AZ194" s="46">
        <f t="shared" si="154"/>
        <v>1600</v>
      </c>
      <c r="BA194" s="46">
        <f t="shared" si="154"/>
        <v>1600</v>
      </c>
      <c r="BB194" s="46">
        <f t="shared" si="154"/>
        <v>1600</v>
      </c>
      <c r="BC194" s="46">
        <f t="shared" si="154"/>
        <v>1600</v>
      </c>
      <c r="BD194" s="46">
        <f t="shared" si="154"/>
        <v>1600</v>
      </c>
      <c r="BE194" s="46">
        <f t="shared" si="154"/>
        <v>1600</v>
      </c>
      <c r="BF194" s="46">
        <f t="shared" si="155"/>
        <v>1600</v>
      </c>
      <c r="BG194" s="46">
        <f t="shared" si="155"/>
        <v>1600</v>
      </c>
      <c r="BH194" s="46">
        <f t="shared" si="155"/>
        <v>1600</v>
      </c>
    </row>
    <row r="195" spans="1:60" ht="14.25" customHeight="1" x14ac:dyDescent="0.3">
      <c r="A195" s="46"/>
      <c r="B195" s="37"/>
      <c r="C195" s="46" t="s">
        <v>323</v>
      </c>
      <c r="D195" s="46"/>
      <c r="E195" s="53">
        <f>23750*1.2</f>
        <v>28500</v>
      </c>
      <c r="F195" s="66">
        <f>T3</f>
        <v>45900</v>
      </c>
      <c r="G195" s="46"/>
      <c r="H195" s="46"/>
      <c r="I195" s="46"/>
      <c r="J195" s="46">
        <v>0</v>
      </c>
      <c r="K195" s="46">
        <v>0</v>
      </c>
      <c r="L195" s="46">
        <v>0</v>
      </c>
      <c r="M195" s="46">
        <v>0</v>
      </c>
      <c r="N195" s="46">
        <v>0</v>
      </c>
      <c r="O195" s="46">
        <v>0</v>
      </c>
      <c r="P195" s="46">
        <v>0</v>
      </c>
      <c r="Q195" s="46">
        <v>0</v>
      </c>
      <c r="R195" s="46">
        <v>0</v>
      </c>
      <c r="S195" s="46">
        <v>19995</v>
      </c>
      <c r="T195" s="46">
        <f t="shared" si="152"/>
        <v>28500</v>
      </c>
      <c r="U195" s="46">
        <f t="shared" si="152"/>
        <v>28500</v>
      </c>
      <c r="V195" s="46">
        <f t="shared" si="152"/>
        <v>28500</v>
      </c>
      <c r="W195" s="46">
        <f t="shared" si="152"/>
        <v>28500</v>
      </c>
      <c r="X195" s="46">
        <f t="shared" si="152"/>
        <v>28500</v>
      </c>
      <c r="Y195" s="46">
        <f t="shared" si="152"/>
        <v>28500</v>
      </c>
      <c r="Z195" s="46">
        <f t="shared" si="153"/>
        <v>28500</v>
      </c>
      <c r="AA195" s="46">
        <f t="shared" si="153"/>
        <v>28500</v>
      </c>
      <c r="AB195" s="46">
        <f t="shared" si="153"/>
        <v>28500</v>
      </c>
      <c r="AC195" s="46">
        <f t="shared" si="153"/>
        <v>28500</v>
      </c>
      <c r="AD195" s="46">
        <f t="shared" si="153"/>
        <v>28500</v>
      </c>
      <c r="AE195" s="46">
        <f t="shared" si="153"/>
        <v>28500</v>
      </c>
      <c r="AF195" s="46">
        <f t="shared" si="153"/>
        <v>28500</v>
      </c>
      <c r="AG195" s="46">
        <f t="shared" si="153"/>
        <v>28500</v>
      </c>
      <c r="AH195" s="46">
        <f t="shared" si="153"/>
        <v>28500</v>
      </c>
      <c r="AI195" s="46">
        <f t="shared" si="153"/>
        <v>28500</v>
      </c>
      <c r="AJ195" s="46">
        <f t="shared" si="153"/>
        <v>28500</v>
      </c>
      <c r="AK195" s="46">
        <f t="shared" si="153"/>
        <v>28500</v>
      </c>
      <c r="AL195" s="46">
        <f t="shared" si="153"/>
        <v>28500</v>
      </c>
      <c r="AM195" s="46">
        <f t="shared" si="153"/>
        <v>28500</v>
      </c>
      <c r="AN195" s="46">
        <f t="shared" si="153"/>
        <v>28500</v>
      </c>
      <c r="AO195" s="46">
        <f t="shared" si="153"/>
        <v>28500</v>
      </c>
      <c r="AP195" s="46">
        <f t="shared" si="154"/>
        <v>28500</v>
      </c>
      <c r="AQ195" s="46">
        <f t="shared" si="154"/>
        <v>28500</v>
      </c>
      <c r="AR195" s="46">
        <f t="shared" si="154"/>
        <v>28500</v>
      </c>
      <c r="AS195" s="46">
        <f t="shared" si="154"/>
        <v>28500</v>
      </c>
      <c r="AT195" s="46">
        <f t="shared" si="154"/>
        <v>28500</v>
      </c>
      <c r="AU195" s="46">
        <f t="shared" si="154"/>
        <v>28500</v>
      </c>
      <c r="AV195" s="46">
        <f t="shared" si="154"/>
        <v>28500</v>
      </c>
      <c r="AW195" s="46">
        <f t="shared" si="154"/>
        <v>28500</v>
      </c>
      <c r="AX195" s="46">
        <f t="shared" si="154"/>
        <v>28500</v>
      </c>
      <c r="AY195" s="46">
        <f t="shared" si="154"/>
        <v>28500</v>
      </c>
      <c r="AZ195" s="46">
        <f t="shared" si="154"/>
        <v>28500</v>
      </c>
      <c r="BA195" s="46">
        <f t="shared" si="154"/>
        <v>28500</v>
      </c>
      <c r="BB195" s="46">
        <f t="shared" si="154"/>
        <v>28500</v>
      </c>
      <c r="BC195" s="46">
        <f t="shared" si="154"/>
        <v>28500</v>
      </c>
      <c r="BD195" s="46">
        <f t="shared" si="154"/>
        <v>28500</v>
      </c>
      <c r="BE195" s="46">
        <f t="shared" si="154"/>
        <v>28500</v>
      </c>
      <c r="BF195" s="46">
        <f t="shared" si="155"/>
        <v>28500</v>
      </c>
      <c r="BG195" s="46">
        <f t="shared" si="155"/>
        <v>28500</v>
      </c>
      <c r="BH195" s="46">
        <f t="shared" si="155"/>
        <v>28500</v>
      </c>
    </row>
    <row r="196" spans="1:60" ht="14.25" customHeight="1" x14ac:dyDescent="0.3">
      <c r="A196" s="46"/>
      <c r="B196" s="37"/>
      <c r="C196" s="46" t="s">
        <v>324</v>
      </c>
      <c r="D196" s="46"/>
      <c r="E196" s="53">
        <v>16589</v>
      </c>
      <c r="F196" s="66">
        <f>T3</f>
        <v>45900</v>
      </c>
      <c r="G196" s="46"/>
      <c r="H196" s="46"/>
      <c r="I196" s="46"/>
      <c r="J196" s="46">
        <v>0</v>
      </c>
      <c r="K196" s="46">
        <v>0</v>
      </c>
      <c r="L196" s="46">
        <v>0</v>
      </c>
      <c r="M196" s="46">
        <v>11724</v>
      </c>
      <c r="N196" s="46">
        <v>11724</v>
      </c>
      <c r="O196" s="46">
        <v>11049</v>
      </c>
      <c r="P196" s="46">
        <v>13325</v>
      </c>
      <c r="Q196" s="46">
        <v>13325</v>
      </c>
      <c r="R196" s="46">
        <v>11271</v>
      </c>
      <c r="S196" s="46">
        <v>13341</v>
      </c>
      <c r="T196" s="46">
        <f t="shared" si="152"/>
        <v>16589</v>
      </c>
      <c r="U196" s="46">
        <f t="shared" si="152"/>
        <v>16589</v>
      </c>
      <c r="V196" s="46">
        <f t="shared" si="152"/>
        <v>16589</v>
      </c>
      <c r="W196" s="46">
        <f t="shared" si="152"/>
        <v>16589</v>
      </c>
      <c r="X196" s="46">
        <f t="shared" si="152"/>
        <v>16589</v>
      </c>
      <c r="Y196" s="46">
        <f t="shared" si="152"/>
        <v>16589</v>
      </c>
      <c r="Z196" s="46">
        <f t="shared" si="153"/>
        <v>16589</v>
      </c>
      <c r="AA196" s="46">
        <f t="shared" si="153"/>
        <v>16589</v>
      </c>
      <c r="AB196" s="46">
        <f t="shared" si="153"/>
        <v>16589</v>
      </c>
      <c r="AC196" s="46">
        <f t="shared" si="153"/>
        <v>16589</v>
      </c>
      <c r="AD196" s="46">
        <f t="shared" si="153"/>
        <v>16589</v>
      </c>
      <c r="AE196" s="46">
        <f t="shared" si="153"/>
        <v>16589</v>
      </c>
      <c r="AF196" s="46">
        <f t="shared" si="153"/>
        <v>16589</v>
      </c>
      <c r="AG196" s="46">
        <f t="shared" si="153"/>
        <v>16589</v>
      </c>
      <c r="AH196" s="46">
        <f t="shared" si="153"/>
        <v>16589</v>
      </c>
      <c r="AI196" s="46">
        <f t="shared" si="153"/>
        <v>16589</v>
      </c>
      <c r="AJ196" s="46">
        <f t="shared" si="153"/>
        <v>16589</v>
      </c>
      <c r="AK196" s="46">
        <f t="shared" si="153"/>
        <v>16589</v>
      </c>
      <c r="AL196" s="46">
        <f t="shared" si="153"/>
        <v>16589</v>
      </c>
      <c r="AM196" s="46">
        <f t="shared" si="153"/>
        <v>16589</v>
      </c>
      <c r="AN196" s="46">
        <f t="shared" si="153"/>
        <v>16589</v>
      </c>
      <c r="AO196" s="46">
        <f t="shared" si="153"/>
        <v>16589</v>
      </c>
      <c r="AP196" s="46">
        <f t="shared" si="154"/>
        <v>16589</v>
      </c>
      <c r="AQ196" s="46">
        <f t="shared" si="154"/>
        <v>16589</v>
      </c>
      <c r="AR196" s="46">
        <f t="shared" si="154"/>
        <v>16589</v>
      </c>
      <c r="AS196" s="46">
        <f t="shared" si="154"/>
        <v>16589</v>
      </c>
      <c r="AT196" s="46">
        <f t="shared" si="154"/>
        <v>16589</v>
      </c>
      <c r="AU196" s="46">
        <f t="shared" si="154"/>
        <v>16589</v>
      </c>
      <c r="AV196" s="46">
        <f t="shared" si="154"/>
        <v>16589</v>
      </c>
      <c r="AW196" s="46">
        <f t="shared" si="154"/>
        <v>16589</v>
      </c>
      <c r="AX196" s="46">
        <f t="shared" si="154"/>
        <v>16589</v>
      </c>
      <c r="AY196" s="46">
        <f t="shared" si="154"/>
        <v>16589</v>
      </c>
      <c r="AZ196" s="46">
        <f t="shared" si="154"/>
        <v>16589</v>
      </c>
      <c r="BA196" s="46">
        <f t="shared" si="154"/>
        <v>16589</v>
      </c>
      <c r="BB196" s="46">
        <f t="shared" si="154"/>
        <v>16589</v>
      </c>
      <c r="BC196" s="46">
        <f t="shared" si="154"/>
        <v>16589</v>
      </c>
      <c r="BD196" s="46">
        <f t="shared" si="154"/>
        <v>16589</v>
      </c>
      <c r="BE196" s="46">
        <f t="shared" si="154"/>
        <v>16589</v>
      </c>
      <c r="BF196" s="46">
        <f t="shared" si="155"/>
        <v>16589</v>
      </c>
      <c r="BG196" s="46">
        <f t="shared" si="155"/>
        <v>16589</v>
      </c>
      <c r="BH196" s="46">
        <f t="shared" si="155"/>
        <v>16589</v>
      </c>
    </row>
    <row r="197" spans="1:60" ht="14.25" customHeight="1" x14ac:dyDescent="0.3">
      <c r="A197" s="46"/>
      <c r="B197" s="37"/>
      <c r="C197" s="46" t="s">
        <v>325</v>
      </c>
      <c r="D197" s="46"/>
      <c r="E197" s="53">
        <v>0</v>
      </c>
      <c r="F197" s="66">
        <f>K3</f>
        <v>45626</v>
      </c>
      <c r="G197" s="60"/>
      <c r="H197" s="46"/>
      <c r="I197" s="46"/>
      <c r="J197" s="46">
        <f t="shared" si="152"/>
        <v>0</v>
      </c>
      <c r="K197" s="46">
        <f t="shared" si="152"/>
        <v>0</v>
      </c>
      <c r="L197" s="46">
        <f t="shared" si="152"/>
        <v>0</v>
      </c>
      <c r="M197" s="46">
        <f t="shared" si="152"/>
        <v>0</v>
      </c>
      <c r="N197" s="46">
        <f t="shared" si="152"/>
        <v>0</v>
      </c>
      <c r="O197" s="46">
        <f t="shared" si="152"/>
        <v>0</v>
      </c>
      <c r="P197" s="46">
        <f t="shared" si="152"/>
        <v>0</v>
      </c>
      <c r="Q197" s="46">
        <f t="shared" si="152"/>
        <v>0</v>
      </c>
      <c r="R197" s="46">
        <f t="shared" si="152"/>
        <v>0</v>
      </c>
      <c r="S197" s="46">
        <f t="shared" si="152"/>
        <v>0</v>
      </c>
      <c r="T197" s="46">
        <f t="shared" si="152"/>
        <v>0</v>
      </c>
      <c r="U197" s="46">
        <f t="shared" si="152"/>
        <v>0</v>
      </c>
      <c r="V197" s="46">
        <f t="shared" si="152"/>
        <v>0</v>
      </c>
      <c r="W197" s="46">
        <f t="shared" si="152"/>
        <v>0</v>
      </c>
      <c r="X197" s="46">
        <f t="shared" si="152"/>
        <v>0</v>
      </c>
      <c r="Y197" s="46">
        <f t="shared" si="152"/>
        <v>0</v>
      </c>
      <c r="Z197" s="46">
        <f t="shared" si="153"/>
        <v>0</v>
      </c>
      <c r="AA197" s="46">
        <f t="shared" si="153"/>
        <v>0</v>
      </c>
      <c r="AB197" s="46">
        <f t="shared" si="153"/>
        <v>0</v>
      </c>
      <c r="AC197" s="46">
        <f t="shared" si="153"/>
        <v>0</v>
      </c>
      <c r="AD197" s="46">
        <f t="shared" si="153"/>
        <v>0</v>
      </c>
      <c r="AE197" s="46">
        <f t="shared" si="153"/>
        <v>0</v>
      </c>
      <c r="AF197" s="46">
        <f t="shared" si="153"/>
        <v>0</v>
      </c>
      <c r="AG197" s="46">
        <f t="shared" si="153"/>
        <v>0</v>
      </c>
      <c r="AH197" s="46">
        <f t="shared" si="153"/>
        <v>0</v>
      </c>
      <c r="AI197" s="46">
        <f t="shared" si="153"/>
        <v>0</v>
      </c>
      <c r="AJ197" s="46">
        <f t="shared" si="153"/>
        <v>0</v>
      </c>
      <c r="AK197" s="46">
        <f t="shared" si="153"/>
        <v>0</v>
      </c>
      <c r="AL197" s="46">
        <f t="shared" si="153"/>
        <v>0</v>
      </c>
      <c r="AM197" s="46">
        <f t="shared" si="153"/>
        <v>0</v>
      </c>
      <c r="AN197" s="46">
        <f t="shared" si="153"/>
        <v>0</v>
      </c>
      <c r="AO197" s="46">
        <f t="shared" si="153"/>
        <v>0</v>
      </c>
      <c r="AP197" s="46">
        <f t="shared" si="154"/>
        <v>0</v>
      </c>
      <c r="AQ197" s="46">
        <f t="shared" si="154"/>
        <v>0</v>
      </c>
      <c r="AR197" s="46">
        <f t="shared" si="154"/>
        <v>0</v>
      </c>
      <c r="AS197" s="46">
        <f t="shared" si="154"/>
        <v>0</v>
      </c>
      <c r="AT197" s="46">
        <f t="shared" si="154"/>
        <v>0</v>
      </c>
      <c r="AU197" s="46">
        <f t="shared" si="154"/>
        <v>0</v>
      </c>
      <c r="AV197" s="46">
        <f t="shared" si="154"/>
        <v>0</v>
      </c>
      <c r="AW197" s="46">
        <f t="shared" si="154"/>
        <v>0</v>
      </c>
      <c r="AX197" s="46">
        <f t="shared" si="154"/>
        <v>0</v>
      </c>
      <c r="AY197" s="46">
        <f t="shared" si="154"/>
        <v>0</v>
      </c>
      <c r="AZ197" s="46">
        <f t="shared" si="154"/>
        <v>0</v>
      </c>
      <c r="BA197" s="46">
        <f t="shared" si="154"/>
        <v>0</v>
      </c>
      <c r="BB197" s="46">
        <f t="shared" si="154"/>
        <v>0</v>
      </c>
      <c r="BC197" s="46">
        <f t="shared" si="154"/>
        <v>0</v>
      </c>
      <c r="BD197" s="46">
        <f t="shared" si="154"/>
        <v>0</v>
      </c>
      <c r="BE197" s="46">
        <f t="shared" si="154"/>
        <v>0</v>
      </c>
      <c r="BF197" s="46">
        <f t="shared" si="155"/>
        <v>0</v>
      </c>
      <c r="BG197" s="46">
        <f t="shared" si="155"/>
        <v>0</v>
      </c>
      <c r="BH197" s="46">
        <f t="shared" si="155"/>
        <v>0</v>
      </c>
    </row>
    <row r="198" spans="1:60" ht="14.25" customHeight="1" x14ac:dyDescent="0.3">
      <c r="A198" s="46"/>
      <c r="B198" s="37"/>
      <c r="C198" s="46" t="s">
        <v>326</v>
      </c>
      <c r="D198" s="46"/>
      <c r="E198" s="53">
        <v>10000</v>
      </c>
      <c r="F198" s="66">
        <f>T3</f>
        <v>45900</v>
      </c>
      <c r="G198" s="60"/>
      <c r="H198" s="46"/>
      <c r="I198" s="46"/>
      <c r="J198" s="46">
        <v>0</v>
      </c>
      <c r="K198" s="46">
        <v>0</v>
      </c>
      <c r="L198" s="46">
        <v>0</v>
      </c>
      <c r="M198" s="46">
        <v>4949</v>
      </c>
      <c r="N198" s="46">
        <v>3882</v>
      </c>
      <c r="O198" s="46">
        <v>5804</v>
      </c>
      <c r="P198" s="46">
        <v>3762</v>
      </c>
      <c r="Q198" s="46">
        <v>5839</v>
      </c>
      <c r="R198" s="46">
        <v>14179</v>
      </c>
      <c r="S198" s="46">
        <v>10198</v>
      </c>
      <c r="T198" s="46">
        <f t="shared" si="152"/>
        <v>10000</v>
      </c>
      <c r="U198" s="46">
        <f t="shared" si="152"/>
        <v>10000</v>
      </c>
      <c r="V198" s="46">
        <f t="shared" si="152"/>
        <v>10000</v>
      </c>
      <c r="W198" s="46">
        <f t="shared" si="152"/>
        <v>10000</v>
      </c>
      <c r="X198" s="46">
        <f t="shared" si="152"/>
        <v>10000</v>
      </c>
      <c r="Y198" s="46">
        <f t="shared" si="152"/>
        <v>10000</v>
      </c>
      <c r="Z198" s="46">
        <f t="shared" si="153"/>
        <v>10000</v>
      </c>
      <c r="AA198" s="46">
        <f t="shared" si="153"/>
        <v>10000</v>
      </c>
      <c r="AB198" s="46">
        <f t="shared" si="153"/>
        <v>10000</v>
      </c>
      <c r="AC198" s="46">
        <f t="shared" si="153"/>
        <v>10000</v>
      </c>
      <c r="AD198" s="46">
        <f t="shared" si="153"/>
        <v>10000</v>
      </c>
      <c r="AE198" s="46">
        <f t="shared" si="153"/>
        <v>10000</v>
      </c>
      <c r="AF198" s="46">
        <f t="shared" si="153"/>
        <v>10000</v>
      </c>
      <c r="AG198" s="46">
        <f t="shared" si="153"/>
        <v>10000</v>
      </c>
      <c r="AH198" s="46">
        <f t="shared" si="153"/>
        <v>10000</v>
      </c>
      <c r="AI198" s="46">
        <f t="shared" si="153"/>
        <v>10000</v>
      </c>
      <c r="AJ198" s="46">
        <f t="shared" si="153"/>
        <v>10000</v>
      </c>
      <c r="AK198" s="46">
        <f t="shared" si="153"/>
        <v>10000</v>
      </c>
      <c r="AL198" s="46">
        <f t="shared" si="153"/>
        <v>10000</v>
      </c>
      <c r="AM198" s="46">
        <f t="shared" si="153"/>
        <v>10000</v>
      </c>
      <c r="AN198" s="46">
        <f t="shared" si="153"/>
        <v>10000</v>
      </c>
      <c r="AO198" s="46">
        <f t="shared" si="153"/>
        <v>10000</v>
      </c>
      <c r="AP198" s="46">
        <f t="shared" si="154"/>
        <v>10000</v>
      </c>
      <c r="AQ198" s="46">
        <f t="shared" si="154"/>
        <v>10000</v>
      </c>
      <c r="AR198" s="46">
        <f t="shared" si="154"/>
        <v>10000</v>
      </c>
      <c r="AS198" s="46">
        <f t="shared" si="154"/>
        <v>10000</v>
      </c>
      <c r="AT198" s="46">
        <f t="shared" si="154"/>
        <v>10000</v>
      </c>
      <c r="AU198" s="46">
        <f t="shared" si="154"/>
        <v>10000</v>
      </c>
      <c r="AV198" s="46">
        <f t="shared" si="154"/>
        <v>10000</v>
      </c>
      <c r="AW198" s="46">
        <f t="shared" si="154"/>
        <v>10000</v>
      </c>
      <c r="AX198" s="46">
        <f t="shared" si="154"/>
        <v>10000</v>
      </c>
      <c r="AY198" s="46">
        <f t="shared" si="154"/>
        <v>10000</v>
      </c>
      <c r="AZ198" s="46">
        <f t="shared" si="154"/>
        <v>10000</v>
      </c>
      <c r="BA198" s="46">
        <f t="shared" si="154"/>
        <v>10000</v>
      </c>
      <c r="BB198" s="46">
        <f t="shared" si="154"/>
        <v>10000</v>
      </c>
      <c r="BC198" s="46">
        <f t="shared" si="154"/>
        <v>10000</v>
      </c>
      <c r="BD198" s="46">
        <f t="shared" si="154"/>
        <v>10000</v>
      </c>
      <c r="BE198" s="46">
        <f t="shared" si="154"/>
        <v>10000</v>
      </c>
      <c r="BF198" s="46">
        <f t="shared" si="155"/>
        <v>10000</v>
      </c>
      <c r="BG198" s="46">
        <f t="shared" si="155"/>
        <v>10000</v>
      </c>
      <c r="BH198" s="46">
        <f t="shared" si="155"/>
        <v>10000</v>
      </c>
    </row>
    <row r="199" spans="1:60" ht="14.25" customHeight="1" x14ac:dyDescent="0.3">
      <c r="A199" s="46"/>
      <c r="B199" s="37"/>
      <c r="C199" s="57" t="s">
        <v>327</v>
      </c>
      <c r="D199" s="46"/>
      <c r="E199" s="53">
        <v>1500</v>
      </c>
      <c r="F199" s="66">
        <f>Y3</f>
        <v>46053</v>
      </c>
      <c r="G199" s="60"/>
      <c r="H199" s="46"/>
      <c r="I199" s="46"/>
      <c r="J199" s="46">
        <f t="shared" si="152"/>
        <v>0</v>
      </c>
      <c r="K199" s="46">
        <f t="shared" si="152"/>
        <v>0</v>
      </c>
      <c r="L199" s="46">
        <f t="shared" si="152"/>
        <v>0</v>
      </c>
      <c r="M199" s="46">
        <f t="shared" si="152"/>
        <v>0</v>
      </c>
      <c r="N199" s="46">
        <f t="shared" si="152"/>
        <v>0</v>
      </c>
      <c r="O199" s="46">
        <f t="shared" si="152"/>
        <v>0</v>
      </c>
      <c r="P199" s="46">
        <f t="shared" si="152"/>
        <v>0</v>
      </c>
      <c r="Q199" s="46">
        <f t="shared" si="152"/>
        <v>0</v>
      </c>
      <c r="R199" s="46">
        <f t="shared" si="152"/>
        <v>0</v>
      </c>
      <c r="S199" s="46">
        <f t="shared" si="152"/>
        <v>0</v>
      </c>
      <c r="T199" s="46">
        <f t="shared" si="152"/>
        <v>0</v>
      </c>
      <c r="U199" s="46">
        <f t="shared" si="152"/>
        <v>0</v>
      </c>
      <c r="V199" s="46">
        <f t="shared" si="152"/>
        <v>0</v>
      </c>
      <c r="W199" s="46">
        <f t="shared" si="152"/>
        <v>0</v>
      </c>
      <c r="X199" s="46">
        <f t="shared" si="152"/>
        <v>0</v>
      </c>
      <c r="Y199" s="46">
        <f t="shared" si="152"/>
        <v>1500</v>
      </c>
      <c r="Z199" s="46">
        <f t="shared" si="153"/>
        <v>1500</v>
      </c>
      <c r="AA199" s="46">
        <f t="shared" si="153"/>
        <v>1500</v>
      </c>
      <c r="AB199" s="46">
        <f t="shared" si="153"/>
        <v>1500</v>
      </c>
      <c r="AC199" s="46">
        <f t="shared" si="153"/>
        <v>1500</v>
      </c>
      <c r="AD199" s="46">
        <f t="shared" si="153"/>
        <v>1500</v>
      </c>
      <c r="AE199" s="46">
        <f t="shared" si="153"/>
        <v>1500</v>
      </c>
      <c r="AF199" s="46">
        <f t="shared" si="153"/>
        <v>1500</v>
      </c>
      <c r="AG199" s="46">
        <f t="shared" si="153"/>
        <v>1500</v>
      </c>
      <c r="AH199" s="46">
        <f t="shared" si="153"/>
        <v>1500</v>
      </c>
      <c r="AI199" s="46">
        <f t="shared" si="153"/>
        <v>1500</v>
      </c>
      <c r="AJ199" s="46">
        <f t="shared" si="153"/>
        <v>1500</v>
      </c>
      <c r="AK199" s="46">
        <f t="shared" si="153"/>
        <v>1500</v>
      </c>
      <c r="AL199" s="46">
        <f t="shared" si="153"/>
        <v>1500</v>
      </c>
      <c r="AM199" s="46">
        <f t="shared" si="153"/>
        <v>1500</v>
      </c>
      <c r="AN199" s="46">
        <f t="shared" si="153"/>
        <v>1500</v>
      </c>
      <c r="AO199" s="46">
        <f t="shared" si="153"/>
        <v>1500</v>
      </c>
      <c r="AP199" s="46">
        <f t="shared" si="154"/>
        <v>1500</v>
      </c>
      <c r="AQ199" s="46">
        <f t="shared" si="154"/>
        <v>1500</v>
      </c>
      <c r="AR199" s="46">
        <f t="shared" si="154"/>
        <v>1500</v>
      </c>
      <c r="AS199" s="46">
        <f t="shared" si="154"/>
        <v>1500</v>
      </c>
      <c r="AT199" s="46">
        <f t="shared" si="154"/>
        <v>1500</v>
      </c>
      <c r="AU199" s="46">
        <f t="shared" si="154"/>
        <v>1500</v>
      </c>
      <c r="AV199" s="46">
        <f t="shared" si="154"/>
        <v>1500</v>
      </c>
      <c r="AW199" s="46">
        <f t="shared" si="154"/>
        <v>1500</v>
      </c>
      <c r="AX199" s="46">
        <f t="shared" si="154"/>
        <v>1500</v>
      </c>
      <c r="AY199" s="46">
        <f t="shared" si="154"/>
        <v>1500</v>
      </c>
      <c r="AZ199" s="46">
        <f t="shared" si="154"/>
        <v>1500</v>
      </c>
      <c r="BA199" s="46">
        <f t="shared" si="154"/>
        <v>1500</v>
      </c>
      <c r="BB199" s="46">
        <f t="shared" si="154"/>
        <v>1500</v>
      </c>
      <c r="BC199" s="46">
        <f t="shared" si="154"/>
        <v>1500</v>
      </c>
      <c r="BD199" s="46">
        <f t="shared" si="154"/>
        <v>1500</v>
      </c>
      <c r="BE199" s="46">
        <f t="shared" si="154"/>
        <v>1500</v>
      </c>
      <c r="BF199" s="46">
        <f t="shared" si="155"/>
        <v>1500</v>
      </c>
      <c r="BG199" s="46">
        <f t="shared" si="155"/>
        <v>1500</v>
      </c>
      <c r="BH199" s="46">
        <f t="shared" si="155"/>
        <v>1500</v>
      </c>
    </row>
    <row r="200" spans="1:60" ht="14.25" customHeight="1" x14ac:dyDescent="0.3">
      <c r="A200" s="46"/>
      <c r="B200" s="37"/>
      <c r="C200" s="57" t="s">
        <v>160</v>
      </c>
      <c r="D200" s="46"/>
      <c r="E200" s="53">
        <f>E198*0.2</f>
        <v>2000</v>
      </c>
      <c r="F200" s="66">
        <f>T3</f>
        <v>45900</v>
      </c>
      <c r="G200" s="60" t="s">
        <v>328</v>
      </c>
      <c r="H200" s="46"/>
      <c r="I200" s="46"/>
      <c r="J200" s="46">
        <f t="shared" si="152"/>
        <v>0</v>
      </c>
      <c r="K200" s="46">
        <f t="shared" si="152"/>
        <v>0</v>
      </c>
      <c r="L200" s="46">
        <f t="shared" si="152"/>
        <v>0</v>
      </c>
      <c r="M200" s="46">
        <f t="shared" si="152"/>
        <v>0</v>
      </c>
      <c r="N200" s="46">
        <f t="shared" si="152"/>
        <v>0</v>
      </c>
      <c r="O200" s="46">
        <f t="shared" si="152"/>
        <v>0</v>
      </c>
      <c r="P200" s="46">
        <f t="shared" si="152"/>
        <v>0</v>
      </c>
      <c r="Q200" s="46">
        <f t="shared" si="152"/>
        <v>0</v>
      </c>
      <c r="R200" s="46">
        <f t="shared" si="152"/>
        <v>0</v>
      </c>
      <c r="S200" s="46">
        <f t="shared" si="152"/>
        <v>0</v>
      </c>
      <c r="T200" s="46">
        <f t="shared" si="152"/>
        <v>2000</v>
      </c>
      <c r="U200" s="46">
        <f t="shared" si="152"/>
        <v>2000</v>
      </c>
      <c r="V200" s="46">
        <f t="shared" si="152"/>
        <v>2000</v>
      </c>
      <c r="W200" s="46">
        <f t="shared" si="152"/>
        <v>2000</v>
      </c>
      <c r="X200" s="46">
        <f t="shared" si="152"/>
        <v>2000</v>
      </c>
      <c r="Y200" s="46">
        <f t="shared" si="152"/>
        <v>2000</v>
      </c>
      <c r="Z200" s="46">
        <f t="shared" si="153"/>
        <v>2000</v>
      </c>
      <c r="AA200" s="46">
        <f t="shared" si="153"/>
        <v>2000</v>
      </c>
      <c r="AB200" s="46">
        <f t="shared" si="153"/>
        <v>2000</v>
      </c>
      <c r="AC200" s="46">
        <f t="shared" si="153"/>
        <v>2000</v>
      </c>
      <c r="AD200" s="46">
        <f t="shared" si="153"/>
        <v>2000</v>
      </c>
      <c r="AE200" s="46">
        <f t="shared" si="153"/>
        <v>2000</v>
      </c>
      <c r="AF200" s="46">
        <f t="shared" si="153"/>
        <v>2000</v>
      </c>
      <c r="AG200" s="46">
        <f t="shared" si="153"/>
        <v>2000</v>
      </c>
      <c r="AH200" s="46">
        <f t="shared" si="153"/>
        <v>2000</v>
      </c>
      <c r="AI200" s="46">
        <f t="shared" si="153"/>
        <v>2000</v>
      </c>
      <c r="AJ200" s="46">
        <f t="shared" si="153"/>
        <v>2000</v>
      </c>
      <c r="AK200" s="46">
        <f t="shared" si="153"/>
        <v>2000</v>
      </c>
      <c r="AL200" s="46">
        <f t="shared" si="153"/>
        <v>2000</v>
      </c>
      <c r="AM200" s="46">
        <f t="shared" si="153"/>
        <v>2000</v>
      </c>
      <c r="AN200" s="46">
        <f t="shared" si="153"/>
        <v>2000</v>
      </c>
      <c r="AO200" s="46">
        <f t="shared" si="153"/>
        <v>2000</v>
      </c>
      <c r="AP200" s="46">
        <f t="shared" si="154"/>
        <v>2000</v>
      </c>
      <c r="AQ200" s="46">
        <f t="shared" si="154"/>
        <v>2000</v>
      </c>
      <c r="AR200" s="46">
        <f t="shared" si="154"/>
        <v>2000</v>
      </c>
      <c r="AS200" s="46">
        <f t="shared" si="154"/>
        <v>2000</v>
      </c>
      <c r="AT200" s="46">
        <f t="shared" si="154"/>
        <v>2000</v>
      </c>
      <c r="AU200" s="46">
        <f t="shared" si="154"/>
        <v>2000</v>
      </c>
      <c r="AV200" s="46">
        <f t="shared" si="154"/>
        <v>2000</v>
      </c>
      <c r="AW200" s="46">
        <f t="shared" si="154"/>
        <v>2000</v>
      </c>
      <c r="AX200" s="46">
        <f t="shared" si="154"/>
        <v>2000</v>
      </c>
      <c r="AY200" s="46">
        <f t="shared" si="154"/>
        <v>2000</v>
      </c>
      <c r="AZ200" s="46">
        <f t="shared" si="154"/>
        <v>2000</v>
      </c>
      <c r="BA200" s="46">
        <f t="shared" si="154"/>
        <v>2000</v>
      </c>
      <c r="BB200" s="46">
        <f t="shared" si="154"/>
        <v>2000</v>
      </c>
      <c r="BC200" s="46">
        <f t="shared" si="154"/>
        <v>2000</v>
      </c>
      <c r="BD200" s="46">
        <f t="shared" si="154"/>
        <v>2000</v>
      </c>
      <c r="BE200" s="46">
        <f t="shared" si="154"/>
        <v>2000</v>
      </c>
      <c r="BF200" s="46">
        <f t="shared" si="155"/>
        <v>2000</v>
      </c>
      <c r="BG200" s="46">
        <f t="shared" si="155"/>
        <v>2000</v>
      </c>
      <c r="BH200" s="46">
        <f t="shared" si="155"/>
        <v>2000</v>
      </c>
    </row>
    <row r="201" spans="1:60" ht="14.25" customHeight="1" x14ac:dyDescent="0.3">
      <c r="A201" s="46"/>
      <c r="B201" s="37"/>
      <c r="C201" s="57" t="s">
        <v>329</v>
      </c>
      <c r="D201" s="46"/>
      <c r="E201" s="53">
        <v>10000</v>
      </c>
      <c r="F201" s="66">
        <v>45930</v>
      </c>
      <c r="G201" s="60" t="s">
        <v>330</v>
      </c>
      <c r="H201" s="46"/>
      <c r="I201" s="46"/>
      <c r="J201" s="46">
        <f t="shared" si="152"/>
        <v>0</v>
      </c>
      <c r="K201" s="46">
        <f t="shared" si="152"/>
        <v>0</v>
      </c>
      <c r="L201" s="46">
        <f t="shared" si="152"/>
        <v>0</v>
      </c>
      <c r="M201" s="46">
        <f t="shared" si="152"/>
        <v>0</v>
      </c>
      <c r="N201" s="46">
        <f t="shared" si="152"/>
        <v>0</v>
      </c>
      <c r="O201" s="46">
        <f t="shared" si="152"/>
        <v>0</v>
      </c>
      <c r="P201" s="46">
        <v>33880</v>
      </c>
      <c r="Q201" s="46">
        <f t="shared" si="152"/>
        <v>0</v>
      </c>
      <c r="R201" s="46">
        <v>27830</v>
      </c>
      <c r="S201" s="46">
        <f t="shared" si="152"/>
        <v>0</v>
      </c>
      <c r="T201" s="46">
        <v>30000</v>
      </c>
      <c r="U201" s="46">
        <f t="shared" si="152"/>
        <v>10000</v>
      </c>
      <c r="V201" s="46">
        <f t="shared" si="152"/>
        <v>10000</v>
      </c>
      <c r="W201" s="46">
        <f t="shared" si="152"/>
        <v>10000</v>
      </c>
      <c r="X201" s="46">
        <f t="shared" si="152"/>
        <v>10000</v>
      </c>
      <c r="Y201" s="46">
        <f t="shared" si="152"/>
        <v>10000</v>
      </c>
      <c r="Z201" s="46">
        <f t="shared" si="153"/>
        <v>10000</v>
      </c>
      <c r="AA201" s="46">
        <f t="shared" si="153"/>
        <v>10000</v>
      </c>
      <c r="AB201" s="46">
        <f t="shared" si="153"/>
        <v>10000</v>
      </c>
      <c r="AC201" s="46">
        <f t="shared" si="153"/>
        <v>10000</v>
      </c>
      <c r="AD201" s="46">
        <f t="shared" si="153"/>
        <v>10000</v>
      </c>
      <c r="AE201" s="46">
        <f t="shared" si="153"/>
        <v>10000</v>
      </c>
      <c r="AF201" s="46">
        <f t="shared" si="153"/>
        <v>10000</v>
      </c>
      <c r="AG201" s="46">
        <f t="shared" si="153"/>
        <v>10000</v>
      </c>
      <c r="AH201" s="46">
        <f t="shared" si="153"/>
        <v>10000</v>
      </c>
      <c r="AI201" s="46">
        <f t="shared" si="153"/>
        <v>10000</v>
      </c>
      <c r="AJ201" s="46">
        <f t="shared" si="153"/>
        <v>10000</v>
      </c>
      <c r="AK201" s="46">
        <f t="shared" si="153"/>
        <v>10000</v>
      </c>
      <c r="AL201" s="46">
        <f t="shared" si="153"/>
        <v>10000</v>
      </c>
      <c r="AM201" s="46">
        <f t="shared" si="153"/>
        <v>10000</v>
      </c>
      <c r="AN201" s="46">
        <f t="shared" si="153"/>
        <v>10000</v>
      </c>
      <c r="AO201" s="46">
        <f t="shared" si="153"/>
        <v>10000</v>
      </c>
      <c r="AP201" s="46">
        <f t="shared" si="154"/>
        <v>10000</v>
      </c>
      <c r="AQ201" s="46">
        <f t="shared" si="154"/>
        <v>10000</v>
      </c>
      <c r="AR201" s="46">
        <f t="shared" si="154"/>
        <v>10000</v>
      </c>
      <c r="AS201" s="46">
        <f t="shared" si="154"/>
        <v>10000</v>
      </c>
      <c r="AT201" s="46">
        <f t="shared" si="154"/>
        <v>10000</v>
      </c>
      <c r="AU201" s="46">
        <f t="shared" si="154"/>
        <v>10000</v>
      </c>
      <c r="AV201" s="46">
        <f t="shared" si="154"/>
        <v>10000</v>
      </c>
      <c r="AW201" s="46">
        <f t="shared" si="154"/>
        <v>10000</v>
      </c>
      <c r="AX201" s="46">
        <f t="shared" si="154"/>
        <v>10000</v>
      </c>
      <c r="AY201" s="46">
        <f t="shared" si="154"/>
        <v>10000</v>
      </c>
      <c r="AZ201" s="46">
        <f t="shared" si="154"/>
        <v>10000</v>
      </c>
      <c r="BA201" s="46">
        <f t="shared" si="154"/>
        <v>10000</v>
      </c>
      <c r="BB201" s="46">
        <f t="shared" si="154"/>
        <v>10000</v>
      </c>
      <c r="BC201" s="46">
        <f t="shared" si="154"/>
        <v>10000</v>
      </c>
      <c r="BD201" s="46">
        <f t="shared" si="154"/>
        <v>10000</v>
      </c>
      <c r="BE201" s="46">
        <f t="shared" si="154"/>
        <v>10000</v>
      </c>
      <c r="BF201" s="46">
        <f t="shared" si="155"/>
        <v>10000</v>
      </c>
      <c r="BG201" s="46">
        <f t="shared" si="155"/>
        <v>10000</v>
      </c>
      <c r="BH201" s="46">
        <f t="shared" si="155"/>
        <v>10000</v>
      </c>
    </row>
    <row r="202" spans="1:60" ht="14.25" customHeight="1" x14ac:dyDescent="0.3">
      <c r="A202" s="46"/>
      <c r="B202" s="37"/>
      <c r="C202" s="46"/>
      <c r="D202" s="46"/>
      <c r="E202" s="46"/>
      <c r="F202" s="67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  <c r="AG202" s="46"/>
      <c r="AH202" s="46"/>
      <c r="AI202" s="46"/>
      <c r="AJ202" s="46"/>
      <c r="AK202" s="46"/>
      <c r="AL202" s="46"/>
      <c r="AM202" s="46"/>
      <c r="AN202" s="46"/>
      <c r="AO202" s="46"/>
      <c r="AP202" s="46"/>
      <c r="AQ202" s="46"/>
      <c r="AR202" s="46"/>
      <c r="AS202" s="46"/>
      <c r="AT202" s="46"/>
      <c r="AU202" s="46"/>
      <c r="AV202" s="46"/>
      <c r="AW202" s="46"/>
      <c r="AX202" s="46"/>
      <c r="AY202" s="46"/>
      <c r="AZ202" s="46"/>
      <c r="BA202" s="46"/>
      <c r="BB202" s="46"/>
      <c r="BC202" s="46"/>
      <c r="BD202" s="46"/>
      <c r="BE202" s="46"/>
      <c r="BF202" s="46"/>
      <c r="BG202" s="46"/>
      <c r="BH202" s="46"/>
    </row>
    <row r="203" spans="1:60" ht="14.25" customHeight="1" x14ac:dyDescent="0.3">
      <c r="A203" s="46"/>
      <c r="B203" s="37"/>
      <c r="C203" s="46"/>
      <c r="D203" s="46"/>
      <c r="E203" s="46"/>
      <c r="F203" s="67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  <c r="AI203" s="46"/>
      <c r="AJ203" s="46"/>
      <c r="AK203" s="46"/>
      <c r="AL203" s="46"/>
      <c r="AM203" s="46"/>
      <c r="AN203" s="46"/>
      <c r="AO203" s="46"/>
      <c r="AP203" s="46"/>
      <c r="AQ203" s="46"/>
      <c r="AR203" s="46"/>
      <c r="AS203" s="46"/>
      <c r="AT203" s="46"/>
      <c r="AU203" s="46"/>
      <c r="AV203" s="46"/>
      <c r="AW203" s="46"/>
      <c r="AX203" s="46"/>
      <c r="AY203" s="46"/>
      <c r="AZ203" s="46"/>
      <c r="BA203" s="46"/>
      <c r="BB203" s="46"/>
      <c r="BC203" s="46"/>
      <c r="BD203" s="46"/>
      <c r="BE203" s="46"/>
      <c r="BF203" s="46"/>
      <c r="BG203" s="46"/>
      <c r="BH203" s="46"/>
    </row>
    <row r="204" spans="1:60" ht="14.25" customHeight="1" x14ac:dyDescent="0.3">
      <c r="A204" s="46"/>
      <c r="B204" s="37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  <c r="AI204" s="46"/>
      <c r="AJ204" s="46"/>
      <c r="AK204" s="46"/>
      <c r="AL204" s="46"/>
      <c r="AM204" s="46"/>
      <c r="AN204" s="46"/>
      <c r="AO204" s="46"/>
      <c r="AP204" s="46"/>
      <c r="AQ204" s="46"/>
      <c r="AR204" s="46"/>
      <c r="AS204" s="46"/>
      <c r="AT204" s="46"/>
      <c r="AU204" s="46"/>
      <c r="AV204" s="46"/>
      <c r="AW204" s="46"/>
      <c r="AX204" s="46"/>
      <c r="AY204" s="46"/>
      <c r="AZ204" s="46"/>
      <c r="BA204" s="46"/>
      <c r="BB204" s="46"/>
      <c r="BC204" s="46"/>
      <c r="BD204" s="46"/>
      <c r="BE204" s="46"/>
      <c r="BF204" s="46"/>
      <c r="BG204" s="46"/>
      <c r="BH204" s="46"/>
    </row>
    <row r="205" spans="1:60" ht="14.25" customHeight="1" x14ac:dyDescent="0.3">
      <c r="A205" s="46"/>
      <c r="B205" s="37" t="s">
        <v>331</v>
      </c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  <c r="AI205" s="46"/>
      <c r="AJ205" s="46"/>
      <c r="AK205" s="46"/>
      <c r="AL205" s="46"/>
      <c r="AM205" s="46"/>
      <c r="AN205" s="46"/>
      <c r="AO205" s="46"/>
      <c r="AP205" s="46"/>
      <c r="AQ205" s="46"/>
      <c r="AR205" s="46"/>
      <c r="AS205" s="46"/>
      <c r="AT205" s="46"/>
      <c r="AU205" s="46"/>
      <c r="AV205" s="46"/>
      <c r="AW205" s="46"/>
      <c r="AX205" s="46"/>
      <c r="AY205" s="46"/>
      <c r="AZ205" s="46"/>
      <c r="BA205" s="46"/>
      <c r="BB205" s="46"/>
      <c r="BC205" s="46"/>
      <c r="BD205" s="46"/>
      <c r="BE205" s="46"/>
      <c r="BF205" s="46"/>
      <c r="BG205" s="46"/>
      <c r="BH205" s="46"/>
    </row>
    <row r="206" spans="1:60" ht="14.25" customHeight="1" x14ac:dyDescent="0.3">
      <c r="A206" s="46"/>
      <c r="B206" s="37"/>
      <c r="C206" s="37" t="s">
        <v>332</v>
      </c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  <c r="AI206" s="46"/>
      <c r="AJ206" s="46"/>
      <c r="AK206" s="46"/>
      <c r="AL206" s="46"/>
      <c r="AM206" s="46"/>
      <c r="AN206" s="46"/>
      <c r="AO206" s="46"/>
      <c r="AP206" s="46"/>
      <c r="AQ206" s="46"/>
      <c r="AR206" s="46"/>
      <c r="AS206" s="46"/>
      <c r="AT206" s="46"/>
      <c r="AU206" s="46"/>
      <c r="AV206" s="46"/>
      <c r="AW206" s="46"/>
      <c r="AX206" s="46"/>
      <c r="AY206" s="46"/>
      <c r="AZ206" s="46"/>
      <c r="BA206" s="46"/>
      <c r="BB206" s="46"/>
      <c r="BC206" s="46"/>
      <c r="BD206" s="46"/>
      <c r="BE206" s="46"/>
      <c r="BF206" s="46"/>
      <c r="BG206" s="46"/>
      <c r="BH206" s="46"/>
    </row>
    <row r="207" spans="1:60" ht="14.25" customHeight="1" x14ac:dyDescent="0.3">
      <c r="A207" s="46"/>
      <c r="B207" s="37"/>
      <c r="C207" s="46" t="s">
        <v>333</v>
      </c>
      <c r="D207" s="46"/>
      <c r="E207" s="53">
        <f>SUM(J207:BH207)</f>
        <v>429544.52</v>
      </c>
      <c r="F207" s="66"/>
      <c r="G207" s="60" t="s">
        <v>334</v>
      </c>
      <c r="H207" s="46"/>
      <c r="I207" s="46"/>
      <c r="J207" s="46">
        <v>0</v>
      </c>
      <c r="K207" s="46">
        <v>0</v>
      </c>
      <c r="L207" s="46">
        <v>0</v>
      </c>
      <c r="M207" s="46">
        <v>0</v>
      </c>
      <c r="N207" s="46">
        <v>0</v>
      </c>
      <c r="O207" s="46">
        <f>159423.34+99639.59</f>
        <v>259062.93</v>
      </c>
      <c r="P207" s="46">
        <f>99639.59</f>
        <v>99639.59</v>
      </c>
      <c r="Q207" s="46">
        <v>60000</v>
      </c>
      <c r="R207" s="46">
        <f t="shared" ref="R207:AG223" si="156">IF($F207=R$3,$E207,0)</f>
        <v>0</v>
      </c>
      <c r="S207" s="46">
        <f t="shared" si="156"/>
        <v>0</v>
      </c>
      <c r="T207" s="46">
        <f t="shared" si="156"/>
        <v>0</v>
      </c>
      <c r="U207" s="46">
        <f t="shared" si="156"/>
        <v>0</v>
      </c>
      <c r="V207" s="46">
        <f t="shared" si="156"/>
        <v>0</v>
      </c>
      <c r="W207" s="46">
        <v>10842</v>
      </c>
      <c r="X207" s="46">
        <f t="shared" si="156"/>
        <v>0</v>
      </c>
      <c r="Y207" s="46">
        <f t="shared" si="156"/>
        <v>0</v>
      </c>
      <c r="Z207" s="46">
        <f t="shared" si="156"/>
        <v>0</v>
      </c>
      <c r="AA207" s="46">
        <f t="shared" si="156"/>
        <v>0</v>
      </c>
      <c r="AB207" s="46">
        <f t="shared" si="156"/>
        <v>0</v>
      </c>
      <c r="AC207" s="46">
        <f t="shared" si="156"/>
        <v>0</v>
      </c>
      <c r="AD207" s="46">
        <f t="shared" si="156"/>
        <v>0</v>
      </c>
      <c r="AE207" s="46">
        <f t="shared" si="156"/>
        <v>0</v>
      </c>
      <c r="AF207" s="46">
        <f t="shared" si="156"/>
        <v>0</v>
      </c>
      <c r="AG207" s="46">
        <f t="shared" si="156"/>
        <v>0</v>
      </c>
      <c r="AH207" s="46">
        <f t="shared" ref="AH207:AW222" si="157">IF($F207=AH$3,$E207,0)</f>
        <v>0</v>
      </c>
      <c r="AI207" s="46">
        <f t="shared" si="157"/>
        <v>0</v>
      </c>
      <c r="AJ207" s="46">
        <f t="shared" si="157"/>
        <v>0</v>
      </c>
      <c r="AK207" s="46">
        <f t="shared" si="157"/>
        <v>0</v>
      </c>
      <c r="AL207" s="46">
        <f t="shared" si="157"/>
        <v>0</v>
      </c>
      <c r="AM207" s="46">
        <f t="shared" si="157"/>
        <v>0</v>
      </c>
      <c r="AN207" s="46">
        <f t="shared" si="157"/>
        <v>0</v>
      </c>
      <c r="AO207" s="46">
        <f t="shared" si="157"/>
        <v>0</v>
      </c>
      <c r="AP207" s="46">
        <f t="shared" si="157"/>
        <v>0</v>
      </c>
      <c r="AQ207" s="46">
        <f t="shared" si="157"/>
        <v>0</v>
      </c>
      <c r="AR207" s="46">
        <f t="shared" si="157"/>
        <v>0</v>
      </c>
      <c r="AS207" s="46">
        <f t="shared" si="157"/>
        <v>0</v>
      </c>
      <c r="AT207" s="46">
        <f t="shared" si="157"/>
        <v>0</v>
      </c>
      <c r="AU207" s="46">
        <f t="shared" si="157"/>
        <v>0</v>
      </c>
      <c r="AV207" s="46">
        <f t="shared" si="157"/>
        <v>0</v>
      </c>
      <c r="AW207" s="46">
        <f t="shared" si="157"/>
        <v>0</v>
      </c>
      <c r="AX207" s="46">
        <f t="shared" ref="AX207:BH222" si="158">IF($F207=AX$3,$E207,0)</f>
        <v>0</v>
      </c>
      <c r="AY207" s="46">
        <f t="shared" si="158"/>
        <v>0</v>
      </c>
      <c r="AZ207" s="46">
        <f t="shared" si="158"/>
        <v>0</v>
      </c>
      <c r="BA207" s="46">
        <f t="shared" si="158"/>
        <v>0</v>
      </c>
      <c r="BB207" s="46">
        <f t="shared" si="158"/>
        <v>0</v>
      </c>
      <c r="BC207" s="46">
        <f t="shared" si="158"/>
        <v>0</v>
      </c>
      <c r="BD207" s="46">
        <f t="shared" si="158"/>
        <v>0</v>
      </c>
      <c r="BE207" s="46">
        <f t="shared" si="158"/>
        <v>0</v>
      </c>
      <c r="BF207" s="46">
        <f t="shared" si="158"/>
        <v>0</v>
      </c>
      <c r="BG207" s="46">
        <f t="shared" si="158"/>
        <v>0</v>
      </c>
      <c r="BH207" s="46">
        <f t="shared" si="158"/>
        <v>0</v>
      </c>
    </row>
    <row r="208" spans="1:60" ht="14.25" customHeight="1" x14ac:dyDescent="0.3">
      <c r="A208" s="46"/>
      <c r="B208" s="37"/>
      <c r="C208" s="46" t="s">
        <v>335</v>
      </c>
      <c r="D208" s="46"/>
      <c r="E208" s="53">
        <v>170000</v>
      </c>
      <c r="F208" s="66">
        <f>AJ3</f>
        <v>46387</v>
      </c>
      <c r="G208" s="46"/>
      <c r="H208" s="46"/>
      <c r="I208" s="46"/>
      <c r="J208" s="46">
        <f t="shared" ref="J208:Y223" si="159">IF($F208=J$3,$E208,0)</f>
        <v>0</v>
      </c>
      <c r="K208" s="46">
        <f>IF($F208=K$3,$E208,0)</f>
        <v>0</v>
      </c>
      <c r="L208" s="46">
        <f t="shared" si="159"/>
        <v>0</v>
      </c>
      <c r="M208" s="46">
        <f t="shared" si="159"/>
        <v>0</v>
      </c>
      <c r="N208" s="46">
        <f t="shared" si="159"/>
        <v>0</v>
      </c>
      <c r="O208" s="46">
        <f t="shared" si="159"/>
        <v>0</v>
      </c>
      <c r="P208" s="46">
        <f t="shared" si="159"/>
        <v>0</v>
      </c>
      <c r="Q208" s="46">
        <f t="shared" si="159"/>
        <v>0</v>
      </c>
      <c r="R208" s="46">
        <f t="shared" si="159"/>
        <v>0</v>
      </c>
      <c r="S208" s="46">
        <f t="shared" si="159"/>
        <v>0</v>
      </c>
      <c r="T208" s="46">
        <f t="shared" si="159"/>
        <v>0</v>
      </c>
      <c r="U208" s="46">
        <f t="shared" si="159"/>
        <v>0</v>
      </c>
      <c r="V208" s="46">
        <f t="shared" si="159"/>
        <v>0</v>
      </c>
      <c r="W208" s="46">
        <f t="shared" si="159"/>
        <v>0</v>
      </c>
      <c r="X208" s="46">
        <f t="shared" si="159"/>
        <v>0</v>
      </c>
      <c r="Y208" s="46">
        <f t="shared" si="159"/>
        <v>0</v>
      </c>
      <c r="Z208" s="46">
        <f t="shared" si="156"/>
        <v>0</v>
      </c>
      <c r="AA208" s="46">
        <f t="shared" si="156"/>
        <v>0</v>
      </c>
      <c r="AB208" s="46">
        <f t="shared" si="156"/>
        <v>0</v>
      </c>
      <c r="AC208" s="46">
        <f t="shared" si="156"/>
        <v>0</v>
      </c>
      <c r="AD208" s="46">
        <f t="shared" si="156"/>
        <v>0</v>
      </c>
      <c r="AE208" s="46">
        <f t="shared" si="156"/>
        <v>0</v>
      </c>
      <c r="AF208" s="46">
        <f t="shared" si="156"/>
        <v>0</v>
      </c>
      <c r="AG208" s="46">
        <f t="shared" si="156"/>
        <v>0</v>
      </c>
      <c r="AH208" s="46">
        <f t="shared" si="157"/>
        <v>0</v>
      </c>
      <c r="AI208" s="46">
        <f t="shared" si="157"/>
        <v>0</v>
      </c>
      <c r="AJ208" s="46">
        <f t="shared" si="157"/>
        <v>170000</v>
      </c>
      <c r="AK208" s="46">
        <f t="shared" si="157"/>
        <v>0</v>
      </c>
      <c r="AL208" s="46">
        <f t="shared" si="157"/>
        <v>0</v>
      </c>
      <c r="AM208" s="46">
        <f t="shared" si="157"/>
        <v>0</v>
      </c>
      <c r="AN208" s="46">
        <f t="shared" si="157"/>
        <v>0</v>
      </c>
      <c r="AO208" s="46">
        <f t="shared" si="157"/>
        <v>0</v>
      </c>
      <c r="AP208" s="46">
        <f t="shared" si="157"/>
        <v>0</v>
      </c>
      <c r="AQ208" s="46">
        <f t="shared" si="157"/>
        <v>0</v>
      </c>
      <c r="AR208" s="46">
        <f t="shared" si="157"/>
        <v>0</v>
      </c>
      <c r="AS208" s="46">
        <f t="shared" si="157"/>
        <v>0</v>
      </c>
      <c r="AT208" s="46">
        <f t="shared" si="157"/>
        <v>0</v>
      </c>
      <c r="AU208" s="46">
        <f t="shared" si="157"/>
        <v>0</v>
      </c>
      <c r="AV208" s="46">
        <f t="shared" si="157"/>
        <v>0</v>
      </c>
      <c r="AW208" s="46">
        <f t="shared" si="157"/>
        <v>0</v>
      </c>
      <c r="AX208" s="46">
        <f t="shared" si="158"/>
        <v>0</v>
      </c>
      <c r="AY208" s="46">
        <f t="shared" si="158"/>
        <v>0</v>
      </c>
      <c r="AZ208" s="46">
        <f t="shared" si="158"/>
        <v>0</v>
      </c>
      <c r="BA208" s="46">
        <f t="shared" si="158"/>
        <v>0</v>
      </c>
      <c r="BB208" s="46">
        <f t="shared" si="158"/>
        <v>0</v>
      </c>
      <c r="BC208" s="46">
        <f t="shared" si="158"/>
        <v>0</v>
      </c>
      <c r="BD208" s="46">
        <f t="shared" si="158"/>
        <v>0</v>
      </c>
      <c r="BE208" s="46">
        <f t="shared" si="158"/>
        <v>0</v>
      </c>
      <c r="BF208" s="46">
        <f t="shared" si="158"/>
        <v>0</v>
      </c>
      <c r="BG208" s="46">
        <f t="shared" si="158"/>
        <v>0</v>
      </c>
      <c r="BH208" s="46">
        <f t="shared" si="158"/>
        <v>0</v>
      </c>
    </row>
    <row r="209" spans="1:60" ht="14.25" customHeight="1" x14ac:dyDescent="0.3">
      <c r="A209" s="46"/>
      <c r="B209" s="37"/>
      <c r="C209" s="46" t="s">
        <v>336</v>
      </c>
      <c r="D209" s="46"/>
      <c r="E209" s="53">
        <f>400000/1.2</f>
        <v>333333.33333333337</v>
      </c>
      <c r="F209" s="66">
        <f>J3</f>
        <v>45596</v>
      </c>
      <c r="G209" s="60" t="s">
        <v>337</v>
      </c>
      <c r="H209" s="60"/>
      <c r="I209" s="46"/>
      <c r="J209" s="46">
        <f t="shared" si="159"/>
        <v>333333.33333333337</v>
      </c>
      <c r="K209" s="46">
        <f t="shared" si="159"/>
        <v>0</v>
      </c>
      <c r="L209" s="46">
        <f t="shared" si="159"/>
        <v>0</v>
      </c>
      <c r="M209" s="46">
        <f t="shared" si="159"/>
        <v>0</v>
      </c>
      <c r="N209" s="46">
        <f t="shared" si="159"/>
        <v>0</v>
      </c>
      <c r="O209" s="46">
        <f t="shared" si="159"/>
        <v>0</v>
      </c>
      <c r="P209" s="46">
        <f t="shared" si="159"/>
        <v>0</v>
      </c>
      <c r="Q209" s="46">
        <f t="shared" si="159"/>
        <v>0</v>
      </c>
      <c r="R209" s="46">
        <f t="shared" si="159"/>
        <v>0</v>
      </c>
      <c r="S209" s="46">
        <f t="shared" si="159"/>
        <v>0</v>
      </c>
      <c r="T209" s="46">
        <f t="shared" si="159"/>
        <v>0</v>
      </c>
      <c r="U209" s="46">
        <f t="shared" si="159"/>
        <v>0</v>
      </c>
      <c r="V209" s="46">
        <f t="shared" si="159"/>
        <v>0</v>
      </c>
      <c r="W209" s="46">
        <f t="shared" si="159"/>
        <v>0</v>
      </c>
      <c r="X209" s="46">
        <f t="shared" si="159"/>
        <v>0</v>
      </c>
      <c r="Y209" s="46">
        <f t="shared" si="159"/>
        <v>0</v>
      </c>
      <c r="Z209" s="46">
        <f t="shared" si="156"/>
        <v>0</v>
      </c>
      <c r="AA209" s="46">
        <f t="shared" si="156"/>
        <v>0</v>
      </c>
      <c r="AB209" s="46">
        <f t="shared" si="156"/>
        <v>0</v>
      </c>
      <c r="AC209" s="46">
        <f t="shared" si="156"/>
        <v>0</v>
      </c>
      <c r="AD209" s="46">
        <f t="shared" si="156"/>
        <v>0</v>
      </c>
      <c r="AE209" s="46">
        <f t="shared" si="156"/>
        <v>0</v>
      </c>
      <c r="AF209" s="46">
        <f t="shared" si="156"/>
        <v>0</v>
      </c>
      <c r="AG209" s="46">
        <f t="shared" si="156"/>
        <v>0</v>
      </c>
      <c r="AH209" s="46">
        <f t="shared" si="157"/>
        <v>0</v>
      </c>
      <c r="AI209" s="46">
        <f t="shared" si="157"/>
        <v>0</v>
      </c>
      <c r="AJ209" s="46">
        <f t="shared" si="157"/>
        <v>0</v>
      </c>
      <c r="AK209" s="46">
        <f t="shared" si="157"/>
        <v>0</v>
      </c>
      <c r="AL209" s="46">
        <f t="shared" si="157"/>
        <v>0</v>
      </c>
      <c r="AM209" s="46">
        <f t="shared" si="157"/>
        <v>0</v>
      </c>
      <c r="AN209" s="46">
        <f t="shared" si="157"/>
        <v>0</v>
      </c>
      <c r="AO209" s="46">
        <f t="shared" si="157"/>
        <v>0</v>
      </c>
      <c r="AP209" s="46">
        <f t="shared" si="157"/>
        <v>0</v>
      </c>
      <c r="AQ209" s="46">
        <f t="shared" si="157"/>
        <v>0</v>
      </c>
      <c r="AR209" s="46">
        <f t="shared" si="157"/>
        <v>0</v>
      </c>
      <c r="AS209" s="46">
        <f t="shared" si="157"/>
        <v>0</v>
      </c>
      <c r="AT209" s="46">
        <f t="shared" si="157"/>
        <v>0</v>
      </c>
      <c r="AU209" s="46">
        <f t="shared" si="157"/>
        <v>0</v>
      </c>
      <c r="AV209" s="46">
        <f t="shared" si="157"/>
        <v>0</v>
      </c>
      <c r="AW209" s="46">
        <f t="shared" si="157"/>
        <v>0</v>
      </c>
      <c r="AX209" s="46">
        <f t="shared" si="158"/>
        <v>0</v>
      </c>
      <c r="AY209" s="46">
        <f t="shared" si="158"/>
        <v>0</v>
      </c>
      <c r="AZ209" s="46">
        <f t="shared" si="158"/>
        <v>0</v>
      </c>
      <c r="BA209" s="46">
        <f t="shared" si="158"/>
        <v>0</v>
      </c>
      <c r="BB209" s="46">
        <f t="shared" si="158"/>
        <v>0</v>
      </c>
      <c r="BC209" s="46">
        <f t="shared" si="158"/>
        <v>0</v>
      </c>
      <c r="BD209" s="46">
        <f t="shared" si="158"/>
        <v>0</v>
      </c>
      <c r="BE209" s="46">
        <f t="shared" si="158"/>
        <v>0</v>
      </c>
      <c r="BF209" s="46">
        <f t="shared" si="158"/>
        <v>0</v>
      </c>
      <c r="BG209" s="46">
        <f t="shared" si="158"/>
        <v>0</v>
      </c>
      <c r="BH209" s="46">
        <f t="shared" si="158"/>
        <v>0</v>
      </c>
    </row>
    <row r="210" spans="1:60" ht="14.25" customHeight="1" x14ac:dyDescent="0.3">
      <c r="A210" s="46"/>
      <c r="B210" s="37"/>
      <c r="C210" s="46" t="s">
        <v>338</v>
      </c>
      <c r="D210" s="46"/>
      <c r="E210" s="53">
        <f>(350000/1.2) + 35000</f>
        <v>326666.66666666669</v>
      </c>
      <c r="F210" s="66">
        <f>U3</f>
        <v>45930</v>
      </c>
      <c r="G210" s="60" t="s">
        <v>339</v>
      </c>
      <c r="H210" s="60"/>
      <c r="I210" s="46"/>
      <c r="J210" s="46">
        <f t="shared" si="159"/>
        <v>0</v>
      </c>
      <c r="K210" s="46">
        <f t="shared" si="159"/>
        <v>0</v>
      </c>
      <c r="L210" s="46">
        <f t="shared" si="159"/>
        <v>0</v>
      </c>
      <c r="M210" s="46">
        <f t="shared" si="159"/>
        <v>0</v>
      </c>
      <c r="N210" s="46">
        <f t="shared" si="159"/>
        <v>0</v>
      </c>
      <c r="O210" s="46">
        <f t="shared" si="159"/>
        <v>0</v>
      </c>
      <c r="P210" s="46">
        <f t="shared" si="159"/>
        <v>0</v>
      </c>
      <c r="Q210" s="46">
        <f t="shared" si="159"/>
        <v>0</v>
      </c>
      <c r="R210" s="46">
        <f t="shared" si="159"/>
        <v>0</v>
      </c>
      <c r="S210" s="46">
        <f t="shared" si="159"/>
        <v>0</v>
      </c>
      <c r="T210" s="46">
        <f t="shared" si="159"/>
        <v>0</v>
      </c>
      <c r="U210" s="46">
        <f t="shared" si="159"/>
        <v>326666.66666666669</v>
      </c>
      <c r="V210" s="46">
        <f t="shared" si="159"/>
        <v>0</v>
      </c>
      <c r="W210" s="46">
        <f t="shared" si="159"/>
        <v>0</v>
      </c>
      <c r="X210" s="46">
        <f t="shared" si="159"/>
        <v>0</v>
      </c>
      <c r="Y210" s="46">
        <f t="shared" si="159"/>
        <v>0</v>
      </c>
      <c r="Z210" s="46">
        <f t="shared" si="156"/>
        <v>0</v>
      </c>
      <c r="AA210" s="46">
        <f t="shared" si="156"/>
        <v>0</v>
      </c>
      <c r="AB210" s="46">
        <f t="shared" si="156"/>
        <v>0</v>
      </c>
      <c r="AC210" s="46">
        <f t="shared" si="156"/>
        <v>0</v>
      </c>
      <c r="AD210" s="46">
        <f t="shared" si="156"/>
        <v>0</v>
      </c>
      <c r="AE210" s="46">
        <f t="shared" si="156"/>
        <v>0</v>
      </c>
      <c r="AF210" s="46">
        <f t="shared" si="156"/>
        <v>0</v>
      </c>
      <c r="AG210" s="46">
        <f t="shared" si="156"/>
        <v>0</v>
      </c>
      <c r="AH210" s="46">
        <f t="shared" si="157"/>
        <v>0</v>
      </c>
      <c r="AI210" s="46">
        <f t="shared" si="157"/>
        <v>0</v>
      </c>
      <c r="AJ210" s="46">
        <f t="shared" si="157"/>
        <v>0</v>
      </c>
      <c r="AK210" s="46">
        <f t="shared" si="157"/>
        <v>0</v>
      </c>
      <c r="AL210" s="46">
        <f t="shared" si="157"/>
        <v>0</v>
      </c>
      <c r="AM210" s="46">
        <f t="shared" si="157"/>
        <v>0</v>
      </c>
      <c r="AN210" s="46">
        <f t="shared" si="157"/>
        <v>0</v>
      </c>
      <c r="AO210" s="46">
        <f t="shared" si="157"/>
        <v>0</v>
      </c>
      <c r="AP210" s="46">
        <f t="shared" si="157"/>
        <v>0</v>
      </c>
      <c r="AQ210" s="46">
        <f t="shared" si="157"/>
        <v>0</v>
      </c>
      <c r="AR210" s="46">
        <f t="shared" si="157"/>
        <v>0</v>
      </c>
      <c r="AS210" s="46">
        <f t="shared" si="157"/>
        <v>0</v>
      </c>
      <c r="AT210" s="46">
        <f t="shared" si="157"/>
        <v>0</v>
      </c>
      <c r="AU210" s="46">
        <f t="shared" si="157"/>
        <v>0</v>
      </c>
      <c r="AV210" s="46">
        <f t="shared" si="157"/>
        <v>0</v>
      </c>
      <c r="AW210" s="46">
        <f t="shared" si="157"/>
        <v>0</v>
      </c>
      <c r="AX210" s="46">
        <f t="shared" si="158"/>
        <v>0</v>
      </c>
      <c r="AY210" s="46">
        <f t="shared" si="158"/>
        <v>0</v>
      </c>
      <c r="AZ210" s="46">
        <f t="shared" si="158"/>
        <v>0</v>
      </c>
      <c r="BA210" s="46">
        <f t="shared" si="158"/>
        <v>0</v>
      </c>
      <c r="BB210" s="46">
        <f t="shared" si="158"/>
        <v>0</v>
      </c>
      <c r="BC210" s="46">
        <f t="shared" si="158"/>
        <v>0</v>
      </c>
      <c r="BD210" s="46">
        <f t="shared" si="158"/>
        <v>0</v>
      </c>
      <c r="BE210" s="46">
        <f t="shared" si="158"/>
        <v>0</v>
      </c>
      <c r="BF210" s="46">
        <f t="shared" si="158"/>
        <v>0</v>
      </c>
      <c r="BG210" s="46">
        <f t="shared" si="158"/>
        <v>0</v>
      </c>
      <c r="BH210" s="46">
        <f t="shared" si="158"/>
        <v>0</v>
      </c>
    </row>
    <row r="211" spans="1:60" ht="14.25" customHeight="1" x14ac:dyDescent="0.3">
      <c r="A211" s="46"/>
      <c r="B211" s="37"/>
      <c r="C211" s="46" t="s">
        <v>340</v>
      </c>
      <c r="D211" s="46"/>
      <c r="E211" s="53">
        <f>50000/1.2</f>
        <v>41666.666666666672</v>
      </c>
      <c r="F211" s="66">
        <f>J3</f>
        <v>45596</v>
      </c>
      <c r="G211" s="60" t="s">
        <v>337</v>
      </c>
      <c r="H211" s="60"/>
      <c r="I211" s="46"/>
      <c r="J211" s="46">
        <f t="shared" si="159"/>
        <v>41666.666666666672</v>
      </c>
      <c r="K211" s="46">
        <f t="shared" si="159"/>
        <v>0</v>
      </c>
      <c r="L211" s="46">
        <f t="shared" si="159"/>
        <v>0</v>
      </c>
      <c r="M211" s="46">
        <f t="shared" si="159"/>
        <v>0</v>
      </c>
      <c r="N211" s="46">
        <f t="shared" si="159"/>
        <v>0</v>
      </c>
      <c r="O211" s="46">
        <f t="shared" si="159"/>
        <v>0</v>
      </c>
      <c r="P211" s="46">
        <f t="shared" si="159"/>
        <v>0</v>
      </c>
      <c r="Q211" s="46">
        <f t="shared" si="159"/>
        <v>0</v>
      </c>
      <c r="R211" s="46">
        <f t="shared" si="159"/>
        <v>0</v>
      </c>
      <c r="S211" s="46">
        <f t="shared" si="159"/>
        <v>0</v>
      </c>
      <c r="T211" s="46">
        <f t="shared" si="159"/>
        <v>0</v>
      </c>
      <c r="U211" s="46">
        <f t="shared" si="159"/>
        <v>0</v>
      </c>
      <c r="V211" s="46">
        <f t="shared" si="159"/>
        <v>0</v>
      </c>
      <c r="W211" s="46">
        <f t="shared" si="159"/>
        <v>0</v>
      </c>
      <c r="X211" s="46">
        <f t="shared" si="159"/>
        <v>0</v>
      </c>
      <c r="Y211" s="46">
        <f t="shared" si="159"/>
        <v>0</v>
      </c>
      <c r="Z211" s="46">
        <f t="shared" si="156"/>
        <v>0</v>
      </c>
      <c r="AA211" s="46">
        <f t="shared" si="156"/>
        <v>0</v>
      </c>
      <c r="AB211" s="46">
        <f t="shared" si="156"/>
        <v>0</v>
      </c>
      <c r="AC211" s="46">
        <f t="shared" si="156"/>
        <v>0</v>
      </c>
      <c r="AD211" s="46">
        <f t="shared" si="156"/>
        <v>0</v>
      </c>
      <c r="AE211" s="46">
        <f t="shared" si="156"/>
        <v>0</v>
      </c>
      <c r="AF211" s="46">
        <f t="shared" si="156"/>
        <v>0</v>
      </c>
      <c r="AG211" s="46">
        <f t="shared" si="156"/>
        <v>0</v>
      </c>
      <c r="AH211" s="46">
        <f t="shared" si="157"/>
        <v>0</v>
      </c>
      <c r="AI211" s="46">
        <f t="shared" si="157"/>
        <v>0</v>
      </c>
      <c r="AJ211" s="46">
        <f t="shared" si="157"/>
        <v>0</v>
      </c>
      <c r="AK211" s="46">
        <f t="shared" si="157"/>
        <v>0</v>
      </c>
      <c r="AL211" s="46">
        <f t="shared" si="157"/>
        <v>0</v>
      </c>
      <c r="AM211" s="46">
        <f t="shared" si="157"/>
        <v>0</v>
      </c>
      <c r="AN211" s="46">
        <f t="shared" si="157"/>
        <v>0</v>
      </c>
      <c r="AO211" s="46">
        <f t="shared" si="157"/>
        <v>0</v>
      </c>
      <c r="AP211" s="46">
        <f t="shared" si="157"/>
        <v>0</v>
      </c>
      <c r="AQ211" s="46">
        <f t="shared" si="157"/>
        <v>0</v>
      </c>
      <c r="AR211" s="46">
        <f t="shared" si="157"/>
        <v>0</v>
      </c>
      <c r="AS211" s="46">
        <f t="shared" si="157"/>
        <v>0</v>
      </c>
      <c r="AT211" s="46">
        <f t="shared" si="157"/>
        <v>0</v>
      </c>
      <c r="AU211" s="46">
        <f t="shared" si="157"/>
        <v>0</v>
      </c>
      <c r="AV211" s="46">
        <f t="shared" si="157"/>
        <v>0</v>
      </c>
      <c r="AW211" s="46">
        <f t="shared" si="157"/>
        <v>0</v>
      </c>
      <c r="AX211" s="46">
        <f t="shared" si="158"/>
        <v>0</v>
      </c>
      <c r="AY211" s="46">
        <f t="shared" si="158"/>
        <v>0</v>
      </c>
      <c r="AZ211" s="46">
        <f t="shared" si="158"/>
        <v>0</v>
      </c>
      <c r="BA211" s="46">
        <f t="shared" si="158"/>
        <v>0</v>
      </c>
      <c r="BB211" s="46">
        <f t="shared" si="158"/>
        <v>0</v>
      </c>
      <c r="BC211" s="46">
        <f t="shared" si="158"/>
        <v>0</v>
      </c>
      <c r="BD211" s="46">
        <f t="shared" si="158"/>
        <v>0</v>
      </c>
      <c r="BE211" s="46">
        <f t="shared" si="158"/>
        <v>0</v>
      </c>
      <c r="BF211" s="46">
        <f t="shared" si="158"/>
        <v>0</v>
      </c>
      <c r="BG211" s="46">
        <f t="shared" si="158"/>
        <v>0</v>
      </c>
      <c r="BH211" s="46">
        <f t="shared" si="158"/>
        <v>0</v>
      </c>
    </row>
    <row r="212" spans="1:60" ht="14.25" customHeight="1" x14ac:dyDescent="0.3">
      <c r="A212" s="46"/>
      <c r="B212" s="37"/>
      <c r="C212" s="46" t="s">
        <v>341</v>
      </c>
      <c r="D212" s="46"/>
      <c r="E212" s="53">
        <v>37500</v>
      </c>
      <c r="F212" s="66">
        <f>J3</f>
        <v>45596</v>
      </c>
      <c r="G212" s="46"/>
      <c r="H212" s="46"/>
      <c r="I212" s="46"/>
      <c r="J212" s="46">
        <f t="shared" si="159"/>
        <v>37500</v>
      </c>
      <c r="K212" s="46">
        <f t="shared" si="159"/>
        <v>0</v>
      </c>
      <c r="L212" s="46">
        <f t="shared" si="159"/>
        <v>0</v>
      </c>
      <c r="M212" s="46">
        <f t="shared" si="159"/>
        <v>0</v>
      </c>
      <c r="N212" s="46">
        <f t="shared" si="159"/>
        <v>0</v>
      </c>
      <c r="O212" s="46">
        <f t="shared" si="159"/>
        <v>0</v>
      </c>
      <c r="P212" s="46">
        <f t="shared" si="159"/>
        <v>0</v>
      </c>
      <c r="Q212" s="46">
        <f t="shared" si="159"/>
        <v>0</v>
      </c>
      <c r="R212" s="46">
        <f t="shared" si="159"/>
        <v>0</v>
      </c>
      <c r="S212" s="46">
        <f t="shared" si="159"/>
        <v>0</v>
      </c>
      <c r="T212" s="46">
        <f t="shared" si="159"/>
        <v>0</v>
      </c>
      <c r="U212" s="46">
        <f t="shared" si="159"/>
        <v>0</v>
      </c>
      <c r="V212" s="46">
        <f t="shared" si="159"/>
        <v>0</v>
      </c>
      <c r="W212" s="46">
        <f t="shared" si="159"/>
        <v>0</v>
      </c>
      <c r="X212" s="46">
        <f t="shared" si="159"/>
        <v>0</v>
      </c>
      <c r="Y212" s="46">
        <f t="shared" si="159"/>
        <v>0</v>
      </c>
      <c r="Z212" s="46">
        <f t="shared" si="156"/>
        <v>0</v>
      </c>
      <c r="AA212" s="46">
        <f t="shared" si="156"/>
        <v>0</v>
      </c>
      <c r="AB212" s="46">
        <f t="shared" si="156"/>
        <v>0</v>
      </c>
      <c r="AC212" s="46">
        <f t="shared" si="156"/>
        <v>0</v>
      </c>
      <c r="AD212" s="46">
        <f t="shared" si="156"/>
        <v>0</v>
      </c>
      <c r="AE212" s="46">
        <f t="shared" si="156"/>
        <v>0</v>
      </c>
      <c r="AF212" s="46">
        <f t="shared" si="156"/>
        <v>0</v>
      </c>
      <c r="AG212" s="46">
        <f t="shared" si="156"/>
        <v>0</v>
      </c>
      <c r="AH212" s="46">
        <f t="shared" si="157"/>
        <v>0</v>
      </c>
      <c r="AI212" s="46">
        <f t="shared" si="157"/>
        <v>0</v>
      </c>
      <c r="AJ212" s="46">
        <f t="shared" si="157"/>
        <v>0</v>
      </c>
      <c r="AK212" s="46">
        <f t="shared" si="157"/>
        <v>0</v>
      </c>
      <c r="AL212" s="46">
        <f t="shared" si="157"/>
        <v>0</v>
      </c>
      <c r="AM212" s="46">
        <f t="shared" si="157"/>
        <v>0</v>
      </c>
      <c r="AN212" s="46">
        <f t="shared" si="157"/>
        <v>0</v>
      </c>
      <c r="AO212" s="46">
        <f t="shared" si="157"/>
        <v>0</v>
      </c>
      <c r="AP212" s="46">
        <f t="shared" si="157"/>
        <v>0</v>
      </c>
      <c r="AQ212" s="46">
        <f t="shared" si="157"/>
        <v>0</v>
      </c>
      <c r="AR212" s="46">
        <f t="shared" si="157"/>
        <v>0</v>
      </c>
      <c r="AS212" s="46">
        <f t="shared" si="157"/>
        <v>0</v>
      </c>
      <c r="AT212" s="46">
        <f t="shared" si="157"/>
        <v>0</v>
      </c>
      <c r="AU212" s="46">
        <f t="shared" si="157"/>
        <v>0</v>
      </c>
      <c r="AV212" s="46">
        <f t="shared" si="157"/>
        <v>0</v>
      </c>
      <c r="AW212" s="46">
        <f t="shared" si="157"/>
        <v>0</v>
      </c>
      <c r="AX212" s="46">
        <f t="shared" si="158"/>
        <v>0</v>
      </c>
      <c r="AY212" s="46">
        <f t="shared" si="158"/>
        <v>0</v>
      </c>
      <c r="AZ212" s="46">
        <f t="shared" si="158"/>
        <v>0</v>
      </c>
      <c r="BA212" s="46">
        <f t="shared" si="158"/>
        <v>0</v>
      </c>
      <c r="BB212" s="46">
        <f t="shared" si="158"/>
        <v>0</v>
      </c>
      <c r="BC212" s="46">
        <f t="shared" si="158"/>
        <v>0</v>
      </c>
      <c r="BD212" s="46">
        <f t="shared" si="158"/>
        <v>0</v>
      </c>
      <c r="BE212" s="46">
        <f t="shared" si="158"/>
        <v>0</v>
      </c>
      <c r="BF212" s="46">
        <f t="shared" si="158"/>
        <v>0</v>
      </c>
      <c r="BG212" s="46">
        <f t="shared" si="158"/>
        <v>0</v>
      </c>
      <c r="BH212" s="46">
        <f t="shared" si="158"/>
        <v>0</v>
      </c>
    </row>
    <row r="213" spans="1:60" ht="14.25" customHeight="1" x14ac:dyDescent="0.3">
      <c r="A213" s="46"/>
      <c r="B213" s="37"/>
      <c r="C213" s="46" t="s">
        <v>342</v>
      </c>
      <c r="D213" s="46"/>
      <c r="E213" s="53">
        <v>30000</v>
      </c>
      <c r="F213" s="66">
        <f>M3</f>
        <v>45688</v>
      </c>
      <c r="G213" s="46"/>
      <c r="H213" s="46"/>
      <c r="I213" s="46"/>
      <c r="J213" s="46">
        <f t="shared" si="159"/>
        <v>0</v>
      </c>
      <c r="K213" s="46">
        <f t="shared" si="159"/>
        <v>0</v>
      </c>
      <c r="L213" s="46">
        <f t="shared" si="159"/>
        <v>0</v>
      </c>
      <c r="M213" s="46">
        <f t="shared" si="159"/>
        <v>30000</v>
      </c>
      <c r="N213" s="46">
        <f t="shared" si="159"/>
        <v>0</v>
      </c>
      <c r="O213" s="46">
        <f t="shared" si="159"/>
        <v>0</v>
      </c>
      <c r="P213" s="46">
        <f t="shared" si="159"/>
        <v>0</v>
      </c>
      <c r="Q213" s="46">
        <f t="shared" si="159"/>
        <v>0</v>
      </c>
      <c r="R213" s="46">
        <f t="shared" si="159"/>
        <v>0</v>
      </c>
      <c r="S213" s="46">
        <f t="shared" si="159"/>
        <v>0</v>
      </c>
      <c r="T213" s="46">
        <f t="shared" si="159"/>
        <v>0</v>
      </c>
      <c r="U213" s="46">
        <f t="shared" si="159"/>
        <v>0</v>
      </c>
      <c r="V213" s="46">
        <f t="shared" si="159"/>
        <v>0</v>
      </c>
      <c r="W213" s="46">
        <f t="shared" si="159"/>
        <v>0</v>
      </c>
      <c r="X213" s="46">
        <f t="shared" si="159"/>
        <v>0</v>
      </c>
      <c r="Y213" s="46">
        <f t="shared" si="159"/>
        <v>0</v>
      </c>
      <c r="Z213" s="46">
        <f t="shared" si="156"/>
        <v>0</v>
      </c>
      <c r="AA213" s="46">
        <f t="shared" si="156"/>
        <v>0</v>
      </c>
      <c r="AB213" s="46">
        <f t="shared" si="156"/>
        <v>0</v>
      </c>
      <c r="AC213" s="46">
        <f t="shared" si="156"/>
        <v>0</v>
      </c>
      <c r="AD213" s="46">
        <f t="shared" si="156"/>
        <v>0</v>
      </c>
      <c r="AE213" s="46">
        <f t="shared" si="156"/>
        <v>0</v>
      </c>
      <c r="AF213" s="46">
        <f t="shared" si="156"/>
        <v>0</v>
      </c>
      <c r="AG213" s="46">
        <f t="shared" si="156"/>
        <v>0</v>
      </c>
      <c r="AH213" s="46">
        <f t="shared" si="157"/>
        <v>0</v>
      </c>
      <c r="AI213" s="46">
        <f t="shared" si="157"/>
        <v>0</v>
      </c>
      <c r="AJ213" s="46">
        <f t="shared" si="157"/>
        <v>0</v>
      </c>
      <c r="AK213" s="46">
        <f t="shared" si="157"/>
        <v>0</v>
      </c>
      <c r="AL213" s="46">
        <f t="shared" si="157"/>
        <v>0</v>
      </c>
      <c r="AM213" s="46">
        <f t="shared" si="157"/>
        <v>0</v>
      </c>
      <c r="AN213" s="46">
        <f t="shared" si="157"/>
        <v>0</v>
      </c>
      <c r="AO213" s="46">
        <f t="shared" si="157"/>
        <v>0</v>
      </c>
      <c r="AP213" s="46">
        <f t="shared" si="157"/>
        <v>0</v>
      </c>
      <c r="AQ213" s="46">
        <f t="shared" si="157"/>
        <v>0</v>
      </c>
      <c r="AR213" s="46">
        <f t="shared" si="157"/>
        <v>0</v>
      </c>
      <c r="AS213" s="46">
        <f t="shared" si="157"/>
        <v>0</v>
      </c>
      <c r="AT213" s="46">
        <f t="shared" si="157"/>
        <v>0</v>
      </c>
      <c r="AU213" s="46">
        <f t="shared" si="157"/>
        <v>0</v>
      </c>
      <c r="AV213" s="46">
        <f t="shared" si="157"/>
        <v>0</v>
      </c>
      <c r="AW213" s="46">
        <f t="shared" si="157"/>
        <v>0</v>
      </c>
      <c r="AX213" s="46">
        <f t="shared" si="158"/>
        <v>0</v>
      </c>
      <c r="AY213" s="46">
        <f t="shared" si="158"/>
        <v>0</v>
      </c>
      <c r="AZ213" s="46">
        <f t="shared" si="158"/>
        <v>0</v>
      </c>
      <c r="BA213" s="46">
        <f t="shared" si="158"/>
        <v>0</v>
      </c>
      <c r="BB213" s="46">
        <f t="shared" si="158"/>
        <v>0</v>
      </c>
      <c r="BC213" s="46">
        <f t="shared" si="158"/>
        <v>0</v>
      </c>
      <c r="BD213" s="46">
        <f t="shared" si="158"/>
        <v>0</v>
      </c>
      <c r="BE213" s="46">
        <f t="shared" si="158"/>
        <v>0</v>
      </c>
      <c r="BF213" s="46">
        <f t="shared" si="158"/>
        <v>0</v>
      </c>
      <c r="BG213" s="46">
        <f t="shared" si="158"/>
        <v>0</v>
      </c>
      <c r="BH213" s="46">
        <f t="shared" si="158"/>
        <v>0</v>
      </c>
    </row>
    <row r="214" spans="1:60" ht="14.25" customHeight="1" x14ac:dyDescent="0.3">
      <c r="A214" s="46"/>
      <c r="B214" s="37"/>
      <c r="C214" s="46" t="s">
        <v>343</v>
      </c>
      <c r="D214" s="46"/>
      <c r="E214" s="53">
        <v>20028</v>
      </c>
      <c r="F214" s="66">
        <f>Q3</f>
        <v>45808</v>
      </c>
      <c r="G214" s="46"/>
      <c r="H214" s="46"/>
      <c r="I214" s="46"/>
      <c r="J214" s="46">
        <f t="shared" si="159"/>
        <v>0</v>
      </c>
      <c r="K214" s="46">
        <f t="shared" si="159"/>
        <v>0</v>
      </c>
      <c r="L214" s="46">
        <f t="shared" si="159"/>
        <v>0</v>
      </c>
      <c r="M214" s="46">
        <f t="shared" si="159"/>
        <v>0</v>
      </c>
      <c r="N214" s="46">
        <f t="shared" si="159"/>
        <v>0</v>
      </c>
      <c r="O214" s="46">
        <f t="shared" si="159"/>
        <v>0</v>
      </c>
      <c r="P214" s="46">
        <f t="shared" si="159"/>
        <v>0</v>
      </c>
      <c r="Q214" s="46">
        <f t="shared" si="159"/>
        <v>20028</v>
      </c>
      <c r="R214" s="46">
        <f t="shared" si="159"/>
        <v>0</v>
      </c>
      <c r="S214" s="46">
        <f t="shared" si="159"/>
        <v>0</v>
      </c>
      <c r="T214" s="46">
        <f t="shared" si="159"/>
        <v>0</v>
      </c>
      <c r="U214" s="46">
        <f t="shared" si="159"/>
        <v>0</v>
      </c>
      <c r="V214" s="46">
        <f t="shared" si="159"/>
        <v>0</v>
      </c>
      <c r="W214" s="46">
        <f t="shared" si="159"/>
        <v>0</v>
      </c>
      <c r="X214" s="46">
        <f t="shared" si="159"/>
        <v>0</v>
      </c>
      <c r="Y214" s="46">
        <f t="shared" si="159"/>
        <v>0</v>
      </c>
      <c r="Z214" s="46">
        <f t="shared" si="156"/>
        <v>0</v>
      </c>
      <c r="AA214" s="46">
        <f t="shared" si="156"/>
        <v>0</v>
      </c>
      <c r="AB214" s="46">
        <f t="shared" si="156"/>
        <v>0</v>
      </c>
      <c r="AC214" s="46">
        <f t="shared" si="156"/>
        <v>0</v>
      </c>
      <c r="AD214" s="46">
        <f t="shared" si="156"/>
        <v>0</v>
      </c>
      <c r="AE214" s="46">
        <f t="shared" si="156"/>
        <v>0</v>
      </c>
      <c r="AF214" s="46">
        <f t="shared" si="156"/>
        <v>0</v>
      </c>
      <c r="AG214" s="46">
        <f t="shared" si="156"/>
        <v>0</v>
      </c>
      <c r="AH214" s="46">
        <f t="shared" si="157"/>
        <v>0</v>
      </c>
      <c r="AI214" s="46">
        <f t="shared" si="157"/>
        <v>0</v>
      </c>
      <c r="AJ214" s="46">
        <f t="shared" si="157"/>
        <v>0</v>
      </c>
      <c r="AK214" s="46">
        <f t="shared" si="157"/>
        <v>0</v>
      </c>
      <c r="AL214" s="46">
        <f t="shared" si="157"/>
        <v>0</v>
      </c>
      <c r="AM214" s="46">
        <f t="shared" si="157"/>
        <v>0</v>
      </c>
      <c r="AN214" s="46">
        <f t="shared" si="157"/>
        <v>0</v>
      </c>
      <c r="AO214" s="46">
        <f t="shared" si="157"/>
        <v>0</v>
      </c>
      <c r="AP214" s="46">
        <f t="shared" si="157"/>
        <v>0</v>
      </c>
      <c r="AQ214" s="46">
        <f t="shared" si="157"/>
        <v>0</v>
      </c>
      <c r="AR214" s="46">
        <f t="shared" si="157"/>
        <v>0</v>
      </c>
      <c r="AS214" s="46">
        <f t="shared" si="157"/>
        <v>0</v>
      </c>
      <c r="AT214" s="46">
        <f t="shared" si="157"/>
        <v>0</v>
      </c>
      <c r="AU214" s="46">
        <f t="shared" si="157"/>
        <v>0</v>
      </c>
      <c r="AV214" s="46">
        <f t="shared" si="157"/>
        <v>0</v>
      </c>
      <c r="AW214" s="46">
        <f t="shared" si="157"/>
        <v>0</v>
      </c>
      <c r="AX214" s="46">
        <f t="shared" si="158"/>
        <v>0</v>
      </c>
      <c r="AY214" s="46">
        <f t="shared" si="158"/>
        <v>0</v>
      </c>
      <c r="AZ214" s="46">
        <f t="shared" si="158"/>
        <v>0</v>
      </c>
      <c r="BA214" s="46">
        <f t="shared" si="158"/>
        <v>0</v>
      </c>
      <c r="BB214" s="46">
        <f t="shared" si="158"/>
        <v>0</v>
      </c>
      <c r="BC214" s="46">
        <f t="shared" si="158"/>
        <v>0</v>
      </c>
      <c r="BD214" s="46">
        <f t="shared" si="158"/>
        <v>0</v>
      </c>
      <c r="BE214" s="46">
        <f t="shared" si="158"/>
        <v>0</v>
      </c>
      <c r="BF214" s="46">
        <f t="shared" si="158"/>
        <v>0</v>
      </c>
      <c r="BG214" s="46">
        <f t="shared" si="158"/>
        <v>0</v>
      </c>
      <c r="BH214" s="46">
        <f t="shared" si="158"/>
        <v>0</v>
      </c>
    </row>
    <row r="215" spans="1:60" ht="14.25" customHeight="1" x14ac:dyDescent="0.3">
      <c r="A215" s="46"/>
      <c r="B215" s="37"/>
      <c r="C215" s="46" t="s">
        <v>344</v>
      </c>
      <c r="D215" s="46"/>
      <c r="E215" s="53">
        <f>(43000/1.2)+3000</f>
        <v>38833.333333333336</v>
      </c>
      <c r="F215" s="66">
        <f>AC3</f>
        <v>46173</v>
      </c>
      <c r="G215" s="46"/>
      <c r="H215" s="46"/>
      <c r="I215" s="46"/>
      <c r="J215" s="46">
        <f t="shared" si="159"/>
        <v>0</v>
      </c>
      <c r="K215" s="46">
        <f t="shared" si="159"/>
        <v>0</v>
      </c>
      <c r="L215" s="46">
        <f t="shared" si="159"/>
        <v>0</v>
      </c>
      <c r="M215" s="46">
        <f t="shared" si="159"/>
        <v>0</v>
      </c>
      <c r="N215" s="46">
        <f t="shared" si="159"/>
        <v>0</v>
      </c>
      <c r="O215" s="46">
        <f t="shared" si="159"/>
        <v>0</v>
      </c>
      <c r="P215" s="46">
        <f t="shared" si="159"/>
        <v>0</v>
      </c>
      <c r="Q215" s="46">
        <f t="shared" si="159"/>
        <v>0</v>
      </c>
      <c r="R215" s="46">
        <f t="shared" si="159"/>
        <v>0</v>
      </c>
      <c r="S215" s="46">
        <f t="shared" si="159"/>
        <v>0</v>
      </c>
      <c r="T215" s="46">
        <f t="shared" si="159"/>
        <v>0</v>
      </c>
      <c r="U215" s="46">
        <f t="shared" si="159"/>
        <v>0</v>
      </c>
      <c r="V215" s="46">
        <f t="shared" si="159"/>
        <v>0</v>
      </c>
      <c r="W215" s="46">
        <f t="shared" si="159"/>
        <v>0</v>
      </c>
      <c r="X215" s="46">
        <f t="shared" si="159"/>
        <v>0</v>
      </c>
      <c r="Y215" s="46">
        <f t="shared" si="159"/>
        <v>0</v>
      </c>
      <c r="Z215" s="46">
        <f t="shared" si="156"/>
        <v>0</v>
      </c>
      <c r="AA215" s="46">
        <f t="shared" si="156"/>
        <v>0</v>
      </c>
      <c r="AB215" s="46">
        <f t="shared" si="156"/>
        <v>0</v>
      </c>
      <c r="AC215" s="46">
        <f t="shared" si="156"/>
        <v>38833.333333333336</v>
      </c>
      <c r="AD215" s="46">
        <f t="shared" si="156"/>
        <v>0</v>
      </c>
      <c r="AE215" s="46">
        <f t="shared" si="156"/>
        <v>0</v>
      </c>
      <c r="AF215" s="46">
        <f t="shared" si="156"/>
        <v>0</v>
      </c>
      <c r="AG215" s="46">
        <f t="shared" si="156"/>
        <v>0</v>
      </c>
      <c r="AH215" s="46">
        <f t="shared" si="157"/>
        <v>0</v>
      </c>
      <c r="AI215" s="46">
        <f t="shared" si="157"/>
        <v>0</v>
      </c>
      <c r="AJ215" s="46">
        <f t="shared" si="157"/>
        <v>0</v>
      </c>
      <c r="AK215" s="46">
        <f t="shared" si="157"/>
        <v>0</v>
      </c>
      <c r="AL215" s="46">
        <f t="shared" si="157"/>
        <v>0</v>
      </c>
      <c r="AM215" s="46">
        <f t="shared" si="157"/>
        <v>0</v>
      </c>
      <c r="AN215" s="46">
        <f t="shared" si="157"/>
        <v>0</v>
      </c>
      <c r="AO215" s="46">
        <f t="shared" si="157"/>
        <v>0</v>
      </c>
      <c r="AP215" s="46">
        <f t="shared" si="157"/>
        <v>0</v>
      </c>
      <c r="AQ215" s="46">
        <f t="shared" si="157"/>
        <v>0</v>
      </c>
      <c r="AR215" s="46">
        <f t="shared" si="157"/>
        <v>0</v>
      </c>
      <c r="AS215" s="46">
        <f t="shared" si="157"/>
        <v>0</v>
      </c>
      <c r="AT215" s="46">
        <f t="shared" si="157"/>
        <v>0</v>
      </c>
      <c r="AU215" s="46">
        <f t="shared" si="157"/>
        <v>0</v>
      </c>
      <c r="AV215" s="46">
        <f t="shared" si="157"/>
        <v>0</v>
      </c>
      <c r="AW215" s="46">
        <f t="shared" si="157"/>
        <v>0</v>
      </c>
      <c r="AX215" s="46">
        <f t="shared" si="158"/>
        <v>0</v>
      </c>
      <c r="AY215" s="46">
        <f t="shared" si="158"/>
        <v>0</v>
      </c>
      <c r="AZ215" s="46">
        <f t="shared" si="158"/>
        <v>0</v>
      </c>
      <c r="BA215" s="46">
        <f t="shared" si="158"/>
        <v>0</v>
      </c>
      <c r="BB215" s="46">
        <f t="shared" si="158"/>
        <v>0</v>
      </c>
      <c r="BC215" s="46">
        <f t="shared" si="158"/>
        <v>0</v>
      </c>
      <c r="BD215" s="46">
        <f t="shared" si="158"/>
        <v>0</v>
      </c>
      <c r="BE215" s="46">
        <f t="shared" si="158"/>
        <v>0</v>
      </c>
      <c r="BF215" s="46">
        <f t="shared" si="158"/>
        <v>0</v>
      </c>
      <c r="BG215" s="46">
        <f t="shared" si="158"/>
        <v>0</v>
      </c>
      <c r="BH215" s="46">
        <f t="shared" si="158"/>
        <v>0</v>
      </c>
    </row>
    <row r="216" spans="1:60" ht="14.25" customHeight="1" x14ac:dyDescent="0.3">
      <c r="A216" s="46"/>
      <c r="B216" s="37"/>
      <c r="C216" s="46" t="s">
        <v>345</v>
      </c>
      <c r="D216" s="46"/>
      <c r="E216" s="53">
        <f>(43000/1.2)</f>
        <v>35833.333333333336</v>
      </c>
      <c r="F216" s="66">
        <f>AG3</f>
        <v>46295</v>
      </c>
      <c r="G216" s="46"/>
      <c r="H216" s="46"/>
      <c r="I216" s="46"/>
      <c r="J216" s="46">
        <f t="shared" si="159"/>
        <v>0</v>
      </c>
      <c r="K216" s="46">
        <f t="shared" si="159"/>
        <v>0</v>
      </c>
      <c r="L216" s="46">
        <f t="shared" si="159"/>
        <v>0</v>
      </c>
      <c r="M216" s="46">
        <f t="shared" si="159"/>
        <v>0</v>
      </c>
      <c r="N216" s="46">
        <f t="shared" si="159"/>
        <v>0</v>
      </c>
      <c r="O216" s="46">
        <f t="shared" si="159"/>
        <v>0</v>
      </c>
      <c r="P216" s="46">
        <f t="shared" si="159"/>
        <v>0</v>
      </c>
      <c r="Q216" s="46">
        <f t="shared" si="159"/>
        <v>0</v>
      </c>
      <c r="R216" s="46">
        <f t="shared" si="159"/>
        <v>0</v>
      </c>
      <c r="S216" s="46">
        <f t="shared" si="159"/>
        <v>0</v>
      </c>
      <c r="T216" s="46">
        <f t="shared" si="159"/>
        <v>0</v>
      </c>
      <c r="U216" s="46">
        <f t="shared" si="159"/>
        <v>0</v>
      </c>
      <c r="V216" s="46">
        <f t="shared" si="159"/>
        <v>0</v>
      </c>
      <c r="W216" s="46">
        <f t="shared" si="159"/>
        <v>0</v>
      </c>
      <c r="X216" s="46">
        <f t="shared" si="159"/>
        <v>0</v>
      </c>
      <c r="Y216" s="46">
        <f t="shared" si="159"/>
        <v>0</v>
      </c>
      <c r="Z216" s="46">
        <f t="shared" si="156"/>
        <v>0</v>
      </c>
      <c r="AA216" s="46">
        <f t="shared" si="156"/>
        <v>0</v>
      </c>
      <c r="AB216" s="46">
        <f t="shared" si="156"/>
        <v>0</v>
      </c>
      <c r="AC216" s="46">
        <f t="shared" si="156"/>
        <v>0</v>
      </c>
      <c r="AD216" s="46">
        <f t="shared" si="156"/>
        <v>0</v>
      </c>
      <c r="AE216" s="46">
        <f t="shared" si="156"/>
        <v>0</v>
      </c>
      <c r="AF216" s="46">
        <f t="shared" si="156"/>
        <v>0</v>
      </c>
      <c r="AG216" s="46">
        <f t="shared" si="156"/>
        <v>35833.333333333336</v>
      </c>
      <c r="AH216" s="46">
        <f t="shared" si="157"/>
        <v>0</v>
      </c>
      <c r="AI216" s="46">
        <f t="shared" si="157"/>
        <v>0</v>
      </c>
      <c r="AJ216" s="46">
        <f t="shared" si="157"/>
        <v>0</v>
      </c>
      <c r="AK216" s="46">
        <f t="shared" si="157"/>
        <v>0</v>
      </c>
      <c r="AL216" s="46">
        <f t="shared" si="157"/>
        <v>0</v>
      </c>
      <c r="AM216" s="46">
        <f t="shared" si="157"/>
        <v>0</v>
      </c>
      <c r="AN216" s="46">
        <f t="shared" si="157"/>
        <v>0</v>
      </c>
      <c r="AO216" s="46">
        <f t="shared" si="157"/>
        <v>0</v>
      </c>
      <c r="AP216" s="46">
        <f t="shared" si="157"/>
        <v>0</v>
      </c>
      <c r="AQ216" s="46">
        <f t="shared" si="157"/>
        <v>0</v>
      </c>
      <c r="AR216" s="46">
        <f t="shared" si="157"/>
        <v>0</v>
      </c>
      <c r="AS216" s="46">
        <f t="shared" si="157"/>
        <v>0</v>
      </c>
      <c r="AT216" s="46">
        <f t="shared" si="157"/>
        <v>0</v>
      </c>
      <c r="AU216" s="46">
        <f t="shared" si="157"/>
        <v>0</v>
      </c>
      <c r="AV216" s="46">
        <f t="shared" si="157"/>
        <v>0</v>
      </c>
      <c r="AW216" s="46">
        <f t="shared" si="157"/>
        <v>0</v>
      </c>
      <c r="AX216" s="46">
        <f t="shared" si="158"/>
        <v>0</v>
      </c>
      <c r="AY216" s="46">
        <f t="shared" si="158"/>
        <v>0</v>
      </c>
      <c r="AZ216" s="46">
        <f t="shared" si="158"/>
        <v>0</v>
      </c>
      <c r="BA216" s="46">
        <f t="shared" si="158"/>
        <v>0</v>
      </c>
      <c r="BB216" s="46">
        <f t="shared" si="158"/>
        <v>0</v>
      </c>
      <c r="BC216" s="46">
        <f t="shared" si="158"/>
        <v>0</v>
      </c>
      <c r="BD216" s="46">
        <f t="shared" si="158"/>
        <v>0</v>
      </c>
      <c r="BE216" s="46">
        <f t="shared" si="158"/>
        <v>0</v>
      </c>
      <c r="BF216" s="46">
        <f t="shared" si="158"/>
        <v>0</v>
      </c>
      <c r="BG216" s="46">
        <f t="shared" si="158"/>
        <v>0</v>
      </c>
      <c r="BH216" s="46">
        <f t="shared" si="158"/>
        <v>0</v>
      </c>
    </row>
    <row r="217" spans="1:60" ht="14.25" customHeight="1" x14ac:dyDescent="0.3">
      <c r="A217" s="46"/>
      <c r="B217" s="37"/>
      <c r="C217" s="46" t="s">
        <v>346</v>
      </c>
      <c r="D217" s="46"/>
      <c r="E217" s="53">
        <f>36192.5/1.2</f>
        <v>30160.416666666668</v>
      </c>
      <c r="F217" s="66">
        <f>J3</f>
        <v>45596</v>
      </c>
      <c r="G217" s="60" t="s">
        <v>337</v>
      </c>
      <c r="H217" s="60"/>
      <c r="I217" s="46"/>
      <c r="J217" s="46">
        <f t="shared" si="159"/>
        <v>30160.416666666668</v>
      </c>
      <c r="K217" s="46">
        <f t="shared" si="159"/>
        <v>0</v>
      </c>
      <c r="L217" s="46">
        <f t="shared" si="159"/>
        <v>0</v>
      </c>
      <c r="M217" s="46">
        <f t="shared" si="159"/>
        <v>0</v>
      </c>
      <c r="N217" s="46">
        <f t="shared" si="159"/>
        <v>0</v>
      </c>
      <c r="O217" s="46">
        <f t="shared" si="159"/>
        <v>0</v>
      </c>
      <c r="P217" s="46">
        <f t="shared" si="159"/>
        <v>0</v>
      </c>
      <c r="Q217" s="46">
        <f t="shared" si="159"/>
        <v>0</v>
      </c>
      <c r="R217" s="46">
        <f t="shared" si="159"/>
        <v>0</v>
      </c>
      <c r="S217" s="46">
        <f t="shared" si="159"/>
        <v>0</v>
      </c>
      <c r="T217" s="46">
        <f t="shared" si="159"/>
        <v>0</v>
      </c>
      <c r="U217" s="46">
        <f t="shared" si="159"/>
        <v>0</v>
      </c>
      <c r="V217" s="46">
        <f t="shared" si="159"/>
        <v>0</v>
      </c>
      <c r="W217" s="46">
        <f t="shared" si="159"/>
        <v>0</v>
      </c>
      <c r="X217" s="46">
        <f t="shared" si="159"/>
        <v>0</v>
      </c>
      <c r="Y217" s="46">
        <f t="shared" si="159"/>
        <v>0</v>
      </c>
      <c r="Z217" s="46">
        <f t="shared" si="156"/>
        <v>0</v>
      </c>
      <c r="AA217" s="46">
        <f t="shared" si="156"/>
        <v>0</v>
      </c>
      <c r="AB217" s="46">
        <f t="shared" si="156"/>
        <v>0</v>
      </c>
      <c r="AC217" s="46">
        <f t="shared" si="156"/>
        <v>0</v>
      </c>
      <c r="AD217" s="46">
        <f t="shared" si="156"/>
        <v>0</v>
      </c>
      <c r="AE217" s="46">
        <f t="shared" si="156"/>
        <v>0</v>
      </c>
      <c r="AF217" s="46">
        <f t="shared" si="156"/>
        <v>0</v>
      </c>
      <c r="AG217" s="46">
        <f t="shared" si="156"/>
        <v>0</v>
      </c>
      <c r="AH217" s="46">
        <f t="shared" si="157"/>
        <v>0</v>
      </c>
      <c r="AI217" s="46">
        <f t="shared" si="157"/>
        <v>0</v>
      </c>
      <c r="AJ217" s="46">
        <f t="shared" si="157"/>
        <v>0</v>
      </c>
      <c r="AK217" s="46">
        <f t="shared" si="157"/>
        <v>0</v>
      </c>
      <c r="AL217" s="46">
        <f t="shared" si="157"/>
        <v>0</v>
      </c>
      <c r="AM217" s="46">
        <f t="shared" si="157"/>
        <v>0</v>
      </c>
      <c r="AN217" s="46">
        <f t="shared" si="157"/>
        <v>0</v>
      </c>
      <c r="AO217" s="46">
        <f t="shared" si="157"/>
        <v>0</v>
      </c>
      <c r="AP217" s="46">
        <f t="shared" si="157"/>
        <v>0</v>
      </c>
      <c r="AQ217" s="46">
        <f t="shared" si="157"/>
        <v>0</v>
      </c>
      <c r="AR217" s="46">
        <f t="shared" si="157"/>
        <v>0</v>
      </c>
      <c r="AS217" s="46">
        <f t="shared" si="157"/>
        <v>0</v>
      </c>
      <c r="AT217" s="46">
        <f t="shared" si="157"/>
        <v>0</v>
      </c>
      <c r="AU217" s="46">
        <f t="shared" si="157"/>
        <v>0</v>
      </c>
      <c r="AV217" s="46">
        <f t="shared" si="157"/>
        <v>0</v>
      </c>
      <c r="AW217" s="46">
        <f t="shared" si="157"/>
        <v>0</v>
      </c>
      <c r="AX217" s="46">
        <f t="shared" si="158"/>
        <v>0</v>
      </c>
      <c r="AY217" s="46">
        <f t="shared" si="158"/>
        <v>0</v>
      </c>
      <c r="AZ217" s="46">
        <f t="shared" si="158"/>
        <v>0</v>
      </c>
      <c r="BA217" s="46">
        <f t="shared" si="158"/>
        <v>0</v>
      </c>
      <c r="BB217" s="46">
        <f t="shared" si="158"/>
        <v>0</v>
      </c>
      <c r="BC217" s="46">
        <f t="shared" si="158"/>
        <v>0</v>
      </c>
      <c r="BD217" s="46">
        <f t="shared" si="158"/>
        <v>0</v>
      </c>
      <c r="BE217" s="46">
        <f t="shared" si="158"/>
        <v>0</v>
      </c>
      <c r="BF217" s="46">
        <f t="shared" si="158"/>
        <v>0</v>
      </c>
      <c r="BG217" s="46">
        <f t="shared" si="158"/>
        <v>0</v>
      </c>
      <c r="BH217" s="46">
        <f t="shared" si="158"/>
        <v>0</v>
      </c>
    </row>
    <row r="218" spans="1:60" ht="14.25" customHeight="1" x14ac:dyDescent="0.3">
      <c r="A218" s="46"/>
      <c r="B218" s="37"/>
      <c r="C218" s="46" t="s">
        <v>347</v>
      </c>
      <c r="D218" s="46"/>
      <c r="E218" s="53">
        <v>13500</v>
      </c>
      <c r="F218" s="66">
        <v>45808</v>
      </c>
      <c r="G218" s="46"/>
      <c r="H218" s="46"/>
      <c r="I218" s="46"/>
      <c r="J218" s="46">
        <f t="shared" si="159"/>
        <v>0</v>
      </c>
      <c r="K218" s="46">
        <f t="shared" si="159"/>
        <v>0</v>
      </c>
      <c r="L218" s="46">
        <f t="shared" si="159"/>
        <v>0</v>
      </c>
      <c r="M218" s="46">
        <f t="shared" si="159"/>
        <v>0</v>
      </c>
      <c r="N218" s="46">
        <f t="shared" si="159"/>
        <v>0</v>
      </c>
      <c r="O218" s="46">
        <f t="shared" si="159"/>
        <v>0</v>
      </c>
      <c r="P218" s="46">
        <f t="shared" si="159"/>
        <v>0</v>
      </c>
      <c r="Q218" s="46">
        <f t="shared" si="159"/>
        <v>13500</v>
      </c>
      <c r="R218" s="46">
        <f t="shared" si="159"/>
        <v>0</v>
      </c>
      <c r="S218" s="46">
        <f t="shared" si="159"/>
        <v>0</v>
      </c>
      <c r="T218" s="46">
        <f t="shared" si="159"/>
        <v>0</v>
      </c>
      <c r="U218" s="46">
        <f t="shared" si="159"/>
        <v>0</v>
      </c>
      <c r="V218" s="46">
        <f t="shared" si="159"/>
        <v>0</v>
      </c>
      <c r="W218" s="46">
        <f t="shared" si="159"/>
        <v>0</v>
      </c>
      <c r="X218" s="46">
        <f t="shared" si="159"/>
        <v>0</v>
      </c>
      <c r="Y218" s="46">
        <f t="shared" si="159"/>
        <v>0</v>
      </c>
      <c r="Z218" s="46">
        <f t="shared" si="156"/>
        <v>0</v>
      </c>
      <c r="AA218" s="46">
        <f t="shared" si="156"/>
        <v>0</v>
      </c>
      <c r="AB218" s="46">
        <f t="shared" si="156"/>
        <v>0</v>
      </c>
      <c r="AC218" s="46">
        <f t="shared" si="156"/>
        <v>0</v>
      </c>
      <c r="AD218" s="46">
        <f t="shared" si="156"/>
        <v>0</v>
      </c>
      <c r="AE218" s="46">
        <f t="shared" si="156"/>
        <v>0</v>
      </c>
      <c r="AF218" s="46">
        <f t="shared" si="156"/>
        <v>0</v>
      </c>
      <c r="AG218" s="46">
        <f t="shared" si="156"/>
        <v>0</v>
      </c>
      <c r="AH218" s="46">
        <f t="shared" si="157"/>
        <v>0</v>
      </c>
      <c r="AI218" s="46">
        <f t="shared" si="157"/>
        <v>0</v>
      </c>
      <c r="AJ218" s="46">
        <f t="shared" si="157"/>
        <v>0</v>
      </c>
      <c r="AK218" s="46">
        <f t="shared" si="157"/>
        <v>0</v>
      </c>
      <c r="AL218" s="46">
        <f t="shared" si="157"/>
        <v>0</v>
      </c>
      <c r="AM218" s="46">
        <f t="shared" si="157"/>
        <v>0</v>
      </c>
      <c r="AN218" s="46">
        <f t="shared" si="157"/>
        <v>0</v>
      </c>
      <c r="AO218" s="46">
        <f t="shared" si="157"/>
        <v>0</v>
      </c>
      <c r="AP218" s="46">
        <f t="shared" si="157"/>
        <v>0</v>
      </c>
      <c r="AQ218" s="46">
        <f t="shared" si="157"/>
        <v>0</v>
      </c>
      <c r="AR218" s="46">
        <f t="shared" si="157"/>
        <v>0</v>
      </c>
      <c r="AS218" s="46">
        <f t="shared" si="157"/>
        <v>0</v>
      </c>
      <c r="AT218" s="46">
        <f t="shared" si="157"/>
        <v>0</v>
      </c>
      <c r="AU218" s="46">
        <f t="shared" si="157"/>
        <v>0</v>
      </c>
      <c r="AV218" s="46">
        <f t="shared" si="157"/>
        <v>0</v>
      </c>
      <c r="AW218" s="46">
        <f t="shared" si="157"/>
        <v>0</v>
      </c>
      <c r="AX218" s="46">
        <f t="shared" si="158"/>
        <v>0</v>
      </c>
      <c r="AY218" s="46">
        <f t="shared" si="158"/>
        <v>0</v>
      </c>
      <c r="AZ218" s="46">
        <f t="shared" si="158"/>
        <v>0</v>
      </c>
      <c r="BA218" s="46">
        <f t="shared" si="158"/>
        <v>0</v>
      </c>
      <c r="BB218" s="46">
        <f t="shared" si="158"/>
        <v>0</v>
      </c>
      <c r="BC218" s="46">
        <f t="shared" si="158"/>
        <v>0</v>
      </c>
      <c r="BD218" s="46">
        <f t="shared" si="158"/>
        <v>0</v>
      </c>
      <c r="BE218" s="46">
        <f t="shared" si="158"/>
        <v>0</v>
      </c>
      <c r="BF218" s="46">
        <f t="shared" si="158"/>
        <v>0</v>
      </c>
      <c r="BG218" s="46">
        <f t="shared" si="158"/>
        <v>0</v>
      </c>
      <c r="BH218" s="46">
        <f t="shared" si="158"/>
        <v>0</v>
      </c>
    </row>
    <row r="219" spans="1:60" ht="14.25" customHeight="1" x14ac:dyDescent="0.3">
      <c r="A219" s="46"/>
      <c r="B219" s="37"/>
      <c r="C219" s="46" t="s">
        <v>348</v>
      </c>
      <c r="D219" s="46"/>
      <c r="E219" s="53">
        <v>2939</v>
      </c>
      <c r="F219" s="66">
        <f>Q3</f>
        <v>45808</v>
      </c>
      <c r="G219" s="46"/>
      <c r="H219" s="46"/>
      <c r="I219" s="46"/>
      <c r="J219" s="46">
        <f t="shared" si="159"/>
        <v>0</v>
      </c>
      <c r="K219" s="46">
        <f t="shared" si="159"/>
        <v>0</v>
      </c>
      <c r="L219" s="46">
        <f t="shared" si="159"/>
        <v>0</v>
      </c>
      <c r="M219" s="46">
        <f t="shared" si="159"/>
        <v>0</v>
      </c>
      <c r="N219" s="46">
        <f t="shared" si="159"/>
        <v>0</v>
      </c>
      <c r="O219" s="46">
        <f t="shared" si="159"/>
        <v>0</v>
      </c>
      <c r="P219" s="46">
        <f t="shared" si="159"/>
        <v>0</v>
      </c>
      <c r="Q219" s="46">
        <f t="shared" si="159"/>
        <v>2939</v>
      </c>
      <c r="R219" s="46">
        <f t="shared" si="159"/>
        <v>0</v>
      </c>
      <c r="S219" s="46">
        <f t="shared" si="159"/>
        <v>0</v>
      </c>
      <c r="T219" s="46">
        <f t="shared" si="159"/>
        <v>0</v>
      </c>
      <c r="U219" s="46">
        <f t="shared" si="159"/>
        <v>0</v>
      </c>
      <c r="V219" s="46">
        <f t="shared" si="159"/>
        <v>0</v>
      </c>
      <c r="W219" s="46">
        <f t="shared" si="159"/>
        <v>0</v>
      </c>
      <c r="X219" s="46">
        <f t="shared" si="159"/>
        <v>0</v>
      </c>
      <c r="Y219" s="46">
        <f t="shared" si="159"/>
        <v>0</v>
      </c>
      <c r="Z219" s="46">
        <f t="shared" si="156"/>
        <v>0</v>
      </c>
      <c r="AA219" s="46">
        <f t="shared" si="156"/>
        <v>0</v>
      </c>
      <c r="AB219" s="46">
        <f t="shared" si="156"/>
        <v>0</v>
      </c>
      <c r="AC219" s="46">
        <f t="shared" si="156"/>
        <v>0</v>
      </c>
      <c r="AD219" s="46">
        <f t="shared" si="156"/>
        <v>0</v>
      </c>
      <c r="AE219" s="46">
        <f t="shared" si="156"/>
        <v>0</v>
      </c>
      <c r="AF219" s="46">
        <f t="shared" si="156"/>
        <v>0</v>
      </c>
      <c r="AG219" s="46">
        <f t="shared" si="156"/>
        <v>0</v>
      </c>
      <c r="AH219" s="46">
        <f t="shared" si="157"/>
        <v>0</v>
      </c>
      <c r="AI219" s="46">
        <f t="shared" si="157"/>
        <v>0</v>
      </c>
      <c r="AJ219" s="46">
        <f t="shared" si="157"/>
        <v>0</v>
      </c>
      <c r="AK219" s="46">
        <f t="shared" si="157"/>
        <v>0</v>
      </c>
      <c r="AL219" s="46">
        <f t="shared" si="157"/>
        <v>0</v>
      </c>
      <c r="AM219" s="46">
        <f t="shared" si="157"/>
        <v>0</v>
      </c>
      <c r="AN219" s="46">
        <f t="shared" si="157"/>
        <v>0</v>
      </c>
      <c r="AO219" s="46">
        <f t="shared" si="157"/>
        <v>0</v>
      </c>
      <c r="AP219" s="46">
        <f t="shared" si="157"/>
        <v>0</v>
      </c>
      <c r="AQ219" s="46">
        <f t="shared" si="157"/>
        <v>0</v>
      </c>
      <c r="AR219" s="46">
        <f t="shared" si="157"/>
        <v>0</v>
      </c>
      <c r="AS219" s="46">
        <f t="shared" si="157"/>
        <v>0</v>
      </c>
      <c r="AT219" s="46">
        <f t="shared" si="157"/>
        <v>0</v>
      </c>
      <c r="AU219" s="46">
        <f t="shared" si="157"/>
        <v>0</v>
      </c>
      <c r="AV219" s="46">
        <f t="shared" si="157"/>
        <v>0</v>
      </c>
      <c r="AW219" s="46">
        <f t="shared" si="157"/>
        <v>0</v>
      </c>
      <c r="AX219" s="46">
        <f t="shared" si="158"/>
        <v>0</v>
      </c>
      <c r="AY219" s="46">
        <f t="shared" si="158"/>
        <v>0</v>
      </c>
      <c r="AZ219" s="46">
        <f t="shared" si="158"/>
        <v>0</v>
      </c>
      <c r="BA219" s="46">
        <f t="shared" si="158"/>
        <v>0</v>
      </c>
      <c r="BB219" s="46">
        <f t="shared" si="158"/>
        <v>0</v>
      </c>
      <c r="BC219" s="46">
        <f t="shared" si="158"/>
        <v>0</v>
      </c>
      <c r="BD219" s="46">
        <f t="shared" si="158"/>
        <v>0</v>
      </c>
      <c r="BE219" s="46">
        <f t="shared" si="158"/>
        <v>0</v>
      </c>
      <c r="BF219" s="46">
        <f t="shared" si="158"/>
        <v>0</v>
      </c>
      <c r="BG219" s="46">
        <f t="shared" si="158"/>
        <v>0</v>
      </c>
      <c r="BH219" s="46">
        <f t="shared" si="158"/>
        <v>0</v>
      </c>
    </row>
    <row r="220" spans="1:60" ht="14.25" customHeight="1" x14ac:dyDescent="0.3">
      <c r="A220" s="46"/>
      <c r="B220" s="37"/>
      <c r="C220" s="46" t="s">
        <v>240</v>
      </c>
      <c r="D220" s="46"/>
      <c r="E220" s="53">
        <v>14933</v>
      </c>
      <c r="F220" s="66">
        <f>R3</f>
        <v>45838</v>
      </c>
      <c r="G220" s="46"/>
      <c r="H220" s="46"/>
      <c r="I220" s="46"/>
      <c r="J220" s="46">
        <f t="shared" si="159"/>
        <v>0</v>
      </c>
      <c r="K220" s="46">
        <f t="shared" si="159"/>
        <v>0</v>
      </c>
      <c r="L220" s="46">
        <f t="shared" si="159"/>
        <v>0</v>
      </c>
      <c r="M220" s="46">
        <f t="shared" si="159"/>
        <v>0</v>
      </c>
      <c r="N220" s="46">
        <f t="shared" si="159"/>
        <v>0</v>
      </c>
      <c r="O220" s="46">
        <f t="shared" si="159"/>
        <v>0</v>
      </c>
      <c r="P220" s="46">
        <f t="shared" si="159"/>
        <v>0</v>
      </c>
      <c r="Q220" s="46">
        <f t="shared" si="159"/>
        <v>0</v>
      </c>
      <c r="R220" s="46">
        <f t="shared" si="159"/>
        <v>14933</v>
      </c>
      <c r="S220" s="46">
        <f t="shared" si="159"/>
        <v>0</v>
      </c>
      <c r="T220" s="46">
        <f t="shared" si="159"/>
        <v>0</v>
      </c>
      <c r="U220" s="46">
        <f t="shared" si="159"/>
        <v>0</v>
      </c>
      <c r="V220" s="46">
        <f t="shared" si="159"/>
        <v>0</v>
      </c>
      <c r="W220" s="46">
        <f t="shared" si="159"/>
        <v>0</v>
      </c>
      <c r="X220" s="46">
        <f t="shared" si="159"/>
        <v>0</v>
      </c>
      <c r="Y220" s="46">
        <f t="shared" si="159"/>
        <v>0</v>
      </c>
      <c r="Z220" s="46">
        <f t="shared" si="156"/>
        <v>0</v>
      </c>
      <c r="AA220" s="46">
        <f t="shared" si="156"/>
        <v>0</v>
      </c>
      <c r="AB220" s="46">
        <f t="shared" si="156"/>
        <v>0</v>
      </c>
      <c r="AC220" s="46">
        <f t="shared" si="156"/>
        <v>0</v>
      </c>
      <c r="AD220" s="46">
        <f t="shared" si="156"/>
        <v>0</v>
      </c>
      <c r="AE220" s="46">
        <f t="shared" si="156"/>
        <v>0</v>
      </c>
      <c r="AF220" s="46">
        <f t="shared" si="156"/>
        <v>0</v>
      </c>
      <c r="AG220" s="46">
        <f t="shared" si="156"/>
        <v>0</v>
      </c>
      <c r="AH220" s="46">
        <f t="shared" si="157"/>
        <v>0</v>
      </c>
      <c r="AI220" s="46">
        <f t="shared" si="157"/>
        <v>0</v>
      </c>
      <c r="AJ220" s="46">
        <f t="shared" si="157"/>
        <v>0</v>
      </c>
      <c r="AK220" s="46">
        <f t="shared" si="157"/>
        <v>0</v>
      </c>
      <c r="AL220" s="46">
        <f t="shared" si="157"/>
        <v>0</v>
      </c>
      <c r="AM220" s="46">
        <f t="shared" si="157"/>
        <v>0</v>
      </c>
      <c r="AN220" s="46">
        <f t="shared" si="157"/>
        <v>0</v>
      </c>
      <c r="AO220" s="46">
        <f t="shared" si="157"/>
        <v>0</v>
      </c>
      <c r="AP220" s="46">
        <f t="shared" si="157"/>
        <v>0</v>
      </c>
      <c r="AQ220" s="46">
        <f t="shared" si="157"/>
        <v>0</v>
      </c>
      <c r="AR220" s="46">
        <f t="shared" si="157"/>
        <v>0</v>
      </c>
      <c r="AS220" s="46">
        <f t="shared" si="157"/>
        <v>0</v>
      </c>
      <c r="AT220" s="46">
        <f t="shared" si="157"/>
        <v>0</v>
      </c>
      <c r="AU220" s="46">
        <f t="shared" si="157"/>
        <v>0</v>
      </c>
      <c r="AV220" s="46">
        <f t="shared" si="157"/>
        <v>0</v>
      </c>
      <c r="AW220" s="46">
        <f t="shared" si="157"/>
        <v>0</v>
      </c>
      <c r="AX220" s="46">
        <f t="shared" si="158"/>
        <v>0</v>
      </c>
      <c r="AY220" s="46">
        <f t="shared" si="158"/>
        <v>0</v>
      </c>
      <c r="AZ220" s="46">
        <f t="shared" si="158"/>
        <v>0</v>
      </c>
      <c r="BA220" s="46">
        <f t="shared" si="158"/>
        <v>0</v>
      </c>
      <c r="BB220" s="46">
        <f t="shared" si="158"/>
        <v>0</v>
      </c>
      <c r="BC220" s="46">
        <f t="shared" si="158"/>
        <v>0</v>
      </c>
      <c r="BD220" s="46">
        <f t="shared" si="158"/>
        <v>0</v>
      </c>
      <c r="BE220" s="46">
        <f t="shared" si="158"/>
        <v>0</v>
      </c>
      <c r="BF220" s="46">
        <f t="shared" si="158"/>
        <v>0</v>
      </c>
      <c r="BG220" s="46">
        <f t="shared" si="158"/>
        <v>0</v>
      </c>
      <c r="BH220" s="46">
        <f t="shared" si="158"/>
        <v>0</v>
      </c>
    </row>
    <row r="221" spans="1:60" ht="14.25" customHeight="1" x14ac:dyDescent="0.3">
      <c r="A221" s="46"/>
      <c r="B221" s="37"/>
      <c r="C221" s="46" t="s">
        <v>241</v>
      </c>
      <c r="D221" s="46"/>
      <c r="E221" s="53">
        <f>20617+18654</f>
        <v>39271</v>
      </c>
      <c r="F221" s="66">
        <f>R3</f>
        <v>45838</v>
      </c>
      <c r="G221" s="46"/>
      <c r="H221" s="46"/>
      <c r="I221" s="46"/>
      <c r="J221" s="46">
        <f t="shared" si="159"/>
        <v>0</v>
      </c>
      <c r="K221" s="46">
        <f t="shared" si="159"/>
        <v>0</v>
      </c>
      <c r="L221" s="46">
        <f t="shared" si="159"/>
        <v>0</v>
      </c>
      <c r="M221" s="46">
        <f t="shared" si="159"/>
        <v>0</v>
      </c>
      <c r="N221" s="46">
        <f t="shared" si="159"/>
        <v>0</v>
      </c>
      <c r="O221" s="46">
        <f t="shared" si="159"/>
        <v>0</v>
      </c>
      <c r="P221" s="46">
        <f t="shared" si="159"/>
        <v>0</v>
      </c>
      <c r="Q221" s="46">
        <f t="shared" si="159"/>
        <v>0</v>
      </c>
      <c r="R221" s="46">
        <f t="shared" si="159"/>
        <v>39271</v>
      </c>
      <c r="S221" s="46">
        <f t="shared" si="159"/>
        <v>0</v>
      </c>
      <c r="T221" s="46">
        <f t="shared" si="159"/>
        <v>0</v>
      </c>
      <c r="U221" s="46">
        <f t="shared" si="159"/>
        <v>0</v>
      </c>
      <c r="V221" s="46">
        <f t="shared" si="159"/>
        <v>0</v>
      </c>
      <c r="W221" s="46">
        <f t="shared" si="159"/>
        <v>0</v>
      </c>
      <c r="X221" s="46">
        <f t="shared" si="159"/>
        <v>0</v>
      </c>
      <c r="Y221" s="46">
        <f t="shared" si="159"/>
        <v>0</v>
      </c>
      <c r="Z221" s="46">
        <f t="shared" si="156"/>
        <v>0</v>
      </c>
      <c r="AA221" s="46">
        <f t="shared" si="156"/>
        <v>0</v>
      </c>
      <c r="AB221" s="46">
        <f t="shared" si="156"/>
        <v>0</v>
      </c>
      <c r="AC221" s="46">
        <f t="shared" si="156"/>
        <v>0</v>
      </c>
      <c r="AD221" s="46">
        <f t="shared" si="156"/>
        <v>0</v>
      </c>
      <c r="AE221" s="46">
        <f t="shared" si="156"/>
        <v>0</v>
      </c>
      <c r="AF221" s="46">
        <f t="shared" si="156"/>
        <v>0</v>
      </c>
      <c r="AG221" s="46">
        <f t="shared" si="156"/>
        <v>0</v>
      </c>
      <c r="AH221" s="46">
        <f t="shared" si="157"/>
        <v>0</v>
      </c>
      <c r="AI221" s="46">
        <f t="shared" si="157"/>
        <v>0</v>
      </c>
      <c r="AJ221" s="46">
        <f t="shared" si="157"/>
        <v>0</v>
      </c>
      <c r="AK221" s="46">
        <f t="shared" si="157"/>
        <v>0</v>
      </c>
      <c r="AL221" s="46">
        <f t="shared" si="157"/>
        <v>0</v>
      </c>
      <c r="AM221" s="46">
        <f t="shared" si="157"/>
        <v>0</v>
      </c>
      <c r="AN221" s="46">
        <f t="shared" si="157"/>
        <v>0</v>
      </c>
      <c r="AO221" s="46">
        <f t="shared" si="157"/>
        <v>0</v>
      </c>
      <c r="AP221" s="46">
        <f t="shared" si="157"/>
        <v>0</v>
      </c>
      <c r="AQ221" s="46">
        <f t="shared" si="157"/>
        <v>0</v>
      </c>
      <c r="AR221" s="46">
        <f t="shared" si="157"/>
        <v>0</v>
      </c>
      <c r="AS221" s="46">
        <f t="shared" si="157"/>
        <v>0</v>
      </c>
      <c r="AT221" s="46">
        <f t="shared" si="157"/>
        <v>0</v>
      </c>
      <c r="AU221" s="46">
        <f t="shared" si="157"/>
        <v>0</v>
      </c>
      <c r="AV221" s="46">
        <f t="shared" si="157"/>
        <v>0</v>
      </c>
      <c r="AW221" s="46">
        <f t="shared" si="157"/>
        <v>0</v>
      </c>
      <c r="AX221" s="46">
        <f t="shared" si="158"/>
        <v>0</v>
      </c>
      <c r="AY221" s="46">
        <f t="shared" si="158"/>
        <v>0</v>
      </c>
      <c r="AZ221" s="46">
        <f t="shared" si="158"/>
        <v>0</v>
      </c>
      <c r="BA221" s="46">
        <f t="shared" si="158"/>
        <v>0</v>
      </c>
      <c r="BB221" s="46">
        <f t="shared" si="158"/>
        <v>0</v>
      </c>
      <c r="BC221" s="46">
        <f t="shared" si="158"/>
        <v>0</v>
      </c>
      <c r="BD221" s="46">
        <f t="shared" si="158"/>
        <v>0</v>
      </c>
      <c r="BE221" s="46">
        <f t="shared" si="158"/>
        <v>0</v>
      </c>
      <c r="BF221" s="46">
        <f t="shared" si="158"/>
        <v>0</v>
      </c>
      <c r="BG221" s="46">
        <f t="shared" si="158"/>
        <v>0</v>
      </c>
      <c r="BH221" s="46">
        <f t="shared" si="158"/>
        <v>0</v>
      </c>
    </row>
    <row r="222" spans="1:60" ht="14.25" customHeight="1" x14ac:dyDescent="0.3">
      <c r="A222" s="46"/>
      <c r="B222" s="37"/>
      <c r="C222" s="46" t="s">
        <v>349</v>
      </c>
      <c r="D222" s="46"/>
      <c r="E222" s="53">
        <v>25200</v>
      </c>
      <c r="F222" s="66">
        <f>U3</f>
        <v>45930</v>
      </c>
      <c r="G222" s="46"/>
      <c r="H222" s="46"/>
      <c r="I222" s="46"/>
      <c r="J222" s="46">
        <f t="shared" si="159"/>
        <v>0</v>
      </c>
      <c r="K222" s="46">
        <f t="shared" si="159"/>
        <v>0</v>
      </c>
      <c r="L222" s="46">
        <f t="shared" si="159"/>
        <v>0</v>
      </c>
      <c r="M222" s="46">
        <f t="shared" si="159"/>
        <v>0</v>
      </c>
      <c r="N222" s="46">
        <f t="shared" si="159"/>
        <v>0</v>
      </c>
      <c r="O222" s="46">
        <f t="shared" si="159"/>
        <v>0</v>
      </c>
      <c r="P222" s="46">
        <f t="shared" si="159"/>
        <v>0</v>
      </c>
      <c r="Q222" s="46">
        <f t="shared" si="159"/>
        <v>0</v>
      </c>
      <c r="R222" s="46">
        <f t="shared" si="159"/>
        <v>0</v>
      </c>
      <c r="S222" s="46">
        <f t="shared" si="159"/>
        <v>0</v>
      </c>
      <c r="T222" s="46">
        <f t="shared" si="159"/>
        <v>0</v>
      </c>
      <c r="U222" s="46">
        <f t="shared" si="159"/>
        <v>25200</v>
      </c>
      <c r="V222" s="46">
        <f t="shared" si="159"/>
        <v>0</v>
      </c>
      <c r="W222" s="46">
        <f t="shared" si="159"/>
        <v>0</v>
      </c>
      <c r="X222" s="46">
        <f t="shared" si="159"/>
        <v>0</v>
      </c>
      <c r="Y222" s="46">
        <f t="shared" si="159"/>
        <v>0</v>
      </c>
      <c r="Z222" s="46">
        <f t="shared" si="156"/>
        <v>0</v>
      </c>
      <c r="AA222" s="46">
        <f t="shared" si="156"/>
        <v>0</v>
      </c>
      <c r="AB222" s="46">
        <f t="shared" si="156"/>
        <v>0</v>
      </c>
      <c r="AC222" s="46">
        <f t="shared" si="156"/>
        <v>0</v>
      </c>
      <c r="AD222" s="46">
        <f t="shared" si="156"/>
        <v>0</v>
      </c>
      <c r="AE222" s="46">
        <f t="shared" si="156"/>
        <v>0</v>
      </c>
      <c r="AF222" s="46">
        <f t="shared" si="156"/>
        <v>0</v>
      </c>
      <c r="AG222" s="46">
        <f t="shared" si="156"/>
        <v>0</v>
      </c>
      <c r="AH222" s="46">
        <f t="shared" si="157"/>
        <v>0</v>
      </c>
      <c r="AI222" s="46">
        <f t="shared" si="157"/>
        <v>0</v>
      </c>
      <c r="AJ222" s="46">
        <f t="shared" si="157"/>
        <v>0</v>
      </c>
      <c r="AK222" s="46">
        <f t="shared" si="157"/>
        <v>0</v>
      </c>
      <c r="AL222" s="46">
        <f t="shared" si="157"/>
        <v>0</v>
      </c>
      <c r="AM222" s="46">
        <f t="shared" si="157"/>
        <v>0</v>
      </c>
      <c r="AN222" s="46">
        <f t="shared" si="157"/>
        <v>0</v>
      </c>
      <c r="AO222" s="46">
        <f t="shared" si="157"/>
        <v>0</v>
      </c>
      <c r="AP222" s="46">
        <f t="shared" si="157"/>
        <v>0</v>
      </c>
      <c r="AQ222" s="46">
        <f t="shared" si="157"/>
        <v>0</v>
      </c>
      <c r="AR222" s="46">
        <f t="shared" si="157"/>
        <v>0</v>
      </c>
      <c r="AS222" s="46">
        <f t="shared" si="157"/>
        <v>0</v>
      </c>
      <c r="AT222" s="46">
        <f t="shared" si="157"/>
        <v>0</v>
      </c>
      <c r="AU222" s="46">
        <f t="shared" si="157"/>
        <v>0</v>
      </c>
      <c r="AV222" s="46">
        <f t="shared" si="157"/>
        <v>0</v>
      </c>
      <c r="AW222" s="46">
        <f t="shared" ref="AW222:BH223" si="160">IF($F222=AW$3,$E222,0)</f>
        <v>0</v>
      </c>
      <c r="AX222" s="46">
        <f t="shared" si="158"/>
        <v>0</v>
      </c>
      <c r="AY222" s="46">
        <f t="shared" si="158"/>
        <v>0</v>
      </c>
      <c r="AZ222" s="46">
        <f t="shared" si="158"/>
        <v>0</v>
      </c>
      <c r="BA222" s="46">
        <f t="shared" si="158"/>
        <v>0</v>
      </c>
      <c r="BB222" s="46">
        <f t="shared" si="158"/>
        <v>0</v>
      </c>
      <c r="BC222" s="46">
        <f t="shared" si="158"/>
        <v>0</v>
      </c>
      <c r="BD222" s="46">
        <f t="shared" si="158"/>
        <v>0</v>
      </c>
      <c r="BE222" s="46">
        <f t="shared" si="158"/>
        <v>0</v>
      </c>
      <c r="BF222" s="46">
        <f t="shared" si="158"/>
        <v>0</v>
      </c>
      <c r="BG222" s="46">
        <f t="shared" si="158"/>
        <v>0</v>
      </c>
      <c r="BH222" s="46">
        <f t="shared" si="158"/>
        <v>0</v>
      </c>
    </row>
    <row r="223" spans="1:60" ht="14.25" customHeight="1" x14ac:dyDescent="0.3">
      <c r="A223" s="46"/>
      <c r="B223" s="37"/>
      <c r="C223" s="46" t="s">
        <v>350</v>
      </c>
      <c r="D223" s="46"/>
      <c r="E223" s="53">
        <v>16980</v>
      </c>
      <c r="F223" s="66">
        <f>T3</f>
        <v>45900</v>
      </c>
      <c r="G223" s="46"/>
      <c r="H223" s="46"/>
      <c r="I223" s="46"/>
      <c r="J223" s="46">
        <f t="shared" si="159"/>
        <v>0</v>
      </c>
      <c r="K223" s="46">
        <f t="shared" si="159"/>
        <v>0</v>
      </c>
      <c r="L223" s="46">
        <f t="shared" si="159"/>
        <v>0</v>
      </c>
      <c r="M223" s="46">
        <f t="shared" si="159"/>
        <v>0</v>
      </c>
      <c r="N223" s="46">
        <f t="shared" si="159"/>
        <v>0</v>
      </c>
      <c r="O223" s="46">
        <f t="shared" si="159"/>
        <v>0</v>
      </c>
      <c r="P223" s="46">
        <f t="shared" si="159"/>
        <v>0</v>
      </c>
      <c r="Q223" s="46">
        <f t="shared" si="159"/>
        <v>0</v>
      </c>
      <c r="R223" s="46">
        <f t="shared" si="159"/>
        <v>0</v>
      </c>
      <c r="S223" s="46">
        <f t="shared" si="159"/>
        <v>0</v>
      </c>
      <c r="T223" s="46">
        <f t="shared" si="159"/>
        <v>16980</v>
      </c>
      <c r="U223" s="46">
        <f t="shared" si="159"/>
        <v>0</v>
      </c>
      <c r="V223" s="46">
        <f t="shared" si="159"/>
        <v>0</v>
      </c>
      <c r="W223" s="46">
        <f t="shared" si="159"/>
        <v>0</v>
      </c>
      <c r="X223" s="46">
        <f t="shared" si="159"/>
        <v>0</v>
      </c>
      <c r="Y223" s="46">
        <f t="shared" si="159"/>
        <v>0</v>
      </c>
      <c r="Z223" s="46">
        <f t="shared" si="156"/>
        <v>0</v>
      </c>
      <c r="AA223" s="46">
        <f t="shared" si="156"/>
        <v>0</v>
      </c>
      <c r="AB223" s="46">
        <f t="shared" si="156"/>
        <v>0</v>
      </c>
      <c r="AC223" s="46">
        <f t="shared" si="156"/>
        <v>0</v>
      </c>
      <c r="AD223" s="46">
        <f t="shared" si="156"/>
        <v>0</v>
      </c>
      <c r="AE223" s="46">
        <f t="shared" si="156"/>
        <v>0</v>
      </c>
      <c r="AF223" s="46">
        <f t="shared" si="156"/>
        <v>0</v>
      </c>
      <c r="AG223" s="46">
        <f t="shared" si="156"/>
        <v>0</v>
      </c>
      <c r="AH223" s="46">
        <f t="shared" ref="AH223:AV223" si="161">IF($F223=AH$3,$E223,0)</f>
        <v>0</v>
      </c>
      <c r="AI223" s="46">
        <f t="shared" si="161"/>
        <v>0</v>
      </c>
      <c r="AJ223" s="46">
        <f t="shared" si="161"/>
        <v>0</v>
      </c>
      <c r="AK223" s="46">
        <f t="shared" si="161"/>
        <v>0</v>
      </c>
      <c r="AL223" s="46">
        <f t="shared" si="161"/>
        <v>0</v>
      </c>
      <c r="AM223" s="46">
        <f t="shared" si="161"/>
        <v>0</v>
      </c>
      <c r="AN223" s="46">
        <f t="shared" si="161"/>
        <v>0</v>
      </c>
      <c r="AO223" s="46">
        <f t="shared" si="161"/>
        <v>0</v>
      </c>
      <c r="AP223" s="46">
        <f t="shared" si="161"/>
        <v>0</v>
      </c>
      <c r="AQ223" s="46">
        <f t="shared" si="161"/>
        <v>0</v>
      </c>
      <c r="AR223" s="46">
        <f t="shared" si="161"/>
        <v>0</v>
      </c>
      <c r="AS223" s="46">
        <f t="shared" si="161"/>
        <v>0</v>
      </c>
      <c r="AT223" s="46">
        <f t="shared" si="161"/>
        <v>0</v>
      </c>
      <c r="AU223" s="46">
        <f t="shared" si="161"/>
        <v>0</v>
      </c>
      <c r="AV223" s="46">
        <f t="shared" si="161"/>
        <v>0</v>
      </c>
      <c r="AW223" s="46">
        <f t="shared" si="160"/>
        <v>0</v>
      </c>
      <c r="AX223" s="46">
        <f t="shared" si="160"/>
        <v>0</v>
      </c>
      <c r="AY223" s="46">
        <f t="shared" si="160"/>
        <v>0</v>
      </c>
      <c r="AZ223" s="46">
        <f t="shared" si="160"/>
        <v>0</v>
      </c>
      <c r="BA223" s="46">
        <f t="shared" si="160"/>
        <v>0</v>
      </c>
      <c r="BB223" s="46">
        <f t="shared" si="160"/>
        <v>0</v>
      </c>
      <c r="BC223" s="46">
        <f t="shared" si="160"/>
        <v>0</v>
      </c>
      <c r="BD223" s="46">
        <f t="shared" si="160"/>
        <v>0</v>
      </c>
      <c r="BE223" s="46">
        <f t="shared" si="160"/>
        <v>0</v>
      </c>
      <c r="BF223" s="46">
        <f t="shared" si="160"/>
        <v>0</v>
      </c>
      <c r="BG223" s="46">
        <f t="shared" si="160"/>
        <v>0</v>
      </c>
      <c r="BH223" s="46">
        <f t="shared" si="160"/>
        <v>0</v>
      </c>
    </row>
    <row r="224" spans="1:60" ht="14.25" customHeight="1" x14ac:dyDescent="0.3">
      <c r="A224" s="46"/>
      <c r="B224" s="37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  <c r="AF224" s="46"/>
      <c r="AG224" s="46"/>
      <c r="AH224" s="46"/>
      <c r="AI224" s="46"/>
      <c r="AJ224" s="46"/>
      <c r="AK224" s="46"/>
      <c r="AL224" s="46"/>
      <c r="AM224" s="46"/>
      <c r="AN224" s="46"/>
      <c r="AO224" s="46"/>
      <c r="AP224" s="46"/>
      <c r="AQ224" s="46"/>
      <c r="AR224" s="46"/>
      <c r="AS224" s="46"/>
      <c r="AT224" s="46"/>
      <c r="AU224" s="46"/>
      <c r="AV224" s="46"/>
      <c r="AW224" s="46"/>
      <c r="AX224" s="46"/>
      <c r="AY224" s="46"/>
      <c r="AZ224" s="46"/>
      <c r="BA224" s="46"/>
      <c r="BB224" s="46"/>
      <c r="BC224" s="46"/>
      <c r="BD224" s="46"/>
      <c r="BE224" s="46"/>
      <c r="BF224" s="46"/>
      <c r="BG224" s="46"/>
      <c r="BH224" s="46"/>
    </row>
    <row r="225" spans="1:60" ht="14.25" customHeight="1" x14ac:dyDescent="0.3">
      <c r="A225" s="46"/>
      <c r="B225" s="37" t="s">
        <v>351</v>
      </c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  <c r="AG225" s="46"/>
      <c r="AH225" s="46"/>
      <c r="AI225" s="46"/>
      <c r="AJ225" s="46"/>
      <c r="AK225" s="46"/>
      <c r="AL225" s="46"/>
      <c r="AM225" s="46"/>
      <c r="AN225" s="46"/>
      <c r="AO225" s="46"/>
      <c r="AP225" s="46"/>
      <c r="AQ225" s="46"/>
      <c r="AR225" s="46"/>
      <c r="AS225" s="46"/>
      <c r="AT225" s="46"/>
      <c r="AU225" s="46"/>
      <c r="AV225" s="46"/>
      <c r="AW225" s="46"/>
      <c r="AX225" s="46"/>
      <c r="AY225" s="46"/>
      <c r="AZ225" s="46"/>
      <c r="BA225" s="46"/>
      <c r="BB225" s="46"/>
      <c r="BC225" s="46"/>
      <c r="BD225" s="46"/>
      <c r="BE225" s="46"/>
      <c r="BF225" s="46"/>
      <c r="BG225" s="46"/>
      <c r="BH225" s="46"/>
    </row>
    <row r="226" spans="1:60" ht="14.25" customHeight="1" x14ac:dyDescent="0.3">
      <c r="A226" s="46"/>
      <c r="B226" s="37"/>
      <c r="C226" s="46" t="s">
        <v>352</v>
      </c>
      <c r="D226" s="46"/>
      <c r="E226" s="53">
        <v>20500</v>
      </c>
      <c r="F226" s="66">
        <f>K3</f>
        <v>45626</v>
      </c>
      <c r="G226" s="46"/>
      <c r="H226" s="46"/>
      <c r="I226" s="46"/>
      <c r="J226" s="46">
        <f t="shared" ref="J226:Y229" si="162">IF($F226=J$3,$E226,0)</f>
        <v>0</v>
      </c>
      <c r="K226" s="46">
        <f t="shared" si="162"/>
        <v>20500</v>
      </c>
      <c r="L226" s="46">
        <f t="shared" si="162"/>
        <v>0</v>
      </c>
      <c r="M226" s="46">
        <f t="shared" si="162"/>
        <v>0</v>
      </c>
      <c r="N226" s="46">
        <f t="shared" si="162"/>
        <v>0</v>
      </c>
      <c r="O226" s="46">
        <f t="shared" si="162"/>
        <v>0</v>
      </c>
      <c r="P226" s="46">
        <f t="shared" si="162"/>
        <v>0</v>
      </c>
      <c r="Q226" s="46">
        <f t="shared" si="162"/>
        <v>0</v>
      </c>
      <c r="R226" s="46">
        <f t="shared" si="162"/>
        <v>0</v>
      </c>
      <c r="S226" s="46">
        <f t="shared" si="162"/>
        <v>0</v>
      </c>
      <c r="T226" s="46">
        <f t="shared" si="162"/>
        <v>0</v>
      </c>
      <c r="U226" s="46">
        <f t="shared" si="162"/>
        <v>0</v>
      </c>
      <c r="V226" s="46">
        <f t="shared" si="162"/>
        <v>0</v>
      </c>
      <c r="W226" s="46">
        <f t="shared" si="162"/>
        <v>0</v>
      </c>
      <c r="X226" s="46">
        <f t="shared" si="162"/>
        <v>0</v>
      </c>
      <c r="Y226" s="46">
        <f t="shared" si="162"/>
        <v>0</v>
      </c>
      <c r="Z226" s="46">
        <f t="shared" ref="Z226:AO235" si="163">IF($F226=Z$3,$E226,0)</f>
        <v>0</v>
      </c>
      <c r="AA226" s="46">
        <f t="shared" si="163"/>
        <v>0</v>
      </c>
      <c r="AB226" s="46">
        <f t="shared" si="163"/>
        <v>0</v>
      </c>
      <c r="AC226" s="46">
        <f t="shared" si="163"/>
        <v>0</v>
      </c>
      <c r="AD226" s="46">
        <f t="shared" si="163"/>
        <v>0</v>
      </c>
      <c r="AE226" s="46">
        <f t="shared" si="163"/>
        <v>0</v>
      </c>
      <c r="AF226" s="46">
        <f t="shared" si="163"/>
        <v>0</v>
      </c>
      <c r="AG226" s="46">
        <f t="shared" si="163"/>
        <v>0</v>
      </c>
      <c r="AH226" s="46">
        <f t="shared" si="163"/>
        <v>0</v>
      </c>
      <c r="AI226" s="46">
        <f t="shared" si="163"/>
        <v>0</v>
      </c>
      <c r="AJ226" s="46">
        <f t="shared" si="163"/>
        <v>0</v>
      </c>
      <c r="AK226" s="46">
        <f t="shared" si="163"/>
        <v>0</v>
      </c>
      <c r="AL226" s="46">
        <f t="shared" si="163"/>
        <v>0</v>
      </c>
      <c r="AM226" s="46">
        <f t="shared" si="163"/>
        <v>0</v>
      </c>
      <c r="AN226" s="46">
        <f t="shared" si="163"/>
        <v>0</v>
      </c>
      <c r="AO226" s="46">
        <f t="shared" si="163"/>
        <v>0</v>
      </c>
      <c r="AP226" s="46">
        <f t="shared" ref="AP226:BE235" si="164">IF($F226=AP$3,$E226,0)</f>
        <v>0</v>
      </c>
      <c r="AQ226" s="46">
        <f t="shared" si="164"/>
        <v>0</v>
      </c>
      <c r="AR226" s="46">
        <f t="shared" si="164"/>
        <v>0</v>
      </c>
      <c r="AS226" s="46">
        <f t="shared" si="164"/>
        <v>0</v>
      </c>
      <c r="AT226" s="46">
        <f t="shared" si="164"/>
        <v>0</v>
      </c>
      <c r="AU226" s="46">
        <f t="shared" si="164"/>
        <v>0</v>
      </c>
      <c r="AV226" s="46">
        <f t="shared" si="164"/>
        <v>0</v>
      </c>
      <c r="AW226" s="46">
        <f t="shared" si="164"/>
        <v>0</v>
      </c>
      <c r="AX226" s="46">
        <f t="shared" si="164"/>
        <v>0</v>
      </c>
      <c r="AY226" s="46">
        <f t="shared" si="164"/>
        <v>0</v>
      </c>
      <c r="AZ226" s="46">
        <f t="shared" si="164"/>
        <v>0</v>
      </c>
      <c r="BA226" s="46">
        <f t="shared" si="164"/>
        <v>0</v>
      </c>
      <c r="BB226" s="46">
        <f t="shared" si="164"/>
        <v>0</v>
      </c>
      <c r="BC226" s="46">
        <f t="shared" si="164"/>
        <v>0</v>
      </c>
      <c r="BD226" s="46">
        <f t="shared" si="164"/>
        <v>0</v>
      </c>
      <c r="BE226" s="46">
        <f t="shared" si="164"/>
        <v>0</v>
      </c>
      <c r="BF226" s="46">
        <f t="shared" ref="BF226:BH235" si="165">IF($F226=BF$3,$E226,0)</f>
        <v>0</v>
      </c>
      <c r="BG226" s="46">
        <f t="shared" si="165"/>
        <v>0</v>
      </c>
      <c r="BH226" s="46">
        <f t="shared" si="165"/>
        <v>0</v>
      </c>
    </row>
    <row r="227" spans="1:60" ht="14.25" customHeight="1" x14ac:dyDescent="0.3">
      <c r="A227" s="46"/>
      <c r="B227" s="37"/>
      <c r="C227" s="46" t="s">
        <v>353</v>
      </c>
      <c r="D227" s="46"/>
      <c r="E227" s="53">
        <f>(E195*7)+4500</f>
        <v>204000</v>
      </c>
      <c r="F227" s="66">
        <f>L3</f>
        <v>45657</v>
      </c>
      <c r="G227" s="46"/>
      <c r="H227" s="46"/>
      <c r="I227" s="46"/>
      <c r="J227" s="46">
        <f t="shared" si="162"/>
        <v>0</v>
      </c>
      <c r="K227" s="46">
        <f t="shared" si="162"/>
        <v>0</v>
      </c>
      <c r="L227" s="46">
        <f t="shared" si="162"/>
        <v>204000</v>
      </c>
      <c r="M227" s="46">
        <f t="shared" si="162"/>
        <v>0</v>
      </c>
      <c r="N227" s="46">
        <f t="shared" si="162"/>
        <v>0</v>
      </c>
      <c r="O227" s="46">
        <f t="shared" si="162"/>
        <v>0</v>
      </c>
      <c r="P227" s="46">
        <f t="shared" si="162"/>
        <v>0</v>
      </c>
      <c r="Q227" s="46">
        <f t="shared" si="162"/>
        <v>0</v>
      </c>
      <c r="R227" s="46">
        <f t="shared" si="162"/>
        <v>0</v>
      </c>
      <c r="S227" s="46">
        <f t="shared" si="162"/>
        <v>0</v>
      </c>
      <c r="T227" s="46">
        <f t="shared" si="162"/>
        <v>0</v>
      </c>
      <c r="U227" s="46">
        <f t="shared" si="162"/>
        <v>0</v>
      </c>
      <c r="V227" s="46">
        <f t="shared" si="162"/>
        <v>0</v>
      </c>
      <c r="W227" s="46">
        <f t="shared" si="162"/>
        <v>0</v>
      </c>
      <c r="X227" s="46">
        <f t="shared" si="162"/>
        <v>0</v>
      </c>
      <c r="Y227" s="46">
        <f t="shared" si="162"/>
        <v>0</v>
      </c>
      <c r="Z227" s="46">
        <f t="shared" si="163"/>
        <v>0</v>
      </c>
      <c r="AA227" s="46">
        <f t="shared" si="163"/>
        <v>0</v>
      </c>
      <c r="AB227" s="46">
        <f t="shared" si="163"/>
        <v>0</v>
      </c>
      <c r="AC227" s="46">
        <f t="shared" si="163"/>
        <v>0</v>
      </c>
      <c r="AD227" s="46">
        <f t="shared" si="163"/>
        <v>0</v>
      </c>
      <c r="AE227" s="46">
        <f t="shared" si="163"/>
        <v>0</v>
      </c>
      <c r="AF227" s="46">
        <f t="shared" si="163"/>
        <v>0</v>
      </c>
      <c r="AG227" s="46">
        <f t="shared" si="163"/>
        <v>0</v>
      </c>
      <c r="AH227" s="46">
        <f t="shared" si="163"/>
        <v>0</v>
      </c>
      <c r="AI227" s="46">
        <f t="shared" si="163"/>
        <v>0</v>
      </c>
      <c r="AJ227" s="46">
        <f t="shared" si="163"/>
        <v>0</v>
      </c>
      <c r="AK227" s="46">
        <f t="shared" si="163"/>
        <v>0</v>
      </c>
      <c r="AL227" s="46">
        <f t="shared" si="163"/>
        <v>0</v>
      </c>
      <c r="AM227" s="46">
        <f t="shared" si="163"/>
        <v>0</v>
      </c>
      <c r="AN227" s="46">
        <f t="shared" si="163"/>
        <v>0</v>
      </c>
      <c r="AO227" s="46">
        <f t="shared" si="163"/>
        <v>0</v>
      </c>
      <c r="AP227" s="46">
        <f t="shared" si="164"/>
        <v>0</v>
      </c>
      <c r="AQ227" s="46">
        <f t="shared" si="164"/>
        <v>0</v>
      </c>
      <c r="AR227" s="46">
        <f t="shared" si="164"/>
        <v>0</v>
      </c>
      <c r="AS227" s="46">
        <f t="shared" si="164"/>
        <v>0</v>
      </c>
      <c r="AT227" s="46">
        <f t="shared" si="164"/>
        <v>0</v>
      </c>
      <c r="AU227" s="46">
        <f t="shared" si="164"/>
        <v>0</v>
      </c>
      <c r="AV227" s="46">
        <f t="shared" si="164"/>
        <v>0</v>
      </c>
      <c r="AW227" s="46">
        <f t="shared" si="164"/>
        <v>0</v>
      </c>
      <c r="AX227" s="46">
        <f t="shared" si="164"/>
        <v>0</v>
      </c>
      <c r="AY227" s="46">
        <f t="shared" si="164"/>
        <v>0</v>
      </c>
      <c r="AZ227" s="46">
        <f t="shared" si="164"/>
        <v>0</v>
      </c>
      <c r="BA227" s="46">
        <f t="shared" si="164"/>
        <v>0</v>
      </c>
      <c r="BB227" s="46">
        <f t="shared" si="164"/>
        <v>0</v>
      </c>
      <c r="BC227" s="46">
        <f t="shared" si="164"/>
        <v>0</v>
      </c>
      <c r="BD227" s="46">
        <f t="shared" si="164"/>
        <v>0</v>
      </c>
      <c r="BE227" s="46">
        <f t="shared" si="164"/>
        <v>0</v>
      </c>
      <c r="BF227" s="46">
        <f t="shared" si="165"/>
        <v>0</v>
      </c>
      <c r="BG227" s="46">
        <f t="shared" si="165"/>
        <v>0</v>
      </c>
      <c r="BH227" s="46">
        <f t="shared" si="165"/>
        <v>0</v>
      </c>
    </row>
    <row r="228" spans="1:60" ht="14.25" customHeight="1" x14ac:dyDescent="0.3">
      <c r="A228" s="46"/>
      <c r="B228" s="37"/>
      <c r="C228" s="46" t="s">
        <v>354</v>
      </c>
      <c r="D228" s="46"/>
      <c r="E228" s="59">
        <v>10800</v>
      </c>
      <c r="F228" s="66">
        <f>K3</f>
        <v>45626</v>
      </c>
      <c r="G228" s="46"/>
      <c r="H228" s="46"/>
      <c r="I228" s="46"/>
      <c r="J228" s="46">
        <f>IF($F228=J$3,$E228,0)</f>
        <v>0</v>
      </c>
      <c r="K228" s="46">
        <f t="shared" si="162"/>
        <v>10800</v>
      </c>
      <c r="L228" s="46">
        <f t="shared" si="162"/>
        <v>0</v>
      </c>
      <c r="M228" s="46">
        <f t="shared" si="162"/>
        <v>0</v>
      </c>
      <c r="N228" s="46">
        <f t="shared" si="162"/>
        <v>0</v>
      </c>
      <c r="O228" s="46">
        <f t="shared" si="162"/>
        <v>0</v>
      </c>
      <c r="P228" s="46">
        <f t="shared" si="162"/>
        <v>0</v>
      </c>
      <c r="Q228" s="46">
        <f t="shared" si="162"/>
        <v>0</v>
      </c>
      <c r="R228" s="46">
        <f t="shared" si="162"/>
        <v>0</v>
      </c>
      <c r="S228" s="46">
        <f t="shared" si="162"/>
        <v>0</v>
      </c>
      <c r="T228" s="46">
        <f t="shared" si="162"/>
        <v>0</v>
      </c>
      <c r="U228" s="46">
        <f t="shared" si="162"/>
        <v>0</v>
      </c>
      <c r="V228" s="46">
        <f t="shared" si="162"/>
        <v>0</v>
      </c>
      <c r="W228" s="46">
        <f t="shared" si="162"/>
        <v>0</v>
      </c>
      <c r="X228" s="46">
        <f t="shared" si="162"/>
        <v>0</v>
      </c>
      <c r="Y228" s="46">
        <f t="shared" si="162"/>
        <v>0</v>
      </c>
      <c r="Z228" s="46">
        <f t="shared" si="163"/>
        <v>0</v>
      </c>
      <c r="AA228" s="46">
        <f t="shared" si="163"/>
        <v>0</v>
      </c>
      <c r="AB228" s="46">
        <f t="shared" si="163"/>
        <v>0</v>
      </c>
      <c r="AC228" s="46">
        <f t="shared" si="163"/>
        <v>0</v>
      </c>
      <c r="AD228" s="46">
        <f t="shared" si="163"/>
        <v>0</v>
      </c>
      <c r="AE228" s="46">
        <f t="shared" si="163"/>
        <v>0</v>
      </c>
      <c r="AF228" s="46">
        <f t="shared" si="163"/>
        <v>0</v>
      </c>
      <c r="AG228" s="46">
        <f t="shared" si="163"/>
        <v>0</v>
      </c>
      <c r="AH228" s="46">
        <f t="shared" si="163"/>
        <v>0</v>
      </c>
      <c r="AI228" s="46">
        <f t="shared" si="163"/>
        <v>0</v>
      </c>
      <c r="AJ228" s="46">
        <f t="shared" si="163"/>
        <v>0</v>
      </c>
      <c r="AK228" s="46">
        <f t="shared" si="163"/>
        <v>0</v>
      </c>
      <c r="AL228" s="46">
        <f t="shared" si="163"/>
        <v>0</v>
      </c>
      <c r="AM228" s="46">
        <f t="shared" si="163"/>
        <v>0</v>
      </c>
      <c r="AN228" s="46">
        <f t="shared" si="163"/>
        <v>0</v>
      </c>
      <c r="AO228" s="46">
        <f t="shared" si="163"/>
        <v>0</v>
      </c>
      <c r="AP228" s="46">
        <f t="shared" si="164"/>
        <v>0</v>
      </c>
      <c r="AQ228" s="46">
        <f t="shared" si="164"/>
        <v>0</v>
      </c>
      <c r="AR228" s="46">
        <f t="shared" si="164"/>
        <v>0</v>
      </c>
      <c r="AS228" s="46">
        <f t="shared" si="164"/>
        <v>0</v>
      </c>
      <c r="AT228" s="46">
        <f t="shared" si="164"/>
        <v>0</v>
      </c>
      <c r="AU228" s="46">
        <f t="shared" si="164"/>
        <v>0</v>
      </c>
      <c r="AV228" s="46">
        <f t="shared" si="164"/>
        <v>0</v>
      </c>
      <c r="AW228" s="46">
        <f t="shared" si="164"/>
        <v>0</v>
      </c>
      <c r="AX228" s="46">
        <f t="shared" si="164"/>
        <v>0</v>
      </c>
      <c r="AY228" s="46">
        <f t="shared" si="164"/>
        <v>0</v>
      </c>
      <c r="AZ228" s="46">
        <f t="shared" si="164"/>
        <v>0</v>
      </c>
      <c r="BA228" s="46">
        <f t="shared" si="164"/>
        <v>0</v>
      </c>
      <c r="BB228" s="46">
        <f t="shared" si="164"/>
        <v>0</v>
      </c>
      <c r="BC228" s="46">
        <f t="shared" si="164"/>
        <v>0</v>
      </c>
      <c r="BD228" s="46">
        <f t="shared" si="164"/>
        <v>0</v>
      </c>
      <c r="BE228" s="46">
        <f t="shared" si="164"/>
        <v>0</v>
      </c>
      <c r="BF228" s="46">
        <f t="shared" si="165"/>
        <v>0</v>
      </c>
      <c r="BG228" s="46">
        <f t="shared" si="165"/>
        <v>0</v>
      </c>
      <c r="BH228" s="46">
        <f t="shared" si="165"/>
        <v>0</v>
      </c>
    </row>
    <row r="229" spans="1:60" ht="14.25" customHeight="1" x14ac:dyDescent="0.3">
      <c r="A229" s="46"/>
      <c r="B229" s="37"/>
      <c r="C229" s="46" t="s">
        <v>355</v>
      </c>
      <c r="D229" s="46"/>
      <c r="E229" s="59">
        <v>19984.400000000001</v>
      </c>
      <c r="F229" s="66">
        <f>L3</f>
        <v>45657</v>
      </c>
      <c r="G229" s="46"/>
      <c r="H229" s="46"/>
      <c r="I229" s="46"/>
      <c r="J229" s="46">
        <f>IF($F229=J$3,$E229,0)</f>
        <v>0</v>
      </c>
      <c r="K229" s="46">
        <f t="shared" si="162"/>
        <v>0</v>
      </c>
      <c r="L229" s="46">
        <f t="shared" si="162"/>
        <v>19984.400000000001</v>
      </c>
      <c r="M229" s="46">
        <f t="shared" si="162"/>
        <v>0</v>
      </c>
      <c r="N229" s="46">
        <f t="shared" si="162"/>
        <v>0</v>
      </c>
      <c r="O229" s="46">
        <f t="shared" si="162"/>
        <v>0</v>
      </c>
      <c r="P229" s="46">
        <f t="shared" si="162"/>
        <v>0</v>
      </c>
      <c r="Q229" s="46">
        <f t="shared" si="162"/>
        <v>0</v>
      </c>
      <c r="R229" s="46">
        <f t="shared" si="162"/>
        <v>0</v>
      </c>
      <c r="S229" s="46">
        <f t="shared" si="162"/>
        <v>0</v>
      </c>
      <c r="T229" s="46">
        <f t="shared" si="162"/>
        <v>0</v>
      </c>
      <c r="U229" s="46">
        <f t="shared" si="162"/>
        <v>0</v>
      </c>
      <c r="V229" s="46">
        <f t="shared" si="162"/>
        <v>0</v>
      </c>
      <c r="W229" s="46">
        <f t="shared" si="162"/>
        <v>0</v>
      </c>
      <c r="X229" s="46">
        <f t="shared" si="162"/>
        <v>0</v>
      </c>
      <c r="Y229" s="46">
        <f t="shared" si="162"/>
        <v>0</v>
      </c>
      <c r="Z229" s="46">
        <f t="shared" si="163"/>
        <v>0</v>
      </c>
      <c r="AA229" s="46">
        <f t="shared" si="163"/>
        <v>0</v>
      </c>
      <c r="AB229" s="46">
        <f t="shared" si="163"/>
        <v>0</v>
      </c>
      <c r="AC229" s="46">
        <f t="shared" si="163"/>
        <v>0</v>
      </c>
      <c r="AD229" s="46">
        <f t="shared" si="163"/>
        <v>0</v>
      </c>
      <c r="AE229" s="46">
        <f t="shared" si="163"/>
        <v>0</v>
      </c>
      <c r="AF229" s="46">
        <f t="shared" si="163"/>
        <v>0</v>
      </c>
      <c r="AG229" s="46">
        <f t="shared" si="163"/>
        <v>0</v>
      </c>
      <c r="AH229" s="46">
        <f t="shared" si="163"/>
        <v>0</v>
      </c>
      <c r="AI229" s="46">
        <f t="shared" si="163"/>
        <v>0</v>
      </c>
      <c r="AJ229" s="46">
        <f t="shared" si="163"/>
        <v>0</v>
      </c>
      <c r="AK229" s="46">
        <f t="shared" si="163"/>
        <v>0</v>
      </c>
      <c r="AL229" s="46">
        <f t="shared" si="163"/>
        <v>0</v>
      </c>
      <c r="AM229" s="46">
        <f t="shared" si="163"/>
        <v>0</v>
      </c>
      <c r="AN229" s="46">
        <f t="shared" si="163"/>
        <v>0</v>
      </c>
      <c r="AO229" s="46">
        <f t="shared" si="163"/>
        <v>0</v>
      </c>
      <c r="AP229" s="46">
        <f t="shared" si="164"/>
        <v>0</v>
      </c>
      <c r="AQ229" s="46">
        <f t="shared" si="164"/>
        <v>0</v>
      </c>
      <c r="AR229" s="46">
        <f t="shared" si="164"/>
        <v>0</v>
      </c>
      <c r="AS229" s="46">
        <f t="shared" si="164"/>
        <v>0</v>
      </c>
      <c r="AT229" s="46">
        <f t="shared" si="164"/>
        <v>0</v>
      </c>
      <c r="AU229" s="46">
        <f t="shared" si="164"/>
        <v>0</v>
      </c>
      <c r="AV229" s="46">
        <f t="shared" si="164"/>
        <v>0</v>
      </c>
      <c r="AW229" s="46">
        <f t="shared" si="164"/>
        <v>0</v>
      </c>
      <c r="AX229" s="46">
        <f t="shared" si="164"/>
        <v>0</v>
      </c>
      <c r="AY229" s="46">
        <f t="shared" si="164"/>
        <v>0</v>
      </c>
      <c r="AZ229" s="46">
        <f t="shared" si="164"/>
        <v>0</v>
      </c>
      <c r="BA229" s="46">
        <f t="shared" si="164"/>
        <v>0</v>
      </c>
      <c r="BB229" s="46">
        <f t="shared" si="164"/>
        <v>0</v>
      </c>
      <c r="BC229" s="46">
        <f t="shared" si="164"/>
        <v>0</v>
      </c>
      <c r="BD229" s="46">
        <f t="shared" si="164"/>
        <v>0</v>
      </c>
      <c r="BE229" s="46">
        <f t="shared" si="164"/>
        <v>0</v>
      </c>
      <c r="BF229" s="46">
        <f t="shared" si="165"/>
        <v>0</v>
      </c>
      <c r="BG229" s="46">
        <f t="shared" si="165"/>
        <v>0</v>
      </c>
      <c r="BH229" s="46">
        <f t="shared" si="165"/>
        <v>0</v>
      </c>
    </row>
    <row r="230" spans="1:60" ht="14.25" customHeight="1" x14ac:dyDescent="0.3">
      <c r="A230" s="46"/>
      <c r="B230" s="37"/>
      <c r="C230" s="46" t="s">
        <v>356</v>
      </c>
      <c r="D230" s="46"/>
      <c r="E230" s="59">
        <f>24297+37620</f>
        <v>61917</v>
      </c>
      <c r="F230" s="66">
        <f>M3</f>
        <v>45688</v>
      </c>
      <c r="G230" s="46"/>
      <c r="H230" s="46"/>
      <c r="I230" s="46"/>
      <c r="J230" s="46">
        <f t="shared" ref="J230:Z235" si="166">IF($F230=J$3,$E230,0)</f>
        <v>0</v>
      </c>
      <c r="K230" s="46">
        <f t="shared" si="166"/>
        <v>0</v>
      </c>
      <c r="L230" s="46">
        <f t="shared" si="166"/>
        <v>0</v>
      </c>
      <c r="M230" s="46">
        <f t="shared" si="166"/>
        <v>61917</v>
      </c>
      <c r="N230" s="46">
        <f t="shared" si="166"/>
        <v>0</v>
      </c>
      <c r="O230" s="46">
        <f t="shared" si="166"/>
        <v>0</v>
      </c>
      <c r="P230" s="46">
        <f t="shared" si="166"/>
        <v>0</v>
      </c>
      <c r="Q230" s="46">
        <f t="shared" si="166"/>
        <v>0</v>
      </c>
      <c r="R230" s="46">
        <f t="shared" si="166"/>
        <v>0</v>
      </c>
      <c r="S230" s="46">
        <f t="shared" si="166"/>
        <v>0</v>
      </c>
      <c r="T230" s="46">
        <f t="shared" si="166"/>
        <v>0</v>
      </c>
      <c r="U230" s="46">
        <f t="shared" si="166"/>
        <v>0</v>
      </c>
      <c r="V230" s="46">
        <f t="shared" si="166"/>
        <v>0</v>
      </c>
      <c r="W230" s="46">
        <f t="shared" si="166"/>
        <v>0</v>
      </c>
      <c r="X230" s="46">
        <f t="shared" si="166"/>
        <v>0</v>
      </c>
      <c r="Y230" s="46">
        <f t="shared" si="166"/>
        <v>0</v>
      </c>
      <c r="Z230" s="46">
        <f t="shared" si="166"/>
        <v>0</v>
      </c>
      <c r="AA230" s="46">
        <f t="shared" si="163"/>
        <v>0</v>
      </c>
      <c r="AB230" s="46">
        <f t="shared" si="163"/>
        <v>0</v>
      </c>
      <c r="AC230" s="46">
        <f t="shared" si="163"/>
        <v>0</v>
      </c>
      <c r="AD230" s="46">
        <f t="shared" si="163"/>
        <v>0</v>
      </c>
      <c r="AE230" s="46">
        <f t="shared" si="163"/>
        <v>0</v>
      </c>
      <c r="AF230" s="46">
        <f t="shared" si="163"/>
        <v>0</v>
      </c>
      <c r="AG230" s="46">
        <f t="shared" si="163"/>
        <v>0</v>
      </c>
      <c r="AH230" s="46">
        <f t="shared" si="163"/>
        <v>0</v>
      </c>
      <c r="AI230" s="46">
        <f t="shared" si="163"/>
        <v>0</v>
      </c>
      <c r="AJ230" s="46">
        <f t="shared" si="163"/>
        <v>0</v>
      </c>
      <c r="AK230" s="46">
        <f t="shared" si="163"/>
        <v>0</v>
      </c>
      <c r="AL230" s="46">
        <f t="shared" si="163"/>
        <v>0</v>
      </c>
      <c r="AM230" s="46">
        <f t="shared" si="163"/>
        <v>0</v>
      </c>
      <c r="AN230" s="46">
        <f t="shared" si="163"/>
        <v>0</v>
      </c>
      <c r="AO230" s="46">
        <f t="shared" si="163"/>
        <v>0</v>
      </c>
      <c r="AP230" s="46">
        <f t="shared" si="164"/>
        <v>0</v>
      </c>
      <c r="AQ230" s="46">
        <f t="shared" si="164"/>
        <v>0</v>
      </c>
      <c r="AR230" s="46">
        <f t="shared" si="164"/>
        <v>0</v>
      </c>
      <c r="AS230" s="46">
        <f t="shared" si="164"/>
        <v>0</v>
      </c>
      <c r="AT230" s="46">
        <f t="shared" si="164"/>
        <v>0</v>
      </c>
      <c r="AU230" s="46">
        <f t="shared" si="164"/>
        <v>0</v>
      </c>
      <c r="AV230" s="46">
        <f t="shared" si="164"/>
        <v>0</v>
      </c>
      <c r="AW230" s="46">
        <f t="shared" si="164"/>
        <v>0</v>
      </c>
      <c r="AX230" s="46">
        <f t="shared" si="164"/>
        <v>0</v>
      </c>
      <c r="AY230" s="46">
        <f t="shared" si="164"/>
        <v>0</v>
      </c>
      <c r="AZ230" s="46">
        <f t="shared" si="164"/>
        <v>0</v>
      </c>
      <c r="BA230" s="46">
        <f t="shared" si="164"/>
        <v>0</v>
      </c>
      <c r="BB230" s="46">
        <f t="shared" si="164"/>
        <v>0</v>
      </c>
      <c r="BC230" s="46">
        <f t="shared" si="164"/>
        <v>0</v>
      </c>
      <c r="BD230" s="46">
        <f t="shared" si="164"/>
        <v>0</v>
      </c>
      <c r="BE230" s="46">
        <f t="shared" si="164"/>
        <v>0</v>
      </c>
      <c r="BF230" s="46">
        <f t="shared" si="165"/>
        <v>0</v>
      </c>
      <c r="BG230" s="46">
        <f t="shared" si="165"/>
        <v>0</v>
      </c>
      <c r="BH230" s="46">
        <f t="shared" si="165"/>
        <v>0</v>
      </c>
    </row>
    <row r="231" spans="1:60" ht="14.25" customHeight="1" x14ac:dyDescent="0.3">
      <c r="A231" s="46"/>
      <c r="B231" s="37"/>
      <c r="C231" s="46" t="s">
        <v>357</v>
      </c>
      <c r="D231" s="46"/>
      <c r="E231" s="111">
        <v>0</v>
      </c>
      <c r="F231" s="66">
        <f>O3</f>
        <v>45747</v>
      </c>
      <c r="G231" s="46"/>
      <c r="H231" s="46"/>
      <c r="I231" s="46"/>
      <c r="J231" s="46">
        <f>IF($F231=J$3,$E231,0)</f>
        <v>0</v>
      </c>
      <c r="K231" s="46">
        <f t="shared" si="166"/>
        <v>0</v>
      </c>
      <c r="L231" s="46">
        <f t="shared" si="166"/>
        <v>0</v>
      </c>
      <c r="M231" s="46">
        <f t="shared" si="166"/>
        <v>0</v>
      </c>
      <c r="N231" s="46">
        <f t="shared" si="166"/>
        <v>0</v>
      </c>
      <c r="O231" s="46">
        <f t="shared" si="166"/>
        <v>0</v>
      </c>
      <c r="P231" s="46">
        <f t="shared" si="166"/>
        <v>0</v>
      </c>
      <c r="Q231" s="46">
        <f t="shared" si="166"/>
        <v>0</v>
      </c>
      <c r="R231" s="46">
        <f t="shared" si="166"/>
        <v>0</v>
      </c>
      <c r="S231" s="46">
        <f t="shared" si="166"/>
        <v>0</v>
      </c>
      <c r="T231" s="46">
        <f t="shared" si="166"/>
        <v>0</v>
      </c>
      <c r="U231" s="46">
        <f t="shared" si="166"/>
        <v>0</v>
      </c>
      <c r="V231" s="46">
        <f t="shared" si="166"/>
        <v>0</v>
      </c>
      <c r="W231" s="46">
        <f t="shared" si="166"/>
        <v>0</v>
      </c>
      <c r="X231" s="46">
        <f t="shared" si="166"/>
        <v>0</v>
      </c>
      <c r="Y231" s="46">
        <f t="shared" si="166"/>
        <v>0</v>
      </c>
      <c r="Z231" s="46">
        <f t="shared" si="166"/>
        <v>0</v>
      </c>
      <c r="AA231" s="46">
        <f t="shared" si="163"/>
        <v>0</v>
      </c>
      <c r="AB231" s="46">
        <f t="shared" si="163"/>
        <v>0</v>
      </c>
      <c r="AC231" s="46">
        <f t="shared" si="163"/>
        <v>0</v>
      </c>
      <c r="AD231" s="46">
        <f t="shared" si="163"/>
        <v>0</v>
      </c>
      <c r="AE231" s="46">
        <f t="shared" si="163"/>
        <v>0</v>
      </c>
      <c r="AF231" s="46">
        <f t="shared" si="163"/>
        <v>0</v>
      </c>
      <c r="AG231" s="46">
        <f t="shared" si="163"/>
        <v>0</v>
      </c>
      <c r="AH231" s="46">
        <f t="shared" si="163"/>
        <v>0</v>
      </c>
      <c r="AI231" s="46">
        <f t="shared" si="163"/>
        <v>0</v>
      </c>
      <c r="AJ231" s="46">
        <f t="shared" si="163"/>
        <v>0</v>
      </c>
      <c r="AK231" s="46">
        <f t="shared" si="163"/>
        <v>0</v>
      </c>
      <c r="AL231" s="46">
        <f t="shared" si="163"/>
        <v>0</v>
      </c>
      <c r="AM231" s="46">
        <f t="shared" si="163"/>
        <v>0</v>
      </c>
      <c r="AN231" s="46">
        <f t="shared" si="163"/>
        <v>0</v>
      </c>
      <c r="AO231" s="46">
        <f t="shared" si="163"/>
        <v>0</v>
      </c>
      <c r="AP231" s="46">
        <f t="shared" si="164"/>
        <v>0</v>
      </c>
      <c r="AQ231" s="46">
        <f t="shared" si="164"/>
        <v>0</v>
      </c>
      <c r="AR231" s="46">
        <f t="shared" si="164"/>
        <v>0</v>
      </c>
      <c r="AS231" s="46">
        <f t="shared" si="164"/>
        <v>0</v>
      </c>
      <c r="AT231" s="46">
        <f t="shared" si="164"/>
        <v>0</v>
      </c>
      <c r="AU231" s="46">
        <f t="shared" si="164"/>
        <v>0</v>
      </c>
      <c r="AV231" s="46">
        <f t="shared" si="164"/>
        <v>0</v>
      </c>
      <c r="AW231" s="46">
        <f t="shared" si="164"/>
        <v>0</v>
      </c>
      <c r="AX231" s="46">
        <f t="shared" si="164"/>
        <v>0</v>
      </c>
      <c r="AY231" s="46">
        <f t="shared" si="164"/>
        <v>0</v>
      </c>
      <c r="AZ231" s="46">
        <f t="shared" si="164"/>
        <v>0</v>
      </c>
      <c r="BA231" s="46">
        <f t="shared" si="164"/>
        <v>0</v>
      </c>
      <c r="BB231" s="46">
        <f t="shared" si="164"/>
        <v>0</v>
      </c>
      <c r="BC231" s="46">
        <f t="shared" si="164"/>
        <v>0</v>
      </c>
      <c r="BD231" s="46">
        <f t="shared" si="164"/>
        <v>0</v>
      </c>
      <c r="BE231" s="46">
        <f t="shared" si="164"/>
        <v>0</v>
      </c>
      <c r="BF231" s="46">
        <f t="shared" si="165"/>
        <v>0</v>
      </c>
      <c r="BG231" s="46">
        <f t="shared" si="165"/>
        <v>0</v>
      </c>
      <c r="BH231" s="46">
        <f t="shared" si="165"/>
        <v>0</v>
      </c>
    </row>
    <row r="232" spans="1:60" ht="14.25" customHeight="1" x14ac:dyDescent="0.3">
      <c r="A232" s="46"/>
      <c r="B232" s="37"/>
      <c r="C232" s="46" t="s">
        <v>358</v>
      </c>
      <c r="D232" s="46"/>
      <c r="E232" s="111"/>
      <c r="F232" s="66">
        <f>L3</f>
        <v>45657</v>
      </c>
      <c r="G232" s="46"/>
      <c r="H232" s="46"/>
      <c r="I232" s="46"/>
      <c r="J232" s="46">
        <f t="shared" ref="J232:J235" si="167">IF($F232=J$3,$E232,0)</f>
        <v>0</v>
      </c>
      <c r="K232" s="46">
        <f t="shared" si="166"/>
        <v>0</v>
      </c>
      <c r="L232" s="46">
        <f t="shared" si="166"/>
        <v>0</v>
      </c>
      <c r="M232" s="46">
        <f t="shared" si="166"/>
        <v>0</v>
      </c>
      <c r="N232" s="46">
        <f t="shared" si="166"/>
        <v>0</v>
      </c>
      <c r="O232" s="46">
        <f t="shared" si="166"/>
        <v>0</v>
      </c>
      <c r="P232" s="46">
        <f t="shared" si="166"/>
        <v>0</v>
      </c>
      <c r="Q232" s="46">
        <f t="shared" si="166"/>
        <v>0</v>
      </c>
      <c r="R232" s="46">
        <f t="shared" si="166"/>
        <v>0</v>
      </c>
      <c r="S232" s="46">
        <f t="shared" si="166"/>
        <v>0</v>
      </c>
      <c r="T232" s="46">
        <f t="shared" si="166"/>
        <v>0</v>
      </c>
      <c r="U232" s="46">
        <f t="shared" si="166"/>
        <v>0</v>
      </c>
      <c r="V232" s="46">
        <f t="shared" si="166"/>
        <v>0</v>
      </c>
      <c r="W232" s="46">
        <f t="shared" si="166"/>
        <v>0</v>
      </c>
      <c r="X232" s="46">
        <f t="shared" si="166"/>
        <v>0</v>
      </c>
      <c r="Y232" s="46">
        <f t="shared" si="166"/>
        <v>0</v>
      </c>
      <c r="Z232" s="46">
        <f t="shared" si="166"/>
        <v>0</v>
      </c>
      <c r="AA232" s="46">
        <f t="shared" si="163"/>
        <v>0</v>
      </c>
      <c r="AB232" s="46">
        <f t="shared" si="163"/>
        <v>0</v>
      </c>
      <c r="AC232" s="46">
        <f t="shared" si="163"/>
        <v>0</v>
      </c>
      <c r="AD232" s="46">
        <f t="shared" si="163"/>
        <v>0</v>
      </c>
      <c r="AE232" s="46">
        <f t="shared" si="163"/>
        <v>0</v>
      </c>
      <c r="AF232" s="46">
        <f t="shared" si="163"/>
        <v>0</v>
      </c>
      <c r="AG232" s="46">
        <f t="shared" si="163"/>
        <v>0</v>
      </c>
      <c r="AH232" s="46">
        <f t="shared" si="163"/>
        <v>0</v>
      </c>
      <c r="AI232" s="46">
        <f t="shared" si="163"/>
        <v>0</v>
      </c>
      <c r="AJ232" s="46">
        <f t="shared" si="163"/>
        <v>0</v>
      </c>
      <c r="AK232" s="46">
        <f t="shared" si="163"/>
        <v>0</v>
      </c>
      <c r="AL232" s="46">
        <f t="shared" si="163"/>
        <v>0</v>
      </c>
      <c r="AM232" s="46">
        <f t="shared" si="163"/>
        <v>0</v>
      </c>
      <c r="AN232" s="46">
        <f t="shared" si="163"/>
        <v>0</v>
      </c>
      <c r="AO232" s="46">
        <f t="shared" si="163"/>
        <v>0</v>
      </c>
      <c r="AP232" s="46">
        <f t="shared" si="164"/>
        <v>0</v>
      </c>
      <c r="AQ232" s="46">
        <f t="shared" si="164"/>
        <v>0</v>
      </c>
      <c r="AR232" s="46">
        <f t="shared" si="164"/>
        <v>0</v>
      </c>
      <c r="AS232" s="46">
        <f t="shared" si="164"/>
        <v>0</v>
      </c>
      <c r="AT232" s="46">
        <f t="shared" si="164"/>
        <v>0</v>
      </c>
      <c r="AU232" s="46">
        <f t="shared" si="164"/>
        <v>0</v>
      </c>
      <c r="AV232" s="46">
        <f t="shared" si="164"/>
        <v>0</v>
      </c>
      <c r="AW232" s="46">
        <f t="shared" si="164"/>
        <v>0</v>
      </c>
      <c r="AX232" s="46">
        <f t="shared" si="164"/>
        <v>0</v>
      </c>
      <c r="AY232" s="46">
        <f t="shared" si="164"/>
        <v>0</v>
      </c>
      <c r="AZ232" s="46">
        <f t="shared" si="164"/>
        <v>0</v>
      </c>
      <c r="BA232" s="46">
        <f t="shared" si="164"/>
        <v>0</v>
      </c>
      <c r="BB232" s="46">
        <f t="shared" si="164"/>
        <v>0</v>
      </c>
      <c r="BC232" s="46">
        <f t="shared" si="164"/>
        <v>0</v>
      </c>
      <c r="BD232" s="46">
        <f t="shared" si="164"/>
        <v>0</v>
      </c>
      <c r="BE232" s="46">
        <f t="shared" si="164"/>
        <v>0</v>
      </c>
      <c r="BF232" s="46">
        <f t="shared" si="165"/>
        <v>0</v>
      </c>
      <c r="BG232" s="46">
        <f t="shared" si="165"/>
        <v>0</v>
      </c>
      <c r="BH232" s="46">
        <f t="shared" si="165"/>
        <v>0</v>
      </c>
    </row>
    <row r="233" spans="1:60" ht="14.25" customHeight="1" x14ac:dyDescent="0.3">
      <c r="A233" s="46"/>
      <c r="B233" s="37"/>
      <c r="C233" s="46" t="s">
        <v>359</v>
      </c>
      <c r="D233" s="46"/>
      <c r="E233" s="111">
        <v>4500</v>
      </c>
      <c r="F233" s="66">
        <f>W3</f>
        <v>45991</v>
      </c>
      <c r="G233" s="46"/>
      <c r="H233" s="46"/>
      <c r="I233" s="46"/>
      <c r="J233" s="46">
        <f t="shared" si="167"/>
        <v>0</v>
      </c>
      <c r="K233" s="46">
        <f t="shared" si="166"/>
        <v>0</v>
      </c>
      <c r="L233" s="46">
        <f t="shared" si="166"/>
        <v>0</v>
      </c>
      <c r="M233" s="46">
        <f t="shared" si="166"/>
        <v>0</v>
      </c>
      <c r="N233" s="46">
        <f t="shared" si="166"/>
        <v>0</v>
      </c>
      <c r="O233" s="46">
        <f t="shared" si="166"/>
        <v>0</v>
      </c>
      <c r="P233" s="46">
        <f t="shared" si="166"/>
        <v>0</v>
      </c>
      <c r="Q233" s="46">
        <f t="shared" si="166"/>
        <v>0</v>
      </c>
      <c r="R233" s="46">
        <f t="shared" si="166"/>
        <v>0</v>
      </c>
      <c r="S233" s="46">
        <f t="shared" si="166"/>
        <v>0</v>
      </c>
      <c r="T233" s="46">
        <f t="shared" si="166"/>
        <v>0</v>
      </c>
      <c r="U233" s="46">
        <f t="shared" si="166"/>
        <v>0</v>
      </c>
      <c r="V233" s="46">
        <f t="shared" si="166"/>
        <v>0</v>
      </c>
      <c r="W233" s="46">
        <f t="shared" si="166"/>
        <v>4500</v>
      </c>
      <c r="X233" s="46">
        <f t="shared" si="166"/>
        <v>0</v>
      </c>
      <c r="Y233" s="46">
        <f t="shared" si="166"/>
        <v>0</v>
      </c>
      <c r="Z233" s="46">
        <f t="shared" si="166"/>
        <v>0</v>
      </c>
      <c r="AA233" s="46">
        <f t="shared" si="163"/>
        <v>0</v>
      </c>
      <c r="AB233" s="46">
        <f t="shared" si="163"/>
        <v>0</v>
      </c>
      <c r="AC233" s="46">
        <f t="shared" si="163"/>
        <v>0</v>
      </c>
      <c r="AD233" s="46">
        <f t="shared" si="163"/>
        <v>0</v>
      </c>
      <c r="AE233" s="46">
        <f t="shared" si="163"/>
        <v>0</v>
      </c>
      <c r="AF233" s="46">
        <f t="shared" si="163"/>
        <v>0</v>
      </c>
      <c r="AG233" s="46">
        <f t="shared" si="163"/>
        <v>0</v>
      </c>
      <c r="AH233" s="46">
        <f t="shared" si="163"/>
        <v>0</v>
      </c>
      <c r="AI233" s="46">
        <f t="shared" si="163"/>
        <v>0</v>
      </c>
      <c r="AJ233" s="46">
        <f t="shared" si="163"/>
        <v>0</v>
      </c>
      <c r="AK233" s="46">
        <f t="shared" si="163"/>
        <v>0</v>
      </c>
      <c r="AL233" s="46">
        <f t="shared" si="163"/>
        <v>0</v>
      </c>
      <c r="AM233" s="46">
        <f t="shared" si="163"/>
        <v>0</v>
      </c>
      <c r="AN233" s="46">
        <f t="shared" si="163"/>
        <v>0</v>
      </c>
      <c r="AO233" s="46">
        <f t="shared" si="163"/>
        <v>0</v>
      </c>
      <c r="AP233" s="46">
        <f t="shared" si="164"/>
        <v>0</v>
      </c>
      <c r="AQ233" s="46">
        <f t="shared" si="164"/>
        <v>0</v>
      </c>
      <c r="AR233" s="46">
        <f t="shared" si="164"/>
        <v>0</v>
      </c>
      <c r="AS233" s="46">
        <f t="shared" si="164"/>
        <v>0</v>
      </c>
      <c r="AT233" s="46">
        <f t="shared" si="164"/>
        <v>0</v>
      </c>
      <c r="AU233" s="46">
        <f t="shared" si="164"/>
        <v>0</v>
      </c>
      <c r="AV233" s="46">
        <f t="shared" si="164"/>
        <v>0</v>
      </c>
      <c r="AW233" s="46">
        <f t="shared" si="164"/>
        <v>0</v>
      </c>
      <c r="AX233" s="46">
        <f t="shared" si="164"/>
        <v>0</v>
      </c>
      <c r="AY233" s="46">
        <f t="shared" si="164"/>
        <v>0</v>
      </c>
      <c r="AZ233" s="46">
        <f t="shared" si="164"/>
        <v>0</v>
      </c>
      <c r="BA233" s="46">
        <f t="shared" si="164"/>
        <v>0</v>
      </c>
      <c r="BB233" s="46">
        <f t="shared" si="164"/>
        <v>0</v>
      </c>
      <c r="BC233" s="46">
        <f t="shared" si="164"/>
        <v>0</v>
      </c>
      <c r="BD233" s="46">
        <f t="shared" si="164"/>
        <v>0</v>
      </c>
      <c r="BE233" s="46">
        <f t="shared" si="164"/>
        <v>0</v>
      </c>
      <c r="BF233" s="46">
        <f t="shared" si="165"/>
        <v>0</v>
      </c>
      <c r="BG233" s="46">
        <f t="shared" si="165"/>
        <v>0</v>
      </c>
      <c r="BH233" s="46">
        <f t="shared" si="165"/>
        <v>0</v>
      </c>
    </row>
    <row r="234" spans="1:60" ht="14.25" customHeight="1" x14ac:dyDescent="0.3">
      <c r="A234" s="46"/>
      <c r="B234" s="37"/>
      <c r="C234" s="46" t="s">
        <v>360</v>
      </c>
      <c r="D234" s="46"/>
      <c r="E234" s="111">
        <v>40000</v>
      </c>
      <c r="F234" s="66">
        <f>X3</f>
        <v>46022</v>
      </c>
      <c r="G234" s="46"/>
      <c r="H234" s="46"/>
      <c r="I234" s="46"/>
      <c r="J234" s="46">
        <f t="shared" si="167"/>
        <v>0</v>
      </c>
      <c r="K234" s="46">
        <f t="shared" si="166"/>
        <v>0</v>
      </c>
      <c r="L234" s="46">
        <f t="shared" si="166"/>
        <v>0</v>
      </c>
      <c r="M234" s="46">
        <f t="shared" si="166"/>
        <v>0</v>
      </c>
      <c r="N234" s="46">
        <f t="shared" si="166"/>
        <v>0</v>
      </c>
      <c r="O234" s="46">
        <f t="shared" si="166"/>
        <v>0</v>
      </c>
      <c r="P234" s="46">
        <f t="shared" si="166"/>
        <v>0</v>
      </c>
      <c r="Q234" s="46">
        <f t="shared" si="166"/>
        <v>0</v>
      </c>
      <c r="R234" s="46">
        <f t="shared" si="166"/>
        <v>0</v>
      </c>
      <c r="S234" s="46">
        <f t="shared" si="166"/>
        <v>0</v>
      </c>
      <c r="T234" s="46">
        <f t="shared" si="166"/>
        <v>0</v>
      </c>
      <c r="U234" s="46">
        <f t="shared" si="166"/>
        <v>0</v>
      </c>
      <c r="V234" s="46">
        <f t="shared" si="166"/>
        <v>0</v>
      </c>
      <c r="W234" s="46">
        <f t="shared" si="166"/>
        <v>0</v>
      </c>
      <c r="X234" s="46">
        <f t="shared" si="166"/>
        <v>40000</v>
      </c>
      <c r="Y234" s="46">
        <f t="shared" si="166"/>
        <v>0</v>
      </c>
      <c r="Z234" s="46">
        <f t="shared" si="166"/>
        <v>0</v>
      </c>
      <c r="AA234" s="46">
        <f t="shared" si="163"/>
        <v>0</v>
      </c>
      <c r="AB234" s="46">
        <f t="shared" si="163"/>
        <v>0</v>
      </c>
      <c r="AC234" s="46">
        <f t="shared" si="163"/>
        <v>0</v>
      </c>
      <c r="AD234" s="46">
        <f t="shared" si="163"/>
        <v>0</v>
      </c>
      <c r="AE234" s="46">
        <f t="shared" si="163"/>
        <v>0</v>
      </c>
      <c r="AF234" s="46">
        <f t="shared" si="163"/>
        <v>0</v>
      </c>
      <c r="AG234" s="46">
        <f t="shared" si="163"/>
        <v>0</v>
      </c>
      <c r="AH234" s="46">
        <f t="shared" si="163"/>
        <v>0</v>
      </c>
      <c r="AI234" s="46">
        <f t="shared" si="163"/>
        <v>0</v>
      </c>
      <c r="AJ234" s="46">
        <f t="shared" si="163"/>
        <v>0</v>
      </c>
      <c r="AK234" s="46">
        <f t="shared" si="163"/>
        <v>0</v>
      </c>
      <c r="AL234" s="46">
        <f t="shared" si="163"/>
        <v>0</v>
      </c>
      <c r="AM234" s="46">
        <f t="shared" si="163"/>
        <v>0</v>
      </c>
      <c r="AN234" s="46">
        <f t="shared" si="163"/>
        <v>0</v>
      </c>
      <c r="AO234" s="46">
        <f t="shared" si="163"/>
        <v>0</v>
      </c>
      <c r="AP234" s="46">
        <f t="shared" si="164"/>
        <v>0</v>
      </c>
      <c r="AQ234" s="46">
        <f t="shared" si="164"/>
        <v>0</v>
      </c>
      <c r="AR234" s="46">
        <f t="shared" si="164"/>
        <v>0</v>
      </c>
      <c r="AS234" s="46">
        <f t="shared" si="164"/>
        <v>0</v>
      </c>
      <c r="AT234" s="46">
        <f t="shared" si="164"/>
        <v>0</v>
      </c>
      <c r="AU234" s="46">
        <f t="shared" si="164"/>
        <v>0</v>
      </c>
      <c r="AV234" s="46">
        <f t="shared" si="164"/>
        <v>0</v>
      </c>
      <c r="AW234" s="46">
        <f t="shared" si="164"/>
        <v>0</v>
      </c>
      <c r="AX234" s="46">
        <f t="shared" si="164"/>
        <v>0</v>
      </c>
      <c r="AY234" s="46">
        <f t="shared" si="164"/>
        <v>0</v>
      </c>
      <c r="AZ234" s="46">
        <f t="shared" si="164"/>
        <v>0</v>
      </c>
      <c r="BA234" s="46">
        <f t="shared" si="164"/>
        <v>0</v>
      </c>
      <c r="BB234" s="46">
        <f t="shared" si="164"/>
        <v>0</v>
      </c>
      <c r="BC234" s="46">
        <f t="shared" si="164"/>
        <v>0</v>
      </c>
      <c r="BD234" s="46">
        <f t="shared" si="164"/>
        <v>0</v>
      </c>
      <c r="BE234" s="46">
        <f t="shared" si="164"/>
        <v>0</v>
      </c>
      <c r="BF234" s="46">
        <f t="shared" si="165"/>
        <v>0</v>
      </c>
      <c r="BG234" s="46">
        <f t="shared" si="165"/>
        <v>0</v>
      </c>
      <c r="BH234" s="46">
        <f t="shared" si="165"/>
        <v>0</v>
      </c>
    </row>
    <row r="235" spans="1:60" ht="14.25" customHeight="1" x14ac:dyDescent="0.3">
      <c r="A235" s="46"/>
      <c r="B235" s="37"/>
      <c r="C235" s="46" t="s">
        <v>361</v>
      </c>
      <c r="D235" s="46"/>
      <c r="E235" s="111">
        <v>40000</v>
      </c>
      <c r="F235" s="66">
        <f>V3</f>
        <v>45961</v>
      </c>
      <c r="G235" s="46"/>
      <c r="H235" s="46"/>
      <c r="I235" s="46"/>
      <c r="J235" s="46">
        <f t="shared" si="167"/>
        <v>0</v>
      </c>
      <c r="K235" s="46">
        <f t="shared" si="166"/>
        <v>0</v>
      </c>
      <c r="L235" s="46">
        <f t="shared" si="166"/>
        <v>0</v>
      </c>
      <c r="M235" s="46">
        <f t="shared" si="166"/>
        <v>0</v>
      </c>
      <c r="N235" s="46">
        <f t="shared" si="166"/>
        <v>0</v>
      </c>
      <c r="O235" s="46">
        <f t="shared" si="166"/>
        <v>0</v>
      </c>
      <c r="P235" s="46">
        <f t="shared" si="166"/>
        <v>0</v>
      </c>
      <c r="Q235" s="46">
        <f t="shared" si="166"/>
        <v>0</v>
      </c>
      <c r="R235" s="46">
        <f t="shared" si="166"/>
        <v>0</v>
      </c>
      <c r="S235" s="46">
        <f t="shared" si="166"/>
        <v>0</v>
      </c>
      <c r="T235" s="46">
        <f t="shared" si="166"/>
        <v>0</v>
      </c>
      <c r="U235" s="46">
        <f t="shared" si="166"/>
        <v>0</v>
      </c>
      <c r="V235" s="46">
        <f>IF($F235=V$3,$E235,0)</f>
        <v>40000</v>
      </c>
      <c r="W235" s="46">
        <f t="shared" si="166"/>
        <v>0</v>
      </c>
      <c r="X235" s="46">
        <f t="shared" si="166"/>
        <v>0</v>
      </c>
      <c r="Y235" s="46">
        <f t="shared" si="166"/>
        <v>0</v>
      </c>
      <c r="Z235" s="46">
        <f t="shared" si="166"/>
        <v>0</v>
      </c>
      <c r="AA235" s="46">
        <f t="shared" si="163"/>
        <v>0</v>
      </c>
      <c r="AB235" s="46">
        <f t="shared" si="163"/>
        <v>0</v>
      </c>
      <c r="AC235" s="46">
        <f t="shared" si="163"/>
        <v>0</v>
      </c>
      <c r="AD235" s="46">
        <f t="shared" si="163"/>
        <v>0</v>
      </c>
      <c r="AE235" s="46">
        <f t="shared" si="163"/>
        <v>0</v>
      </c>
      <c r="AF235" s="46">
        <f t="shared" si="163"/>
        <v>0</v>
      </c>
      <c r="AG235" s="46">
        <f t="shared" si="163"/>
        <v>0</v>
      </c>
      <c r="AH235" s="46">
        <f t="shared" si="163"/>
        <v>0</v>
      </c>
      <c r="AI235" s="46">
        <f t="shared" si="163"/>
        <v>0</v>
      </c>
      <c r="AJ235" s="46">
        <f t="shared" si="163"/>
        <v>0</v>
      </c>
      <c r="AK235" s="46">
        <f t="shared" si="163"/>
        <v>0</v>
      </c>
      <c r="AL235" s="46">
        <f t="shared" si="163"/>
        <v>0</v>
      </c>
      <c r="AM235" s="46">
        <f t="shared" si="163"/>
        <v>0</v>
      </c>
      <c r="AN235" s="46">
        <f t="shared" si="163"/>
        <v>0</v>
      </c>
      <c r="AO235" s="46">
        <f t="shared" si="163"/>
        <v>0</v>
      </c>
      <c r="AP235" s="46">
        <f t="shared" si="164"/>
        <v>0</v>
      </c>
      <c r="AQ235" s="46">
        <f t="shared" si="164"/>
        <v>0</v>
      </c>
      <c r="AR235" s="46">
        <f t="shared" si="164"/>
        <v>0</v>
      </c>
      <c r="AS235" s="46">
        <f t="shared" si="164"/>
        <v>0</v>
      </c>
      <c r="AT235" s="46">
        <f t="shared" si="164"/>
        <v>0</v>
      </c>
      <c r="AU235" s="46">
        <f t="shared" si="164"/>
        <v>0</v>
      </c>
      <c r="AV235" s="46">
        <f t="shared" si="164"/>
        <v>0</v>
      </c>
      <c r="AW235" s="46">
        <f t="shared" si="164"/>
        <v>0</v>
      </c>
      <c r="AX235" s="46">
        <f t="shared" si="164"/>
        <v>0</v>
      </c>
      <c r="AY235" s="46">
        <f t="shared" si="164"/>
        <v>0</v>
      </c>
      <c r="AZ235" s="46">
        <f t="shared" si="164"/>
        <v>0</v>
      </c>
      <c r="BA235" s="46">
        <f t="shared" si="164"/>
        <v>0</v>
      </c>
      <c r="BB235" s="46">
        <f t="shared" si="164"/>
        <v>0</v>
      </c>
      <c r="BC235" s="46">
        <f t="shared" si="164"/>
        <v>0</v>
      </c>
      <c r="BD235" s="46">
        <f t="shared" si="164"/>
        <v>0</v>
      </c>
      <c r="BE235" s="46">
        <f t="shared" si="164"/>
        <v>0</v>
      </c>
      <c r="BF235" s="46">
        <f t="shared" si="165"/>
        <v>0</v>
      </c>
      <c r="BG235" s="46">
        <f t="shared" si="165"/>
        <v>0</v>
      </c>
      <c r="BH235" s="46">
        <f t="shared" si="165"/>
        <v>0</v>
      </c>
    </row>
    <row r="236" spans="1:60" ht="14.25" customHeight="1" x14ac:dyDescent="0.3">
      <c r="A236" s="46"/>
      <c r="B236" s="37"/>
      <c r="C236" s="46"/>
      <c r="D236" s="46"/>
      <c r="E236" s="46"/>
      <c r="F236" s="46"/>
      <c r="G236" s="46"/>
      <c r="H236" s="46"/>
      <c r="I236" s="46"/>
      <c r="J236" s="51">
        <f>SUM(J207:J235)</f>
        <v>442660.41666666674</v>
      </c>
      <c r="K236" s="51">
        <f t="shared" ref="K236:BH236" si="168">SUM(K207:K235)</f>
        <v>31300</v>
      </c>
      <c r="L236" s="51">
        <f t="shared" si="168"/>
        <v>223984.4</v>
      </c>
      <c r="M236" s="51">
        <f t="shared" si="168"/>
        <v>91917</v>
      </c>
      <c r="N236" s="51">
        <f t="shared" si="168"/>
        <v>0</v>
      </c>
      <c r="O236" s="51">
        <f t="shared" si="168"/>
        <v>259062.93</v>
      </c>
      <c r="P236" s="51">
        <f t="shared" si="168"/>
        <v>99639.59</v>
      </c>
      <c r="Q236" s="51">
        <f t="shared" si="168"/>
        <v>96467</v>
      </c>
      <c r="R236" s="51">
        <f t="shared" si="168"/>
        <v>54204</v>
      </c>
      <c r="S236" s="51">
        <f t="shared" si="168"/>
        <v>0</v>
      </c>
      <c r="T236" s="51">
        <f t="shared" si="168"/>
        <v>16980</v>
      </c>
      <c r="U236" s="51">
        <f t="shared" si="168"/>
        <v>351866.66666666669</v>
      </c>
      <c r="V236" s="51">
        <f t="shared" si="168"/>
        <v>40000</v>
      </c>
      <c r="W236" s="51">
        <f t="shared" si="168"/>
        <v>15342</v>
      </c>
      <c r="X236" s="51">
        <f t="shared" si="168"/>
        <v>40000</v>
      </c>
      <c r="Y236" s="51">
        <f t="shared" si="168"/>
        <v>0</v>
      </c>
      <c r="Z236" s="51">
        <f t="shared" si="168"/>
        <v>0</v>
      </c>
      <c r="AA236" s="51">
        <f t="shared" si="168"/>
        <v>0</v>
      </c>
      <c r="AB236" s="51">
        <f t="shared" si="168"/>
        <v>0</v>
      </c>
      <c r="AC236" s="51">
        <f t="shared" si="168"/>
        <v>38833.333333333336</v>
      </c>
      <c r="AD236" s="51">
        <f t="shared" si="168"/>
        <v>0</v>
      </c>
      <c r="AE236" s="51">
        <f t="shared" si="168"/>
        <v>0</v>
      </c>
      <c r="AF236" s="51">
        <f t="shared" si="168"/>
        <v>0</v>
      </c>
      <c r="AG236" s="51">
        <f t="shared" si="168"/>
        <v>35833.333333333336</v>
      </c>
      <c r="AH236" s="51">
        <f t="shared" si="168"/>
        <v>0</v>
      </c>
      <c r="AI236" s="51">
        <f t="shared" si="168"/>
        <v>0</v>
      </c>
      <c r="AJ236" s="51">
        <f t="shared" si="168"/>
        <v>170000</v>
      </c>
      <c r="AK236" s="51">
        <f t="shared" si="168"/>
        <v>0</v>
      </c>
      <c r="AL236" s="51">
        <f t="shared" si="168"/>
        <v>0</v>
      </c>
      <c r="AM236" s="51">
        <f t="shared" si="168"/>
        <v>0</v>
      </c>
      <c r="AN236" s="51">
        <f t="shared" si="168"/>
        <v>0</v>
      </c>
      <c r="AO236" s="51">
        <f t="shared" si="168"/>
        <v>0</v>
      </c>
      <c r="AP236" s="51">
        <f t="shared" si="168"/>
        <v>0</v>
      </c>
      <c r="AQ236" s="51">
        <f t="shared" si="168"/>
        <v>0</v>
      </c>
      <c r="AR236" s="51">
        <f t="shared" si="168"/>
        <v>0</v>
      </c>
      <c r="AS236" s="51">
        <f t="shared" si="168"/>
        <v>0</v>
      </c>
      <c r="AT236" s="51">
        <f t="shared" si="168"/>
        <v>0</v>
      </c>
      <c r="AU236" s="51">
        <f t="shared" si="168"/>
        <v>0</v>
      </c>
      <c r="AV236" s="51">
        <f t="shared" si="168"/>
        <v>0</v>
      </c>
      <c r="AW236" s="51">
        <f t="shared" si="168"/>
        <v>0</v>
      </c>
      <c r="AX236" s="51">
        <f t="shared" si="168"/>
        <v>0</v>
      </c>
      <c r="AY236" s="51">
        <f t="shared" si="168"/>
        <v>0</v>
      </c>
      <c r="AZ236" s="51">
        <f t="shared" si="168"/>
        <v>0</v>
      </c>
      <c r="BA236" s="51">
        <f t="shared" si="168"/>
        <v>0</v>
      </c>
      <c r="BB236" s="51">
        <f t="shared" si="168"/>
        <v>0</v>
      </c>
      <c r="BC236" s="51">
        <f t="shared" si="168"/>
        <v>0</v>
      </c>
      <c r="BD236" s="51">
        <f t="shared" si="168"/>
        <v>0</v>
      </c>
      <c r="BE236" s="51">
        <f t="shared" si="168"/>
        <v>0</v>
      </c>
      <c r="BF236" s="51">
        <f t="shared" si="168"/>
        <v>0</v>
      </c>
      <c r="BG236" s="51">
        <f t="shared" si="168"/>
        <v>0</v>
      </c>
      <c r="BH236" s="51">
        <f t="shared" si="168"/>
        <v>0</v>
      </c>
    </row>
    <row r="237" spans="1:60" ht="14.25" customHeight="1" x14ac:dyDescent="0.3">
      <c r="A237" s="46"/>
      <c r="B237" s="37"/>
      <c r="C237" s="46"/>
      <c r="E237" s="46"/>
      <c r="F237" s="67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  <c r="AD237" s="46"/>
      <c r="AE237" s="46"/>
      <c r="AF237" s="46"/>
      <c r="AG237" s="46"/>
      <c r="AH237" s="46"/>
      <c r="AI237" s="46"/>
      <c r="AJ237" s="46"/>
      <c r="AK237" s="46"/>
      <c r="AL237" s="46"/>
      <c r="AM237" s="46"/>
      <c r="AN237" s="46"/>
      <c r="AO237" s="46"/>
      <c r="AP237" s="46"/>
      <c r="AQ237" s="46"/>
      <c r="AR237" s="46"/>
      <c r="AS237" s="46"/>
      <c r="AT237" s="46"/>
      <c r="AU237" s="46"/>
      <c r="AV237" s="46"/>
      <c r="AW237" s="46"/>
      <c r="AX237" s="46"/>
      <c r="AY237" s="46"/>
      <c r="AZ237" s="46"/>
      <c r="BA237" s="46"/>
      <c r="BB237" s="46"/>
      <c r="BC237" s="46"/>
      <c r="BD237" s="46"/>
      <c r="BE237" s="46"/>
      <c r="BF237" s="46"/>
      <c r="BG237" s="46"/>
      <c r="BH237" s="46"/>
    </row>
    <row r="238" spans="1:60" ht="14.25" customHeight="1" x14ac:dyDescent="0.3">
      <c r="A238" s="42"/>
      <c r="B238" s="43" t="s">
        <v>173</v>
      </c>
      <c r="C238" s="42"/>
      <c r="D238" s="40">
        <v>2024</v>
      </c>
      <c r="E238" s="40">
        <f>D238+1</f>
        <v>2025</v>
      </c>
      <c r="F238" s="40">
        <f>E238+1</f>
        <v>2026</v>
      </c>
      <c r="G238" s="40">
        <f>F238+1</f>
        <v>2027</v>
      </c>
      <c r="H238" s="40">
        <f>G238+1</f>
        <v>2028</v>
      </c>
      <c r="I238" s="40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  <c r="AC238" s="42"/>
      <c r="AD238" s="42"/>
      <c r="AE238" s="42"/>
      <c r="AF238" s="42"/>
      <c r="AG238" s="42"/>
      <c r="AH238" s="42"/>
      <c r="AI238" s="42"/>
      <c r="AJ238" s="42"/>
      <c r="AK238" s="42"/>
      <c r="AL238" s="42"/>
      <c r="AM238" s="42"/>
      <c r="AN238" s="42"/>
      <c r="AO238" s="42"/>
      <c r="AP238" s="42"/>
      <c r="AQ238" s="42"/>
      <c r="AR238" s="42"/>
      <c r="AS238" s="42"/>
      <c r="AT238" s="42"/>
      <c r="AU238" s="42"/>
      <c r="AV238" s="42"/>
      <c r="AW238" s="42"/>
      <c r="AX238" s="42"/>
      <c r="AY238" s="42"/>
      <c r="AZ238" s="42"/>
      <c r="BA238" s="42"/>
      <c r="BB238" s="42"/>
      <c r="BC238" s="42"/>
      <c r="BD238" s="42"/>
      <c r="BE238" s="42"/>
      <c r="BF238" s="42"/>
      <c r="BG238" s="42"/>
      <c r="BH238" s="42"/>
    </row>
    <row r="239" spans="1:60" ht="14.25" customHeight="1" x14ac:dyDescent="0.3">
      <c r="A239" s="46"/>
      <c r="B239" s="37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  <c r="AC239" s="46"/>
      <c r="AD239" s="46"/>
      <c r="AE239" s="46"/>
      <c r="AF239" s="46"/>
      <c r="AG239" s="46"/>
      <c r="AH239" s="46"/>
      <c r="AI239" s="46"/>
      <c r="AJ239" s="46"/>
      <c r="AK239" s="46"/>
      <c r="AL239" s="46"/>
      <c r="AM239" s="46"/>
      <c r="AN239" s="46"/>
      <c r="AO239" s="46"/>
      <c r="AP239" s="46"/>
      <c r="AQ239" s="46"/>
      <c r="AR239" s="46"/>
      <c r="AS239" s="46"/>
      <c r="AT239" s="46"/>
      <c r="AU239" s="46"/>
      <c r="AV239" s="46"/>
      <c r="AW239" s="46"/>
      <c r="AX239" s="46"/>
      <c r="AY239" s="46"/>
      <c r="AZ239" s="46"/>
      <c r="BA239" s="46"/>
      <c r="BB239" s="46"/>
      <c r="BC239" s="46"/>
      <c r="BD239" s="46"/>
      <c r="BE239" s="46"/>
      <c r="BF239" s="46"/>
      <c r="BG239" s="46"/>
      <c r="BH239" s="46"/>
    </row>
    <row r="240" spans="1:60" ht="14.25" customHeight="1" x14ac:dyDescent="0.3">
      <c r="A240" s="46"/>
      <c r="B240" s="37"/>
      <c r="C240" s="46" t="str">
        <f>C$137</f>
        <v>Total Treatments</v>
      </c>
      <c r="D240" s="46">
        <f>SUMIF($1:$1,D$238,240:240)</f>
        <v>0</v>
      </c>
      <c r="E240" s="46">
        <f>SUMIF($1:$1,E$238,240:240)</f>
        <v>1986.5017925683594</v>
      </c>
      <c r="F240" s="46">
        <f>SUMIF($1:$1,F$238,240:240)</f>
        <v>7073.5170364183177</v>
      </c>
      <c r="G240" s="46">
        <f>SUMIF($1:$1,G$238,240:240)</f>
        <v>10194.268675596355</v>
      </c>
      <c r="H240" s="46">
        <f>SUMIF($1:$1,H$238,240:240)</f>
        <v>13451.587896795094</v>
      </c>
      <c r="I240" s="46"/>
      <c r="J240" s="46">
        <f t="shared" ref="J240:BH240" si="169">J$137</f>
        <v>0</v>
      </c>
      <c r="K240" s="46">
        <f t="shared" si="169"/>
        <v>0</v>
      </c>
      <c r="L240" s="46">
        <f t="shared" si="169"/>
        <v>0</v>
      </c>
      <c r="M240" s="46">
        <f t="shared" si="169"/>
        <v>0</v>
      </c>
      <c r="N240" s="46">
        <f t="shared" si="169"/>
        <v>0</v>
      </c>
      <c r="O240" s="46">
        <f t="shared" si="169"/>
        <v>0</v>
      </c>
      <c r="P240" s="46">
        <f t="shared" si="169"/>
        <v>0</v>
      </c>
      <c r="Q240" s="46">
        <f t="shared" si="169"/>
        <v>61.25</v>
      </c>
      <c r="R240" s="46">
        <f t="shared" si="169"/>
        <v>129.94999999999999</v>
      </c>
      <c r="S240" s="46">
        <f t="shared" si="169"/>
        <v>163.25</v>
      </c>
      <c r="T240" s="46">
        <f t="shared" si="169"/>
        <v>219.16250000000002</v>
      </c>
      <c r="U240" s="46">
        <f t="shared" si="169"/>
        <v>266.07875000000001</v>
      </c>
      <c r="V240" s="46">
        <f t="shared" si="169"/>
        <v>342.387578125</v>
      </c>
      <c r="W240" s="46">
        <f t="shared" si="169"/>
        <v>374.62355585937502</v>
      </c>
      <c r="X240" s="46">
        <f t="shared" si="169"/>
        <v>429.79940858398436</v>
      </c>
      <c r="Y240" s="46">
        <f t="shared" si="169"/>
        <v>453.83005841088863</v>
      </c>
      <c r="Z240" s="46">
        <f t="shared" si="169"/>
        <v>478.22788206381227</v>
      </c>
      <c r="AA240" s="46">
        <f t="shared" si="169"/>
        <v>504.0827457999028</v>
      </c>
      <c r="AB240" s="46">
        <f t="shared" si="169"/>
        <v>531.49105758887254</v>
      </c>
      <c r="AC240" s="46">
        <f t="shared" si="169"/>
        <v>560.55628890897378</v>
      </c>
      <c r="AD240" s="46">
        <f t="shared" si="169"/>
        <v>582.88414001327794</v>
      </c>
      <c r="AE240" s="46">
        <f t="shared" si="169"/>
        <v>606.52949025858095</v>
      </c>
      <c r="AF240" s="46">
        <f t="shared" si="169"/>
        <v>631.73670568507305</v>
      </c>
      <c r="AG240" s="46">
        <f t="shared" si="169"/>
        <v>650.11559799946031</v>
      </c>
      <c r="AH240" s="46">
        <f t="shared" si="169"/>
        <v>669.72620848770873</v>
      </c>
      <c r="AI240" s="46">
        <f t="shared" si="169"/>
        <v>690.81924929210618</v>
      </c>
      <c r="AJ240" s="46">
        <f t="shared" si="169"/>
        <v>713.51761190966022</v>
      </c>
      <c r="AK240" s="46">
        <f t="shared" si="169"/>
        <v>737.95498037917787</v>
      </c>
      <c r="AL240" s="46">
        <f t="shared" si="169"/>
        <v>761.95863456759889</v>
      </c>
      <c r="AM240" s="46">
        <f t="shared" si="169"/>
        <v>778.09143192093188</v>
      </c>
      <c r="AN240" s="46">
        <f t="shared" si="169"/>
        <v>795.21617163488918</v>
      </c>
      <c r="AO240" s="46">
        <f t="shared" si="169"/>
        <v>813.39819695375104</v>
      </c>
      <c r="AP240" s="46">
        <f t="shared" si="169"/>
        <v>832.70734545446214</v>
      </c>
      <c r="AQ240" s="46">
        <f t="shared" si="169"/>
        <v>853.21826695632399</v>
      </c>
      <c r="AR240" s="46">
        <f t="shared" si="169"/>
        <v>875.01076434453091</v>
      </c>
      <c r="AS240" s="46">
        <f t="shared" si="169"/>
        <v>898.17015898034538</v>
      </c>
      <c r="AT240" s="46">
        <f t="shared" si="169"/>
        <v>922.78768249389225</v>
      </c>
      <c r="AU240" s="46">
        <f t="shared" si="169"/>
        <v>948.96089688786731</v>
      </c>
      <c r="AV240" s="46">
        <f t="shared" si="169"/>
        <v>976.79414502258328</v>
      </c>
      <c r="AW240" s="46">
        <f t="shared" si="169"/>
        <v>1006.3990337054269</v>
      </c>
      <c r="AX240" s="46">
        <f t="shared" si="169"/>
        <v>1037.8949517717742</v>
      </c>
      <c r="AY240" s="46">
        <f t="shared" si="169"/>
        <v>1069.8706190229589</v>
      </c>
      <c r="AZ240" s="46">
        <f t="shared" si="169"/>
        <v>1097.2146296311628</v>
      </c>
      <c r="BA240" s="46">
        <f t="shared" si="169"/>
        <v>1108.6253611127208</v>
      </c>
      <c r="BB240" s="46">
        <f t="shared" si="169"/>
        <v>1120.6066291683571</v>
      </c>
      <c r="BC240" s="46">
        <f t="shared" si="169"/>
        <v>1133.1869606267749</v>
      </c>
      <c r="BD240" s="46">
        <f t="shared" si="169"/>
        <v>1146.3963086581136</v>
      </c>
      <c r="BE240" s="46">
        <f t="shared" si="169"/>
        <v>1160.266124091019</v>
      </c>
      <c r="BF240" s="46">
        <f t="shared" si="169"/>
        <v>1174.8294302955703</v>
      </c>
      <c r="BG240" s="46">
        <f t="shared" si="169"/>
        <v>1190.1209018103489</v>
      </c>
      <c r="BH240" s="46">
        <f t="shared" si="169"/>
        <v>1206.1769469008661</v>
      </c>
    </row>
    <row r="241" spans="1:60" ht="14.25" customHeight="1" x14ac:dyDescent="0.3">
      <c r="A241" s="46"/>
      <c r="B241" s="37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  <c r="AD241" s="46"/>
      <c r="AE241" s="46"/>
      <c r="AF241" s="46"/>
      <c r="AG241" s="46"/>
      <c r="AH241" s="46"/>
      <c r="AI241" s="46"/>
      <c r="AJ241" s="46"/>
      <c r="AK241" s="46"/>
      <c r="AL241" s="46"/>
      <c r="AM241" s="46"/>
      <c r="AN241" s="46"/>
      <c r="AO241" s="46"/>
      <c r="AP241" s="46"/>
      <c r="AQ241" s="46"/>
      <c r="AR241" s="46"/>
      <c r="AS241" s="46"/>
      <c r="AT241" s="46"/>
      <c r="AU241" s="46"/>
      <c r="AV241" s="46"/>
      <c r="AW241" s="46"/>
      <c r="AX241" s="46"/>
      <c r="AY241" s="46"/>
      <c r="AZ241" s="46"/>
      <c r="BA241" s="46"/>
      <c r="BB241" s="46"/>
      <c r="BC241" s="46"/>
      <c r="BD241" s="46"/>
      <c r="BE241" s="46"/>
      <c r="BF241" s="46"/>
      <c r="BG241" s="46"/>
      <c r="BH241" s="46"/>
    </row>
    <row r="242" spans="1:60" ht="14.25" customHeight="1" x14ac:dyDescent="0.3">
      <c r="A242" s="46"/>
      <c r="B242" s="37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  <c r="AC242" s="46"/>
      <c r="AD242" s="46"/>
      <c r="AE242" s="46"/>
      <c r="AF242" s="46"/>
      <c r="AG242" s="46"/>
      <c r="AH242" s="46"/>
      <c r="AI242" s="46"/>
      <c r="AJ242" s="46"/>
      <c r="AK242" s="46"/>
      <c r="AL242" s="46"/>
      <c r="AM242" s="46"/>
      <c r="AN242" s="46"/>
      <c r="AO242" s="46"/>
      <c r="AP242" s="46"/>
      <c r="AQ242" s="46"/>
      <c r="AR242" s="46"/>
      <c r="AS242" s="46"/>
      <c r="AT242" s="46"/>
      <c r="AU242" s="46"/>
      <c r="AV242" s="46"/>
      <c r="AW242" s="46"/>
      <c r="AX242" s="46"/>
      <c r="AY242" s="46"/>
      <c r="AZ242" s="46"/>
      <c r="BA242" s="46"/>
      <c r="BB242" s="46"/>
      <c r="BC242" s="46"/>
      <c r="BD242" s="46"/>
      <c r="BE242" s="46"/>
      <c r="BF242" s="46"/>
      <c r="BG242" s="46"/>
      <c r="BH242" s="46"/>
    </row>
    <row r="243" spans="1:60" ht="14.25" customHeight="1" x14ac:dyDescent="0.3">
      <c r="A243" s="46"/>
      <c r="B243" s="37"/>
      <c r="C243" s="46" t="str">
        <f>C$14</f>
        <v>IV Treatment Revenue</v>
      </c>
      <c r="D243" s="46">
        <f t="shared" ref="D243:H258" si="170">SUMIF($1:$1,D$238,243:243)</f>
        <v>0</v>
      </c>
      <c r="E243" s="46">
        <f t="shared" si="170"/>
        <v>108391.04032195313</v>
      </c>
      <c r="F243" s="46">
        <f t="shared" si="170"/>
        <v>426500.51265374757</v>
      </c>
      <c r="G243" s="46">
        <f t="shared" si="170"/>
        <v>1015830.2200130798</v>
      </c>
      <c r="H243" s="46">
        <f t="shared" si="170"/>
        <v>1864259.6566104398</v>
      </c>
      <c r="I243" s="46"/>
      <c r="J243" s="46">
        <f t="shared" ref="J243:BH243" si="171">J$14</f>
        <v>0</v>
      </c>
      <c r="K243" s="46">
        <f t="shared" si="171"/>
        <v>0</v>
      </c>
      <c r="L243" s="46">
        <f t="shared" si="171"/>
        <v>0</v>
      </c>
      <c r="M243" s="46">
        <f t="shared" si="171"/>
        <v>0</v>
      </c>
      <c r="N243" s="46">
        <f t="shared" si="171"/>
        <v>0</v>
      </c>
      <c r="O243" s="46">
        <f t="shared" si="171"/>
        <v>0</v>
      </c>
      <c r="P243" s="46">
        <f t="shared" si="171"/>
        <v>0</v>
      </c>
      <c r="Q243" s="46">
        <f t="shared" si="171"/>
        <v>0</v>
      </c>
      <c r="R243" s="46">
        <f t="shared" si="171"/>
        <v>7917</v>
      </c>
      <c r="S243" s="46">
        <f t="shared" si="171"/>
        <v>7584</v>
      </c>
      <c r="T243" s="46">
        <f t="shared" si="171"/>
        <v>15592.230000000001</v>
      </c>
      <c r="U243" s="46">
        <f t="shared" si="171"/>
        <v>17096.880194999998</v>
      </c>
      <c r="V243" s="46">
        <f t="shared" si="171"/>
        <v>18634.453124999996</v>
      </c>
      <c r="W243" s="46">
        <f t="shared" si="171"/>
        <v>20032.037109374996</v>
      </c>
      <c r="X243" s="46">
        <f t="shared" si="171"/>
        <v>21534.439892578121</v>
      </c>
      <c r="Y243" s="46">
        <f t="shared" si="171"/>
        <v>23149.522884521477</v>
      </c>
      <c r="Z243" s="46">
        <f t="shared" si="171"/>
        <v>24885.737100860588</v>
      </c>
      <c r="AA243" s="46">
        <f t="shared" si="171"/>
        <v>26752.167383425131</v>
      </c>
      <c r="AB243" s="46">
        <f t="shared" si="171"/>
        <v>28758.579937182018</v>
      </c>
      <c r="AC243" s="46">
        <f t="shared" si="171"/>
        <v>30915.473432470666</v>
      </c>
      <c r="AD243" s="46">
        <f t="shared" si="171"/>
        <v>33234.133939905965</v>
      </c>
      <c r="AE243" s="46">
        <f t="shared" si="171"/>
        <v>35726.69398539891</v>
      </c>
      <c r="AF243" s="46">
        <f t="shared" si="171"/>
        <v>38406.196034303823</v>
      </c>
      <c r="AG243" s="46">
        <f t="shared" si="171"/>
        <v>41286.660736876613</v>
      </c>
      <c r="AH243" s="46">
        <f t="shared" si="171"/>
        <v>44383.160292142355</v>
      </c>
      <c r="AI243" s="46">
        <f t="shared" si="171"/>
        <v>47711.897314053036</v>
      </c>
      <c r="AJ243" s="46">
        <f t="shared" si="171"/>
        <v>51290.289612607012</v>
      </c>
      <c r="AK243" s="46">
        <f t="shared" si="171"/>
        <v>55137.061333552541</v>
      </c>
      <c r="AL243" s="46">
        <f t="shared" si="171"/>
        <v>59272.340933568979</v>
      </c>
      <c r="AM243" s="46">
        <f t="shared" si="171"/>
        <v>63717.766503586645</v>
      </c>
      <c r="AN243" s="46">
        <f t="shared" si="171"/>
        <v>68496.59899135564</v>
      </c>
      <c r="AO243" s="46">
        <f t="shared" si="171"/>
        <v>73633.843915707315</v>
      </c>
      <c r="AP243" s="46">
        <f t="shared" si="171"/>
        <v>79156.382209385352</v>
      </c>
      <c r="AQ243" s="46">
        <f t="shared" si="171"/>
        <v>85093.110875089245</v>
      </c>
      <c r="AR243" s="46">
        <f t="shared" si="171"/>
        <v>91475.094190720934</v>
      </c>
      <c r="AS243" s="46">
        <f t="shared" si="171"/>
        <v>98335.726255025002</v>
      </c>
      <c r="AT243" s="46">
        <f t="shared" si="171"/>
        <v>105710.90572415189</v>
      </c>
      <c r="AU243" s="46">
        <f t="shared" si="171"/>
        <v>113639.22365346328</v>
      </c>
      <c r="AV243" s="46">
        <f t="shared" si="171"/>
        <v>122162.16542747301</v>
      </c>
      <c r="AW243" s="46">
        <f t="shared" si="171"/>
        <v>131324.32783453347</v>
      </c>
      <c r="AX243" s="46">
        <f t="shared" si="171"/>
        <v>141173.6524221235</v>
      </c>
      <c r="AY243" s="46">
        <f t="shared" si="171"/>
        <v>151761.67635378274</v>
      </c>
      <c r="AZ243" s="46">
        <f t="shared" si="171"/>
        <v>160000</v>
      </c>
      <c r="BA243" s="46">
        <f t="shared" si="171"/>
        <v>160000</v>
      </c>
      <c r="BB243" s="46">
        <f t="shared" si="171"/>
        <v>160000</v>
      </c>
      <c r="BC243" s="46">
        <f t="shared" si="171"/>
        <v>160000</v>
      </c>
      <c r="BD243" s="46">
        <f t="shared" si="171"/>
        <v>160000</v>
      </c>
      <c r="BE243" s="46">
        <f t="shared" si="171"/>
        <v>160000</v>
      </c>
      <c r="BF243" s="46">
        <f t="shared" si="171"/>
        <v>160000</v>
      </c>
      <c r="BG243" s="46">
        <f t="shared" si="171"/>
        <v>160000</v>
      </c>
      <c r="BH243" s="46">
        <f t="shared" si="171"/>
        <v>160000</v>
      </c>
    </row>
    <row r="244" spans="1:60" ht="14.25" customHeight="1" x14ac:dyDescent="0.3">
      <c r="A244" s="46"/>
      <c r="B244" s="37"/>
      <c r="C244" s="46" t="str">
        <f>C$21</f>
        <v>IV Currcumin 100mg Treatment Revenue</v>
      </c>
      <c r="D244" s="46">
        <f t="shared" si="170"/>
        <v>0</v>
      </c>
      <c r="E244" s="46">
        <f t="shared" si="170"/>
        <v>101762.69710815427</v>
      </c>
      <c r="F244" s="46">
        <f t="shared" si="170"/>
        <v>221980.74121895595</v>
      </c>
      <c r="G244" s="46">
        <f t="shared" si="170"/>
        <v>298539.41806328314</v>
      </c>
      <c r="H244" s="46">
        <f t="shared" si="170"/>
        <v>358935.09407351358</v>
      </c>
      <c r="I244" s="46"/>
      <c r="J244" s="46">
        <f t="shared" ref="J244:BH244" si="172">J$21</f>
        <v>0</v>
      </c>
      <c r="K244" s="46">
        <f t="shared" si="172"/>
        <v>0</v>
      </c>
      <c r="L244" s="46">
        <f t="shared" si="172"/>
        <v>0</v>
      </c>
      <c r="M244" s="46">
        <f t="shared" si="172"/>
        <v>0</v>
      </c>
      <c r="N244" s="46">
        <f t="shared" si="172"/>
        <v>0</v>
      </c>
      <c r="O244" s="46">
        <f t="shared" si="172"/>
        <v>0</v>
      </c>
      <c r="P244" s="46">
        <f t="shared" si="172"/>
        <v>0</v>
      </c>
      <c r="Q244" s="46">
        <f t="shared" si="172"/>
        <v>10760.85</v>
      </c>
      <c r="R244" s="46">
        <f t="shared" si="172"/>
        <v>6072</v>
      </c>
      <c r="S244" s="46">
        <f t="shared" si="172"/>
        <v>10175</v>
      </c>
      <c r="T244" s="46">
        <f t="shared" si="172"/>
        <v>14221.874999999998</v>
      </c>
      <c r="U244" s="46">
        <f t="shared" si="172"/>
        <v>14577.421874999998</v>
      </c>
      <c r="V244" s="46">
        <f t="shared" si="172"/>
        <v>14941.857421874996</v>
      </c>
      <c r="W244" s="46">
        <f t="shared" si="172"/>
        <v>15315.403857421868</v>
      </c>
      <c r="X244" s="46">
        <f t="shared" si="172"/>
        <v>15698.288953857415</v>
      </c>
      <c r="Y244" s="46">
        <f t="shared" si="172"/>
        <v>16090.74617770385</v>
      </c>
      <c r="Z244" s="46">
        <f t="shared" si="172"/>
        <v>16493.014832146444</v>
      </c>
      <c r="AA244" s="46">
        <f t="shared" si="172"/>
        <v>16905.340202950105</v>
      </c>
      <c r="AB244" s="46">
        <f t="shared" si="172"/>
        <v>17327.973708023856</v>
      </c>
      <c r="AC244" s="46">
        <f t="shared" si="172"/>
        <v>17761.17305072445</v>
      </c>
      <c r="AD244" s="46">
        <f t="shared" si="172"/>
        <v>18205.202376992558</v>
      </c>
      <c r="AE244" s="46">
        <f t="shared" si="172"/>
        <v>18660.332436417371</v>
      </c>
      <c r="AF244" s="46">
        <f t="shared" si="172"/>
        <v>19126.840747327802</v>
      </c>
      <c r="AG244" s="46">
        <f t="shared" si="172"/>
        <v>19605.011766010997</v>
      </c>
      <c r="AH244" s="46">
        <f t="shared" si="172"/>
        <v>20095.137060161273</v>
      </c>
      <c r="AI244" s="46">
        <f t="shared" si="172"/>
        <v>20597.515486665299</v>
      </c>
      <c r="AJ244" s="46">
        <f t="shared" si="172"/>
        <v>21112.45337383193</v>
      </c>
      <c r="AK244" s="46">
        <f t="shared" si="172"/>
        <v>21640.264708177729</v>
      </c>
      <c r="AL244" s="46">
        <f t="shared" si="172"/>
        <v>22181.271325882168</v>
      </c>
      <c r="AM244" s="46">
        <f t="shared" si="172"/>
        <v>22735.803109029221</v>
      </c>
      <c r="AN244" s="46">
        <f t="shared" si="172"/>
        <v>23304.198186754948</v>
      </c>
      <c r="AO244" s="46">
        <f t="shared" si="172"/>
        <v>23886.803141423818</v>
      </c>
      <c r="AP244" s="46">
        <f t="shared" si="172"/>
        <v>24483.973219959415</v>
      </c>
      <c r="AQ244" s="46">
        <f t="shared" si="172"/>
        <v>25096.072550458401</v>
      </c>
      <c r="AR244" s="46">
        <f t="shared" si="172"/>
        <v>25723.474364219859</v>
      </c>
      <c r="AS244" s="46">
        <f t="shared" si="172"/>
        <v>26366.561223325352</v>
      </c>
      <c r="AT244" s="46">
        <f t="shared" si="172"/>
        <v>27025.725253908484</v>
      </c>
      <c r="AU244" s="46">
        <f t="shared" si="172"/>
        <v>27701.368385256199</v>
      </c>
      <c r="AV244" s="46">
        <f t="shared" si="172"/>
        <v>28393.902594887601</v>
      </c>
      <c r="AW244" s="46">
        <f t="shared" si="172"/>
        <v>29103.750159759787</v>
      </c>
      <c r="AX244" s="46">
        <f t="shared" si="172"/>
        <v>29831.343913753779</v>
      </c>
      <c r="AY244" s="46">
        <f t="shared" si="172"/>
        <v>30000</v>
      </c>
      <c r="AZ244" s="46">
        <f t="shared" si="172"/>
        <v>30000</v>
      </c>
      <c r="BA244" s="46">
        <f t="shared" si="172"/>
        <v>30000</v>
      </c>
      <c r="BB244" s="46">
        <f t="shared" si="172"/>
        <v>30000</v>
      </c>
      <c r="BC244" s="46">
        <f t="shared" si="172"/>
        <v>30000</v>
      </c>
      <c r="BD244" s="46">
        <f t="shared" si="172"/>
        <v>30000</v>
      </c>
      <c r="BE244" s="46">
        <f t="shared" si="172"/>
        <v>30000</v>
      </c>
      <c r="BF244" s="46">
        <f t="shared" si="172"/>
        <v>30000</v>
      </c>
      <c r="BG244" s="46">
        <f t="shared" si="172"/>
        <v>30000</v>
      </c>
      <c r="BH244" s="46">
        <f t="shared" si="172"/>
        <v>30000</v>
      </c>
    </row>
    <row r="245" spans="1:60" x14ac:dyDescent="0.3">
      <c r="A245" s="46"/>
      <c r="B245" s="37"/>
      <c r="C245" s="46" t="str">
        <f>C$28</f>
        <v>Laser Patient Revenue</v>
      </c>
      <c r="D245" s="46">
        <f t="shared" si="170"/>
        <v>0</v>
      </c>
      <c r="E245" s="46">
        <f t="shared" si="170"/>
        <v>15043.63434375</v>
      </c>
      <c r="F245" s="46">
        <f t="shared" si="170"/>
        <v>40527.896536511209</v>
      </c>
      <c r="G245" s="46">
        <f t="shared" si="170"/>
        <v>72782.279375464015</v>
      </c>
      <c r="H245" s="46">
        <f t="shared" si="170"/>
        <v>130706.51683873705</v>
      </c>
      <c r="I245" s="46"/>
      <c r="J245" s="46">
        <f t="shared" ref="J245:BH245" si="173">J$28</f>
        <v>0</v>
      </c>
      <c r="K245" s="46">
        <f t="shared" si="173"/>
        <v>0</v>
      </c>
      <c r="L245" s="46">
        <f t="shared" si="173"/>
        <v>0</v>
      </c>
      <c r="M245" s="46">
        <f t="shared" si="173"/>
        <v>0</v>
      </c>
      <c r="N245" s="46">
        <f t="shared" si="173"/>
        <v>0</v>
      </c>
      <c r="O245" s="46">
        <f t="shared" si="173"/>
        <v>0</v>
      </c>
      <c r="P245" s="46">
        <f t="shared" si="173"/>
        <v>0</v>
      </c>
      <c r="Q245" s="46">
        <f t="shared" si="173"/>
        <v>420</v>
      </c>
      <c r="R245" s="46">
        <f t="shared" si="173"/>
        <v>1700</v>
      </c>
      <c r="S245" s="46">
        <f t="shared" si="173"/>
        <v>1900</v>
      </c>
      <c r="T245" s="46">
        <f t="shared" si="173"/>
        <v>1995</v>
      </c>
      <c r="U245" s="46">
        <f t="shared" si="173"/>
        <v>2094.75</v>
      </c>
      <c r="V245" s="46">
        <f t="shared" si="173"/>
        <v>2199.4875000000002</v>
      </c>
      <c r="W245" s="46">
        <f t="shared" si="173"/>
        <v>2309.4618750000004</v>
      </c>
      <c r="X245" s="46">
        <f t="shared" si="173"/>
        <v>2424.9349687500007</v>
      </c>
      <c r="Y245" s="46">
        <f t="shared" si="173"/>
        <v>2546.1817171875009</v>
      </c>
      <c r="Z245" s="46">
        <f t="shared" si="173"/>
        <v>2673.490803046876</v>
      </c>
      <c r="AA245" s="46">
        <f t="shared" si="173"/>
        <v>2807.1653431992199</v>
      </c>
      <c r="AB245" s="46">
        <f t="shared" si="173"/>
        <v>2947.523610359181</v>
      </c>
      <c r="AC245" s="46">
        <f t="shared" si="173"/>
        <v>3094.8997908771403</v>
      </c>
      <c r="AD245" s="46">
        <f t="shared" si="173"/>
        <v>3249.644780420997</v>
      </c>
      <c r="AE245" s="46">
        <f t="shared" si="173"/>
        <v>3412.1270194420467</v>
      </c>
      <c r="AF245" s="46">
        <f t="shared" si="173"/>
        <v>3582.7333704141492</v>
      </c>
      <c r="AG245" s="46">
        <f t="shared" si="173"/>
        <v>3761.8700389348569</v>
      </c>
      <c r="AH245" s="46">
        <f t="shared" si="173"/>
        <v>3949.9635408815998</v>
      </c>
      <c r="AI245" s="46">
        <f t="shared" si="173"/>
        <v>4147.4617179256793</v>
      </c>
      <c r="AJ245" s="46">
        <f t="shared" si="173"/>
        <v>4354.8348038219638</v>
      </c>
      <c r="AK245" s="46">
        <f t="shared" si="173"/>
        <v>4572.5765440130626</v>
      </c>
      <c r="AL245" s="46">
        <f t="shared" si="173"/>
        <v>4801.2053712137149</v>
      </c>
      <c r="AM245" s="46">
        <f t="shared" si="173"/>
        <v>5041.2656397744013</v>
      </c>
      <c r="AN245" s="46">
        <f t="shared" si="173"/>
        <v>5293.3289217631218</v>
      </c>
      <c r="AO245" s="46">
        <f t="shared" si="173"/>
        <v>5557.9953678512784</v>
      </c>
      <c r="AP245" s="46">
        <f t="shared" si="173"/>
        <v>5835.895136243842</v>
      </c>
      <c r="AQ245" s="46">
        <f t="shared" si="173"/>
        <v>6127.6898930560346</v>
      </c>
      <c r="AR245" s="46">
        <f t="shared" si="173"/>
        <v>6434.0743877088353</v>
      </c>
      <c r="AS245" s="46">
        <f t="shared" si="173"/>
        <v>6755.7781070942783</v>
      </c>
      <c r="AT245" s="46">
        <f t="shared" si="173"/>
        <v>7093.5670124489916</v>
      </c>
      <c r="AU245" s="46">
        <f t="shared" si="173"/>
        <v>7448.2453630714417</v>
      </c>
      <c r="AV245" s="46">
        <f t="shared" si="173"/>
        <v>7820.6576312250136</v>
      </c>
      <c r="AW245" s="46">
        <f t="shared" si="173"/>
        <v>8211.6905127862647</v>
      </c>
      <c r="AX245" s="46">
        <f t="shared" si="173"/>
        <v>8622.2750384255796</v>
      </c>
      <c r="AY245" s="46">
        <f t="shared" si="173"/>
        <v>9053.3887903468585</v>
      </c>
      <c r="AZ245" s="46">
        <f t="shared" si="173"/>
        <v>9506.0582298642021</v>
      </c>
      <c r="BA245" s="46">
        <f t="shared" si="173"/>
        <v>9981.3611413574126</v>
      </c>
      <c r="BB245" s="46">
        <f t="shared" si="173"/>
        <v>10480.429198425283</v>
      </c>
      <c r="BC245" s="46">
        <f t="shared" si="173"/>
        <v>11004.450658346548</v>
      </c>
      <c r="BD245" s="46">
        <f t="shared" si="173"/>
        <v>11554.673191263877</v>
      </c>
      <c r="BE245" s="46">
        <f t="shared" si="173"/>
        <v>12132.40685082707</v>
      </c>
      <c r="BF245" s="46">
        <f t="shared" si="173"/>
        <v>12739.027193368423</v>
      </c>
      <c r="BG245" s="46">
        <f t="shared" si="173"/>
        <v>13375.978553036844</v>
      </c>
      <c r="BH245" s="46">
        <f t="shared" si="173"/>
        <v>14044.777480688688</v>
      </c>
    </row>
    <row r="246" spans="1:60" ht="14.25" customHeight="1" x14ac:dyDescent="0.3">
      <c r="A246" s="46"/>
      <c r="B246" s="37"/>
      <c r="C246" s="46" t="str">
        <f>C$33</f>
        <v>Hyperthermia Session Revenue</v>
      </c>
      <c r="D246" s="46">
        <f t="shared" si="170"/>
        <v>0</v>
      </c>
      <c r="E246" s="46">
        <f t="shared" si="170"/>
        <v>211721.38750000001</v>
      </c>
      <c r="F246" s="46">
        <f t="shared" si="170"/>
        <v>599047.02011691802</v>
      </c>
      <c r="G246" s="46">
        <f t="shared" si="170"/>
        <v>622800</v>
      </c>
      <c r="H246" s="46">
        <f t="shared" si="170"/>
        <v>622800</v>
      </c>
      <c r="I246" s="46"/>
      <c r="J246" s="46">
        <f t="shared" ref="J246:BH246" si="174">J$33</f>
        <v>0</v>
      </c>
      <c r="K246" s="46">
        <f t="shared" si="174"/>
        <v>0</v>
      </c>
      <c r="L246" s="46">
        <f t="shared" si="174"/>
        <v>0</v>
      </c>
      <c r="M246" s="46">
        <f t="shared" si="174"/>
        <v>0</v>
      </c>
      <c r="N246" s="46">
        <f t="shared" si="174"/>
        <v>0</v>
      </c>
      <c r="O246" s="46">
        <f t="shared" si="174"/>
        <v>0</v>
      </c>
      <c r="P246" s="46">
        <f t="shared" si="174"/>
        <v>0</v>
      </c>
      <c r="Q246" s="46">
        <f t="shared" si="174"/>
        <v>1500</v>
      </c>
      <c r="R246" s="46">
        <f t="shared" si="174"/>
        <v>16936</v>
      </c>
      <c r="S246" s="46">
        <f t="shared" si="174"/>
        <v>18600</v>
      </c>
      <c r="T246" s="46">
        <f t="shared" si="174"/>
        <v>23400</v>
      </c>
      <c r="U246" s="46">
        <f t="shared" si="174"/>
        <v>35100</v>
      </c>
      <c r="V246" s="46">
        <f t="shared" si="174"/>
        <v>36855</v>
      </c>
      <c r="W246" s="46">
        <f t="shared" si="174"/>
        <v>38697.75</v>
      </c>
      <c r="X246" s="46">
        <f t="shared" si="174"/>
        <v>40632.637500000004</v>
      </c>
      <c r="Y246" s="46">
        <f t="shared" si="174"/>
        <v>42664.269375000003</v>
      </c>
      <c r="Z246" s="46">
        <f t="shared" si="174"/>
        <v>44797.482843750004</v>
      </c>
      <c r="AA246" s="46">
        <f t="shared" si="174"/>
        <v>47037.356985937506</v>
      </c>
      <c r="AB246" s="46">
        <f t="shared" si="174"/>
        <v>49389.224835234381</v>
      </c>
      <c r="AC246" s="46">
        <f t="shared" si="174"/>
        <v>51858.686076996099</v>
      </c>
      <c r="AD246" s="46">
        <f t="shared" si="174"/>
        <v>51900</v>
      </c>
      <c r="AE246" s="46">
        <f t="shared" si="174"/>
        <v>51900</v>
      </c>
      <c r="AF246" s="46">
        <f t="shared" si="174"/>
        <v>51900</v>
      </c>
      <c r="AG246" s="46">
        <f t="shared" si="174"/>
        <v>51900</v>
      </c>
      <c r="AH246" s="46">
        <f t="shared" si="174"/>
        <v>51900</v>
      </c>
      <c r="AI246" s="46">
        <f t="shared" si="174"/>
        <v>51900</v>
      </c>
      <c r="AJ246" s="46">
        <f t="shared" si="174"/>
        <v>51900</v>
      </c>
      <c r="AK246" s="46">
        <f t="shared" si="174"/>
        <v>51900</v>
      </c>
      <c r="AL246" s="46">
        <f t="shared" si="174"/>
        <v>51900</v>
      </c>
      <c r="AM246" s="46">
        <f t="shared" si="174"/>
        <v>51900</v>
      </c>
      <c r="AN246" s="46">
        <f t="shared" si="174"/>
        <v>51900</v>
      </c>
      <c r="AO246" s="46">
        <f t="shared" si="174"/>
        <v>51900</v>
      </c>
      <c r="AP246" s="46">
        <f t="shared" si="174"/>
        <v>51900</v>
      </c>
      <c r="AQ246" s="46">
        <f t="shared" si="174"/>
        <v>51900</v>
      </c>
      <c r="AR246" s="46">
        <f t="shared" si="174"/>
        <v>51900</v>
      </c>
      <c r="AS246" s="46">
        <f t="shared" si="174"/>
        <v>51900</v>
      </c>
      <c r="AT246" s="46">
        <f t="shared" si="174"/>
        <v>51900</v>
      </c>
      <c r="AU246" s="46">
        <f t="shared" si="174"/>
        <v>51900</v>
      </c>
      <c r="AV246" s="46">
        <f t="shared" si="174"/>
        <v>51900</v>
      </c>
      <c r="AW246" s="46">
        <f t="shared" si="174"/>
        <v>51900</v>
      </c>
      <c r="AX246" s="46">
        <f t="shared" si="174"/>
        <v>51900</v>
      </c>
      <c r="AY246" s="46">
        <f t="shared" si="174"/>
        <v>51900</v>
      </c>
      <c r="AZ246" s="46">
        <f t="shared" si="174"/>
        <v>51900</v>
      </c>
      <c r="BA246" s="46">
        <f t="shared" si="174"/>
        <v>51900</v>
      </c>
      <c r="BB246" s="46">
        <f t="shared" si="174"/>
        <v>51900</v>
      </c>
      <c r="BC246" s="46">
        <f t="shared" si="174"/>
        <v>51900</v>
      </c>
      <c r="BD246" s="46">
        <f t="shared" si="174"/>
        <v>51900</v>
      </c>
      <c r="BE246" s="46">
        <f t="shared" si="174"/>
        <v>51900</v>
      </c>
      <c r="BF246" s="46">
        <f t="shared" si="174"/>
        <v>51900</v>
      </c>
      <c r="BG246" s="46">
        <f t="shared" si="174"/>
        <v>51900</v>
      </c>
      <c r="BH246" s="46">
        <f t="shared" si="174"/>
        <v>51900</v>
      </c>
    </row>
    <row r="247" spans="1:60" ht="14.25" customHeight="1" x14ac:dyDescent="0.3">
      <c r="A247" s="46"/>
      <c r="B247" s="37"/>
      <c r="C247" s="46" t="str">
        <f>C$40</f>
        <v>Hyperthermia 2 Session Revenue</v>
      </c>
      <c r="D247" s="46">
        <f t="shared" si="170"/>
        <v>0</v>
      </c>
      <c r="E247" s="46">
        <f t="shared" si="170"/>
        <v>77100</v>
      </c>
      <c r="F247" s="46">
        <f t="shared" si="170"/>
        <v>559532.40761691798</v>
      </c>
      <c r="G247" s="46">
        <f t="shared" si="170"/>
        <v>622800</v>
      </c>
      <c r="H247" s="46">
        <f t="shared" si="170"/>
        <v>622800</v>
      </c>
      <c r="I247" s="46"/>
      <c r="J247" s="46">
        <f t="shared" ref="J247:BH247" si="175">J$40</f>
        <v>0</v>
      </c>
      <c r="K247" s="46">
        <f t="shared" si="175"/>
        <v>0</v>
      </c>
      <c r="L247" s="46">
        <f t="shared" si="175"/>
        <v>0</v>
      </c>
      <c r="M247" s="46">
        <f t="shared" si="175"/>
        <v>0</v>
      </c>
      <c r="N247" s="46">
        <f t="shared" si="175"/>
        <v>0</v>
      </c>
      <c r="O247" s="46">
        <f t="shared" si="175"/>
        <v>0</v>
      </c>
      <c r="P247" s="46">
        <f t="shared" si="175"/>
        <v>0</v>
      </c>
      <c r="Q247" s="46">
        <f t="shared" si="175"/>
        <v>0</v>
      </c>
      <c r="R247" s="46">
        <f t="shared" si="175"/>
        <v>0</v>
      </c>
      <c r="S247" s="46">
        <f t="shared" si="175"/>
        <v>0</v>
      </c>
      <c r="T247" s="46">
        <f t="shared" si="175"/>
        <v>0</v>
      </c>
      <c r="U247" s="46">
        <f t="shared" si="175"/>
        <v>0</v>
      </c>
      <c r="V247" s="46">
        <f t="shared" si="175"/>
        <v>18600</v>
      </c>
      <c r="W247" s="46">
        <f t="shared" si="175"/>
        <v>23400</v>
      </c>
      <c r="X247" s="46">
        <f t="shared" si="175"/>
        <v>35100</v>
      </c>
      <c r="Y247" s="46">
        <f t="shared" si="175"/>
        <v>36855</v>
      </c>
      <c r="Z247" s="46">
        <f t="shared" si="175"/>
        <v>38697.75</v>
      </c>
      <c r="AA247" s="46">
        <f t="shared" si="175"/>
        <v>40632.637500000004</v>
      </c>
      <c r="AB247" s="46">
        <f t="shared" si="175"/>
        <v>42664.269375000003</v>
      </c>
      <c r="AC247" s="46">
        <f t="shared" si="175"/>
        <v>44797.482843750004</v>
      </c>
      <c r="AD247" s="46">
        <f t="shared" si="175"/>
        <v>47037.356985937506</v>
      </c>
      <c r="AE247" s="46">
        <f t="shared" si="175"/>
        <v>49389.224835234381</v>
      </c>
      <c r="AF247" s="46">
        <f t="shared" si="175"/>
        <v>51858.686076996099</v>
      </c>
      <c r="AG247" s="46">
        <f t="shared" si="175"/>
        <v>51900</v>
      </c>
      <c r="AH247" s="46">
        <f t="shared" si="175"/>
        <v>51900</v>
      </c>
      <c r="AI247" s="46">
        <f t="shared" si="175"/>
        <v>51900</v>
      </c>
      <c r="AJ247" s="46">
        <f t="shared" si="175"/>
        <v>51900</v>
      </c>
      <c r="AK247" s="46">
        <f t="shared" si="175"/>
        <v>51900</v>
      </c>
      <c r="AL247" s="46">
        <f t="shared" si="175"/>
        <v>51900</v>
      </c>
      <c r="AM247" s="46">
        <f t="shared" si="175"/>
        <v>51900</v>
      </c>
      <c r="AN247" s="46">
        <f t="shared" si="175"/>
        <v>51900</v>
      </c>
      <c r="AO247" s="46">
        <f t="shared" si="175"/>
        <v>51900</v>
      </c>
      <c r="AP247" s="46">
        <f t="shared" si="175"/>
        <v>51900</v>
      </c>
      <c r="AQ247" s="46">
        <f t="shared" si="175"/>
        <v>51900</v>
      </c>
      <c r="AR247" s="46">
        <f t="shared" si="175"/>
        <v>51900</v>
      </c>
      <c r="AS247" s="46">
        <f t="shared" si="175"/>
        <v>51900</v>
      </c>
      <c r="AT247" s="46">
        <f t="shared" si="175"/>
        <v>51900</v>
      </c>
      <c r="AU247" s="46">
        <f t="shared" si="175"/>
        <v>51900</v>
      </c>
      <c r="AV247" s="46">
        <f t="shared" si="175"/>
        <v>51900</v>
      </c>
      <c r="AW247" s="46">
        <f t="shared" si="175"/>
        <v>51900</v>
      </c>
      <c r="AX247" s="46">
        <f t="shared" si="175"/>
        <v>51900</v>
      </c>
      <c r="AY247" s="46">
        <f t="shared" si="175"/>
        <v>51900</v>
      </c>
      <c r="AZ247" s="46">
        <f t="shared" si="175"/>
        <v>51900</v>
      </c>
      <c r="BA247" s="46">
        <f t="shared" si="175"/>
        <v>51900</v>
      </c>
      <c r="BB247" s="46">
        <f t="shared" si="175"/>
        <v>51900</v>
      </c>
      <c r="BC247" s="46">
        <f t="shared" si="175"/>
        <v>51900</v>
      </c>
      <c r="BD247" s="46">
        <f t="shared" si="175"/>
        <v>51900</v>
      </c>
      <c r="BE247" s="46">
        <f t="shared" si="175"/>
        <v>51900</v>
      </c>
      <c r="BF247" s="46">
        <f t="shared" si="175"/>
        <v>51900</v>
      </c>
      <c r="BG247" s="46">
        <f t="shared" si="175"/>
        <v>51900</v>
      </c>
      <c r="BH247" s="46">
        <f t="shared" si="175"/>
        <v>51900</v>
      </c>
    </row>
    <row r="248" spans="1:60" ht="14.25" customHeight="1" x14ac:dyDescent="0.3">
      <c r="A248" s="46"/>
      <c r="B248" s="37"/>
      <c r="C248" s="46" t="str">
        <f>C$47</f>
        <v>HBOT 1 Session Revenue</v>
      </c>
      <c r="D248" s="46">
        <f t="shared" si="170"/>
        <v>0</v>
      </c>
      <c r="E248" s="46">
        <f t="shared" si="170"/>
        <v>27062.440000000002</v>
      </c>
      <c r="F248" s="46">
        <f t="shared" si="170"/>
        <v>151534.25253968939</v>
      </c>
      <c r="G248" s="46">
        <f t="shared" si="170"/>
        <v>286239.66925396898</v>
      </c>
      <c r="H248" s="46">
        <f t="shared" si="170"/>
        <v>288000</v>
      </c>
      <c r="I248" s="46"/>
      <c r="J248" s="46">
        <f t="shared" ref="J248:BH248" si="176">J$47</f>
        <v>0</v>
      </c>
      <c r="K248" s="46">
        <f t="shared" si="176"/>
        <v>0</v>
      </c>
      <c r="L248" s="46">
        <f t="shared" si="176"/>
        <v>0</v>
      </c>
      <c r="M248" s="46">
        <f t="shared" si="176"/>
        <v>0</v>
      </c>
      <c r="N248" s="46">
        <f t="shared" si="176"/>
        <v>0</v>
      </c>
      <c r="O248" s="46">
        <f t="shared" si="176"/>
        <v>0</v>
      </c>
      <c r="P248" s="46">
        <f t="shared" si="176"/>
        <v>0</v>
      </c>
      <c r="Q248" s="46">
        <f t="shared" si="176"/>
        <v>0</v>
      </c>
      <c r="R248" s="46">
        <f t="shared" si="176"/>
        <v>0</v>
      </c>
      <c r="S248" s="46">
        <f t="shared" si="176"/>
        <v>200</v>
      </c>
      <c r="T248" s="46">
        <f t="shared" si="176"/>
        <v>4400</v>
      </c>
      <c r="U248" s="46">
        <f t="shared" si="176"/>
        <v>4840.0000000000009</v>
      </c>
      <c r="V248" s="46">
        <f t="shared" si="176"/>
        <v>5324.0000000000009</v>
      </c>
      <c r="W248" s="46">
        <f t="shared" si="176"/>
        <v>5856.4000000000015</v>
      </c>
      <c r="X248" s="46">
        <f t="shared" si="176"/>
        <v>6442.0400000000018</v>
      </c>
      <c r="Y248" s="46">
        <f t="shared" si="176"/>
        <v>7086.2440000000024</v>
      </c>
      <c r="Z248" s="46">
        <f t="shared" si="176"/>
        <v>7794.868400000003</v>
      </c>
      <c r="AA248" s="46">
        <f t="shared" si="176"/>
        <v>8574.3552400000044</v>
      </c>
      <c r="AB248" s="46">
        <f t="shared" si="176"/>
        <v>9431.7907640000067</v>
      </c>
      <c r="AC248" s="46">
        <f t="shared" si="176"/>
        <v>10374.969840400006</v>
      </c>
      <c r="AD248" s="46">
        <f t="shared" si="176"/>
        <v>11412.466824440009</v>
      </c>
      <c r="AE248" s="46">
        <f t="shared" si="176"/>
        <v>12553.713506884011</v>
      </c>
      <c r="AF248" s="46">
        <f t="shared" si="176"/>
        <v>13809.084857572412</v>
      </c>
      <c r="AG248" s="46">
        <f t="shared" si="176"/>
        <v>15189.993343329656</v>
      </c>
      <c r="AH248" s="46">
        <f t="shared" si="176"/>
        <v>16708.99267766262</v>
      </c>
      <c r="AI248" s="46">
        <f t="shared" si="176"/>
        <v>18379.891945428888</v>
      </c>
      <c r="AJ248" s="46">
        <f t="shared" si="176"/>
        <v>20217.881139971778</v>
      </c>
      <c r="AK248" s="46">
        <f t="shared" si="176"/>
        <v>22239.669253968957</v>
      </c>
      <c r="AL248" s="46">
        <f t="shared" si="176"/>
        <v>24000</v>
      </c>
      <c r="AM248" s="46">
        <f t="shared" si="176"/>
        <v>24000</v>
      </c>
      <c r="AN248" s="46">
        <f t="shared" si="176"/>
        <v>24000</v>
      </c>
      <c r="AO248" s="46">
        <f t="shared" si="176"/>
        <v>24000</v>
      </c>
      <c r="AP248" s="46">
        <f t="shared" si="176"/>
        <v>24000</v>
      </c>
      <c r="AQ248" s="46">
        <f t="shared" si="176"/>
        <v>24000</v>
      </c>
      <c r="AR248" s="46">
        <f t="shared" si="176"/>
        <v>24000</v>
      </c>
      <c r="AS248" s="46">
        <f t="shared" si="176"/>
        <v>24000</v>
      </c>
      <c r="AT248" s="46">
        <f t="shared" si="176"/>
        <v>24000</v>
      </c>
      <c r="AU248" s="46">
        <f t="shared" si="176"/>
        <v>24000</v>
      </c>
      <c r="AV248" s="46">
        <f t="shared" si="176"/>
        <v>24000</v>
      </c>
      <c r="AW248" s="46">
        <f t="shared" si="176"/>
        <v>24000</v>
      </c>
      <c r="AX248" s="46">
        <f t="shared" si="176"/>
        <v>24000</v>
      </c>
      <c r="AY248" s="46">
        <f t="shared" si="176"/>
        <v>24000</v>
      </c>
      <c r="AZ248" s="46">
        <f t="shared" si="176"/>
        <v>24000</v>
      </c>
      <c r="BA248" s="46">
        <f t="shared" si="176"/>
        <v>24000</v>
      </c>
      <c r="BB248" s="46">
        <f t="shared" si="176"/>
        <v>24000</v>
      </c>
      <c r="BC248" s="46">
        <f t="shared" si="176"/>
        <v>24000</v>
      </c>
      <c r="BD248" s="46">
        <f t="shared" si="176"/>
        <v>24000</v>
      </c>
      <c r="BE248" s="46">
        <f t="shared" si="176"/>
        <v>24000</v>
      </c>
      <c r="BF248" s="46">
        <f t="shared" si="176"/>
        <v>24000</v>
      </c>
      <c r="BG248" s="46">
        <f t="shared" si="176"/>
        <v>24000</v>
      </c>
      <c r="BH248" s="46">
        <f t="shared" si="176"/>
        <v>24000</v>
      </c>
    </row>
    <row r="249" spans="1:60" ht="14.25" customHeight="1" x14ac:dyDescent="0.3">
      <c r="A249" s="46"/>
      <c r="B249" s="37"/>
      <c r="C249" s="46" t="str">
        <f>C$54</f>
        <v>HBOT 2 Session Revenue</v>
      </c>
      <c r="D249" s="46">
        <f t="shared" si="170"/>
        <v>0</v>
      </c>
      <c r="E249" s="46">
        <f t="shared" si="170"/>
        <v>0</v>
      </c>
      <c r="F249" s="46">
        <f t="shared" si="170"/>
        <v>0</v>
      </c>
      <c r="G249" s="46">
        <f t="shared" si="170"/>
        <v>0</v>
      </c>
      <c r="H249" s="46">
        <f t="shared" si="170"/>
        <v>0</v>
      </c>
      <c r="I249" s="46"/>
      <c r="J249" s="46">
        <f t="shared" ref="J249:BH249" si="177">J$54</f>
        <v>0</v>
      </c>
      <c r="K249" s="46">
        <f t="shared" si="177"/>
        <v>0</v>
      </c>
      <c r="L249" s="46">
        <f t="shared" si="177"/>
        <v>0</v>
      </c>
      <c r="M249" s="46">
        <f t="shared" si="177"/>
        <v>0</v>
      </c>
      <c r="N249" s="46">
        <f t="shared" si="177"/>
        <v>0</v>
      </c>
      <c r="O249" s="46">
        <f t="shared" si="177"/>
        <v>0</v>
      </c>
      <c r="P249" s="46">
        <f t="shared" si="177"/>
        <v>0</v>
      </c>
      <c r="Q249" s="46">
        <f t="shared" si="177"/>
        <v>0</v>
      </c>
      <c r="R249" s="46">
        <f t="shared" si="177"/>
        <v>0</v>
      </c>
      <c r="S249" s="46">
        <f t="shared" si="177"/>
        <v>0</v>
      </c>
      <c r="T249" s="46">
        <f t="shared" si="177"/>
        <v>0</v>
      </c>
      <c r="U249" s="46">
        <f t="shared" si="177"/>
        <v>0</v>
      </c>
      <c r="V249" s="46">
        <f t="shared" si="177"/>
        <v>0</v>
      </c>
      <c r="W249" s="46">
        <f t="shared" si="177"/>
        <v>0</v>
      </c>
      <c r="X249" s="46">
        <f t="shared" si="177"/>
        <v>0</v>
      </c>
      <c r="Y249" s="46">
        <f t="shared" si="177"/>
        <v>0</v>
      </c>
      <c r="Z249" s="46">
        <f t="shared" si="177"/>
        <v>0</v>
      </c>
      <c r="AA249" s="46">
        <f t="shared" si="177"/>
        <v>0</v>
      </c>
      <c r="AB249" s="46">
        <f t="shared" si="177"/>
        <v>0</v>
      </c>
      <c r="AC249" s="46">
        <f t="shared" si="177"/>
        <v>0</v>
      </c>
      <c r="AD249" s="46">
        <f t="shared" si="177"/>
        <v>0</v>
      </c>
      <c r="AE249" s="46">
        <f t="shared" si="177"/>
        <v>0</v>
      </c>
      <c r="AF249" s="46">
        <f t="shared" si="177"/>
        <v>0</v>
      </c>
      <c r="AG249" s="46">
        <f t="shared" si="177"/>
        <v>0</v>
      </c>
      <c r="AH249" s="46">
        <f t="shared" si="177"/>
        <v>0</v>
      </c>
      <c r="AI249" s="46">
        <f t="shared" si="177"/>
        <v>0</v>
      </c>
      <c r="AJ249" s="46">
        <f t="shared" si="177"/>
        <v>0</v>
      </c>
      <c r="AK249" s="46">
        <f t="shared" si="177"/>
        <v>0</v>
      </c>
      <c r="AL249" s="46">
        <f t="shared" si="177"/>
        <v>0</v>
      </c>
      <c r="AM249" s="46">
        <f t="shared" si="177"/>
        <v>0</v>
      </c>
      <c r="AN249" s="46">
        <f t="shared" si="177"/>
        <v>0</v>
      </c>
      <c r="AO249" s="46">
        <f t="shared" si="177"/>
        <v>0</v>
      </c>
      <c r="AP249" s="46">
        <f t="shared" si="177"/>
        <v>0</v>
      </c>
      <c r="AQ249" s="46">
        <f t="shared" si="177"/>
        <v>0</v>
      </c>
      <c r="AR249" s="46">
        <f t="shared" si="177"/>
        <v>0</v>
      </c>
      <c r="AS249" s="46">
        <f t="shared" si="177"/>
        <v>0</v>
      </c>
      <c r="AT249" s="46">
        <f t="shared" si="177"/>
        <v>0</v>
      </c>
      <c r="AU249" s="46">
        <f t="shared" si="177"/>
        <v>0</v>
      </c>
      <c r="AV249" s="46">
        <f t="shared" si="177"/>
        <v>0</v>
      </c>
      <c r="AW249" s="46">
        <f t="shared" si="177"/>
        <v>0</v>
      </c>
      <c r="AX249" s="46">
        <f t="shared" si="177"/>
        <v>0</v>
      </c>
      <c r="AY249" s="46">
        <f t="shared" si="177"/>
        <v>0</v>
      </c>
      <c r="AZ249" s="46">
        <f t="shared" si="177"/>
        <v>0</v>
      </c>
      <c r="BA249" s="46">
        <f t="shared" si="177"/>
        <v>0</v>
      </c>
      <c r="BB249" s="46">
        <f t="shared" si="177"/>
        <v>0</v>
      </c>
      <c r="BC249" s="46">
        <f t="shared" si="177"/>
        <v>0</v>
      </c>
      <c r="BD249" s="46">
        <f t="shared" si="177"/>
        <v>0</v>
      </c>
      <c r="BE249" s="46">
        <f t="shared" si="177"/>
        <v>0</v>
      </c>
      <c r="BF249" s="46">
        <f t="shared" si="177"/>
        <v>0</v>
      </c>
      <c r="BG249" s="46">
        <f t="shared" si="177"/>
        <v>0</v>
      </c>
      <c r="BH249" s="46">
        <f t="shared" si="177"/>
        <v>0</v>
      </c>
    </row>
    <row r="250" spans="1:60" ht="14.25" customHeight="1" x14ac:dyDescent="0.3">
      <c r="A250" s="46"/>
      <c r="B250" s="37"/>
      <c r="C250" s="46" t="str">
        <f>C$61</f>
        <v>CTC PDT Patient Revenue</v>
      </c>
      <c r="D250" s="46">
        <f t="shared" si="170"/>
        <v>0</v>
      </c>
      <c r="E250" s="46">
        <f t="shared" si="170"/>
        <v>1872.6750000000002</v>
      </c>
      <c r="F250" s="46">
        <f t="shared" si="170"/>
        <v>16030.675321757795</v>
      </c>
      <c r="G250" s="46">
        <f t="shared" si="170"/>
        <v>28788.78968698559</v>
      </c>
      <c r="H250" s="46">
        <f t="shared" si="170"/>
        <v>51700.530077893731</v>
      </c>
      <c r="I250" s="46"/>
      <c r="J250" s="46">
        <f>J$61</f>
        <v>0</v>
      </c>
      <c r="K250" s="46">
        <f t="shared" ref="K250:BH250" si="178">K$61</f>
        <v>0</v>
      </c>
      <c r="L250" s="46">
        <f t="shared" si="178"/>
        <v>0</v>
      </c>
      <c r="M250" s="46">
        <f t="shared" si="178"/>
        <v>0</v>
      </c>
      <c r="N250" s="46">
        <f t="shared" si="178"/>
        <v>0</v>
      </c>
      <c r="O250" s="46">
        <f t="shared" si="178"/>
        <v>0</v>
      </c>
      <c r="P250" s="46">
        <f t="shared" si="178"/>
        <v>0</v>
      </c>
      <c r="Q250" s="46">
        <f t="shared" si="178"/>
        <v>0</v>
      </c>
      <c r="R250" s="46">
        <f t="shared" si="178"/>
        <v>0</v>
      </c>
      <c r="S250" s="46">
        <f t="shared" si="178"/>
        <v>0</v>
      </c>
      <c r="T250" s="46">
        <f t="shared" si="178"/>
        <v>0</v>
      </c>
      <c r="U250" s="46">
        <f t="shared" si="178"/>
        <v>0</v>
      </c>
      <c r="V250" s="46">
        <f t="shared" si="178"/>
        <v>0</v>
      </c>
      <c r="W250" s="46">
        <f t="shared" si="178"/>
        <v>913.5</v>
      </c>
      <c r="X250" s="46">
        <f t="shared" si="178"/>
        <v>959.17500000000007</v>
      </c>
      <c r="Y250" s="46">
        <f t="shared" si="178"/>
        <v>1007.1337500000001</v>
      </c>
      <c r="Z250" s="46">
        <f t="shared" si="178"/>
        <v>1057.4904375000001</v>
      </c>
      <c r="AA250" s="46">
        <f t="shared" si="178"/>
        <v>1110.3649593750004</v>
      </c>
      <c r="AB250" s="46">
        <f t="shared" si="178"/>
        <v>1165.8832073437504</v>
      </c>
      <c r="AC250" s="46">
        <f t="shared" si="178"/>
        <v>1224.1773677109379</v>
      </c>
      <c r="AD250" s="46">
        <f t="shared" si="178"/>
        <v>1285.3862360964849</v>
      </c>
      <c r="AE250" s="46">
        <f t="shared" si="178"/>
        <v>1349.6555479013091</v>
      </c>
      <c r="AF250" s="46">
        <f t="shared" si="178"/>
        <v>1417.1383252963747</v>
      </c>
      <c r="AG250" s="46">
        <f t="shared" si="178"/>
        <v>1487.9952415611933</v>
      </c>
      <c r="AH250" s="46">
        <f t="shared" si="178"/>
        <v>1562.3950036392532</v>
      </c>
      <c r="AI250" s="46">
        <f t="shared" si="178"/>
        <v>1640.5147538212159</v>
      </c>
      <c r="AJ250" s="46">
        <f t="shared" si="178"/>
        <v>1722.5404915122767</v>
      </c>
      <c r="AK250" s="46">
        <f t="shared" si="178"/>
        <v>1808.6675160878908</v>
      </c>
      <c r="AL250" s="46">
        <f t="shared" si="178"/>
        <v>1899.1008918922855</v>
      </c>
      <c r="AM250" s="46">
        <f t="shared" si="178"/>
        <v>1994.0559364869</v>
      </c>
      <c r="AN250" s="46">
        <f t="shared" si="178"/>
        <v>2093.7587333112451</v>
      </c>
      <c r="AO250" s="46">
        <f t="shared" si="178"/>
        <v>2198.4466699768072</v>
      </c>
      <c r="AP250" s="46">
        <f t="shared" si="178"/>
        <v>2308.3690034756478</v>
      </c>
      <c r="AQ250" s="46">
        <f t="shared" si="178"/>
        <v>2423.7874536494305</v>
      </c>
      <c r="AR250" s="46">
        <f t="shared" si="178"/>
        <v>2544.976826331902</v>
      </c>
      <c r="AS250" s="46">
        <f t="shared" si="178"/>
        <v>2672.2256676484972</v>
      </c>
      <c r="AT250" s="46">
        <f t="shared" si="178"/>
        <v>2805.8369510309221</v>
      </c>
      <c r="AU250" s="46">
        <f t="shared" si="178"/>
        <v>2946.1287985824683</v>
      </c>
      <c r="AV250" s="46">
        <f t="shared" si="178"/>
        <v>3093.4352385115917</v>
      </c>
      <c r="AW250" s="46">
        <f t="shared" si="178"/>
        <v>3248.1070004371713</v>
      </c>
      <c r="AX250" s="46">
        <f t="shared" si="178"/>
        <v>3410.5123504590301</v>
      </c>
      <c r="AY250" s="46">
        <f t="shared" si="178"/>
        <v>3581.0379679819821</v>
      </c>
      <c r="AZ250" s="46">
        <f t="shared" si="178"/>
        <v>3760.0898663810808</v>
      </c>
      <c r="BA250" s="46">
        <f t="shared" si="178"/>
        <v>3948.0943597001356</v>
      </c>
      <c r="BB250" s="46">
        <f t="shared" si="178"/>
        <v>4145.4990776851428</v>
      </c>
      <c r="BC250" s="46">
        <f t="shared" si="178"/>
        <v>4352.7740315694</v>
      </c>
      <c r="BD250" s="46">
        <f t="shared" si="178"/>
        <v>4570.4127331478703</v>
      </c>
      <c r="BE250" s="46">
        <f t="shared" si="178"/>
        <v>4798.9333698052642</v>
      </c>
      <c r="BF250" s="46">
        <f t="shared" si="178"/>
        <v>5038.8800382955278</v>
      </c>
      <c r="BG250" s="46">
        <f t="shared" si="178"/>
        <v>5290.8240402103047</v>
      </c>
      <c r="BH250" s="46">
        <f t="shared" si="178"/>
        <v>5555.3652422208197</v>
      </c>
    </row>
    <row r="251" spans="1:60" ht="14.25" customHeight="1" x14ac:dyDescent="0.3">
      <c r="A251" s="46"/>
      <c r="B251" s="37"/>
      <c r="C251" s="46" t="str">
        <f>C$70</f>
        <v>PDT Patient Revenue</v>
      </c>
      <c r="D251" s="46">
        <f t="shared" si="170"/>
        <v>0</v>
      </c>
      <c r="E251" s="46">
        <f t="shared" si="170"/>
        <v>0</v>
      </c>
      <c r="F251" s="46">
        <f t="shared" si="170"/>
        <v>34800</v>
      </c>
      <c r="G251" s="46">
        <f t="shared" si="170"/>
        <v>34800</v>
      </c>
      <c r="H251" s="46">
        <f t="shared" si="170"/>
        <v>34800</v>
      </c>
      <c r="I251" s="46"/>
      <c r="J251" s="46">
        <f t="shared" ref="J251:BH251" si="179">J$70</f>
        <v>0</v>
      </c>
      <c r="K251" s="46">
        <f t="shared" si="179"/>
        <v>0</v>
      </c>
      <c r="L251" s="46">
        <f t="shared" si="179"/>
        <v>0</v>
      </c>
      <c r="M251" s="46">
        <f t="shared" si="179"/>
        <v>0</v>
      </c>
      <c r="N251" s="46">
        <f t="shared" si="179"/>
        <v>0</v>
      </c>
      <c r="O251" s="46">
        <f t="shared" si="179"/>
        <v>0</v>
      </c>
      <c r="P251" s="46">
        <f t="shared" si="179"/>
        <v>0</v>
      </c>
      <c r="Q251" s="46">
        <f t="shared" si="179"/>
        <v>0</v>
      </c>
      <c r="R251" s="46">
        <f t="shared" si="179"/>
        <v>0</v>
      </c>
      <c r="S251" s="46">
        <f t="shared" si="179"/>
        <v>0</v>
      </c>
      <c r="T251" s="46">
        <f t="shared" si="179"/>
        <v>0</v>
      </c>
      <c r="U251" s="46">
        <f t="shared" si="179"/>
        <v>0</v>
      </c>
      <c r="V251" s="46">
        <f t="shared" si="179"/>
        <v>0</v>
      </c>
      <c r="W251" s="46">
        <f t="shared" si="179"/>
        <v>0</v>
      </c>
      <c r="X251" s="46">
        <f t="shared" si="179"/>
        <v>0</v>
      </c>
      <c r="Y251" s="46">
        <f t="shared" si="179"/>
        <v>2900</v>
      </c>
      <c r="Z251" s="46">
        <f t="shared" si="179"/>
        <v>2900</v>
      </c>
      <c r="AA251" s="46">
        <f t="shared" si="179"/>
        <v>2900</v>
      </c>
      <c r="AB251" s="46">
        <f t="shared" si="179"/>
        <v>2900</v>
      </c>
      <c r="AC251" s="46">
        <f t="shared" si="179"/>
        <v>2900</v>
      </c>
      <c r="AD251" s="46">
        <f t="shared" si="179"/>
        <v>2900</v>
      </c>
      <c r="AE251" s="46">
        <f t="shared" si="179"/>
        <v>2900</v>
      </c>
      <c r="AF251" s="46">
        <f t="shared" si="179"/>
        <v>2900</v>
      </c>
      <c r="AG251" s="46">
        <f t="shared" si="179"/>
        <v>2900</v>
      </c>
      <c r="AH251" s="46">
        <f t="shared" si="179"/>
        <v>2900</v>
      </c>
      <c r="AI251" s="46">
        <f t="shared" si="179"/>
        <v>2900</v>
      </c>
      <c r="AJ251" s="46">
        <f t="shared" si="179"/>
        <v>2900</v>
      </c>
      <c r="AK251" s="46">
        <f t="shared" si="179"/>
        <v>2900</v>
      </c>
      <c r="AL251" s="46">
        <f t="shared" si="179"/>
        <v>2900</v>
      </c>
      <c r="AM251" s="46">
        <f t="shared" si="179"/>
        <v>2900</v>
      </c>
      <c r="AN251" s="46">
        <f t="shared" si="179"/>
        <v>2900</v>
      </c>
      <c r="AO251" s="46">
        <f t="shared" si="179"/>
        <v>2900</v>
      </c>
      <c r="AP251" s="46">
        <f t="shared" si="179"/>
        <v>2900</v>
      </c>
      <c r="AQ251" s="46">
        <f t="shared" si="179"/>
        <v>2900</v>
      </c>
      <c r="AR251" s="46">
        <f t="shared" si="179"/>
        <v>2900</v>
      </c>
      <c r="AS251" s="46">
        <f t="shared" si="179"/>
        <v>2900</v>
      </c>
      <c r="AT251" s="46">
        <f t="shared" si="179"/>
        <v>2900</v>
      </c>
      <c r="AU251" s="46">
        <f t="shared" si="179"/>
        <v>2900</v>
      </c>
      <c r="AV251" s="46">
        <f t="shared" si="179"/>
        <v>2900</v>
      </c>
      <c r="AW251" s="46">
        <f t="shared" si="179"/>
        <v>2900</v>
      </c>
      <c r="AX251" s="46">
        <f t="shared" si="179"/>
        <v>2900</v>
      </c>
      <c r="AY251" s="46">
        <f t="shared" si="179"/>
        <v>2900</v>
      </c>
      <c r="AZ251" s="46">
        <f t="shared" si="179"/>
        <v>2900</v>
      </c>
      <c r="BA251" s="46">
        <f t="shared" si="179"/>
        <v>2900</v>
      </c>
      <c r="BB251" s="46">
        <f t="shared" si="179"/>
        <v>2900</v>
      </c>
      <c r="BC251" s="46">
        <f t="shared" si="179"/>
        <v>2900</v>
      </c>
      <c r="BD251" s="46">
        <f t="shared" si="179"/>
        <v>2900</v>
      </c>
      <c r="BE251" s="46">
        <f t="shared" si="179"/>
        <v>2900</v>
      </c>
      <c r="BF251" s="46">
        <f t="shared" si="179"/>
        <v>2900</v>
      </c>
      <c r="BG251" s="46">
        <f t="shared" si="179"/>
        <v>2900</v>
      </c>
      <c r="BH251" s="46">
        <f t="shared" si="179"/>
        <v>2900</v>
      </c>
    </row>
    <row r="252" spans="1:60" ht="14.25" customHeight="1" x14ac:dyDescent="0.3">
      <c r="A252" s="46"/>
      <c r="B252" s="37"/>
      <c r="C252" s="46" t="str">
        <f>C$79</f>
        <v>VIP Patient Revenue</v>
      </c>
      <c r="D252" s="46">
        <f t="shared" si="170"/>
        <v>0</v>
      </c>
      <c r="E252" s="46">
        <f t="shared" si="170"/>
        <v>76956</v>
      </c>
      <c r="F252" s="46">
        <f t="shared" si="170"/>
        <v>139920</v>
      </c>
      <c r="G252" s="46">
        <f t="shared" si="170"/>
        <v>139920</v>
      </c>
      <c r="H252" s="46">
        <f t="shared" si="170"/>
        <v>139920</v>
      </c>
      <c r="I252" s="46"/>
      <c r="J252" s="46">
        <f t="shared" ref="J252:BH252" si="180">J$79</f>
        <v>0</v>
      </c>
      <c r="K252" s="46">
        <f t="shared" si="180"/>
        <v>0</v>
      </c>
      <c r="L252" s="46">
        <f t="shared" si="180"/>
        <v>0</v>
      </c>
      <c r="M252" s="46">
        <f t="shared" si="180"/>
        <v>0</v>
      </c>
      <c r="N252" s="46">
        <f t="shared" si="180"/>
        <v>0</v>
      </c>
      <c r="O252" s="46">
        <f t="shared" si="180"/>
        <v>0</v>
      </c>
      <c r="P252" s="46">
        <f t="shared" si="180"/>
        <v>0</v>
      </c>
      <c r="Q252" s="46">
        <f t="shared" si="180"/>
        <v>0</v>
      </c>
      <c r="R252" s="46">
        <f t="shared" si="180"/>
        <v>4080.9999999999995</v>
      </c>
      <c r="S252" s="46">
        <f t="shared" si="180"/>
        <v>14575</v>
      </c>
      <c r="T252" s="46">
        <f t="shared" si="180"/>
        <v>11660</v>
      </c>
      <c r="U252" s="46">
        <f t="shared" si="180"/>
        <v>11660</v>
      </c>
      <c r="V252" s="46">
        <f t="shared" si="180"/>
        <v>11660</v>
      </c>
      <c r="W252" s="46">
        <f t="shared" si="180"/>
        <v>11660</v>
      </c>
      <c r="X252" s="46">
        <f t="shared" si="180"/>
        <v>11660</v>
      </c>
      <c r="Y252" s="46">
        <f t="shared" si="180"/>
        <v>11660</v>
      </c>
      <c r="Z252" s="46">
        <f t="shared" si="180"/>
        <v>11660</v>
      </c>
      <c r="AA252" s="46">
        <f t="shared" si="180"/>
        <v>11660</v>
      </c>
      <c r="AB252" s="46">
        <f t="shared" si="180"/>
        <v>11660</v>
      </c>
      <c r="AC252" s="46">
        <f t="shared" si="180"/>
        <v>11660</v>
      </c>
      <c r="AD252" s="46">
        <f t="shared" si="180"/>
        <v>11660</v>
      </c>
      <c r="AE252" s="46">
        <f t="shared" si="180"/>
        <v>11660</v>
      </c>
      <c r="AF252" s="46">
        <f t="shared" si="180"/>
        <v>11660</v>
      </c>
      <c r="AG252" s="46">
        <f t="shared" si="180"/>
        <v>11660</v>
      </c>
      <c r="AH252" s="46">
        <f t="shared" si="180"/>
        <v>11660</v>
      </c>
      <c r="AI252" s="46">
        <f t="shared" si="180"/>
        <v>11660</v>
      </c>
      <c r="AJ252" s="46">
        <f t="shared" si="180"/>
        <v>11660</v>
      </c>
      <c r="AK252" s="46">
        <f t="shared" si="180"/>
        <v>11660</v>
      </c>
      <c r="AL252" s="46">
        <f t="shared" si="180"/>
        <v>11660</v>
      </c>
      <c r="AM252" s="46">
        <f t="shared" si="180"/>
        <v>11660</v>
      </c>
      <c r="AN252" s="46">
        <f t="shared" si="180"/>
        <v>11660</v>
      </c>
      <c r="AO252" s="46">
        <f t="shared" si="180"/>
        <v>11660</v>
      </c>
      <c r="AP252" s="46">
        <f t="shared" si="180"/>
        <v>11660</v>
      </c>
      <c r="AQ252" s="46">
        <f t="shared" si="180"/>
        <v>11660</v>
      </c>
      <c r="AR252" s="46">
        <f t="shared" si="180"/>
        <v>11660</v>
      </c>
      <c r="AS252" s="46">
        <f t="shared" si="180"/>
        <v>11660</v>
      </c>
      <c r="AT252" s="46">
        <f t="shared" si="180"/>
        <v>11660</v>
      </c>
      <c r="AU252" s="46">
        <f t="shared" si="180"/>
        <v>11660</v>
      </c>
      <c r="AV252" s="46">
        <f t="shared" si="180"/>
        <v>11660</v>
      </c>
      <c r="AW252" s="46">
        <f t="shared" si="180"/>
        <v>11660</v>
      </c>
      <c r="AX252" s="46">
        <f t="shared" si="180"/>
        <v>11660</v>
      </c>
      <c r="AY252" s="46">
        <f t="shared" si="180"/>
        <v>11660</v>
      </c>
      <c r="AZ252" s="46">
        <f t="shared" si="180"/>
        <v>11660</v>
      </c>
      <c r="BA252" s="46">
        <f t="shared" si="180"/>
        <v>11660</v>
      </c>
      <c r="BB252" s="46">
        <f t="shared" si="180"/>
        <v>11660</v>
      </c>
      <c r="BC252" s="46">
        <f t="shared" si="180"/>
        <v>11660</v>
      </c>
      <c r="BD252" s="46">
        <f t="shared" si="180"/>
        <v>11660</v>
      </c>
      <c r="BE252" s="46">
        <f t="shared" si="180"/>
        <v>11660</v>
      </c>
      <c r="BF252" s="46">
        <f t="shared" si="180"/>
        <v>11660</v>
      </c>
      <c r="BG252" s="46">
        <f t="shared" si="180"/>
        <v>11660</v>
      </c>
      <c r="BH252" s="46">
        <f t="shared" si="180"/>
        <v>11660</v>
      </c>
    </row>
    <row r="253" spans="1:60" ht="14.25" customHeight="1" x14ac:dyDescent="0.3">
      <c r="A253" s="46"/>
      <c r="B253" s="37"/>
      <c r="C253" s="46" t="str">
        <f>C$89</f>
        <v>Sessional Room Rental Revenue</v>
      </c>
      <c r="D253" s="46">
        <f t="shared" si="170"/>
        <v>0</v>
      </c>
      <c r="E253" s="46">
        <f t="shared" si="170"/>
        <v>138.60000000000002</v>
      </c>
      <c r="F253" s="46">
        <f t="shared" si="170"/>
        <v>1707.7489016493921</v>
      </c>
      <c r="G253" s="46">
        <f t="shared" si="170"/>
        <v>5359.6476132505759</v>
      </c>
      <c r="H253" s="46">
        <f t="shared" si="170"/>
        <v>16820.870158650599</v>
      </c>
      <c r="I253" s="46"/>
      <c r="J253" s="46">
        <f t="shared" ref="J253:BH253" si="181">J$89</f>
        <v>0</v>
      </c>
      <c r="K253" s="46">
        <f t="shared" si="181"/>
        <v>0</v>
      </c>
      <c r="L253" s="46">
        <f t="shared" si="181"/>
        <v>0</v>
      </c>
      <c r="M253" s="46">
        <f t="shared" si="181"/>
        <v>0</v>
      </c>
      <c r="N253" s="46">
        <f t="shared" si="181"/>
        <v>0</v>
      </c>
      <c r="O253" s="46">
        <f t="shared" si="181"/>
        <v>0</v>
      </c>
      <c r="P253" s="46">
        <f t="shared" si="181"/>
        <v>0</v>
      </c>
      <c r="Q253" s="46">
        <f t="shared" si="181"/>
        <v>0</v>
      </c>
      <c r="R253" s="46">
        <f t="shared" si="181"/>
        <v>0</v>
      </c>
      <c r="S253" s="46">
        <f t="shared" si="181"/>
        <v>0</v>
      </c>
      <c r="T253" s="46">
        <f t="shared" si="181"/>
        <v>0</v>
      </c>
      <c r="U253" s="46">
        <f t="shared" si="181"/>
        <v>0</v>
      </c>
      <c r="V253" s="46">
        <f t="shared" si="181"/>
        <v>0</v>
      </c>
      <c r="W253" s="46">
        <f t="shared" si="181"/>
        <v>66</v>
      </c>
      <c r="X253" s="46">
        <f t="shared" si="181"/>
        <v>72.600000000000009</v>
      </c>
      <c r="Y253" s="46">
        <f t="shared" si="181"/>
        <v>79.860000000000028</v>
      </c>
      <c r="Z253" s="46">
        <f t="shared" si="181"/>
        <v>87.846000000000032</v>
      </c>
      <c r="AA253" s="46">
        <f t="shared" si="181"/>
        <v>96.630600000000044</v>
      </c>
      <c r="AB253" s="46">
        <f t="shared" si="181"/>
        <v>106.29366000000006</v>
      </c>
      <c r="AC253" s="46">
        <f t="shared" si="181"/>
        <v>116.92302600000008</v>
      </c>
      <c r="AD253" s="46">
        <f t="shared" si="181"/>
        <v>128.61532860000008</v>
      </c>
      <c r="AE253" s="46">
        <f t="shared" si="181"/>
        <v>141.47686146000012</v>
      </c>
      <c r="AF253" s="46">
        <f t="shared" si="181"/>
        <v>155.62454760600014</v>
      </c>
      <c r="AG253" s="46">
        <f t="shared" si="181"/>
        <v>171.18700236660018</v>
      </c>
      <c r="AH253" s="46">
        <f t="shared" si="181"/>
        <v>188.30570260326022</v>
      </c>
      <c r="AI253" s="46">
        <f t="shared" si="181"/>
        <v>207.13627286358624</v>
      </c>
      <c r="AJ253" s="46">
        <f t="shared" si="181"/>
        <v>227.84990014994489</v>
      </c>
      <c r="AK253" s="46">
        <f t="shared" si="181"/>
        <v>250.63489016493938</v>
      </c>
      <c r="AL253" s="46">
        <f t="shared" si="181"/>
        <v>275.69837918143332</v>
      </c>
      <c r="AM253" s="46">
        <f t="shared" si="181"/>
        <v>303.26821709957665</v>
      </c>
      <c r="AN253" s="46">
        <f t="shared" si="181"/>
        <v>333.59503880953434</v>
      </c>
      <c r="AO253" s="46">
        <f t="shared" si="181"/>
        <v>366.95454269048781</v>
      </c>
      <c r="AP253" s="46">
        <f t="shared" si="181"/>
        <v>403.64999695953662</v>
      </c>
      <c r="AQ253" s="46">
        <f t="shared" si="181"/>
        <v>444.01499665549028</v>
      </c>
      <c r="AR253" s="46">
        <f t="shared" si="181"/>
        <v>488.41649632103935</v>
      </c>
      <c r="AS253" s="46">
        <f t="shared" si="181"/>
        <v>537.2581459531433</v>
      </c>
      <c r="AT253" s="46">
        <f t="shared" si="181"/>
        <v>590.98396054845773</v>
      </c>
      <c r="AU253" s="46">
        <f t="shared" si="181"/>
        <v>650.08235660330342</v>
      </c>
      <c r="AV253" s="46">
        <f t="shared" si="181"/>
        <v>715.09059226363388</v>
      </c>
      <c r="AW253" s="46">
        <f t="shared" si="181"/>
        <v>786.5996514899972</v>
      </c>
      <c r="AX253" s="46">
        <f t="shared" si="181"/>
        <v>865.25961663899704</v>
      </c>
      <c r="AY253" s="46">
        <f t="shared" si="181"/>
        <v>951.78557830289697</v>
      </c>
      <c r="AZ253" s="46">
        <f t="shared" si="181"/>
        <v>1046.9641361331867</v>
      </c>
      <c r="BA253" s="46">
        <f t="shared" si="181"/>
        <v>1151.6605497465052</v>
      </c>
      <c r="BB253" s="46">
        <f t="shared" si="181"/>
        <v>1266.8266047211559</v>
      </c>
      <c r="BC253" s="46">
        <f t="shared" si="181"/>
        <v>1393.5092651932716</v>
      </c>
      <c r="BD253" s="46">
        <f t="shared" si="181"/>
        <v>1532.8601917125989</v>
      </c>
      <c r="BE253" s="46">
        <f t="shared" si="181"/>
        <v>1686.1462108838589</v>
      </c>
      <c r="BF253" s="46">
        <f t="shared" si="181"/>
        <v>1854.7608319722449</v>
      </c>
      <c r="BG253" s="46">
        <f t="shared" si="181"/>
        <v>2040.2369151694695</v>
      </c>
      <c r="BH253" s="46">
        <f t="shared" si="181"/>
        <v>2244.2606066864164</v>
      </c>
    </row>
    <row r="254" spans="1:60" ht="14.25" customHeight="1" x14ac:dyDescent="0.3">
      <c r="A254" s="46"/>
      <c r="B254" s="37"/>
      <c r="C254" s="46" t="str">
        <f>C$94</f>
        <v>Consultation Session Revenue</v>
      </c>
      <c r="D254" s="46">
        <f t="shared" si="170"/>
        <v>0</v>
      </c>
      <c r="E254" s="46">
        <f t="shared" si="170"/>
        <v>74434.656992187505</v>
      </c>
      <c r="F254" s="46">
        <f t="shared" si="170"/>
        <v>157312.22997724745</v>
      </c>
      <c r="G254" s="46">
        <f t="shared" si="170"/>
        <v>282510.16336528806</v>
      </c>
      <c r="H254" s="46">
        <f t="shared" si="170"/>
        <v>507347.66404509795</v>
      </c>
      <c r="I254" s="46"/>
      <c r="J254" s="46">
        <f t="shared" ref="J254:BH254" si="182">J$94</f>
        <v>0</v>
      </c>
      <c r="K254" s="46">
        <f t="shared" si="182"/>
        <v>0</v>
      </c>
      <c r="L254" s="46">
        <f t="shared" si="182"/>
        <v>0</v>
      </c>
      <c r="M254" s="46">
        <f t="shared" si="182"/>
        <v>0</v>
      </c>
      <c r="N254" s="46">
        <f t="shared" si="182"/>
        <v>0</v>
      </c>
      <c r="O254" s="46">
        <f t="shared" si="182"/>
        <v>0</v>
      </c>
      <c r="P254" s="46">
        <f t="shared" si="182"/>
        <v>0</v>
      </c>
      <c r="Q254" s="46">
        <f t="shared" si="182"/>
        <v>9101.75</v>
      </c>
      <c r="R254" s="46">
        <f t="shared" si="182"/>
        <v>11882.5</v>
      </c>
      <c r="S254" s="46">
        <f t="shared" si="182"/>
        <v>10661.3</v>
      </c>
      <c r="T254" s="46">
        <f t="shared" si="182"/>
        <v>7743.75</v>
      </c>
      <c r="U254" s="46">
        <f t="shared" si="182"/>
        <v>8130.9375</v>
      </c>
      <c r="V254" s="46">
        <f t="shared" si="182"/>
        <v>8537.484375</v>
      </c>
      <c r="W254" s="46">
        <f t="shared" si="182"/>
        <v>8964.3585937500011</v>
      </c>
      <c r="X254" s="46">
        <f t="shared" si="182"/>
        <v>9412.5765234375012</v>
      </c>
      <c r="Y254" s="46">
        <f t="shared" si="182"/>
        <v>9883.2053496093758</v>
      </c>
      <c r="Z254" s="46">
        <f t="shared" si="182"/>
        <v>10377.365617089845</v>
      </c>
      <c r="AA254" s="46">
        <f t="shared" si="182"/>
        <v>10896.233897944338</v>
      </c>
      <c r="AB254" s="46">
        <f t="shared" si="182"/>
        <v>11441.045592841556</v>
      </c>
      <c r="AC254" s="46">
        <f t="shared" si="182"/>
        <v>12013.097872483633</v>
      </c>
      <c r="AD254" s="46">
        <f t="shared" si="182"/>
        <v>12613.752766107817</v>
      </c>
      <c r="AE254" s="46">
        <f t="shared" si="182"/>
        <v>13244.440404413208</v>
      </c>
      <c r="AF254" s="46">
        <f t="shared" si="182"/>
        <v>13906.662424633869</v>
      </c>
      <c r="AG254" s="46">
        <f t="shared" si="182"/>
        <v>14601.995545865562</v>
      </c>
      <c r="AH254" s="46">
        <f t="shared" si="182"/>
        <v>15332.095323158843</v>
      </c>
      <c r="AI254" s="46">
        <f t="shared" si="182"/>
        <v>16098.700089316786</v>
      </c>
      <c r="AJ254" s="46">
        <f t="shared" si="182"/>
        <v>16903.635093782625</v>
      </c>
      <c r="AK254" s="46">
        <f t="shared" si="182"/>
        <v>17748.816848471757</v>
      </c>
      <c r="AL254" s="46">
        <f t="shared" si="182"/>
        <v>18636.257690895349</v>
      </c>
      <c r="AM254" s="46">
        <f t="shared" si="182"/>
        <v>19568.070575440117</v>
      </c>
      <c r="AN254" s="46">
        <f t="shared" si="182"/>
        <v>20546.474104212124</v>
      </c>
      <c r="AO254" s="46">
        <f t="shared" si="182"/>
        <v>21573.797809422729</v>
      </c>
      <c r="AP254" s="46">
        <f t="shared" si="182"/>
        <v>22652.487699893863</v>
      </c>
      <c r="AQ254" s="46">
        <f t="shared" si="182"/>
        <v>23785.112084888558</v>
      </c>
      <c r="AR254" s="46">
        <f t="shared" si="182"/>
        <v>24974.367689132989</v>
      </c>
      <c r="AS254" s="46">
        <f t="shared" si="182"/>
        <v>26223.086073589642</v>
      </c>
      <c r="AT254" s="46">
        <f t="shared" si="182"/>
        <v>27534.240377269125</v>
      </c>
      <c r="AU254" s="46">
        <f t="shared" si="182"/>
        <v>28910.952396132583</v>
      </c>
      <c r="AV254" s="46">
        <f t="shared" si="182"/>
        <v>30356.500015939215</v>
      </c>
      <c r="AW254" s="46">
        <f t="shared" si="182"/>
        <v>31874.325016736177</v>
      </c>
      <c r="AX254" s="46">
        <f t="shared" si="182"/>
        <v>33468.041267572982</v>
      </c>
      <c r="AY254" s="46">
        <f t="shared" si="182"/>
        <v>35141.443330951639</v>
      </c>
      <c r="AZ254" s="46">
        <f t="shared" si="182"/>
        <v>36898.515497499218</v>
      </c>
      <c r="BA254" s="46">
        <f t="shared" si="182"/>
        <v>38743.441272374184</v>
      </c>
      <c r="BB254" s="46">
        <f t="shared" si="182"/>
        <v>40680.613335992894</v>
      </c>
      <c r="BC254" s="46">
        <f t="shared" si="182"/>
        <v>42714.644002792542</v>
      </c>
      <c r="BD254" s="46">
        <f t="shared" si="182"/>
        <v>44850.376202932166</v>
      </c>
      <c r="BE254" s="46">
        <f t="shared" si="182"/>
        <v>47092.895013078778</v>
      </c>
      <c r="BF254" s="46">
        <f t="shared" si="182"/>
        <v>49447.539763732719</v>
      </c>
      <c r="BG254" s="46">
        <f t="shared" si="182"/>
        <v>51919.916751919358</v>
      </c>
      <c r="BH254" s="46">
        <f t="shared" si="182"/>
        <v>54515.912589515334</v>
      </c>
    </row>
    <row r="255" spans="1:60" ht="14.25" customHeight="1" x14ac:dyDescent="0.3">
      <c r="A255" s="46"/>
      <c r="B255" s="37"/>
      <c r="C255" s="46" t="str">
        <f>C$99</f>
        <v>Supplements Patient Revenue</v>
      </c>
      <c r="D255" s="46">
        <f t="shared" si="170"/>
        <v>0</v>
      </c>
      <c r="E255" s="46">
        <f t="shared" si="170"/>
        <v>28240.100050587298</v>
      </c>
      <c r="F255" s="46">
        <f t="shared" si="170"/>
        <v>116744.80040224927</v>
      </c>
      <c r="G255" s="46">
        <f t="shared" si="170"/>
        <v>210685.54556055376</v>
      </c>
      <c r="H255" s="46">
        <f t="shared" si="170"/>
        <v>378360.969796344</v>
      </c>
      <c r="I255" s="46"/>
      <c r="J255" s="46">
        <f t="shared" ref="J255:BH255" si="183">J$99</f>
        <v>0</v>
      </c>
      <c r="K255" s="46">
        <f t="shared" si="183"/>
        <v>0</v>
      </c>
      <c r="L255" s="46">
        <f t="shared" si="183"/>
        <v>0</v>
      </c>
      <c r="M255" s="46">
        <f t="shared" si="183"/>
        <v>0</v>
      </c>
      <c r="N255" s="46">
        <f t="shared" si="183"/>
        <v>0</v>
      </c>
      <c r="O255" s="46">
        <f t="shared" si="183"/>
        <v>0</v>
      </c>
      <c r="P255" s="46">
        <f t="shared" si="183"/>
        <v>0</v>
      </c>
      <c r="Q255" s="46">
        <f t="shared" si="183"/>
        <v>864</v>
      </c>
      <c r="R255" s="46">
        <f t="shared" si="183"/>
        <v>617.96</v>
      </c>
      <c r="S255" s="46">
        <f t="shared" si="183"/>
        <v>715</v>
      </c>
      <c r="T255" s="46">
        <f t="shared" si="183"/>
        <v>4244.625</v>
      </c>
      <c r="U255" s="46">
        <f t="shared" si="183"/>
        <v>4679.6990625000008</v>
      </c>
      <c r="V255" s="46">
        <f t="shared" si="183"/>
        <v>5159.3682164062511</v>
      </c>
      <c r="W255" s="46">
        <f t="shared" si="183"/>
        <v>5688.2034585878919</v>
      </c>
      <c r="X255" s="46">
        <f t="shared" si="183"/>
        <v>6271.2443130931524</v>
      </c>
      <c r="Y255" s="46">
        <f t="shared" si="183"/>
        <v>6914.0468551852</v>
      </c>
      <c r="Z255" s="46">
        <f t="shared" si="183"/>
        <v>7622.7366578416841</v>
      </c>
      <c r="AA255" s="46">
        <f t="shared" si="183"/>
        <v>8126.0049408398454</v>
      </c>
      <c r="AB255" s="46">
        <f t="shared" si="183"/>
        <v>8532.3051878818369</v>
      </c>
      <c r="AC255" s="46">
        <f t="shared" si="183"/>
        <v>8958.9204472759284</v>
      </c>
      <c r="AD255" s="46">
        <f t="shared" si="183"/>
        <v>9406.8664696397245</v>
      </c>
      <c r="AE255" s="46">
        <f t="shared" si="183"/>
        <v>9877.2097931217104</v>
      </c>
      <c r="AF255" s="46">
        <f t="shared" si="183"/>
        <v>10371.070282777797</v>
      </c>
      <c r="AG255" s="46">
        <f t="shared" si="183"/>
        <v>10889.623796916687</v>
      </c>
      <c r="AH255" s="46">
        <f t="shared" si="183"/>
        <v>11434.104986762522</v>
      </c>
      <c r="AI255" s="46">
        <f t="shared" si="183"/>
        <v>12005.810236100649</v>
      </c>
      <c r="AJ255" s="46">
        <f t="shared" si="183"/>
        <v>12606.100747905683</v>
      </c>
      <c r="AK255" s="46">
        <f t="shared" si="183"/>
        <v>13236.405785300967</v>
      </c>
      <c r="AL255" s="46">
        <f t="shared" si="183"/>
        <v>13898.226074566017</v>
      </c>
      <c r="AM255" s="46">
        <f t="shared" si="183"/>
        <v>14593.137378294317</v>
      </c>
      <c r="AN255" s="46">
        <f t="shared" si="183"/>
        <v>15322.794247209034</v>
      </c>
      <c r="AO255" s="46">
        <f t="shared" si="183"/>
        <v>16088.933959569487</v>
      </c>
      <c r="AP255" s="46">
        <f t="shared" si="183"/>
        <v>16893.380657547961</v>
      </c>
      <c r="AQ255" s="46">
        <f t="shared" si="183"/>
        <v>17738.04969042536</v>
      </c>
      <c r="AR255" s="46">
        <f t="shared" si="183"/>
        <v>18624.952174946629</v>
      </c>
      <c r="AS255" s="46">
        <f t="shared" si="183"/>
        <v>19556.199783693959</v>
      </c>
      <c r="AT255" s="46">
        <f t="shared" si="183"/>
        <v>20534.009772878657</v>
      </c>
      <c r="AU255" s="46">
        <f t="shared" si="183"/>
        <v>21560.710261522592</v>
      </c>
      <c r="AV255" s="46">
        <f t="shared" si="183"/>
        <v>22638.745774598723</v>
      </c>
      <c r="AW255" s="46">
        <f t="shared" si="183"/>
        <v>23770.683063328659</v>
      </c>
      <c r="AX255" s="46">
        <f t="shared" si="183"/>
        <v>24959.21721649509</v>
      </c>
      <c r="AY255" s="46">
        <f t="shared" si="183"/>
        <v>26207.178077319844</v>
      </c>
      <c r="AZ255" s="46">
        <f t="shared" si="183"/>
        <v>27517.536981185836</v>
      </c>
      <c r="BA255" s="46">
        <f t="shared" si="183"/>
        <v>28893.413830245132</v>
      </c>
      <c r="BB255" s="46">
        <f t="shared" si="183"/>
        <v>30338.084521757388</v>
      </c>
      <c r="BC255" s="46">
        <f t="shared" si="183"/>
        <v>31854.988747845258</v>
      </c>
      <c r="BD255" s="46">
        <f t="shared" si="183"/>
        <v>33447.738185237526</v>
      </c>
      <c r="BE255" s="46">
        <f t="shared" si="183"/>
        <v>35120.12509449941</v>
      </c>
      <c r="BF255" s="46">
        <f t="shared" si="183"/>
        <v>36876.131349224379</v>
      </c>
      <c r="BG255" s="46">
        <f t="shared" si="183"/>
        <v>38719.937916685602</v>
      </c>
      <c r="BH255" s="46">
        <f t="shared" si="183"/>
        <v>40655.934812519881</v>
      </c>
    </row>
    <row r="256" spans="1:60" ht="14.25" customHeight="1" x14ac:dyDescent="0.3">
      <c r="A256" s="46"/>
      <c r="B256" s="37"/>
      <c r="C256" s="46" t="str">
        <f>C$155</f>
        <v>Oxyhydrogen Therapy  Revenue</v>
      </c>
      <c r="D256" s="46">
        <f t="shared" si="170"/>
        <v>0</v>
      </c>
      <c r="E256" s="46">
        <f t="shared" si="170"/>
        <v>10210.200000000001</v>
      </c>
      <c r="F256" s="46">
        <f t="shared" si="170"/>
        <v>68879.205699858809</v>
      </c>
      <c r="G256" s="46">
        <f t="shared" si="170"/>
        <v>166716.09307382087</v>
      </c>
      <c r="H256" s="46">
        <f t="shared" si="170"/>
        <v>180000</v>
      </c>
      <c r="I256" s="46"/>
      <c r="J256" s="46">
        <f t="shared" ref="J256:BH256" si="184">J$155</f>
        <v>0</v>
      </c>
      <c r="K256" s="46">
        <f t="shared" si="184"/>
        <v>0</v>
      </c>
      <c r="L256" s="46">
        <f t="shared" si="184"/>
        <v>0</v>
      </c>
      <c r="M256" s="46">
        <f t="shared" si="184"/>
        <v>0</v>
      </c>
      <c r="N256" s="46">
        <f t="shared" si="184"/>
        <v>0</v>
      </c>
      <c r="O256" s="46">
        <f t="shared" si="184"/>
        <v>0</v>
      </c>
      <c r="P256" s="46">
        <f t="shared" si="184"/>
        <v>0</v>
      </c>
      <c r="Q256" s="46">
        <f t="shared" si="184"/>
        <v>0</v>
      </c>
      <c r="R256" s="46">
        <f t="shared" si="184"/>
        <v>0</v>
      </c>
      <c r="S256" s="46">
        <f t="shared" si="184"/>
        <v>0</v>
      </c>
      <c r="T256" s="46">
        <f t="shared" si="184"/>
        <v>0</v>
      </c>
      <c r="U256" s="46">
        <f t="shared" si="184"/>
        <v>2200</v>
      </c>
      <c r="V256" s="46">
        <f t="shared" si="184"/>
        <v>2420.0000000000005</v>
      </c>
      <c r="W256" s="46">
        <f t="shared" si="184"/>
        <v>2662.0000000000005</v>
      </c>
      <c r="X256" s="46">
        <f t="shared" si="184"/>
        <v>2928.2000000000007</v>
      </c>
      <c r="Y256" s="46">
        <f t="shared" si="184"/>
        <v>3221.0200000000009</v>
      </c>
      <c r="Z256" s="46">
        <f t="shared" si="184"/>
        <v>3543.1220000000012</v>
      </c>
      <c r="AA256" s="46">
        <f t="shared" si="184"/>
        <v>3897.4342000000015</v>
      </c>
      <c r="AB256" s="46">
        <f t="shared" si="184"/>
        <v>4287.1776200000022</v>
      </c>
      <c r="AC256" s="46">
        <f t="shared" si="184"/>
        <v>4715.8953820000033</v>
      </c>
      <c r="AD256" s="46">
        <f t="shared" si="184"/>
        <v>5187.4849202000032</v>
      </c>
      <c r="AE256" s="46">
        <f t="shared" si="184"/>
        <v>5706.2334122200045</v>
      </c>
      <c r="AF256" s="46">
        <f t="shared" si="184"/>
        <v>6276.8567534420054</v>
      </c>
      <c r="AG256" s="46">
        <f t="shared" si="184"/>
        <v>6904.5424287862061</v>
      </c>
      <c r="AH256" s="46">
        <f t="shared" si="184"/>
        <v>7594.9966716648278</v>
      </c>
      <c r="AI256" s="46">
        <f t="shared" si="184"/>
        <v>8354.4963388313099</v>
      </c>
      <c r="AJ256" s="46">
        <f t="shared" si="184"/>
        <v>9189.945972714444</v>
      </c>
      <c r="AK256" s="46">
        <f t="shared" si="184"/>
        <v>10108.940569985889</v>
      </c>
      <c r="AL256" s="46">
        <f t="shared" si="184"/>
        <v>11119.834626984479</v>
      </c>
      <c r="AM256" s="46">
        <f t="shared" si="184"/>
        <v>12231.818089682927</v>
      </c>
      <c r="AN256" s="46">
        <f t="shared" si="184"/>
        <v>13454.99989865122</v>
      </c>
      <c r="AO256" s="46">
        <f t="shared" si="184"/>
        <v>14800.499888516344</v>
      </c>
      <c r="AP256" s="46">
        <f t="shared" si="184"/>
        <v>15000</v>
      </c>
      <c r="AQ256" s="46">
        <f t="shared" si="184"/>
        <v>15000</v>
      </c>
      <c r="AR256" s="46">
        <f t="shared" si="184"/>
        <v>15000</v>
      </c>
      <c r="AS256" s="46">
        <f t="shared" si="184"/>
        <v>15000</v>
      </c>
      <c r="AT256" s="46">
        <f t="shared" si="184"/>
        <v>15000</v>
      </c>
      <c r="AU256" s="46">
        <f t="shared" si="184"/>
        <v>15000</v>
      </c>
      <c r="AV256" s="46">
        <f t="shared" si="184"/>
        <v>15000</v>
      </c>
      <c r="AW256" s="46">
        <f t="shared" si="184"/>
        <v>15000</v>
      </c>
      <c r="AX256" s="46">
        <f t="shared" si="184"/>
        <v>15000</v>
      </c>
      <c r="AY256" s="46">
        <f t="shared" si="184"/>
        <v>15000</v>
      </c>
      <c r="AZ256" s="46">
        <f t="shared" si="184"/>
        <v>15000</v>
      </c>
      <c r="BA256" s="46">
        <f t="shared" si="184"/>
        <v>15000</v>
      </c>
      <c r="BB256" s="46">
        <f t="shared" si="184"/>
        <v>15000</v>
      </c>
      <c r="BC256" s="46">
        <f t="shared" si="184"/>
        <v>15000</v>
      </c>
      <c r="BD256" s="46">
        <f t="shared" si="184"/>
        <v>15000</v>
      </c>
      <c r="BE256" s="46">
        <f t="shared" si="184"/>
        <v>15000</v>
      </c>
      <c r="BF256" s="46">
        <f t="shared" si="184"/>
        <v>15000</v>
      </c>
      <c r="BG256" s="46">
        <f t="shared" si="184"/>
        <v>15000</v>
      </c>
      <c r="BH256" s="46">
        <f t="shared" si="184"/>
        <v>15000</v>
      </c>
    </row>
    <row r="257" spans="1:60" ht="14.25" customHeight="1" x14ac:dyDescent="0.3">
      <c r="A257" s="46"/>
      <c r="B257" s="37"/>
      <c r="C257" s="46" t="str">
        <f>C$117</f>
        <v>Pathology Services Revenue</v>
      </c>
      <c r="D257" s="46">
        <f t="shared" si="170"/>
        <v>0</v>
      </c>
      <c r="E257" s="46">
        <f t="shared" si="170"/>
        <v>1820.5</v>
      </c>
      <c r="F257" s="46">
        <f t="shared" si="170"/>
        <v>15654.364931786091</v>
      </c>
      <c r="G257" s="46">
        <f t="shared" si="170"/>
        <v>46198.664785155823</v>
      </c>
      <c r="H257" s="46">
        <f t="shared" si="170"/>
        <v>60000</v>
      </c>
      <c r="I257" s="46"/>
      <c r="J257" s="46">
        <f t="shared" ref="J257:BH257" si="185">J$117</f>
        <v>0</v>
      </c>
      <c r="K257" s="46">
        <f t="shared" si="185"/>
        <v>0</v>
      </c>
      <c r="L257" s="46">
        <f t="shared" si="185"/>
        <v>0</v>
      </c>
      <c r="M257" s="46">
        <f t="shared" si="185"/>
        <v>0</v>
      </c>
      <c r="N257" s="46">
        <f t="shared" si="185"/>
        <v>0</v>
      </c>
      <c r="O257" s="46">
        <f t="shared" si="185"/>
        <v>0</v>
      </c>
      <c r="P257" s="46">
        <f t="shared" si="185"/>
        <v>0</v>
      </c>
      <c r="Q257" s="46">
        <f t="shared" si="185"/>
        <v>0</v>
      </c>
      <c r="R257" s="46">
        <f t="shared" si="185"/>
        <v>0</v>
      </c>
      <c r="S257" s="46">
        <f t="shared" si="185"/>
        <v>0</v>
      </c>
      <c r="T257" s="46">
        <f t="shared" si="185"/>
        <v>0</v>
      </c>
      <c r="U257" s="46">
        <f t="shared" si="185"/>
        <v>0</v>
      </c>
      <c r="V257" s="46">
        <f t="shared" si="185"/>
        <v>550</v>
      </c>
      <c r="W257" s="46">
        <f t="shared" si="185"/>
        <v>605.00000000000011</v>
      </c>
      <c r="X257" s="46">
        <f t="shared" si="185"/>
        <v>665.50000000000011</v>
      </c>
      <c r="Y257" s="46">
        <f t="shared" si="185"/>
        <v>732.05000000000018</v>
      </c>
      <c r="Z257" s="46">
        <f t="shared" si="185"/>
        <v>805.25500000000022</v>
      </c>
      <c r="AA257" s="46">
        <f t="shared" si="185"/>
        <v>885.7805000000003</v>
      </c>
      <c r="AB257" s="46">
        <f t="shared" si="185"/>
        <v>974.35855000000038</v>
      </c>
      <c r="AC257" s="46">
        <f t="shared" si="185"/>
        <v>1071.7944050000006</v>
      </c>
      <c r="AD257" s="46">
        <f t="shared" si="185"/>
        <v>1178.9738455000008</v>
      </c>
      <c r="AE257" s="46">
        <f t="shared" si="185"/>
        <v>1296.8712300500008</v>
      </c>
      <c r="AF257" s="46">
        <f t="shared" si="185"/>
        <v>1426.5583530550011</v>
      </c>
      <c r="AG257" s="46">
        <f t="shared" si="185"/>
        <v>1569.2141883605013</v>
      </c>
      <c r="AH257" s="46">
        <f t="shared" si="185"/>
        <v>1726.1356071965515</v>
      </c>
      <c r="AI257" s="46">
        <f t="shared" si="185"/>
        <v>1898.7491679162069</v>
      </c>
      <c r="AJ257" s="46">
        <f t="shared" si="185"/>
        <v>2088.6240847078275</v>
      </c>
      <c r="AK257" s="46">
        <f t="shared" si="185"/>
        <v>2297.486493178611</v>
      </c>
      <c r="AL257" s="46">
        <f t="shared" si="185"/>
        <v>2527.2351424964722</v>
      </c>
      <c r="AM257" s="46">
        <f t="shared" si="185"/>
        <v>2779.9586567461197</v>
      </c>
      <c r="AN257" s="46">
        <f t="shared" si="185"/>
        <v>3057.9545224207318</v>
      </c>
      <c r="AO257" s="46">
        <f t="shared" si="185"/>
        <v>3363.749974662805</v>
      </c>
      <c r="AP257" s="46">
        <f t="shared" si="185"/>
        <v>3700.124972129086</v>
      </c>
      <c r="AQ257" s="46">
        <f t="shared" si="185"/>
        <v>4070.1374693419948</v>
      </c>
      <c r="AR257" s="46">
        <f t="shared" si="185"/>
        <v>4477.1512162761956</v>
      </c>
      <c r="AS257" s="46">
        <f t="shared" si="185"/>
        <v>4924.8663379038153</v>
      </c>
      <c r="AT257" s="46">
        <f t="shared" si="185"/>
        <v>5000</v>
      </c>
      <c r="AU257" s="46">
        <f t="shared" si="185"/>
        <v>5000</v>
      </c>
      <c r="AV257" s="46">
        <f t="shared" si="185"/>
        <v>5000</v>
      </c>
      <c r="AW257" s="46">
        <f t="shared" si="185"/>
        <v>5000</v>
      </c>
      <c r="AX257" s="46">
        <f t="shared" si="185"/>
        <v>5000</v>
      </c>
      <c r="AY257" s="46">
        <f t="shared" si="185"/>
        <v>5000</v>
      </c>
      <c r="AZ257" s="46">
        <f t="shared" si="185"/>
        <v>5000</v>
      </c>
      <c r="BA257" s="46">
        <f t="shared" si="185"/>
        <v>5000</v>
      </c>
      <c r="BB257" s="46">
        <f t="shared" si="185"/>
        <v>5000</v>
      </c>
      <c r="BC257" s="46">
        <f t="shared" si="185"/>
        <v>5000</v>
      </c>
      <c r="BD257" s="46">
        <f t="shared" si="185"/>
        <v>5000</v>
      </c>
      <c r="BE257" s="46">
        <f t="shared" si="185"/>
        <v>5000</v>
      </c>
      <c r="BF257" s="46">
        <f t="shared" si="185"/>
        <v>5000</v>
      </c>
      <c r="BG257" s="46">
        <f t="shared" si="185"/>
        <v>5000</v>
      </c>
      <c r="BH257" s="46">
        <f t="shared" si="185"/>
        <v>5000</v>
      </c>
    </row>
    <row r="258" spans="1:60" ht="14.25" customHeight="1" x14ac:dyDescent="0.3">
      <c r="A258" s="46"/>
      <c r="B258" s="37"/>
      <c r="C258" s="46" t="str">
        <f>C$119</f>
        <v>Sanctura Lite</v>
      </c>
      <c r="D258" s="46">
        <f t="shared" si="170"/>
        <v>0</v>
      </c>
      <c r="E258" s="46">
        <f t="shared" si="170"/>
        <v>35384</v>
      </c>
      <c r="F258" s="46">
        <f t="shared" si="170"/>
        <v>0</v>
      </c>
      <c r="G258" s="46">
        <f t="shared" si="170"/>
        <v>0</v>
      </c>
      <c r="H258" s="46">
        <f t="shared" si="170"/>
        <v>0</v>
      </c>
      <c r="I258" s="46"/>
      <c r="J258" s="46">
        <f t="shared" ref="J258:BH258" si="186">J$119</f>
        <v>0</v>
      </c>
      <c r="K258" s="46">
        <f t="shared" si="186"/>
        <v>0</v>
      </c>
      <c r="L258" s="46">
        <f t="shared" si="186"/>
        <v>0</v>
      </c>
      <c r="M258" s="46">
        <f t="shared" si="186"/>
        <v>12189</v>
      </c>
      <c r="N258" s="46">
        <f t="shared" si="186"/>
        <v>5857</v>
      </c>
      <c r="O258" s="46">
        <f t="shared" si="186"/>
        <v>12119</v>
      </c>
      <c r="P258" s="46">
        <f t="shared" si="186"/>
        <v>5219</v>
      </c>
      <c r="Q258" s="46">
        <f t="shared" si="186"/>
        <v>0</v>
      </c>
      <c r="R258" s="46">
        <f t="shared" si="186"/>
        <v>0</v>
      </c>
      <c r="S258" s="46">
        <f t="shared" si="186"/>
        <v>0</v>
      </c>
      <c r="T258" s="46">
        <f t="shared" si="186"/>
        <v>0</v>
      </c>
      <c r="U258" s="46">
        <f t="shared" si="186"/>
        <v>0</v>
      </c>
      <c r="V258" s="46">
        <f t="shared" si="186"/>
        <v>0</v>
      </c>
      <c r="W258" s="46">
        <f t="shared" si="186"/>
        <v>0</v>
      </c>
      <c r="X258" s="46">
        <f t="shared" si="186"/>
        <v>0</v>
      </c>
      <c r="Y258" s="46">
        <f t="shared" si="186"/>
        <v>0</v>
      </c>
      <c r="Z258" s="46">
        <f t="shared" si="186"/>
        <v>0</v>
      </c>
      <c r="AA258" s="46">
        <f t="shared" si="186"/>
        <v>0</v>
      </c>
      <c r="AB258" s="46">
        <f t="shared" si="186"/>
        <v>0</v>
      </c>
      <c r="AC258" s="46">
        <f t="shared" si="186"/>
        <v>0</v>
      </c>
      <c r="AD258" s="46">
        <f t="shared" si="186"/>
        <v>0</v>
      </c>
      <c r="AE258" s="46">
        <f t="shared" si="186"/>
        <v>0</v>
      </c>
      <c r="AF258" s="46">
        <f t="shared" si="186"/>
        <v>0</v>
      </c>
      <c r="AG258" s="46">
        <f t="shared" si="186"/>
        <v>0</v>
      </c>
      <c r="AH258" s="46">
        <f t="shared" si="186"/>
        <v>0</v>
      </c>
      <c r="AI258" s="46">
        <f t="shared" si="186"/>
        <v>0</v>
      </c>
      <c r="AJ258" s="46">
        <f t="shared" si="186"/>
        <v>0</v>
      </c>
      <c r="AK258" s="46">
        <f t="shared" si="186"/>
        <v>0</v>
      </c>
      <c r="AL258" s="46">
        <f t="shared" si="186"/>
        <v>0</v>
      </c>
      <c r="AM258" s="46">
        <f t="shared" si="186"/>
        <v>0</v>
      </c>
      <c r="AN258" s="46">
        <f t="shared" si="186"/>
        <v>0</v>
      </c>
      <c r="AO258" s="46">
        <f t="shared" si="186"/>
        <v>0</v>
      </c>
      <c r="AP258" s="46">
        <f t="shared" si="186"/>
        <v>0</v>
      </c>
      <c r="AQ258" s="46">
        <f t="shared" si="186"/>
        <v>0</v>
      </c>
      <c r="AR258" s="46">
        <f t="shared" si="186"/>
        <v>0</v>
      </c>
      <c r="AS258" s="46">
        <f t="shared" si="186"/>
        <v>0</v>
      </c>
      <c r="AT258" s="46">
        <f t="shared" si="186"/>
        <v>0</v>
      </c>
      <c r="AU258" s="46">
        <f t="shared" si="186"/>
        <v>0</v>
      </c>
      <c r="AV258" s="46">
        <f t="shared" si="186"/>
        <v>0</v>
      </c>
      <c r="AW258" s="46">
        <f t="shared" si="186"/>
        <v>0</v>
      </c>
      <c r="AX258" s="46">
        <f t="shared" si="186"/>
        <v>0</v>
      </c>
      <c r="AY258" s="46">
        <f t="shared" si="186"/>
        <v>0</v>
      </c>
      <c r="AZ258" s="46">
        <f t="shared" si="186"/>
        <v>0</v>
      </c>
      <c r="BA258" s="46">
        <f t="shared" si="186"/>
        <v>0</v>
      </c>
      <c r="BB258" s="46">
        <f t="shared" si="186"/>
        <v>0</v>
      </c>
      <c r="BC258" s="46">
        <f t="shared" si="186"/>
        <v>0</v>
      </c>
      <c r="BD258" s="46">
        <f t="shared" si="186"/>
        <v>0</v>
      </c>
      <c r="BE258" s="46">
        <f t="shared" si="186"/>
        <v>0</v>
      </c>
      <c r="BF258" s="46">
        <f t="shared" si="186"/>
        <v>0</v>
      </c>
      <c r="BG258" s="46">
        <f t="shared" si="186"/>
        <v>0</v>
      </c>
      <c r="BH258" s="46">
        <f t="shared" si="186"/>
        <v>0</v>
      </c>
    </row>
    <row r="259" spans="1:60" ht="14.25" customHeight="1" x14ac:dyDescent="0.3">
      <c r="A259" s="46"/>
      <c r="B259" s="37"/>
      <c r="C259" s="46" t="str">
        <f>C$158</f>
        <v>Oncotherm Bed Sale</v>
      </c>
      <c r="D259" s="46">
        <f t="shared" ref="D259:H260" si="187">SUMIF($1:$1,D$238,259:259)</f>
        <v>0</v>
      </c>
      <c r="E259" s="46">
        <f t="shared" si="187"/>
        <v>155233.9</v>
      </c>
      <c r="F259" s="46">
        <f t="shared" si="187"/>
        <v>0</v>
      </c>
      <c r="G259" s="46">
        <f t="shared" si="187"/>
        <v>0</v>
      </c>
      <c r="H259" s="46">
        <f t="shared" si="187"/>
        <v>0</v>
      </c>
      <c r="I259" s="46"/>
      <c r="J259" s="46">
        <f t="shared" ref="J259:BH259" si="188">J$158</f>
        <v>0</v>
      </c>
      <c r="K259" s="46">
        <f t="shared" si="188"/>
        <v>0</v>
      </c>
      <c r="L259" s="46">
        <f t="shared" si="188"/>
        <v>0</v>
      </c>
      <c r="M259" s="46">
        <f t="shared" si="188"/>
        <v>0</v>
      </c>
      <c r="N259" s="46">
        <f t="shared" si="188"/>
        <v>0</v>
      </c>
      <c r="O259" s="46">
        <f t="shared" si="188"/>
        <v>0</v>
      </c>
      <c r="P259" s="46">
        <f t="shared" si="188"/>
        <v>155233.9</v>
      </c>
      <c r="Q259" s="46">
        <f t="shared" si="188"/>
        <v>0</v>
      </c>
      <c r="R259" s="46">
        <f t="shared" si="188"/>
        <v>0</v>
      </c>
      <c r="S259" s="46">
        <f t="shared" si="188"/>
        <v>0</v>
      </c>
      <c r="T259" s="46">
        <f t="shared" si="188"/>
        <v>0</v>
      </c>
      <c r="U259" s="46">
        <f t="shared" si="188"/>
        <v>0</v>
      </c>
      <c r="V259" s="46">
        <f t="shared" si="188"/>
        <v>0</v>
      </c>
      <c r="W259" s="46">
        <f t="shared" si="188"/>
        <v>0</v>
      </c>
      <c r="X259" s="46">
        <f t="shared" si="188"/>
        <v>0</v>
      </c>
      <c r="Y259" s="46">
        <f t="shared" si="188"/>
        <v>0</v>
      </c>
      <c r="Z259" s="46">
        <f t="shared" si="188"/>
        <v>0</v>
      </c>
      <c r="AA259" s="46">
        <f t="shared" si="188"/>
        <v>0</v>
      </c>
      <c r="AB259" s="46">
        <f t="shared" si="188"/>
        <v>0</v>
      </c>
      <c r="AC259" s="46">
        <f t="shared" si="188"/>
        <v>0</v>
      </c>
      <c r="AD259" s="46">
        <f t="shared" si="188"/>
        <v>0</v>
      </c>
      <c r="AE259" s="46">
        <f t="shared" si="188"/>
        <v>0</v>
      </c>
      <c r="AF259" s="46">
        <f t="shared" si="188"/>
        <v>0</v>
      </c>
      <c r="AG259" s="46">
        <f t="shared" si="188"/>
        <v>0</v>
      </c>
      <c r="AH259" s="46">
        <f t="shared" si="188"/>
        <v>0</v>
      </c>
      <c r="AI259" s="46">
        <f t="shared" si="188"/>
        <v>0</v>
      </c>
      <c r="AJ259" s="46">
        <f t="shared" si="188"/>
        <v>0</v>
      </c>
      <c r="AK259" s="46">
        <f t="shared" si="188"/>
        <v>0</v>
      </c>
      <c r="AL259" s="46">
        <f t="shared" si="188"/>
        <v>0</v>
      </c>
      <c r="AM259" s="46">
        <f t="shared" si="188"/>
        <v>0</v>
      </c>
      <c r="AN259" s="46">
        <f t="shared" si="188"/>
        <v>0</v>
      </c>
      <c r="AO259" s="46">
        <f t="shared" si="188"/>
        <v>0</v>
      </c>
      <c r="AP259" s="46">
        <f t="shared" si="188"/>
        <v>0</v>
      </c>
      <c r="AQ259" s="46">
        <f t="shared" si="188"/>
        <v>0</v>
      </c>
      <c r="AR259" s="46">
        <f t="shared" si="188"/>
        <v>0</v>
      </c>
      <c r="AS259" s="46">
        <f t="shared" si="188"/>
        <v>0</v>
      </c>
      <c r="AT259" s="46">
        <f t="shared" si="188"/>
        <v>0</v>
      </c>
      <c r="AU259" s="46">
        <f t="shared" si="188"/>
        <v>0</v>
      </c>
      <c r="AV259" s="46">
        <f t="shared" si="188"/>
        <v>0</v>
      </c>
      <c r="AW259" s="46">
        <f t="shared" si="188"/>
        <v>0</v>
      </c>
      <c r="AX259" s="46">
        <f t="shared" si="188"/>
        <v>0</v>
      </c>
      <c r="AY259" s="46">
        <f t="shared" si="188"/>
        <v>0</v>
      </c>
      <c r="AZ259" s="46">
        <f t="shared" si="188"/>
        <v>0</v>
      </c>
      <c r="BA259" s="46">
        <f t="shared" si="188"/>
        <v>0</v>
      </c>
      <c r="BB259" s="46">
        <f t="shared" si="188"/>
        <v>0</v>
      </c>
      <c r="BC259" s="46">
        <f t="shared" si="188"/>
        <v>0</v>
      </c>
      <c r="BD259" s="46">
        <f t="shared" si="188"/>
        <v>0</v>
      </c>
      <c r="BE259" s="46">
        <f t="shared" si="188"/>
        <v>0</v>
      </c>
      <c r="BF259" s="46">
        <f t="shared" si="188"/>
        <v>0</v>
      </c>
      <c r="BG259" s="46">
        <f t="shared" si="188"/>
        <v>0</v>
      </c>
      <c r="BH259" s="46">
        <f t="shared" si="188"/>
        <v>0</v>
      </c>
    </row>
    <row r="260" spans="1:60" ht="14.25" customHeight="1" x14ac:dyDescent="0.3">
      <c r="A260" s="37"/>
      <c r="B260" s="37"/>
      <c r="C260" s="37" t="str">
        <f>C$159</f>
        <v>Total Revenue</v>
      </c>
      <c r="D260" s="68">
        <f t="shared" si="187"/>
        <v>0</v>
      </c>
      <c r="E260" s="68">
        <f t="shared" si="187"/>
        <v>925371.83131663222</v>
      </c>
      <c r="F260" s="68">
        <f t="shared" si="187"/>
        <v>2550171.8559172885</v>
      </c>
      <c r="G260" s="68">
        <f t="shared" si="187"/>
        <v>3833970.49079085</v>
      </c>
      <c r="H260" s="68">
        <f t="shared" si="187"/>
        <v>5256451.301600676</v>
      </c>
      <c r="I260" s="37"/>
      <c r="J260" s="68">
        <f>SUM(J243:J259)</f>
        <v>0</v>
      </c>
      <c r="K260" s="68">
        <f t="shared" ref="K260:BH260" si="189">SUM(K243:K259)</f>
        <v>0</v>
      </c>
      <c r="L260" s="68">
        <f t="shared" si="189"/>
        <v>0</v>
      </c>
      <c r="M260" s="68">
        <f t="shared" si="189"/>
        <v>12189</v>
      </c>
      <c r="N260" s="68">
        <f t="shared" si="189"/>
        <v>5857</v>
      </c>
      <c r="O260" s="68">
        <f t="shared" si="189"/>
        <v>12119</v>
      </c>
      <c r="P260" s="68">
        <f>SUM(P243:P259)</f>
        <v>160452.9</v>
      </c>
      <c r="Q260" s="68">
        <f>SUM(Q243:Q259)</f>
        <v>22646.6</v>
      </c>
      <c r="R260" s="68">
        <f t="shared" si="189"/>
        <v>49206.46</v>
      </c>
      <c r="S260" s="68">
        <f t="shared" si="189"/>
        <v>64410.3</v>
      </c>
      <c r="T260" s="68">
        <f t="shared" si="189"/>
        <v>83257.48</v>
      </c>
      <c r="U260" s="68">
        <f t="shared" si="189"/>
        <v>100379.68863250001</v>
      </c>
      <c r="V260" s="68">
        <f t="shared" si="189"/>
        <v>124881.65063828124</v>
      </c>
      <c r="W260" s="68">
        <f t="shared" si="189"/>
        <v>136170.11489413475</v>
      </c>
      <c r="X260" s="68">
        <f t="shared" si="189"/>
        <v>153801.63715171625</v>
      </c>
      <c r="Y260" s="68">
        <f t="shared" si="189"/>
        <v>164789.28010920738</v>
      </c>
      <c r="Z260" s="68">
        <f t="shared" si="189"/>
        <v>173396.15969223547</v>
      </c>
      <c r="AA260" s="68">
        <f t="shared" si="189"/>
        <v>182281.47175367113</v>
      </c>
      <c r="AB260" s="68">
        <f t="shared" si="189"/>
        <v>191586.42604786658</v>
      </c>
      <c r="AC260" s="68">
        <f t="shared" si="189"/>
        <v>201463.49353568887</v>
      </c>
      <c r="AD260" s="68">
        <f t="shared" si="189"/>
        <v>209399.88447384106</v>
      </c>
      <c r="AE260" s="68">
        <f t="shared" si="189"/>
        <v>217817.97903254291</v>
      </c>
      <c r="AF260" s="68">
        <f t="shared" si="189"/>
        <v>226797.45177342536</v>
      </c>
      <c r="AG260" s="68">
        <f t="shared" si="189"/>
        <v>233828.0940890089</v>
      </c>
      <c r="AH260" s="68">
        <f t="shared" si="189"/>
        <v>241335.28686587303</v>
      </c>
      <c r="AI260" s="68">
        <f t="shared" si="189"/>
        <v>249402.17332292267</v>
      </c>
      <c r="AJ260" s="68">
        <f t="shared" si="189"/>
        <v>258074.15522100547</v>
      </c>
      <c r="AK260" s="68">
        <f t="shared" si="189"/>
        <v>267400.52394290233</v>
      </c>
      <c r="AL260" s="68">
        <f t="shared" si="189"/>
        <v>276971.1704366809</v>
      </c>
      <c r="AM260" s="68">
        <f t="shared" si="189"/>
        <v>285325.14410614019</v>
      </c>
      <c r="AN260" s="68">
        <f t="shared" si="189"/>
        <v>294263.70264448755</v>
      </c>
      <c r="AO260" s="68">
        <f t="shared" si="189"/>
        <v>303831.02526982105</v>
      </c>
      <c r="AP260" s="68">
        <f t="shared" si="189"/>
        <v>312794.2628955947</v>
      </c>
      <c r="AQ260" s="68">
        <f t="shared" si="189"/>
        <v>322137.97501356446</v>
      </c>
      <c r="AR260" s="68">
        <f t="shared" si="189"/>
        <v>332102.50734565838</v>
      </c>
      <c r="AS260" s="68">
        <f t="shared" si="189"/>
        <v>342731.70159423363</v>
      </c>
      <c r="AT260" s="68">
        <f t="shared" si="189"/>
        <v>353655.26905223652</v>
      </c>
      <c r="AU260" s="68">
        <f t="shared" si="189"/>
        <v>365216.71121463185</v>
      </c>
      <c r="AV260" s="68">
        <f t="shared" si="189"/>
        <v>377540.49727489881</v>
      </c>
      <c r="AW260" s="68">
        <f t="shared" si="189"/>
        <v>390679.4832390715</v>
      </c>
      <c r="AX260" s="68">
        <f t="shared" si="189"/>
        <v>404690.30182546895</v>
      </c>
      <c r="AY260" s="68">
        <f t="shared" si="189"/>
        <v>419056.51009868598</v>
      </c>
      <c r="AZ260" s="68">
        <f t="shared" si="189"/>
        <v>431089.16471106355</v>
      </c>
      <c r="BA260" s="68">
        <f t="shared" si="189"/>
        <v>435077.97115342342</v>
      </c>
      <c r="BB260" s="68">
        <f t="shared" si="189"/>
        <v>439271.45273858181</v>
      </c>
      <c r="BC260" s="68">
        <f>SUM(BC243:BC259)</f>
        <v>443680.36670574697</v>
      </c>
      <c r="BD260" s="68">
        <f t="shared" si="189"/>
        <v>448316.060504294</v>
      </c>
      <c r="BE260" s="68">
        <f t="shared" si="189"/>
        <v>453190.50653909438</v>
      </c>
      <c r="BF260" s="68">
        <f t="shared" si="189"/>
        <v>458316.33917659323</v>
      </c>
      <c r="BG260" s="68">
        <f t="shared" si="189"/>
        <v>463706.89417702152</v>
      </c>
      <c r="BH260" s="68">
        <f t="shared" si="189"/>
        <v>469376.25073163112</v>
      </c>
    </row>
    <row r="261" spans="1:60" ht="14.25" customHeight="1" x14ac:dyDescent="0.3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  <c r="AE261" s="37"/>
      <c r="AF261" s="37"/>
      <c r="AG261" s="37"/>
      <c r="AH261" s="37"/>
      <c r="AI261" s="37"/>
      <c r="AJ261" s="37"/>
      <c r="AK261" s="37"/>
      <c r="AL261" s="37"/>
      <c r="AM261" s="37"/>
      <c r="AN261" s="37"/>
      <c r="AO261" s="37"/>
      <c r="AP261" s="37"/>
      <c r="AQ261" s="37"/>
      <c r="AR261" s="37"/>
      <c r="AS261" s="37"/>
      <c r="AT261" s="37"/>
      <c r="AU261" s="37"/>
      <c r="AV261" s="37"/>
      <c r="AW261" s="37"/>
      <c r="AX261" s="37"/>
      <c r="AY261" s="37"/>
      <c r="AZ261" s="37"/>
      <c r="BA261" s="37"/>
      <c r="BB261" s="37"/>
      <c r="BC261" s="37"/>
      <c r="BD261" s="37"/>
      <c r="BE261" s="37"/>
      <c r="BF261" s="37"/>
      <c r="BG261" s="37"/>
      <c r="BH261" s="37"/>
    </row>
    <row r="262" spans="1:60" ht="14.25" customHeight="1" x14ac:dyDescent="0.3">
      <c r="A262" s="46"/>
      <c r="B262" s="46"/>
      <c r="C262" s="46" t="str">
        <f>C$16</f>
        <v>IV COS</v>
      </c>
      <c r="D262" s="46">
        <f t="shared" ref="D262:H268" si="190">SUMIF($1:$1,D$238,262:262)</f>
        <v>0</v>
      </c>
      <c r="E262" s="46">
        <f t="shared" si="190"/>
        <v>-31488.682384277345</v>
      </c>
      <c r="F262" s="46">
        <f t="shared" si="190"/>
        <v>-115155.13841651185</v>
      </c>
      <c r="G262" s="46">
        <f t="shared" si="190"/>
        <v>-274274.15940353158</v>
      </c>
      <c r="H262" s="46">
        <f t="shared" si="190"/>
        <v>-503350.10728481872</v>
      </c>
      <c r="I262" s="46"/>
      <c r="J262" s="46">
        <f t="shared" ref="J262:BH262" si="191">J$16</f>
        <v>0</v>
      </c>
      <c r="K262" s="46">
        <f t="shared" si="191"/>
        <v>0</v>
      </c>
      <c r="L262" s="46">
        <f t="shared" si="191"/>
        <v>0</v>
      </c>
      <c r="M262" s="46">
        <f t="shared" si="191"/>
        <v>0</v>
      </c>
      <c r="N262" s="46">
        <f t="shared" si="191"/>
        <v>0</v>
      </c>
      <c r="O262" s="46">
        <f t="shared" si="191"/>
        <v>0</v>
      </c>
      <c r="P262" s="46">
        <f t="shared" si="191"/>
        <v>0</v>
      </c>
      <c r="Q262" s="46">
        <f t="shared" si="191"/>
        <v>0</v>
      </c>
      <c r="R262" s="46">
        <f t="shared" si="191"/>
        <v>-3166.8</v>
      </c>
      <c r="S262" s="46">
        <f t="shared" si="191"/>
        <v>-3033.6000000000004</v>
      </c>
      <c r="T262" s="46">
        <f t="shared" si="191"/>
        <v>-4353.75</v>
      </c>
      <c r="U262" s="46">
        <f t="shared" si="191"/>
        <v>-4680.2812499999991</v>
      </c>
      <c r="V262" s="46">
        <f t="shared" si="191"/>
        <v>-5031.3023437499987</v>
      </c>
      <c r="W262" s="46">
        <f t="shared" si="191"/>
        <v>-5408.6500195312492</v>
      </c>
      <c r="X262" s="46">
        <f t="shared" si="191"/>
        <v>-5814.2987709960926</v>
      </c>
      <c r="Y262" s="46">
        <f t="shared" si="191"/>
        <v>-6250.3711788207993</v>
      </c>
      <c r="Z262" s="46">
        <f t="shared" si="191"/>
        <v>-6719.1490172323583</v>
      </c>
      <c r="AA262" s="46">
        <f t="shared" si="191"/>
        <v>-7223.0851935247856</v>
      </c>
      <c r="AB262" s="46">
        <f t="shared" si="191"/>
        <v>-7764.8165830391445</v>
      </c>
      <c r="AC262" s="46">
        <f t="shared" si="191"/>
        <v>-8347.1778267670798</v>
      </c>
      <c r="AD262" s="46">
        <f t="shared" si="191"/>
        <v>-8973.2161637746103</v>
      </c>
      <c r="AE262" s="46">
        <f t="shared" si="191"/>
        <v>-9646.2073760577059</v>
      </c>
      <c r="AF262" s="46">
        <f t="shared" si="191"/>
        <v>-10369.672929262033</v>
      </c>
      <c r="AG262" s="46">
        <f t="shared" si="191"/>
        <v>-11147.398398956686</v>
      </c>
      <c r="AH262" s="46">
        <f t="shared" si="191"/>
        <v>-11983.453278878436</v>
      </c>
      <c r="AI262" s="46">
        <f t="shared" si="191"/>
        <v>-12882.212274794319</v>
      </c>
      <c r="AJ262" s="46">
        <f t="shared" si="191"/>
        <v>-13848.378195403893</v>
      </c>
      <c r="AK262" s="46">
        <f t="shared" si="191"/>
        <v>-14887.006560059184</v>
      </c>
      <c r="AL262" s="46">
        <f t="shared" si="191"/>
        <v>-16003.532052063623</v>
      </c>
      <c r="AM262" s="46">
        <f t="shared" si="191"/>
        <v>-17203.796955968395</v>
      </c>
      <c r="AN262" s="46">
        <f t="shared" si="191"/>
        <v>-18494.081727666024</v>
      </c>
      <c r="AO262" s="46">
        <f t="shared" si="191"/>
        <v>-19881.137857240974</v>
      </c>
      <c r="AP262" s="46">
        <f t="shared" si="191"/>
        <v>-21372.223196534047</v>
      </c>
      <c r="AQ262" s="46">
        <f t="shared" si="191"/>
        <v>-22975.139936274099</v>
      </c>
      <c r="AR262" s="46">
        <f t="shared" si="191"/>
        <v>-24698.275431494654</v>
      </c>
      <c r="AS262" s="46">
        <f t="shared" si="191"/>
        <v>-26550.646088856753</v>
      </c>
      <c r="AT262" s="46">
        <f t="shared" si="191"/>
        <v>-28541.944545521008</v>
      </c>
      <c r="AU262" s="46">
        <f t="shared" si="191"/>
        <v>-30682.590386435084</v>
      </c>
      <c r="AV262" s="46">
        <f t="shared" si="191"/>
        <v>-32983.784665417712</v>
      </c>
      <c r="AW262" s="46">
        <f t="shared" si="191"/>
        <v>-35457.568515324041</v>
      </c>
      <c r="AX262" s="46">
        <f t="shared" si="191"/>
        <v>-38116.886153973341</v>
      </c>
      <c r="AY262" s="46">
        <f t="shared" si="191"/>
        <v>-40975.652615521343</v>
      </c>
      <c r="AZ262" s="46">
        <f t="shared" si="191"/>
        <v>-43200</v>
      </c>
      <c r="BA262" s="46">
        <f t="shared" si="191"/>
        <v>-43200</v>
      </c>
      <c r="BB262" s="46">
        <f t="shared" si="191"/>
        <v>-43200</v>
      </c>
      <c r="BC262" s="46">
        <f t="shared" si="191"/>
        <v>-43200</v>
      </c>
      <c r="BD262" s="46">
        <f t="shared" si="191"/>
        <v>-43200</v>
      </c>
      <c r="BE262" s="46">
        <f t="shared" si="191"/>
        <v>-43200</v>
      </c>
      <c r="BF262" s="46">
        <f t="shared" si="191"/>
        <v>-43200</v>
      </c>
      <c r="BG262" s="46">
        <f t="shared" si="191"/>
        <v>-43200</v>
      </c>
      <c r="BH262" s="46">
        <f t="shared" si="191"/>
        <v>-43200</v>
      </c>
    </row>
    <row r="263" spans="1:60" ht="14.25" customHeight="1" x14ac:dyDescent="0.3">
      <c r="A263" s="46"/>
      <c r="B263" s="46"/>
      <c r="C263" s="46" t="str">
        <f>C$23</f>
        <v>IV Curcumin 100mg COS</v>
      </c>
      <c r="D263" s="46">
        <f t="shared" si="190"/>
        <v>0</v>
      </c>
      <c r="E263" s="46">
        <f t="shared" si="190"/>
        <v>-33229.594132446284</v>
      </c>
      <c r="F263" s="46">
        <f t="shared" si="190"/>
        <v>-66594.222365686772</v>
      </c>
      <c r="G263" s="46">
        <f t="shared" si="190"/>
        <v>-89561.825418984954</v>
      </c>
      <c r="H263" s="46">
        <f t="shared" si="190"/>
        <v>-107680.52822205407</v>
      </c>
      <c r="I263" s="46"/>
      <c r="J263" s="46">
        <f t="shared" ref="J263:BH263" si="192">J$23</f>
        <v>0</v>
      </c>
      <c r="K263" s="46">
        <f t="shared" si="192"/>
        <v>0</v>
      </c>
      <c r="L263" s="46">
        <f t="shared" si="192"/>
        <v>0</v>
      </c>
      <c r="M263" s="46">
        <f t="shared" si="192"/>
        <v>0</v>
      </c>
      <c r="N263" s="46">
        <f t="shared" si="192"/>
        <v>0</v>
      </c>
      <c r="O263" s="46">
        <f t="shared" si="192"/>
        <v>0</v>
      </c>
      <c r="P263" s="46">
        <f t="shared" si="192"/>
        <v>0</v>
      </c>
      <c r="Q263" s="46">
        <f t="shared" si="192"/>
        <v>-4304.34</v>
      </c>
      <c r="R263" s="46">
        <f t="shared" si="192"/>
        <v>-2428.8000000000002</v>
      </c>
      <c r="S263" s="46">
        <f t="shared" si="192"/>
        <v>-4070</v>
      </c>
      <c r="T263" s="46">
        <f t="shared" si="192"/>
        <v>-4266.5625</v>
      </c>
      <c r="U263" s="46">
        <f t="shared" si="192"/>
        <v>-4373.2265624999991</v>
      </c>
      <c r="V263" s="46">
        <f t="shared" si="192"/>
        <v>-4482.5572265624987</v>
      </c>
      <c r="W263" s="46">
        <f t="shared" si="192"/>
        <v>-4594.6211572265602</v>
      </c>
      <c r="X263" s="46">
        <f t="shared" si="192"/>
        <v>-4709.4866861572245</v>
      </c>
      <c r="Y263" s="46">
        <f t="shared" si="192"/>
        <v>-4827.2238533111549</v>
      </c>
      <c r="Z263" s="46">
        <f t="shared" si="192"/>
        <v>-4947.9044496439328</v>
      </c>
      <c r="AA263" s="46">
        <f t="shared" si="192"/>
        <v>-5071.6020608850313</v>
      </c>
      <c r="AB263" s="46">
        <f t="shared" si="192"/>
        <v>-5198.3921124071558</v>
      </c>
      <c r="AC263" s="46">
        <f t="shared" si="192"/>
        <v>-5328.3519152173349</v>
      </c>
      <c r="AD263" s="46">
        <f t="shared" si="192"/>
        <v>-5461.5607130977678</v>
      </c>
      <c r="AE263" s="46">
        <f t="shared" si="192"/>
        <v>-5598.0997309252116</v>
      </c>
      <c r="AF263" s="46">
        <f t="shared" si="192"/>
        <v>-5738.0522241983408</v>
      </c>
      <c r="AG263" s="46">
        <f t="shared" si="192"/>
        <v>-5881.503529803299</v>
      </c>
      <c r="AH263" s="46">
        <f t="shared" si="192"/>
        <v>-6028.5411180483816</v>
      </c>
      <c r="AI263" s="46">
        <f t="shared" si="192"/>
        <v>-6179.2546459995901</v>
      </c>
      <c r="AJ263" s="46">
        <f t="shared" si="192"/>
        <v>-6333.7360121495794</v>
      </c>
      <c r="AK263" s="46">
        <f t="shared" si="192"/>
        <v>-6492.0794124533186</v>
      </c>
      <c r="AL263" s="46">
        <f t="shared" si="192"/>
        <v>-6654.3813977646505</v>
      </c>
      <c r="AM263" s="46">
        <f t="shared" si="192"/>
        <v>-6820.7409327087662</v>
      </c>
      <c r="AN263" s="46">
        <f t="shared" si="192"/>
        <v>-6991.2594560264843</v>
      </c>
      <c r="AO263" s="46">
        <f t="shared" si="192"/>
        <v>-7166.0409424271456</v>
      </c>
      <c r="AP263" s="46">
        <f t="shared" si="192"/>
        <v>-7345.1919659878249</v>
      </c>
      <c r="AQ263" s="46">
        <f t="shared" si="192"/>
        <v>-7528.8217651375198</v>
      </c>
      <c r="AR263" s="46">
        <f t="shared" si="192"/>
        <v>-7717.0423092659576</v>
      </c>
      <c r="AS263" s="46">
        <f t="shared" si="192"/>
        <v>-7909.9683669976057</v>
      </c>
      <c r="AT263" s="46">
        <f t="shared" si="192"/>
        <v>-8107.7175761725457</v>
      </c>
      <c r="AU263" s="46">
        <f t="shared" si="192"/>
        <v>-8310.4105155768593</v>
      </c>
      <c r="AV263" s="46">
        <f t="shared" si="192"/>
        <v>-8518.1707784662794</v>
      </c>
      <c r="AW263" s="46">
        <f t="shared" si="192"/>
        <v>-8731.125047927937</v>
      </c>
      <c r="AX263" s="46">
        <f t="shared" si="192"/>
        <v>-8949.4031741261333</v>
      </c>
      <c r="AY263" s="46">
        <f t="shared" si="192"/>
        <v>-9000</v>
      </c>
      <c r="AZ263" s="46">
        <f t="shared" si="192"/>
        <v>-9000</v>
      </c>
      <c r="BA263" s="46">
        <f t="shared" si="192"/>
        <v>-9000</v>
      </c>
      <c r="BB263" s="46">
        <f t="shared" si="192"/>
        <v>-9000</v>
      </c>
      <c r="BC263" s="46">
        <f t="shared" si="192"/>
        <v>-9000</v>
      </c>
      <c r="BD263" s="46">
        <f t="shared" si="192"/>
        <v>-9000</v>
      </c>
      <c r="BE263" s="46">
        <f t="shared" si="192"/>
        <v>-9000</v>
      </c>
      <c r="BF263" s="46">
        <f t="shared" si="192"/>
        <v>-9000</v>
      </c>
      <c r="BG263" s="46">
        <f t="shared" si="192"/>
        <v>-9000</v>
      </c>
      <c r="BH263" s="46">
        <f t="shared" si="192"/>
        <v>-9000</v>
      </c>
    </row>
    <row r="264" spans="1:60" ht="14.25" customHeight="1" x14ac:dyDescent="0.3">
      <c r="A264" s="46"/>
      <c r="B264" s="46"/>
      <c r="C264" s="46" t="str">
        <f>C$63</f>
        <v>CTC PDT COS</v>
      </c>
      <c r="D264" s="46">
        <f t="shared" si="190"/>
        <v>0</v>
      </c>
      <c r="E264" s="46">
        <f t="shared" si="190"/>
        <v>-172.2</v>
      </c>
      <c r="F264" s="46">
        <f t="shared" si="190"/>
        <v>-1474.0850870581883</v>
      </c>
      <c r="G264" s="46">
        <f t="shared" si="190"/>
        <v>-2647.24502868833</v>
      </c>
      <c r="H264" s="46">
        <f t="shared" si="190"/>
        <v>-4754.0717313005734</v>
      </c>
      <c r="I264" s="46"/>
      <c r="J264" s="46"/>
      <c r="K264" s="46">
        <f t="shared" ref="K264:BH264" si="193">K$63</f>
        <v>0</v>
      </c>
      <c r="L264" s="46">
        <f t="shared" si="193"/>
        <v>0</v>
      </c>
      <c r="M264" s="46">
        <f t="shared" si="193"/>
        <v>0</v>
      </c>
      <c r="N264" s="46">
        <f t="shared" si="193"/>
        <v>0</v>
      </c>
      <c r="O264" s="46">
        <f t="shared" si="193"/>
        <v>0</v>
      </c>
      <c r="P264" s="46">
        <f t="shared" si="193"/>
        <v>0</v>
      </c>
      <c r="Q264" s="46">
        <f t="shared" si="193"/>
        <v>0</v>
      </c>
      <c r="R264" s="46">
        <f t="shared" si="193"/>
        <v>0</v>
      </c>
      <c r="S264" s="46">
        <f t="shared" si="193"/>
        <v>0</v>
      </c>
      <c r="T264" s="46">
        <f t="shared" si="193"/>
        <v>0</v>
      </c>
      <c r="U264" s="46">
        <f t="shared" si="193"/>
        <v>0</v>
      </c>
      <c r="V264" s="46">
        <f t="shared" si="193"/>
        <v>0</v>
      </c>
      <c r="W264" s="46">
        <f t="shared" si="193"/>
        <v>-84</v>
      </c>
      <c r="X264" s="46">
        <f t="shared" si="193"/>
        <v>-88.2</v>
      </c>
      <c r="Y264" s="46">
        <f t="shared" si="193"/>
        <v>-92.610000000000014</v>
      </c>
      <c r="Z264" s="46">
        <f t="shared" si="193"/>
        <v>-97.240500000000026</v>
      </c>
      <c r="AA264" s="46">
        <f t="shared" si="193"/>
        <v>-102.10252500000003</v>
      </c>
      <c r="AB264" s="46">
        <f t="shared" si="193"/>
        <v>-107.20765125000003</v>
      </c>
      <c r="AC264" s="46">
        <f t="shared" si="193"/>
        <v>-112.56803381250003</v>
      </c>
      <c r="AD264" s="46">
        <f t="shared" si="193"/>
        <v>-118.19643550312504</v>
      </c>
      <c r="AE264" s="46">
        <f t="shared" si="193"/>
        <v>-124.1062572782813</v>
      </c>
      <c r="AF264" s="46">
        <f t="shared" si="193"/>
        <v>-130.31157014219536</v>
      </c>
      <c r="AG264" s="46">
        <f t="shared" si="193"/>
        <v>-136.82714864930514</v>
      </c>
      <c r="AH264" s="46">
        <f t="shared" si="193"/>
        <v>-143.6685060817704</v>
      </c>
      <c r="AI264" s="46">
        <f t="shared" si="193"/>
        <v>-150.85193138585893</v>
      </c>
      <c r="AJ264" s="46">
        <f t="shared" si="193"/>
        <v>-158.39452795515189</v>
      </c>
      <c r="AK264" s="46">
        <f t="shared" si="193"/>
        <v>-166.3142543529095</v>
      </c>
      <c r="AL264" s="46">
        <f t="shared" si="193"/>
        <v>-174.62996707055498</v>
      </c>
      <c r="AM264" s="46">
        <f t="shared" si="193"/>
        <v>-183.36146542408275</v>
      </c>
      <c r="AN264" s="46">
        <f t="shared" si="193"/>
        <v>-192.52953869528687</v>
      </c>
      <c r="AO264" s="46">
        <f t="shared" si="193"/>
        <v>-202.15601563005123</v>
      </c>
      <c r="AP264" s="46">
        <f t="shared" si="193"/>
        <v>-212.26381641155382</v>
      </c>
      <c r="AQ264" s="46">
        <f t="shared" si="193"/>
        <v>-222.87700723213152</v>
      </c>
      <c r="AR264" s="46">
        <f t="shared" si="193"/>
        <v>-234.02085759373813</v>
      </c>
      <c r="AS264" s="46">
        <f t="shared" si="193"/>
        <v>-245.72190047342502</v>
      </c>
      <c r="AT264" s="46">
        <f t="shared" si="193"/>
        <v>-258.00799549709632</v>
      </c>
      <c r="AU264" s="46">
        <f t="shared" si="193"/>
        <v>-270.90839527195112</v>
      </c>
      <c r="AV264" s="46">
        <f t="shared" si="193"/>
        <v>-284.45381503554864</v>
      </c>
      <c r="AW264" s="46">
        <f t="shared" si="193"/>
        <v>-298.67650578732611</v>
      </c>
      <c r="AX264" s="46">
        <f t="shared" si="193"/>
        <v>-313.61033107669243</v>
      </c>
      <c r="AY264" s="46">
        <f t="shared" si="193"/>
        <v>-329.29084763052708</v>
      </c>
      <c r="AZ264" s="46">
        <f t="shared" si="193"/>
        <v>-345.75539001205345</v>
      </c>
      <c r="BA264" s="46">
        <f t="shared" si="193"/>
        <v>-363.04315951265613</v>
      </c>
      <c r="BB264" s="46">
        <f t="shared" si="193"/>
        <v>-381.19531748828899</v>
      </c>
      <c r="BC264" s="46">
        <f t="shared" si="193"/>
        <v>-400.25508336270343</v>
      </c>
      <c r="BD264" s="46">
        <f t="shared" si="193"/>
        <v>-420.26783753083862</v>
      </c>
      <c r="BE264" s="46">
        <f t="shared" si="193"/>
        <v>-441.28122940738058</v>
      </c>
      <c r="BF264" s="46">
        <f t="shared" si="193"/>
        <v>-463.34529087774968</v>
      </c>
      <c r="BG264" s="46">
        <f t="shared" si="193"/>
        <v>-486.51255542163716</v>
      </c>
      <c r="BH264" s="46">
        <f t="shared" si="193"/>
        <v>-510.83818319271904</v>
      </c>
    </row>
    <row r="265" spans="1:60" ht="14.25" customHeight="1" x14ac:dyDescent="0.3">
      <c r="A265" s="46"/>
      <c r="B265" s="46"/>
      <c r="C265" s="46" t="str">
        <f>C$72</f>
        <v>PDT COS</v>
      </c>
      <c r="D265" s="46">
        <f t="shared" si="190"/>
        <v>0</v>
      </c>
      <c r="E265" s="46">
        <f t="shared" si="190"/>
        <v>0</v>
      </c>
      <c r="F265" s="46">
        <f t="shared" si="190"/>
        <v>-3600</v>
      </c>
      <c r="G265" s="46">
        <f t="shared" si="190"/>
        <v>-3600</v>
      </c>
      <c r="H265" s="46">
        <f t="shared" si="190"/>
        <v>-3600</v>
      </c>
      <c r="I265" s="46"/>
      <c r="J265" s="46">
        <f t="shared" ref="J265:BH265" si="194">J$72</f>
        <v>0</v>
      </c>
      <c r="K265" s="46">
        <f t="shared" si="194"/>
        <v>0</v>
      </c>
      <c r="L265" s="46">
        <f t="shared" si="194"/>
        <v>0</v>
      </c>
      <c r="M265" s="46">
        <f t="shared" si="194"/>
        <v>0</v>
      </c>
      <c r="N265" s="46">
        <f t="shared" si="194"/>
        <v>0</v>
      </c>
      <c r="O265" s="46">
        <f t="shared" si="194"/>
        <v>0</v>
      </c>
      <c r="P265" s="46">
        <f t="shared" si="194"/>
        <v>0</v>
      </c>
      <c r="Q265" s="46">
        <f t="shared" si="194"/>
        <v>0</v>
      </c>
      <c r="R265" s="46">
        <f t="shared" si="194"/>
        <v>0</v>
      </c>
      <c r="S265" s="46">
        <f t="shared" si="194"/>
        <v>0</v>
      </c>
      <c r="T265" s="46">
        <f t="shared" si="194"/>
        <v>0</v>
      </c>
      <c r="U265" s="46">
        <f t="shared" si="194"/>
        <v>0</v>
      </c>
      <c r="V265" s="46">
        <f t="shared" si="194"/>
        <v>0</v>
      </c>
      <c r="W265" s="46">
        <f t="shared" si="194"/>
        <v>0</v>
      </c>
      <c r="X265" s="46">
        <f t="shared" si="194"/>
        <v>0</v>
      </c>
      <c r="Y265" s="46">
        <f t="shared" si="194"/>
        <v>-300</v>
      </c>
      <c r="Z265" s="46">
        <f t="shared" si="194"/>
        <v>-300</v>
      </c>
      <c r="AA265" s="46">
        <f t="shared" si="194"/>
        <v>-300</v>
      </c>
      <c r="AB265" s="46">
        <f t="shared" si="194"/>
        <v>-300</v>
      </c>
      <c r="AC265" s="46">
        <f t="shared" si="194"/>
        <v>-300</v>
      </c>
      <c r="AD265" s="46">
        <f t="shared" si="194"/>
        <v>-300</v>
      </c>
      <c r="AE265" s="46">
        <f t="shared" si="194"/>
        <v>-300</v>
      </c>
      <c r="AF265" s="46">
        <f t="shared" si="194"/>
        <v>-300</v>
      </c>
      <c r="AG265" s="46">
        <f t="shared" si="194"/>
        <v>-300</v>
      </c>
      <c r="AH265" s="46">
        <f t="shared" si="194"/>
        <v>-300</v>
      </c>
      <c r="AI265" s="46">
        <f t="shared" si="194"/>
        <v>-300</v>
      </c>
      <c r="AJ265" s="46">
        <f t="shared" si="194"/>
        <v>-300</v>
      </c>
      <c r="AK265" s="46">
        <f t="shared" si="194"/>
        <v>-300</v>
      </c>
      <c r="AL265" s="46">
        <f t="shared" si="194"/>
        <v>-300</v>
      </c>
      <c r="AM265" s="46">
        <f t="shared" si="194"/>
        <v>-300</v>
      </c>
      <c r="AN265" s="46">
        <f t="shared" si="194"/>
        <v>-300</v>
      </c>
      <c r="AO265" s="46">
        <f t="shared" si="194"/>
        <v>-300</v>
      </c>
      <c r="AP265" s="46">
        <f t="shared" si="194"/>
        <v>-300</v>
      </c>
      <c r="AQ265" s="46">
        <f t="shared" si="194"/>
        <v>-300</v>
      </c>
      <c r="AR265" s="46">
        <f t="shared" si="194"/>
        <v>-300</v>
      </c>
      <c r="AS265" s="46">
        <f t="shared" si="194"/>
        <v>-300</v>
      </c>
      <c r="AT265" s="46">
        <f t="shared" si="194"/>
        <v>-300</v>
      </c>
      <c r="AU265" s="46">
        <f t="shared" si="194"/>
        <v>-300</v>
      </c>
      <c r="AV265" s="46">
        <f t="shared" si="194"/>
        <v>-300</v>
      </c>
      <c r="AW265" s="46">
        <f t="shared" si="194"/>
        <v>-300</v>
      </c>
      <c r="AX265" s="46">
        <f t="shared" si="194"/>
        <v>-300</v>
      </c>
      <c r="AY265" s="46">
        <f t="shared" si="194"/>
        <v>-300</v>
      </c>
      <c r="AZ265" s="46">
        <f t="shared" si="194"/>
        <v>-300</v>
      </c>
      <c r="BA265" s="46">
        <f t="shared" si="194"/>
        <v>-300</v>
      </c>
      <c r="BB265" s="46">
        <f t="shared" si="194"/>
        <v>-300</v>
      </c>
      <c r="BC265" s="46">
        <f t="shared" si="194"/>
        <v>-300</v>
      </c>
      <c r="BD265" s="46">
        <f t="shared" si="194"/>
        <v>-300</v>
      </c>
      <c r="BE265" s="46">
        <f t="shared" si="194"/>
        <v>-300</v>
      </c>
      <c r="BF265" s="46">
        <f t="shared" si="194"/>
        <v>-300</v>
      </c>
      <c r="BG265" s="46">
        <f t="shared" si="194"/>
        <v>-300</v>
      </c>
      <c r="BH265" s="46">
        <f t="shared" si="194"/>
        <v>-300</v>
      </c>
    </row>
    <row r="266" spans="1:60" ht="14.25" customHeight="1" x14ac:dyDescent="0.3">
      <c r="A266" s="46"/>
      <c r="B266" s="46"/>
      <c r="C266" s="46" t="str">
        <f>C81</f>
        <v>VIP COS</v>
      </c>
      <c r="D266" s="46">
        <f t="shared" si="190"/>
        <v>0</v>
      </c>
      <c r="E266" s="46">
        <f t="shared" si="190"/>
        <v>-27867.399999999998</v>
      </c>
      <c r="F266" s="46">
        <f t="shared" si="190"/>
        <v>-48971.999999999993</v>
      </c>
      <c r="G266" s="46">
        <f t="shared" si="190"/>
        <v>-48971.999999999993</v>
      </c>
      <c r="H266" s="46">
        <f t="shared" si="190"/>
        <v>-48971.999999999993</v>
      </c>
      <c r="I266" s="46"/>
      <c r="J266" s="46">
        <f t="shared" ref="J266:BH266" si="195">J$81</f>
        <v>0</v>
      </c>
      <c r="K266" s="46">
        <f t="shared" si="195"/>
        <v>0</v>
      </c>
      <c r="L266" s="46">
        <f t="shared" si="195"/>
        <v>0</v>
      </c>
      <c r="M266" s="46">
        <f t="shared" si="195"/>
        <v>0</v>
      </c>
      <c r="N266" s="46">
        <f t="shared" si="195"/>
        <v>0</v>
      </c>
      <c r="O266" s="46">
        <f t="shared" si="195"/>
        <v>0</v>
      </c>
      <c r="P266" s="46">
        <f t="shared" si="195"/>
        <v>0</v>
      </c>
      <c r="Q266" s="46">
        <f t="shared" si="195"/>
        <v>0</v>
      </c>
      <c r="R266" s="46">
        <f t="shared" si="195"/>
        <v>-1632.3999999999999</v>
      </c>
      <c r="S266" s="46">
        <f t="shared" si="195"/>
        <v>-5830</v>
      </c>
      <c r="T266" s="46">
        <f t="shared" si="195"/>
        <v>-4080.9999999999995</v>
      </c>
      <c r="U266" s="46">
        <f t="shared" si="195"/>
        <v>-4080.9999999999995</v>
      </c>
      <c r="V266" s="46">
        <f t="shared" si="195"/>
        <v>-4080.9999999999995</v>
      </c>
      <c r="W266" s="46">
        <f t="shared" si="195"/>
        <v>-4080.9999999999995</v>
      </c>
      <c r="X266" s="46">
        <f t="shared" si="195"/>
        <v>-4080.9999999999995</v>
      </c>
      <c r="Y266" s="46">
        <f t="shared" si="195"/>
        <v>-4080.9999999999995</v>
      </c>
      <c r="Z266" s="46">
        <f t="shared" si="195"/>
        <v>-4080.9999999999995</v>
      </c>
      <c r="AA266" s="46">
        <f t="shared" si="195"/>
        <v>-4080.9999999999995</v>
      </c>
      <c r="AB266" s="46">
        <f t="shared" si="195"/>
        <v>-4080.9999999999995</v>
      </c>
      <c r="AC266" s="46">
        <f t="shared" si="195"/>
        <v>-4080.9999999999995</v>
      </c>
      <c r="AD266" s="46">
        <f t="shared" si="195"/>
        <v>-4080.9999999999995</v>
      </c>
      <c r="AE266" s="46">
        <f t="shared" si="195"/>
        <v>-4080.9999999999995</v>
      </c>
      <c r="AF266" s="46">
        <f t="shared" si="195"/>
        <v>-4080.9999999999995</v>
      </c>
      <c r="AG266" s="46">
        <f t="shared" si="195"/>
        <v>-4080.9999999999995</v>
      </c>
      <c r="AH266" s="46">
        <f t="shared" si="195"/>
        <v>-4080.9999999999995</v>
      </c>
      <c r="AI266" s="46">
        <f t="shared" si="195"/>
        <v>-4080.9999999999995</v>
      </c>
      <c r="AJ266" s="46">
        <f t="shared" si="195"/>
        <v>-4080.9999999999995</v>
      </c>
      <c r="AK266" s="46">
        <f t="shared" si="195"/>
        <v>-4080.9999999999995</v>
      </c>
      <c r="AL266" s="46">
        <f t="shared" si="195"/>
        <v>-4080.9999999999995</v>
      </c>
      <c r="AM266" s="46">
        <f t="shared" si="195"/>
        <v>-4080.9999999999995</v>
      </c>
      <c r="AN266" s="46">
        <f t="shared" si="195"/>
        <v>-4080.9999999999995</v>
      </c>
      <c r="AO266" s="46">
        <f t="shared" si="195"/>
        <v>-4080.9999999999995</v>
      </c>
      <c r="AP266" s="46">
        <f t="shared" si="195"/>
        <v>-4080.9999999999995</v>
      </c>
      <c r="AQ266" s="46">
        <f t="shared" si="195"/>
        <v>-4080.9999999999995</v>
      </c>
      <c r="AR266" s="46">
        <f t="shared" si="195"/>
        <v>-4080.9999999999995</v>
      </c>
      <c r="AS266" s="46">
        <f t="shared" si="195"/>
        <v>-4080.9999999999995</v>
      </c>
      <c r="AT266" s="46">
        <f t="shared" si="195"/>
        <v>-4080.9999999999995</v>
      </c>
      <c r="AU266" s="46">
        <f t="shared" si="195"/>
        <v>-4080.9999999999995</v>
      </c>
      <c r="AV266" s="46">
        <f t="shared" si="195"/>
        <v>-4080.9999999999995</v>
      </c>
      <c r="AW266" s="46">
        <f t="shared" si="195"/>
        <v>-4080.9999999999995</v>
      </c>
      <c r="AX266" s="46">
        <f t="shared" si="195"/>
        <v>-4080.9999999999995</v>
      </c>
      <c r="AY266" s="46">
        <f t="shared" si="195"/>
        <v>-4080.9999999999995</v>
      </c>
      <c r="AZ266" s="46">
        <f t="shared" si="195"/>
        <v>-4080.9999999999995</v>
      </c>
      <c r="BA266" s="46">
        <f t="shared" si="195"/>
        <v>-4080.9999999999995</v>
      </c>
      <c r="BB266" s="46">
        <f t="shared" si="195"/>
        <v>-4080.9999999999995</v>
      </c>
      <c r="BC266" s="46">
        <f t="shared" si="195"/>
        <v>-4080.9999999999995</v>
      </c>
      <c r="BD266" s="46">
        <f t="shared" si="195"/>
        <v>-4080.9999999999995</v>
      </c>
      <c r="BE266" s="46">
        <f t="shared" si="195"/>
        <v>-4080.9999999999995</v>
      </c>
      <c r="BF266" s="46">
        <f t="shared" si="195"/>
        <v>-4080.9999999999995</v>
      </c>
      <c r="BG266" s="46">
        <f t="shared" si="195"/>
        <v>-4080.9999999999995</v>
      </c>
      <c r="BH266" s="46">
        <f t="shared" si="195"/>
        <v>-4080.9999999999995</v>
      </c>
    </row>
    <row r="267" spans="1:60" ht="14.25" customHeight="1" x14ac:dyDescent="0.3">
      <c r="A267" s="46"/>
      <c r="B267" s="46"/>
      <c r="C267" s="46" t="str">
        <f>C$101</f>
        <v>Supplement Cost of Sales</v>
      </c>
      <c r="D267" s="46">
        <f t="shared" si="190"/>
        <v>0</v>
      </c>
      <c r="E267" s="46">
        <f t="shared" si="190"/>
        <v>-14720.594596875002</v>
      </c>
      <c r="F267" s="46">
        <f t="shared" si="190"/>
        <v>-49273.389999653082</v>
      </c>
      <c r="G267" s="46">
        <f t="shared" si="190"/>
        <v>-88487.929135432554</v>
      </c>
      <c r="H267" s="46">
        <f t="shared" si="190"/>
        <v>-158911.60731446449</v>
      </c>
      <c r="I267" s="46"/>
      <c r="J267" s="46">
        <f t="shared" ref="J267:BH267" si="196">J$101</f>
        <v>0</v>
      </c>
      <c r="K267" s="46">
        <f t="shared" si="196"/>
        <v>0</v>
      </c>
      <c r="L267" s="46">
        <f t="shared" si="196"/>
        <v>0</v>
      </c>
      <c r="M267" s="46">
        <f t="shared" si="196"/>
        <v>0</v>
      </c>
      <c r="N267" s="46">
        <f t="shared" si="196"/>
        <v>0</v>
      </c>
      <c r="O267" s="46">
        <f t="shared" si="196"/>
        <v>0</v>
      </c>
      <c r="P267" s="46">
        <f t="shared" si="196"/>
        <v>0</v>
      </c>
      <c r="Q267" s="46">
        <f t="shared" si="196"/>
        <v>-518.4</v>
      </c>
      <c r="R267" s="46">
        <f t="shared" si="196"/>
        <v>-370.77600000000001</v>
      </c>
      <c r="S267" s="46">
        <f t="shared" si="196"/>
        <v>-429</v>
      </c>
      <c r="T267" s="46">
        <f t="shared" si="196"/>
        <v>-2425.5</v>
      </c>
      <c r="U267" s="46">
        <f t="shared" si="196"/>
        <v>-2546.7750000000001</v>
      </c>
      <c r="V267" s="46">
        <f t="shared" si="196"/>
        <v>-2674.1137500000004</v>
      </c>
      <c r="W267" s="46">
        <f t="shared" si="196"/>
        <v>-2807.8194375000003</v>
      </c>
      <c r="X267" s="46">
        <f t="shared" si="196"/>
        <v>-2948.2104093750008</v>
      </c>
      <c r="Y267" s="46">
        <f t="shared" si="196"/>
        <v>-3095.6209298437507</v>
      </c>
      <c r="Z267" s="46">
        <f t="shared" si="196"/>
        <v>-3250.4019763359383</v>
      </c>
      <c r="AA267" s="46">
        <f t="shared" si="196"/>
        <v>-3412.922075152735</v>
      </c>
      <c r="AB267" s="46">
        <f t="shared" si="196"/>
        <v>-3583.5681789103714</v>
      </c>
      <c r="AC267" s="46">
        <f t="shared" si="196"/>
        <v>-3762.7465878558901</v>
      </c>
      <c r="AD267" s="46">
        <f t="shared" si="196"/>
        <v>-3950.8839172486846</v>
      </c>
      <c r="AE267" s="46">
        <f t="shared" si="196"/>
        <v>-4148.4281131111184</v>
      </c>
      <c r="AF267" s="46">
        <f t="shared" si="196"/>
        <v>-4355.8495187666749</v>
      </c>
      <c r="AG267" s="46">
        <f t="shared" si="196"/>
        <v>-4573.641994705009</v>
      </c>
      <c r="AH267" s="46">
        <f t="shared" si="196"/>
        <v>-4802.3240944402596</v>
      </c>
      <c r="AI267" s="46">
        <f t="shared" si="196"/>
        <v>-5042.4402991622728</v>
      </c>
      <c r="AJ267" s="46">
        <f t="shared" si="196"/>
        <v>-5294.562314120386</v>
      </c>
      <c r="AK267" s="46">
        <f t="shared" si="196"/>
        <v>-5559.2904298264057</v>
      </c>
      <c r="AL267" s="46">
        <f t="shared" si="196"/>
        <v>-5837.2549513177273</v>
      </c>
      <c r="AM267" s="46">
        <f t="shared" si="196"/>
        <v>-6129.1176988836132</v>
      </c>
      <c r="AN267" s="46">
        <f t="shared" si="196"/>
        <v>-6435.5735838277942</v>
      </c>
      <c r="AO267" s="46">
        <f t="shared" si="196"/>
        <v>-6757.3522630191846</v>
      </c>
      <c r="AP267" s="46">
        <f t="shared" si="196"/>
        <v>-7095.2198761701438</v>
      </c>
      <c r="AQ267" s="46">
        <f t="shared" si="196"/>
        <v>-7449.9808699786508</v>
      </c>
      <c r="AR267" s="46">
        <f t="shared" si="196"/>
        <v>-7822.479913477584</v>
      </c>
      <c r="AS267" s="46">
        <f t="shared" si="196"/>
        <v>-8213.6039091514631</v>
      </c>
      <c r="AT267" s="46">
        <f t="shared" si="196"/>
        <v>-8624.2841046090361</v>
      </c>
      <c r="AU267" s="46">
        <f t="shared" si="196"/>
        <v>-9055.4983098394878</v>
      </c>
      <c r="AV267" s="46">
        <f t="shared" si="196"/>
        <v>-9508.2732253314625</v>
      </c>
      <c r="AW267" s="46">
        <f t="shared" si="196"/>
        <v>-9983.6868865980359</v>
      </c>
      <c r="AX267" s="46">
        <f t="shared" si="196"/>
        <v>-10482.871230927938</v>
      </c>
      <c r="AY267" s="46">
        <f t="shared" si="196"/>
        <v>-11007.014792474336</v>
      </c>
      <c r="AZ267" s="46">
        <f t="shared" si="196"/>
        <v>-11557.365532098052</v>
      </c>
      <c r="BA267" s="46">
        <f t="shared" si="196"/>
        <v>-12135.233808702955</v>
      </c>
      <c r="BB267" s="46">
        <f t="shared" si="196"/>
        <v>-12741.995499138104</v>
      </c>
      <c r="BC267" s="46">
        <f t="shared" si="196"/>
        <v>-13379.095274095009</v>
      </c>
      <c r="BD267" s="46">
        <f t="shared" si="196"/>
        <v>-14048.050037799761</v>
      </c>
      <c r="BE267" s="46">
        <f t="shared" si="196"/>
        <v>-14750.452539689752</v>
      </c>
      <c r="BF267" s="46">
        <f t="shared" si="196"/>
        <v>-15487.97516667424</v>
      </c>
      <c r="BG267" s="46">
        <f t="shared" si="196"/>
        <v>-16262.373925007952</v>
      </c>
      <c r="BH267" s="46">
        <f t="shared" si="196"/>
        <v>-17075.492621258349</v>
      </c>
    </row>
    <row r="268" spans="1:60" ht="14.25" customHeight="1" x14ac:dyDescent="0.3">
      <c r="A268" s="46"/>
      <c r="B268" s="46"/>
      <c r="C268" s="46" t="s">
        <v>245</v>
      </c>
      <c r="D268" s="46">
        <f t="shared" si="190"/>
        <v>0</v>
      </c>
      <c r="E268" s="46">
        <f t="shared" si="190"/>
        <v>-15748</v>
      </c>
      <c r="F268" s="46">
        <f t="shared" si="190"/>
        <v>0</v>
      </c>
      <c r="G268" s="46">
        <f t="shared" si="190"/>
        <v>0</v>
      </c>
      <c r="H268" s="46">
        <f t="shared" si="190"/>
        <v>0</v>
      </c>
      <c r="I268" s="46"/>
      <c r="M268" s="46">
        <f>-3131</f>
        <v>-3131</v>
      </c>
      <c r="N268" s="46">
        <v>0</v>
      </c>
      <c r="O268" s="46">
        <v>-3297</v>
      </c>
      <c r="P268" s="46">
        <v>-455</v>
      </c>
      <c r="Q268" s="46">
        <f>-(17824-8263)</f>
        <v>-9561</v>
      </c>
      <c r="R268" s="46">
        <f>-(41608-44467)</f>
        <v>2859</v>
      </c>
      <c r="S268" s="46">
        <f>-(51048-48885)</f>
        <v>-2163</v>
      </c>
      <c r="T268" s="46"/>
      <c r="U268" s="46"/>
      <c r="V268" s="46"/>
      <c r="W268" s="46"/>
      <c r="X268" s="46"/>
      <c r="Y268" s="46"/>
      <c r="Z268" s="46"/>
      <c r="AA268" s="46"/>
      <c r="AB268" s="46"/>
      <c r="AC268" s="46"/>
      <c r="AD268" s="46"/>
      <c r="AE268" s="46"/>
      <c r="AF268" s="46"/>
      <c r="AG268" s="46"/>
      <c r="AH268" s="46"/>
      <c r="AI268" s="46"/>
      <c r="AJ268" s="46"/>
      <c r="AK268" s="46"/>
      <c r="AL268" s="46"/>
      <c r="AM268" s="46"/>
      <c r="AN268" s="46"/>
      <c r="AO268" s="46"/>
      <c r="AP268" s="46"/>
      <c r="AQ268" s="46"/>
      <c r="AR268" s="46"/>
      <c r="AS268" s="46"/>
      <c r="AT268" s="46"/>
      <c r="AU268" s="46"/>
      <c r="AV268" s="46"/>
      <c r="AW268" s="46"/>
      <c r="AX268" s="46"/>
      <c r="AY268" s="46"/>
      <c r="AZ268" s="46"/>
      <c r="BA268" s="46"/>
      <c r="BB268" s="46"/>
      <c r="BC268" s="46"/>
      <c r="BD268" s="46"/>
      <c r="BE268" s="46"/>
      <c r="BF268" s="46"/>
      <c r="BG268" s="46"/>
      <c r="BH268" s="46"/>
    </row>
    <row r="269" spans="1:60" ht="14.25" customHeight="1" x14ac:dyDescent="0.3">
      <c r="A269" s="37"/>
      <c r="B269" s="37"/>
      <c r="C269" s="37" t="s">
        <v>40</v>
      </c>
      <c r="D269" s="68">
        <f>SUMIF($1:$1,D$238,269:269)</f>
        <v>0</v>
      </c>
      <c r="E269" s="68">
        <f>SUMIF($1:$1,E$238,269:269)</f>
        <v>802145.36020303355</v>
      </c>
      <c r="F269" s="68">
        <f>SUMIF($1:$1,F$238,269:269)</f>
        <v>2265103.020048379</v>
      </c>
      <c r="G269" s="68">
        <f>SUMIF($1:$1,G$238,269:269)</f>
        <v>3326427.3318042131</v>
      </c>
      <c r="H269" s="68">
        <f>SUMIF($1:$1,H$238,269:269)</f>
        <v>4429182.9870480392</v>
      </c>
      <c r="I269" s="68"/>
      <c r="J269" s="68">
        <f>SUM(J260:J268)</f>
        <v>0</v>
      </c>
      <c r="K269" s="68">
        <f t="shared" ref="K269:BH269" si="197">SUM(K260:K268)</f>
        <v>0</v>
      </c>
      <c r="L269" s="68">
        <f t="shared" si="197"/>
        <v>0</v>
      </c>
      <c r="M269" s="68">
        <f t="shared" si="197"/>
        <v>9058</v>
      </c>
      <c r="N269" s="68">
        <f>SUM(N260:N268)</f>
        <v>5857</v>
      </c>
      <c r="O269" s="68">
        <f>SUM(O260:O268)</f>
        <v>8822</v>
      </c>
      <c r="P269" s="68">
        <f>SUM(P260:P268)</f>
        <v>159997.9</v>
      </c>
      <c r="Q269" s="68">
        <f>SUM(Q260:Q268)</f>
        <v>8262.8599999999969</v>
      </c>
      <c r="R269" s="68">
        <f t="shared" si="197"/>
        <v>44466.683999999994</v>
      </c>
      <c r="S269" s="68">
        <f t="shared" si="197"/>
        <v>48884.700000000004</v>
      </c>
      <c r="T269" s="68">
        <f t="shared" si="197"/>
        <v>68130.667499999996</v>
      </c>
      <c r="U269" s="68">
        <f t="shared" si="197"/>
        <v>84698.405820000015</v>
      </c>
      <c r="V269" s="68">
        <f t="shared" si="197"/>
        <v>108612.67731796874</v>
      </c>
      <c r="W269" s="68">
        <f t="shared" si="197"/>
        <v>119194.02427987693</v>
      </c>
      <c r="X269" s="68">
        <f t="shared" si="197"/>
        <v>136160.4412851879</v>
      </c>
      <c r="Y269" s="68">
        <f t="shared" si="197"/>
        <v>146142.45414723171</v>
      </c>
      <c r="Z269" s="68">
        <f t="shared" si="197"/>
        <v>154000.46374902321</v>
      </c>
      <c r="AA269" s="68">
        <f t="shared" si="197"/>
        <v>162090.75989910858</v>
      </c>
      <c r="AB269" s="68">
        <f t="shared" si="197"/>
        <v>170551.44152225988</v>
      </c>
      <c r="AC269" s="68">
        <f t="shared" si="197"/>
        <v>179531.64917203606</v>
      </c>
      <c r="AD269" s="68">
        <f t="shared" si="197"/>
        <v>186515.02724421685</v>
      </c>
      <c r="AE269" s="68">
        <f t="shared" si="197"/>
        <v>193920.1375551706</v>
      </c>
      <c r="AF269" s="68">
        <f t="shared" si="197"/>
        <v>201822.56553105611</v>
      </c>
      <c r="AG269" s="68">
        <f t="shared" si="197"/>
        <v>207707.72301689457</v>
      </c>
      <c r="AH269" s="68">
        <f t="shared" si="197"/>
        <v>213996.29986842416</v>
      </c>
      <c r="AI269" s="68">
        <f t="shared" si="197"/>
        <v>220766.41417158063</v>
      </c>
      <c r="AJ269" s="68">
        <f t="shared" si="197"/>
        <v>228058.08417137645</v>
      </c>
      <c r="AK269" s="68">
        <f t="shared" si="197"/>
        <v>235914.83328621052</v>
      </c>
      <c r="AL269" s="68">
        <f t="shared" si="197"/>
        <v>243920.37206846432</v>
      </c>
      <c r="AM269" s="68">
        <f t="shared" si="197"/>
        <v>250607.12705315533</v>
      </c>
      <c r="AN269" s="68">
        <f t="shared" si="197"/>
        <v>257769.25833827196</v>
      </c>
      <c r="AO269" s="68">
        <f t="shared" si="197"/>
        <v>265443.33819150372</v>
      </c>
      <c r="AP269" s="68">
        <f t="shared" si="197"/>
        <v>272388.36404049111</v>
      </c>
      <c r="AQ269" s="68">
        <f t="shared" si="197"/>
        <v>279580.15543494205</v>
      </c>
      <c r="AR269" s="68">
        <f t="shared" si="197"/>
        <v>287249.68883382645</v>
      </c>
      <c r="AS269" s="68">
        <f t="shared" si="197"/>
        <v>295430.76132875442</v>
      </c>
      <c r="AT269" s="68">
        <f t="shared" si="197"/>
        <v>303742.31483043684</v>
      </c>
      <c r="AU269" s="68">
        <f t="shared" si="197"/>
        <v>312516.30360750854</v>
      </c>
      <c r="AV269" s="68">
        <f t="shared" si="197"/>
        <v>321864.81479064783</v>
      </c>
      <c r="AW269" s="68">
        <f t="shared" si="197"/>
        <v>331827.42628343415</v>
      </c>
      <c r="AX269" s="68">
        <f t="shared" si="197"/>
        <v>342446.53093536483</v>
      </c>
      <c r="AY269" s="68">
        <f t="shared" si="197"/>
        <v>353363.55184305977</v>
      </c>
      <c r="AZ269" s="68">
        <f t="shared" si="197"/>
        <v>362605.04378895345</v>
      </c>
      <c r="BA269" s="68">
        <f t="shared" si="197"/>
        <v>365998.69418520783</v>
      </c>
      <c r="BB269" s="68">
        <f t="shared" si="197"/>
        <v>369567.26192195545</v>
      </c>
      <c r="BC269" s="68">
        <f t="shared" si="197"/>
        <v>373320.01634828927</v>
      </c>
      <c r="BD269" s="68">
        <f t="shared" si="197"/>
        <v>377266.74262896343</v>
      </c>
      <c r="BE269" s="68">
        <f t="shared" si="197"/>
        <v>381417.77276999725</v>
      </c>
      <c r="BF269" s="68">
        <f t="shared" si="197"/>
        <v>385784.01871904125</v>
      </c>
      <c r="BG269" s="68">
        <f t="shared" si="197"/>
        <v>390377.00769659196</v>
      </c>
      <c r="BH269" s="68">
        <f t="shared" si="197"/>
        <v>395208.91992718005</v>
      </c>
    </row>
    <row r="270" spans="1:60" ht="14.25" customHeight="1" x14ac:dyDescent="0.3">
      <c r="A270" s="46"/>
      <c r="B270" s="37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  <c r="AC270" s="46"/>
      <c r="AD270" s="46"/>
      <c r="AE270" s="46"/>
      <c r="AF270" s="46"/>
      <c r="AG270" s="46"/>
      <c r="AH270" s="46"/>
      <c r="AI270" s="46"/>
      <c r="AJ270" s="46"/>
      <c r="AK270" s="46"/>
      <c r="AL270" s="46"/>
      <c r="AM270" s="46"/>
      <c r="AN270" s="46"/>
      <c r="AO270" s="46"/>
      <c r="AP270" s="46"/>
      <c r="AQ270" s="46"/>
      <c r="AR270" s="46"/>
      <c r="AS270" s="46"/>
      <c r="AT270" s="46"/>
      <c r="AU270" s="46"/>
      <c r="AV270" s="46"/>
      <c r="AW270" s="46"/>
      <c r="AX270" s="46"/>
      <c r="AY270" s="46"/>
      <c r="AZ270" s="46"/>
      <c r="BA270" s="46"/>
      <c r="BB270" s="46"/>
      <c r="BC270" s="46"/>
      <c r="BD270" s="46"/>
      <c r="BE270" s="46"/>
      <c r="BF270" s="46"/>
      <c r="BG270" s="46"/>
      <c r="BH270" s="46"/>
    </row>
    <row r="271" spans="1:60" ht="14.25" customHeight="1" x14ac:dyDescent="0.3">
      <c r="A271" s="46"/>
      <c r="B271" s="37"/>
      <c r="C271" s="46" t="str">
        <f>C$165</f>
        <v>Receptionist</v>
      </c>
      <c r="D271" s="46">
        <f t="shared" ref="D271:H280" si="198">SUMIF($1:$1,D$238,271:271)</f>
        <v>0</v>
      </c>
      <c r="E271" s="46">
        <f t="shared" si="198"/>
        <v>-16920</v>
      </c>
      <c r="F271" s="46">
        <f t="shared" si="198"/>
        <v>-33840</v>
      </c>
      <c r="G271" s="46">
        <f t="shared" si="198"/>
        <v>-33840</v>
      </c>
      <c r="H271" s="46">
        <f t="shared" si="198"/>
        <v>-33840</v>
      </c>
      <c r="I271" s="46"/>
      <c r="J271" s="46">
        <f t="shared" ref="J271:BH271" si="199">-J$165</f>
        <v>0</v>
      </c>
      <c r="K271" s="46">
        <f t="shared" si="199"/>
        <v>0</v>
      </c>
      <c r="L271" s="46">
        <f t="shared" si="199"/>
        <v>0</v>
      </c>
      <c r="M271" s="46">
        <f t="shared" si="199"/>
        <v>0</v>
      </c>
      <c r="N271" s="46">
        <f t="shared" si="199"/>
        <v>0</v>
      </c>
      <c r="O271" s="46">
        <f t="shared" si="199"/>
        <v>0</v>
      </c>
      <c r="P271" s="46">
        <f t="shared" si="199"/>
        <v>0</v>
      </c>
      <c r="Q271" s="46">
        <f t="shared" si="199"/>
        <v>0</v>
      </c>
      <c r="R271" s="46">
        <f t="shared" si="199"/>
        <v>0</v>
      </c>
      <c r="S271" s="46">
        <f t="shared" si="199"/>
        <v>-2820</v>
      </c>
      <c r="T271" s="46">
        <f t="shared" si="199"/>
        <v>-2820</v>
      </c>
      <c r="U271" s="46">
        <f t="shared" si="199"/>
        <v>-2820</v>
      </c>
      <c r="V271" s="46">
        <f t="shared" si="199"/>
        <v>-2820</v>
      </c>
      <c r="W271" s="46">
        <f t="shared" si="199"/>
        <v>-2820</v>
      </c>
      <c r="X271" s="46">
        <f t="shared" si="199"/>
        <v>-2820</v>
      </c>
      <c r="Y271" s="46">
        <f t="shared" si="199"/>
        <v>-2820</v>
      </c>
      <c r="Z271" s="46">
        <f t="shared" si="199"/>
        <v>-2820</v>
      </c>
      <c r="AA271" s="46">
        <f t="shared" si="199"/>
        <v>-2820</v>
      </c>
      <c r="AB271" s="46">
        <f t="shared" si="199"/>
        <v>-2820</v>
      </c>
      <c r="AC271" s="46">
        <f t="shared" si="199"/>
        <v>-2820</v>
      </c>
      <c r="AD271" s="46">
        <f t="shared" si="199"/>
        <v>-2820</v>
      </c>
      <c r="AE271" s="46">
        <f t="shared" si="199"/>
        <v>-2820</v>
      </c>
      <c r="AF271" s="46">
        <f t="shared" si="199"/>
        <v>-2820</v>
      </c>
      <c r="AG271" s="46">
        <f t="shared" si="199"/>
        <v>-2820</v>
      </c>
      <c r="AH271" s="46">
        <f t="shared" si="199"/>
        <v>-2820</v>
      </c>
      <c r="AI271" s="46">
        <f t="shared" si="199"/>
        <v>-2820</v>
      </c>
      <c r="AJ271" s="46">
        <f t="shared" si="199"/>
        <v>-2820</v>
      </c>
      <c r="AK271" s="46">
        <f t="shared" si="199"/>
        <v>-2820</v>
      </c>
      <c r="AL271" s="46">
        <f t="shared" si="199"/>
        <v>-2820</v>
      </c>
      <c r="AM271" s="46">
        <f t="shared" si="199"/>
        <v>-2820</v>
      </c>
      <c r="AN271" s="46">
        <f t="shared" si="199"/>
        <v>-2820</v>
      </c>
      <c r="AO271" s="46">
        <f t="shared" si="199"/>
        <v>-2820</v>
      </c>
      <c r="AP271" s="46">
        <f t="shared" si="199"/>
        <v>-2820</v>
      </c>
      <c r="AQ271" s="46">
        <f t="shared" si="199"/>
        <v>-2820</v>
      </c>
      <c r="AR271" s="46">
        <f t="shared" si="199"/>
        <v>-2820</v>
      </c>
      <c r="AS271" s="46">
        <f t="shared" si="199"/>
        <v>-2820</v>
      </c>
      <c r="AT271" s="46">
        <f t="shared" si="199"/>
        <v>-2820</v>
      </c>
      <c r="AU271" s="46">
        <f t="shared" si="199"/>
        <v>-2820</v>
      </c>
      <c r="AV271" s="46">
        <f t="shared" si="199"/>
        <v>-2820</v>
      </c>
      <c r="AW271" s="46">
        <f t="shared" si="199"/>
        <v>-2820</v>
      </c>
      <c r="AX271" s="46">
        <f t="shared" si="199"/>
        <v>-2820</v>
      </c>
      <c r="AY271" s="46">
        <f t="shared" si="199"/>
        <v>-2820</v>
      </c>
      <c r="AZ271" s="46">
        <f t="shared" si="199"/>
        <v>-2820</v>
      </c>
      <c r="BA271" s="46">
        <f t="shared" si="199"/>
        <v>-2820</v>
      </c>
      <c r="BB271" s="46">
        <f t="shared" si="199"/>
        <v>-2820</v>
      </c>
      <c r="BC271" s="46">
        <f t="shared" si="199"/>
        <v>-2820</v>
      </c>
      <c r="BD271" s="46">
        <f t="shared" si="199"/>
        <v>-2820</v>
      </c>
      <c r="BE271" s="46">
        <f t="shared" si="199"/>
        <v>-2820</v>
      </c>
      <c r="BF271" s="46">
        <f t="shared" si="199"/>
        <v>-2820</v>
      </c>
      <c r="BG271" s="46">
        <f t="shared" si="199"/>
        <v>-2820</v>
      </c>
      <c r="BH271" s="46">
        <f t="shared" si="199"/>
        <v>-2820</v>
      </c>
    </row>
    <row r="272" spans="1:60" ht="14.25" customHeight="1" x14ac:dyDescent="0.3">
      <c r="A272" s="46"/>
      <c r="B272" s="37"/>
      <c r="C272" s="46" t="str">
        <f>C$166</f>
        <v>Receptionist 2</v>
      </c>
      <c r="D272" s="46">
        <f t="shared" si="198"/>
        <v>0</v>
      </c>
      <c r="E272" s="46">
        <f t="shared" si="198"/>
        <v>-16720</v>
      </c>
      <c r="F272" s="46">
        <f t="shared" si="198"/>
        <v>-36000</v>
      </c>
      <c r="G272" s="46">
        <f t="shared" si="198"/>
        <v>-36000</v>
      </c>
      <c r="H272" s="46">
        <f t="shared" si="198"/>
        <v>-36000</v>
      </c>
      <c r="I272" s="46"/>
      <c r="J272" s="46">
        <f t="shared" ref="J272:BH272" si="200">-J$166</f>
        <v>0</v>
      </c>
      <c r="K272" s="46">
        <f t="shared" si="200"/>
        <v>0</v>
      </c>
      <c r="L272" s="46">
        <f t="shared" si="200"/>
        <v>0</v>
      </c>
      <c r="M272" s="46">
        <f t="shared" si="200"/>
        <v>0</v>
      </c>
      <c r="N272" s="46">
        <f t="shared" si="200"/>
        <v>0</v>
      </c>
      <c r="O272" s="46">
        <f t="shared" si="200"/>
        <v>0</v>
      </c>
      <c r="P272" s="46">
        <f t="shared" si="200"/>
        <v>0</v>
      </c>
      <c r="Q272" s="46">
        <f t="shared" si="200"/>
        <v>0</v>
      </c>
      <c r="R272" s="46">
        <f t="shared" si="200"/>
        <v>0</v>
      </c>
      <c r="S272" s="46">
        <f t="shared" si="200"/>
        <v>-1720</v>
      </c>
      <c r="T272" s="46">
        <f t="shared" si="200"/>
        <v>-3000</v>
      </c>
      <c r="U272" s="46">
        <f t="shared" si="200"/>
        <v>-3000</v>
      </c>
      <c r="V272" s="46">
        <f t="shared" si="200"/>
        <v>-3000</v>
      </c>
      <c r="W272" s="46">
        <f t="shared" si="200"/>
        <v>-3000</v>
      </c>
      <c r="X272" s="46">
        <f t="shared" si="200"/>
        <v>-3000</v>
      </c>
      <c r="Y272" s="46">
        <f t="shared" si="200"/>
        <v>-3000</v>
      </c>
      <c r="Z272" s="46">
        <f t="shared" si="200"/>
        <v>-3000</v>
      </c>
      <c r="AA272" s="46">
        <f t="shared" si="200"/>
        <v>-3000</v>
      </c>
      <c r="AB272" s="46">
        <f t="shared" si="200"/>
        <v>-3000</v>
      </c>
      <c r="AC272" s="46">
        <f t="shared" si="200"/>
        <v>-3000</v>
      </c>
      <c r="AD272" s="46">
        <f t="shared" si="200"/>
        <v>-3000</v>
      </c>
      <c r="AE272" s="46">
        <f t="shared" si="200"/>
        <v>-3000</v>
      </c>
      <c r="AF272" s="46">
        <f t="shared" si="200"/>
        <v>-3000</v>
      </c>
      <c r="AG272" s="46">
        <f t="shared" si="200"/>
        <v>-3000</v>
      </c>
      <c r="AH272" s="46">
        <f t="shared" si="200"/>
        <v>-3000</v>
      </c>
      <c r="AI272" s="46">
        <f t="shared" si="200"/>
        <v>-3000</v>
      </c>
      <c r="AJ272" s="46">
        <f t="shared" si="200"/>
        <v>-3000</v>
      </c>
      <c r="AK272" s="46">
        <f t="shared" si="200"/>
        <v>-3000</v>
      </c>
      <c r="AL272" s="46">
        <f t="shared" si="200"/>
        <v>-3000</v>
      </c>
      <c r="AM272" s="46">
        <f t="shared" si="200"/>
        <v>-3000</v>
      </c>
      <c r="AN272" s="46">
        <f t="shared" si="200"/>
        <v>-3000</v>
      </c>
      <c r="AO272" s="46">
        <f t="shared" si="200"/>
        <v>-3000</v>
      </c>
      <c r="AP272" s="46">
        <f t="shared" si="200"/>
        <v>-3000</v>
      </c>
      <c r="AQ272" s="46">
        <f t="shared" si="200"/>
        <v>-3000</v>
      </c>
      <c r="AR272" s="46">
        <f t="shared" si="200"/>
        <v>-3000</v>
      </c>
      <c r="AS272" s="46">
        <f t="shared" si="200"/>
        <v>-3000</v>
      </c>
      <c r="AT272" s="46">
        <f t="shared" si="200"/>
        <v>-3000</v>
      </c>
      <c r="AU272" s="46">
        <f t="shared" si="200"/>
        <v>-3000</v>
      </c>
      <c r="AV272" s="46">
        <f t="shared" si="200"/>
        <v>-3000</v>
      </c>
      <c r="AW272" s="46">
        <f t="shared" si="200"/>
        <v>-3000</v>
      </c>
      <c r="AX272" s="46">
        <f t="shared" si="200"/>
        <v>-3000</v>
      </c>
      <c r="AY272" s="46">
        <f t="shared" si="200"/>
        <v>-3000</v>
      </c>
      <c r="AZ272" s="46">
        <f t="shared" si="200"/>
        <v>-3000</v>
      </c>
      <c r="BA272" s="46">
        <f t="shared" si="200"/>
        <v>-3000</v>
      </c>
      <c r="BB272" s="46">
        <f t="shared" si="200"/>
        <v>-3000</v>
      </c>
      <c r="BC272" s="46">
        <f t="shared" si="200"/>
        <v>-3000</v>
      </c>
      <c r="BD272" s="46">
        <f t="shared" si="200"/>
        <v>-3000</v>
      </c>
      <c r="BE272" s="46">
        <f t="shared" si="200"/>
        <v>-3000</v>
      </c>
      <c r="BF272" s="46">
        <f t="shared" si="200"/>
        <v>-3000</v>
      </c>
      <c r="BG272" s="46">
        <f t="shared" si="200"/>
        <v>-3000</v>
      </c>
      <c r="BH272" s="46">
        <f t="shared" si="200"/>
        <v>-3000</v>
      </c>
    </row>
    <row r="273" spans="1:60" ht="14.25" customHeight="1" x14ac:dyDescent="0.3">
      <c r="A273" s="46"/>
      <c r="B273" s="37"/>
      <c r="C273" s="46" t="s">
        <v>306</v>
      </c>
      <c r="D273" s="46">
        <f t="shared" si="198"/>
        <v>-15000</v>
      </c>
      <c r="E273" s="46">
        <f t="shared" si="198"/>
        <v>-60000</v>
      </c>
      <c r="F273" s="46">
        <f t="shared" si="198"/>
        <v>-60000</v>
      </c>
      <c r="G273" s="46">
        <f t="shared" si="198"/>
        <v>-60000</v>
      </c>
      <c r="H273" s="46">
        <f t="shared" si="198"/>
        <v>-60000</v>
      </c>
      <c r="I273" s="46"/>
      <c r="J273" s="46">
        <f t="shared" ref="J273:BH273" si="201">-J167</f>
        <v>-5000</v>
      </c>
      <c r="K273" s="46">
        <f t="shared" si="201"/>
        <v>-5000</v>
      </c>
      <c r="L273" s="46">
        <f t="shared" si="201"/>
        <v>-5000</v>
      </c>
      <c r="M273" s="46">
        <f t="shared" si="201"/>
        <v>-5000</v>
      </c>
      <c r="N273" s="46">
        <f t="shared" si="201"/>
        <v>-5000</v>
      </c>
      <c r="O273" s="46">
        <f t="shared" si="201"/>
        <v>-5000</v>
      </c>
      <c r="P273" s="46">
        <f t="shared" si="201"/>
        <v>-5000</v>
      </c>
      <c r="Q273" s="46">
        <f t="shared" si="201"/>
        <v>-5000</v>
      </c>
      <c r="R273" s="46">
        <f t="shared" si="201"/>
        <v>-5000</v>
      </c>
      <c r="S273" s="46">
        <f t="shared" si="201"/>
        <v>-5000</v>
      </c>
      <c r="T273" s="46">
        <f t="shared" si="201"/>
        <v>-5000</v>
      </c>
      <c r="U273" s="46">
        <f t="shared" si="201"/>
        <v>-5000</v>
      </c>
      <c r="V273" s="46">
        <f t="shared" si="201"/>
        <v>-5000</v>
      </c>
      <c r="W273" s="46">
        <f t="shared" si="201"/>
        <v>-5000</v>
      </c>
      <c r="X273" s="46">
        <f t="shared" si="201"/>
        <v>-5000</v>
      </c>
      <c r="Y273" s="46">
        <f t="shared" si="201"/>
        <v>-5000</v>
      </c>
      <c r="Z273" s="46">
        <f t="shared" si="201"/>
        <v>-5000</v>
      </c>
      <c r="AA273" s="46">
        <f t="shared" si="201"/>
        <v>-5000</v>
      </c>
      <c r="AB273" s="46">
        <f t="shared" si="201"/>
        <v>-5000</v>
      </c>
      <c r="AC273" s="46">
        <f t="shared" si="201"/>
        <v>-5000</v>
      </c>
      <c r="AD273" s="46">
        <f t="shared" si="201"/>
        <v>-5000</v>
      </c>
      <c r="AE273" s="46">
        <f t="shared" si="201"/>
        <v>-5000</v>
      </c>
      <c r="AF273" s="46">
        <f t="shared" si="201"/>
        <v>-5000</v>
      </c>
      <c r="AG273" s="46">
        <f t="shared" si="201"/>
        <v>-5000</v>
      </c>
      <c r="AH273" s="46">
        <f t="shared" si="201"/>
        <v>-5000</v>
      </c>
      <c r="AI273" s="46">
        <f t="shared" si="201"/>
        <v>-5000</v>
      </c>
      <c r="AJ273" s="46">
        <f t="shared" si="201"/>
        <v>-5000</v>
      </c>
      <c r="AK273" s="46">
        <f t="shared" si="201"/>
        <v>-5000</v>
      </c>
      <c r="AL273" s="46">
        <f t="shared" si="201"/>
        <v>-5000</v>
      </c>
      <c r="AM273" s="46">
        <f t="shared" si="201"/>
        <v>-5000</v>
      </c>
      <c r="AN273" s="46">
        <f t="shared" si="201"/>
        <v>-5000</v>
      </c>
      <c r="AO273" s="46">
        <f t="shared" si="201"/>
        <v>-5000</v>
      </c>
      <c r="AP273" s="46">
        <f t="shared" si="201"/>
        <v>-5000</v>
      </c>
      <c r="AQ273" s="46">
        <f t="shared" si="201"/>
        <v>-5000</v>
      </c>
      <c r="AR273" s="46">
        <f t="shared" si="201"/>
        <v>-5000</v>
      </c>
      <c r="AS273" s="46">
        <f t="shared" si="201"/>
        <v>-5000</v>
      </c>
      <c r="AT273" s="46">
        <f t="shared" si="201"/>
        <v>-5000</v>
      </c>
      <c r="AU273" s="46">
        <f t="shared" si="201"/>
        <v>-5000</v>
      </c>
      <c r="AV273" s="46">
        <f t="shared" si="201"/>
        <v>-5000</v>
      </c>
      <c r="AW273" s="46">
        <f t="shared" si="201"/>
        <v>-5000</v>
      </c>
      <c r="AX273" s="46">
        <f t="shared" si="201"/>
        <v>-5000</v>
      </c>
      <c r="AY273" s="46">
        <f t="shared" si="201"/>
        <v>-5000</v>
      </c>
      <c r="AZ273" s="46">
        <f t="shared" si="201"/>
        <v>-5000</v>
      </c>
      <c r="BA273" s="46">
        <f t="shared" si="201"/>
        <v>-5000</v>
      </c>
      <c r="BB273" s="46">
        <f t="shared" si="201"/>
        <v>-5000</v>
      </c>
      <c r="BC273" s="46">
        <f t="shared" si="201"/>
        <v>-5000</v>
      </c>
      <c r="BD273" s="46">
        <f t="shared" si="201"/>
        <v>-5000</v>
      </c>
      <c r="BE273" s="46">
        <f t="shared" si="201"/>
        <v>-5000</v>
      </c>
      <c r="BF273" s="46">
        <f t="shared" si="201"/>
        <v>-5000</v>
      </c>
      <c r="BG273" s="46">
        <f t="shared" si="201"/>
        <v>-5000</v>
      </c>
      <c r="BH273" s="46">
        <f t="shared" si="201"/>
        <v>-5000</v>
      </c>
    </row>
    <row r="274" spans="1:60" ht="14.25" customHeight="1" x14ac:dyDescent="0.3">
      <c r="A274" s="46"/>
      <c r="B274" s="37"/>
      <c r="C274" s="46" t="str">
        <f>C$175</f>
        <v>Total Nurse Cost</v>
      </c>
      <c r="D274" s="46">
        <f t="shared" si="198"/>
        <v>0</v>
      </c>
      <c r="E274" s="46">
        <f t="shared" si="198"/>
        <v>-98999</v>
      </c>
      <c r="F274" s="46">
        <f t="shared" si="198"/>
        <v>-249600</v>
      </c>
      <c r="G274" s="46">
        <f t="shared" si="198"/>
        <v>-249600</v>
      </c>
      <c r="H274" s="46">
        <f t="shared" si="198"/>
        <v>-249600</v>
      </c>
      <c r="I274" s="46"/>
      <c r="J274" s="46">
        <f t="shared" ref="J274:BH274" si="202">-J$175</f>
        <v>0</v>
      </c>
      <c r="K274" s="46">
        <f t="shared" si="202"/>
        <v>0</v>
      </c>
      <c r="L274" s="46">
        <f t="shared" si="202"/>
        <v>0</v>
      </c>
      <c r="M274" s="46">
        <f t="shared" si="202"/>
        <v>-1912</v>
      </c>
      <c r="N274" s="46">
        <f t="shared" si="202"/>
        <v>-2297</v>
      </c>
      <c r="O274" s="46">
        <f t="shared" si="202"/>
        <v>-3240</v>
      </c>
      <c r="P274" s="46">
        <f t="shared" si="202"/>
        <v>-2600</v>
      </c>
      <c r="Q274" s="46">
        <f t="shared" si="202"/>
        <v>-2550</v>
      </c>
      <c r="R274" s="46">
        <f t="shared" si="202"/>
        <v>-5300</v>
      </c>
      <c r="S274" s="46">
        <f t="shared" si="202"/>
        <v>-7100</v>
      </c>
      <c r="T274" s="46">
        <f t="shared" si="202"/>
        <v>-7800</v>
      </c>
      <c r="U274" s="46">
        <f t="shared" si="202"/>
        <v>-11800</v>
      </c>
      <c r="V274" s="46">
        <f t="shared" si="202"/>
        <v>-16800</v>
      </c>
      <c r="W274" s="46">
        <f t="shared" si="202"/>
        <v>-16800</v>
      </c>
      <c r="X274" s="46">
        <f t="shared" si="202"/>
        <v>-20800</v>
      </c>
      <c r="Y274" s="46">
        <f t="shared" si="202"/>
        <v>-20800</v>
      </c>
      <c r="Z274" s="46">
        <f t="shared" si="202"/>
        <v>-20800</v>
      </c>
      <c r="AA274" s="46">
        <f t="shared" si="202"/>
        <v>-20800</v>
      </c>
      <c r="AB274" s="46">
        <f t="shared" si="202"/>
        <v>-20800</v>
      </c>
      <c r="AC274" s="46">
        <f t="shared" si="202"/>
        <v>-20800</v>
      </c>
      <c r="AD274" s="46">
        <f t="shared" si="202"/>
        <v>-20800</v>
      </c>
      <c r="AE274" s="46">
        <f t="shared" si="202"/>
        <v>-20800</v>
      </c>
      <c r="AF274" s="46">
        <f t="shared" si="202"/>
        <v>-20800</v>
      </c>
      <c r="AG274" s="46">
        <f t="shared" si="202"/>
        <v>-20800</v>
      </c>
      <c r="AH274" s="46">
        <f t="shared" si="202"/>
        <v>-20800</v>
      </c>
      <c r="AI274" s="46">
        <f t="shared" si="202"/>
        <v>-20800</v>
      </c>
      <c r="AJ274" s="46">
        <f t="shared" si="202"/>
        <v>-20800</v>
      </c>
      <c r="AK274" s="46">
        <f t="shared" si="202"/>
        <v>-20800</v>
      </c>
      <c r="AL274" s="46">
        <f t="shared" si="202"/>
        <v>-20800</v>
      </c>
      <c r="AM274" s="46">
        <f t="shared" si="202"/>
        <v>-20800</v>
      </c>
      <c r="AN274" s="46">
        <f t="shared" si="202"/>
        <v>-20800</v>
      </c>
      <c r="AO274" s="46">
        <f t="shared" si="202"/>
        <v>-20800</v>
      </c>
      <c r="AP274" s="46">
        <f t="shared" si="202"/>
        <v>-20800</v>
      </c>
      <c r="AQ274" s="46">
        <f t="shared" si="202"/>
        <v>-20800</v>
      </c>
      <c r="AR274" s="46">
        <f t="shared" si="202"/>
        <v>-20800</v>
      </c>
      <c r="AS274" s="46">
        <f t="shared" si="202"/>
        <v>-20800</v>
      </c>
      <c r="AT274" s="46">
        <f t="shared" si="202"/>
        <v>-20800</v>
      </c>
      <c r="AU274" s="46">
        <f t="shared" si="202"/>
        <v>-20800</v>
      </c>
      <c r="AV274" s="46">
        <f t="shared" si="202"/>
        <v>-20800</v>
      </c>
      <c r="AW274" s="46">
        <f t="shared" si="202"/>
        <v>-20800</v>
      </c>
      <c r="AX274" s="46">
        <f t="shared" si="202"/>
        <v>-20800</v>
      </c>
      <c r="AY274" s="46">
        <f t="shared" si="202"/>
        <v>-20800</v>
      </c>
      <c r="AZ274" s="46">
        <f t="shared" si="202"/>
        <v>-20800</v>
      </c>
      <c r="BA274" s="46">
        <f t="shared" si="202"/>
        <v>-20800</v>
      </c>
      <c r="BB274" s="46">
        <f t="shared" si="202"/>
        <v>-20800</v>
      </c>
      <c r="BC274" s="46">
        <f t="shared" si="202"/>
        <v>-20800</v>
      </c>
      <c r="BD274" s="46">
        <f t="shared" si="202"/>
        <v>-20800</v>
      </c>
      <c r="BE274" s="46">
        <f t="shared" si="202"/>
        <v>-20800</v>
      </c>
      <c r="BF274" s="46">
        <f t="shared" si="202"/>
        <v>-20800</v>
      </c>
      <c r="BG274" s="46">
        <f t="shared" si="202"/>
        <v>-20800</v>
      </c>
      <c r="BH274" s="46">
        <f t="shared" si="202"/>
        <v>-20800</v>
      </c>
    </row>
    <row r="275" spans="1:60" ht="14.25" customHeight="1" x14ac:dyDescent="0.3">
      <c r="A275" s="46"/>
      <c r="B275" s="37"/>
      <c r="C275" s="46" t="str">
        <f>C$181</f>
        <v>Total Doctor Cost</v>
      </c>
      <c r="D275" s="46">
        <f t="shared" si="198"/>
        <v>0</v>
      </c>
      <c r="E275" s="46">
        <f t="shared" si="198"/>
        <v>-48500</v>
      </c>
      <c r="F275" s="46">
        <f t="shared" si="198"/>
        <v>-144000</v>
      </c>
      <c r="G275" s="46">
        <f t="shared" si="198"/>
        <v>-154000</v>
      </c>
      <c r="H275" s="46">
        <f t="shared" si="198"/>
        <v>-274000</v>
      </c>
      <c r="I275" s="46"/>
      <c r="J275" s="46">
        <f t="shared" ref="J275:BH275" si="203">-J$181</f>
        <v>0</v>
      </c>
      <c r="K275" s="46">
        <f t="shared" si="203"/>
        <v>0</v>
      </c>
      <c r="L275" s="46">
        <f t="shared" si="203"/>
        <v>0</v>
      </c>
      <c r="M275" s="46">
        <f t="shared" si="203"/>
        <v>0</v>
      </c>
      <c r="N275" s="46">
        <f t="shared" si="203"/>
        <v>0</v>
      </c>
      <c r="O275" s="46">
        <f t="shared" si="203"/>
        <v>0</v>
      </c>
      <c r="P275" s="46">
        <f t="shared" si="203"/>
        <v>0</v>
      </c>
      <c r="Q275" s="46">
        <f t="shared" si="203"/>
        <v>0</v>
      </c>
      <c r="R275" s="46">
        <f t="shared" si="203"/>
        <v>0</v>
      </c>
      <c r="S275" s="46">
        <f t="shared" si="203"/>
        <v>-2500</v>
      </c>
      <c r="T275" s="46">
        <f t="shared" si="203"/>
        <v>-5000</v>
      </c>
      <c r="U275" s="46">
        <f t="shared" si="203"/>
        <v>-5000</v>
      </c>
      <c r="V275" s="46">
        <f t="shared" si="203"/>
        <v>-12000</v>
      </c>
      <c r="W275" s="46">
        <f t="shared" si="203"/>
        <v>-12000</v>
      </c>
      <c r="X275" s="46">
        <f t="shared" si="203"/>
        <v>-12000</v>
      </c>
      <c r="Y275" s="46">
        <f t="shared" si="203"/>
        <v>-12000</v>
      </c>
      <c r="Z275" s="46">
        <f t="shared" si="203"/>
        <v>-12000</v>
      </c>
      <c r="AA275" s="46">
        <f t="shared" si="203"/>
        <v>-12000</v>
      </c>
      <c r="AB275" s="46">
        <f t="shared" si="203"/>
        <v>-12000</v>
      </c>
      <c r="AC275" s="46">
        <f t="shared" si="203"/>
        <v>-12000</v>
      </c>
      <c r="AD275" s="46">
        <f t="shared" si="203"/>
        <v>-12000</v>
      </c>
      <c r="AE275" s="46">
        <f t="shared" si="203"/>
        <v>-12000</v>
      </c>
      <c r="AF275" s="46">
        <f t="shared" si="203"/>
        <v>-12000</v>
      </c>
      <c r="AG275" s="46">
        <f t="shared" si="203"/>
        <v>-12000</v>
      </c>
      <c r="AH275" s="46">
        <f t="shared" si="203"/>
        <v>-12000</v>
      </c>
      <c r="AI275" s="46">
        <f t="shared" si="203"/>
        <v>-12000</v>
      </c>
      <c r="AJ275" s="46">
        <f t="shared" si="203"/>
        <v>-12000</v>
      </c>
      <c r="AK275" s="46">
        <f t="shared" si="203"/>
        <v>-12000</v>
      </c>
      <c r="AL275" s="46">
        <f t="shared" si="203"/>
        <v>-12000</v>
      </c>
      <c r="AM275" s="46">
        <f t="shared" si="203"/>
        <v>-12000</v>
      </c>
      <c r="AN275" s="46">
        <f t="shared" si="203"/>
        <v>-12000</v>
      </c>
      <c r="AO275" s="46">
        <f t="shared" si="203"/>
        <v>-12000</v>
      </c>
      <c r="AP275" s="46">
        <f t="shared" si="203"/>
        <v>-12000</v>
      </c>
      <c r="AQ275" s="46">
        <f t="shared" si="203"/>
        <v>-12000</v>
      </c>
      <c r="AR275" s="46">
        <f t="shared" si="203"/>
        <v>-12000</v>
      </c>
      <c r="AS275" s="46">
        <f t="shared" si="203"/>
        <v>-12000</v>
      </c>
      <c r="AT275" s="46">
        <f t="shared" si="203"/>
        <v>-12000</v>
      </c>
      <c r="AU275" s="46">
        <f t="shared" si="203"/>
        <v>-12000</v>
      </c>
      <c r="AV275" s="46">
        <f t="shared" si="203"/>
        <v>-22000</v>
      </c>
      <c r="AW275" s="46">
        <f t="shared" si="203"/>
        <v>-22000</v>
      </c>
      <c r="AX275" s="46">
        <f t="shared" si="203"/>
        <v>-22000</v>
      </c>
      <c r="AY275" s="46">
        <f t="shared" si="203"/>
        <v>-22000</v>
      </c>
      <c r="AZ275" s="46">
        <f t="shared" si="203"/>
        <v>-22000</v>
      </c>
      <c r="BA275" s="46">
        <f t="shared" si="203"/>
        <v>-22000</v>
      </c>
      <c r="BB275" s="46">
        <f t="shared" si="203"/>
        <v>-22000</v>
      </c>
      <c r="BC275" s="46">
        <f t="shared" si="203"/>
        <v>-22000</v>
      </c>
      <c r="BD275" s="46">
        <f t="shared" si="203"/>
        <v>-22000</v>
      </c>
      <c r="BE275" s="46">
        <f t="shared" si="203"/>
        <v>-22000</v>
      </c>
      <c r="BF275" s="46">
        <f t="shared" si="203"/>
        <v>-22000</v>
      </c>
      <c r="BG275" s="46">
        <f t="shared" si="203"/>
        <v>-22000</v>
      </c>
      <c r="BH275" s="46">
        <f t="shared" si="203"/>
        <v>-32000</v>
      </c>
    </row>
    <row r="276" spans="1:60" ht="14.25" customHeight="1" x14ac:dyDescent="0.3">
      <c r="A276" s="46"/>
      <c r="B276" s="37"/>
      <c r="C276" s="46" t="str">
        <f>C$188</f>
        <v>Total Staff Additional Cost to Company</v>
      </c>
      <c r="D276" s="46">
        <f t="shared" si="198"/>
        <v>-2970</v>
      </c>
      <c r="E276" s="46">
        <f t="shared" si="198"/>
        <v>-47745.522000000012</v>
      </c>
      <c r="F276" s="46">
        <f t="shared" si="198"/>
        <v>-103641.11999999998</v>
      </c>
      <c r="G276" s="46">
        <f t="shared" si="198"/>
        <v>-105621.11999999998</v>
      </c>
      <c r="H276" s="46">
        <f t="shared" si="198"/>
        <v>-129381.11999999998</v>
      </c>
      <c r="I276" s="46"/>
      <c r="J276" s="46">
        <f>-J$188</f>
        <v>-990</v>
      </c>
      <c r="K276" s="46">
        <f t="shared" ref="K276:BH276" si="204">-K$188</f>
        <v>-990</v>
      </c>
      <c r="L276" s="46">
        <f t="shared" si="204"/>
        <v>-990</v>
      </c>
      <c r="M276" s="46">
        <f t="shared" si="204"/>
        <v>-1368.576</v>
      </c>
      <c r="N276" s="46">
        <f t="shared" si="204"/>
        <v>-1444.806</v>
      </c>
      <c r="O276" s="46">
        <f t="shared" si="204"/>
        <v>-1631.5200000000002</v>
      </c>
      <c r="P276" s="46">
        <f t="shared" si="204"/>
        <v>-1504.8000000000002</v>
      </c>
      <c r="Q276" s="46">
        <f t="shared" si="204"/>
        <v>-1494.9</v>
      </c>
      <c r="R276" s="46">
        <f t="shared" si="204"/>
        <v>-2039.4</v>
      </c>
      <c r="S276" s="46">
        <f t="shared" si="204"/>
        <v>-3789.7200000000003</v>
      </c>
      <c r="T276" s="46">
        <f t="shared" si="204"/>
        <v>-4676.76</v>
      </c>
      <c r="U276" s="46">
        <f t="shared" si="204"/>
        <v>-5468.76</v>
      </c>
      <c r="V276" s="46">
        <f t="shared" si="204"/>
        <v>-7844.76</v>
      </c>
      <c r="W276" s="46">
        <f t="shared" si="204"/>
        <v>-7844.76</v>
      </c>
      <c r="X276" s="46">
        <f t="shared" si="204"/>
        <v>-8636.76</v>
      </c>
      <c r="Y276" s="46">
        <f t="shared" si="204"/>
        <v>-8636.76</v>
      </c>
      <c r="Z276" s="46">
        <f t="shared" si="204"/>
        <v>-8636.76</v>
      </c>
      <c r="AA276" s="46">
        <f t="shared" si="204"/>
        <v>-8636.76</v>
      </c>
      <c r="AB276" s="46">
        <f t="shared" si="204"/>
        <v>-8636.76</v>
      </c>
      <c r="AC276" s="46">
        <f t="shared" si="204"/>
        <v>-8636.76</v>
      </c>
      <c r="AD276" s="46">
        <f t="shared" si="204"/>
        <v>-8636.76</v>
      </c>
      <c r="AE276" s="46">
        <f t="shared" si="204"/>
        <v>-8636.76</v>
      </c>
      <c r="AF276" s="46">
        <f t="shared" si="204"/>
        <v>-8636.76</v>
      </c>
      <c r="AG276" s="46">
        <f t="shared" si="204"/>
        <v>-8636.76</v>
      </c>
      <c r="AH276" s="46">
        <f t="shared" si="204"/>
        <v>-8636.76</v>
      </c>
      <c r="AI276" s="46">
        <f t="shared" si="204"/>
        <v>-8636.76</v>
      </c>
      <c r="AJ276" s="46">
        <f t="shared" si="204"/>
        <v>-8636.76</v>
      </c>
      <c r="AK276" s="46">
        <f t="shared" si="204"/>
        <v>-8636.76</v>
      </c>
      <c r="AL276" s="46">
        <f t="shared" si="204"/>
        <v>-8636.76</v>
      </c>
      <c r="AM276" s="46">
        <f t="shared" si="204"/>
        <v>-8636.76</v>
      </c>
      <c r="AN276" s="46">
        <f t="shared" si="204"/>
        <v>-8636.76</v>
      </c>
      <c r="AO276" s="46">
        <f t="shared" si="204"/>
        <v>-8636.76</v>
      </c>
      <c r="AP276" s="46">
        <f t="shared" si="204"/>
        <v>-8636.76</v>
      </c>
      <c r="AQ276" s="46">
        <f t="shared" si="204"/>
        <v>-8636.76</v>
      </c>
      <c r="AR276" s="46">
        <f t="shared" si="204"/>
        <v>-8636.76</v>
      </c>
      <c r="AS276" s="46">
        <f t="shared" si="204"/>
        <v>-8636.76</v>
      </c>
      <c r="AT276" s="46">
        <f t="shared" si="204"/>
        <v>-8636.76</v>
      </c>
      <c r="AU276" s="46">
        <f t="shared" si="204"/>
        <v>-8636.76</v>
      </c>
      <c r="AV276" s="46">
        <f t="shared" si="204"/>
        <v>-10616.76</v>
      </c>
      <c r="AW276" s="46">
        <f t="shared" si="204"/>
        <v>-10616.76</v>
      </c>
      <c r="AX276" s="46">
        <f t="shared" si="204"/>
        <v>-10616.76</v>
      </c>
      <c r="AY276" s="46">
        <f t="shared" si="204"/>
        <v>-10616.76</v>
      </c>
      <c r="AZ276" s="46">
        <f t="shared" si="204"/>
        <v>-10616.76</v>
      </c>
      <c r="BA276" s="46">
        <f t="shared" si="204"/>
        <v>-10616.76</v>
      </c>
      <c r="BB276" s="46">
        <f t="shared" si="204"/>
        <v>-10616.76</v>
      </c>
      <c r="BC276" s="46">
        <f t="shared" si="204"/>
        <v>-10616.76</v>
      </c>
      <c r="BD276" s="46">
        <f t="shared" si="204"/>
        <v>-10616.76</v>
      </c>
      <c r="BE276" s="46">
        <f t="shared" si="204"/>
        <v>-10616.76</v>
      </c>
      <c r="BF276" s="46">
        <f t="shared" si="204"/>
        <v>-10616.76</v>
      </c>
      <c r="BG276" s="46">
        <f t="shared" si="204"/>
        <v>-10616.76</v>
      </c>
      <c r="BH276" s="46">
        <f t="shared" si="204"/>
        <v>-12596.76</v>
      </c>
    </row>
    <row r="277" spans="1:60" ht="14.25" customHeight="1" x14ac:dyDescent="0.3">
      <c r="A277" s="46"/>
      <c r="B277" s="37"/>
      <c r="C277" s="46" t="str">
        <f>C$191</f>
        <v>James</v>
      </c>
      <c r="D277" s="46">
        <f t="shared" si="198"/>
        <v>0</v>
      </c>
      <c r="E277" s="46">
        <f t="shared" si="198"/>
        <v>-133276.46870668509</v>
      </c>
      <c r="F277" s="46">
        <f t="shared" si="198"/>
        <v>-133276.46870668509</v>
      </c>
      <c r="G277" s="46">
        <f t="shared" si="198"/>
        <v>-133276.46870668509</v>
      </c>
      <c r="H277" s="46">
        <f t="shared" si="198"/>
        <v>-133276.46870668509</v>
      </c>
      <c r="I277" s="46"/>
      <c r="J277" s="46">
        <f t="shared" ref="J277:BH277" si="205">-J$191</f>
        <v>0</v>
      </c>
      <c r="K277" s="46">
        <f t="shared" si="205"/>
        <v>0</v>
      </c>
      <c r="L277" s="46">
        <f t="shared" si="205"/>
        <v>0</v>
      </c>
      <c r="M277" s="46">
        <f t="shared" si="205"/>
        <v>-11106.37239222376</v>
      </c>
      <c r="N277" s="46">
        <f t="shared" si="205"/>
        <v>-11106.37239222376</v>
      </c>
      <c r="O277" s="46">
        <f t="shared" si="205"/>
        <v>-11106.37239222376</v>
      </c>
      <c r="P277" s="46">
        <f t="shared" si="205"/>
        <v>-11106.37239222376</v>
      </c>
      <c r="Q277" s="46">
        <f t="shared" si="205"/>
        <v>-11106.37239222376</v>
      </c>
      <c r="R277" s="46">
        <f t="shared" si="205"/>
        <v>-11106.37239222376</v>
      </c>
      <c r="S277" s="46">
        <f t="shared" si="205"/>
        <v>-11106.37239222376</v>
      </c>
      <c r="T277" s="46">
        <f t="shared" si="205"/>
        <v>-11106.37239222376</v>
      </c>
      <c r="U277" s="46">
        <f t="shared" si="205"/>
        <v>-11106.37239222376</v>
      </c>
      <c r="V277" s="46">
        <f t="shared" si="205"/>
        <v>-11106.37239222376</v>
      </c>
      <c r="W277" s="46">
        <f t="shared" si="205"/>
        <v>-11106.37239222376</v>
      </c>
      <c r="X277" s="46">
        <f t="shared" si="205"/>
        <v>-11106.37239222376</v>
      </c>
      <c r="Y277" s="46">
        <f t="shared" si="205"/>
        <v>-11106.37239222376</v>
      </c>
      <c r="Z277" s="46">
        <f t="shared" si="205"/>
        <v>-11106.37239222376</v>
      </c>
      <c r="AA277" s="46">
        <f t="shared" si="205"/>
        <v>-11106.37239222376</v>
      </c>
      <c r="AB277" s="46">
        <f t="shared" si="205"/>
        <v>-11106.37239222376</v>
      </c>
      <c r="AC277" s="46">
        <f t="shared" si="205"/>
        <v>-11106.37239222376</v>
      </c>
      <c r="AD277" s="46">
        <f t="shared" si="205"/>
        <v>-11106.37239222376</v>
      </c>
      <c r="AE277" s="46">
        <f t="shared" si="205"/>
        <v>-11106.37239222376</v>
      </c>
      <c r="AF277" s="46">
        <f t="shared" si="205"/>
        <v>-11106.37239222376</v>
      </c>
      <c r="AG277" s="46">
        <f t="shared" si="205"/>
        <v>-11106.37239222376</v>
      </c>
      <c r="AH277" s="46">
        <f t="shared" si="205"/>
        <v>-11106.37239222376</v>
      </c>
      <c r="AI277" s="46">
        <f t="shared" si="205"/>
        <v>-11106.37239222376</v>
      </c>
      <c r="AJ277" s="46">
        <f t="shared" si="205"/>
        <v>-11106.37239222376</v>
      </c>
      <c r="AK277" s="46">
        <f t="shared" si="205"/>
        <v>-11106.37239222376</v>
      </c>
      <c r="AL277" s="46">
        <f t="shared" si="205"/>
        <v>-11106.37239222376</v>
      </c>
      <c r="AM277" s="46">
        <f t="shared" si="205"/>
        <v>-11106.37239222376</v>
      </c>
      <c r="AN277" s="46">
        <f t="shared" si="205"/>
        <v>-11106.37239222376</v>
      </c>
      <c r="AO277" s="46">
        <f t="shared" si="205"/>
        <v>-11106.37239222376</v>
      </c>
      <c r="AP277" s="46">
        <f t="shared" si="205"/>
        <v>-11106.37239222376</v>
      </c>
      <c r="AQ277" s="46">
        <f t="shared" si="205"/>
        <v>-11106.37239222376</v>
      </c>
      <c r="AR277" s="46">
        <f t="shared" si="205"/>
        <v>-11106.37239222376</v>
      </c>
      <c r="AS277" s="46">
        <f t="shared" si="205"/>
        <v>-11106.37239222376</v>
      </c>
      <c r="AT277" s="46">
        <f t="shared" si="205"/>
        <v>-11106.37239222376</v>
      </c>
      <c r="AU277" s="46">
        <f t="shared" si="205"/>
        <v>-11106.37239222376</v>
      </c>
      <c r="AV277" s="46">
        <f t="shared" si="205"/>
        <v>-11106.37239222376</v>
      </c>
      <c r="AW277" s="46">
        <f t="shared" si="205"/>
        <v>-11106.37239222376</v>
      </c>
      <c r="AX277" s="46">
        <f t="shared" si="205"/>
        <v>-11106.37239222376</v>
      </c>
      <c r="AY277" s="46">
        <f t="shared" si="205"/>
        <v>-11106.37239222376</v>
      </c>
      <c r="AZ277" s="46">
        <f t="shared" si="205"/>
        <v>-11106.37239222376</v>
      </c>
      <c r="BA277" s="46">
        <f t="shared" si="205"/>
        <v>-11106.37239222376</v>
      </c>
      <c r="BB277" s="46">
        <f t="shared" si="205"/>
        <v>-11106.37239222376</v>
      </c>
      <c r="BC277" s="46">
        <f t="shared" si="205"/>
        <v>-11106.37239222376</v>
      </c>
      <c r="BD277" s="46">
        <f t="shared" si="205"/>
        <v>-11106.37239222376</v>
      </c>
      <c r="BE277" s="46">
        <f t="shared" si="205"/>
        <v>-11106.37239222376</v>
      </c>
      <c r="BF277" s="46">
        <f t="shared" si="205"/>
        <v>-11106.37239222376</v>
      </c>
      <c r="BG277" s="46">
        <f t="shared" si="205"/>
        <v>-11106.37239222376</v>
      </c>
      <c r="BH277" s="46">
        <f t="shared" si="205"/>
        <v>-11106.37239222376</v>
      </c>
    </row>
    <row r="278" spans="1:60" ht="14.25" customHeight="1" x14ac:dyDescent="0.3">
      <c r="A278" s="46"/>
      <c r="B278" s="37"/>
      <c r="C278" s="46" t="str">
        <f>C$192</f>
        <v>CTO</v>
      </c>
      <c r="D278" s="46">
        <f t="shared" si="198"/>
        <v>0</v>
      </c>
      <c r="E278" s="46">
        <f t="shared" si="198"/>
        <v>0</v>
      </c>
      <c r="F278" s="46">
        <f t="shared" si="198"/>
        <v>0</v>
      </c>
      <c r="G278" s="46">
        <f t="shared" si="198"/>
        <v>0</v>
      </c>
      <c r="H278" s="46">
        <f t="shared" si="198"/>
        <v>0</v>
      </c>
      <c r="I278" s="46"/>
      <c r="J278" s="46">
        <f t="shared" ref="J278:BH278" si="206">-J$192</f>
        <v>0</v>
      </c>
      <c r="K278" s="46">
        <f t="shared" si="206"/>
        <v>0</v>
      </c>
      <c r="L278" s="46">
        <f t="shared" si="206"/>
        <v>0</v>
      </c>
      <c r="M278" s="46">
        <f t="shared" si="206"/>
        <v>0</v>
      </c>
      <c r="N278" s="46">
        <f t="shared" si="206"/>
        <v>0</v>
      </c>
      <c r="O278" s="46">
        <f t="shared" si="206"/>
        <v>0</v>
      </c>
      <c r="P278" s="46">
        <f t="shared" si="206"/>
        <v>0</v>
      </c>
      <c r="Q278" s="46">
        <f t="shared" si="206"/>
        <v>0</v>
      </c>
      <c r="R278" s="46">
        <f t="shared" si="206"/>
        <v>0</v>
      </c>
      <c r="S278" s="46">
        <f t="shared" si="206"/>
        <v>0</v>
      </c>
      <c r="T278" s="46">
        <f t="shared" si="206"/>
        <v>0</v>
      </c>
      <c r="U278" s="46">
        <f t="shared" si="206"/>
        <v>0</v>
      </c>
      <c r="V278" s="46">
        <f t="shared" si="206"/>
        <v>0</v>
      </c>
      <c r="W278" s="46">
        <f t="shared" si="206"/>
        <v>0</v>
      </c>
      <c r="X278" s="46">
        <f t="shared" si="206"/>
        <v>0</v>
      </c>
      <c r="Y278" s="46">
        <f t="shared" si="206"/>
        <v>0</v>
      </c>
      <c r="Z278" s="46">
        <f t="shared" si="206"/>
        <v>0</v>
      </c>
      <c r="AA278" s="46">
        <f t="shared" si="206"/>
        <v>0</v>
      </c>
      <c r="AB278" s="46">
        <f t="shared" si="206"/>
        <v>0</v>
      </c>
      <c r="AC278" s="46">
        <f t="shared" si="206"/>
        <v>0</v>
      </c>
      <c r="AD278" s="46">
        <f t="shared" si="206"/>
        <v>0</v>
      </c>
      <c r="AE278" s="46">
        <f t="shared" si="206"/>
        <v>0</v>
      </c>
      <c r="AF278" s="46">
        <f t="shared" si="206"/>
        <v>0</v>
      </c>
      <c r="AG278" s="46">
        <f t="shared" si="206"/>
        <v>0</v>
      </c>
      <c r="AH278" s="46">
        <f t="shared" si="206"/>
        <v>0</v>
      </c>
      <c r="AI278" s="46">
        <f t="shared" si="206"/>
        <v>0</v>
      </c>
      <c r="AJ278" s="46">
        <f t="shared" si="206"/>
        <v>0</v>
      </c>
      <c r="AK278" s="46">
        <f t="shared" si="206"/>
        <v>0</v>
      </c>
      <c r="AL278" s="46">
        <f t="shared" si="206"/>
        <v>0</v>
      </c>
      <c r="AM278" s="46">
        <f t="shared" si="206"/>
        <v>0</v>
      </c>
      <c r="AN278" s="46">
        <f t="shared" si="206"/>
        <v>0</v>
      </c>
      <c r="AO278" s="46">
        <f t="shared" si="206"/>
        <v>0</v>
      </c>
      <c r="AP278" s="46">
        <f t="shared" si="206"/>
        <v>0</v>
      </c>
      <c r="AQ278" s="46">
        <f t="shared" si="206"/>
        <v>0</v>
      </c>
      <c r="AR278" s="46">
        <f t="shared" si="206"/>
        <v>0</v>
      </c>
      <c r="AS278" s="46">
        <f t="shared" si="206"/>
        <v>0</v>
      </c>
      <c r="AT278" s="46">
        <f t="shared" si="206"/>
        <v>0</v>
      </c>
      <c r="AU278" s="46">
        <f t="shared" si="206"/>
        <v>0</v>
      </c>
      <c r="AV278" s="46">
        <f t="shared" si="206"/>
        <v>0</v>
      </c>
      <c r="AW278" s="46">
        <f t="shared" si="206"/>
        <v>0</v>
      </c>
      <c r="AX278" s="46">
        <f t="shared" si="206"/>
        <v>0</v>
      </c>
      <c r="AY278" s="46">
        <f t="shared" si="206"/>
        <v>0</v>
      </c>
      <c r="AZ278" s="46">
        <f t="shared" si="206"/>
        <v>0</v>
      </c>
      <c r="BA278" s="46">
        <f t="shared" si="206"/>
        <v>0</v>
      </c>
      <c r="BB278" s="46">
        <f t="shared" si="206"/>
        <v>0</v>
      </c>
      <c r="BC278" s="46">
        <f t="shared" si="206"/>
        <v>0</v>
      </c>
      <c r="BD278" s="46">
        <f t="shared" si="206"/>
        <v>0</v>
      </c>
      <c r="BE278" s="46">
        <f t="shared" si="206"/>
        <v>0</v>
      </c>
      <c r="BF278" s="46">
        <f t="shared" si="206"/>
        <v>0</v>
      </c>
      <c r="BG278" s="46">
        <f t="shared" si="206"/>
        <v>0</v>
      </c>
      <c r="BH278" s="46">
        <f t="shared" si="206"/>
        <v>0</v>
      </c>
    </row>
    <row r="279" spans="1:60" ht="14.25" customHeight="1" x14ac:dyDescent="0.3">
      <c r="A279" s="46"/>
      <c r="B279" s="37"/>
      <c r="C279" s="46" t="str">
        <f>C$194</f>
        <v xml:space="preserve">Consultants </v>
      </c>
      <c r="D279" s="46">
        <f t="shared" si="198"/>
        <v>0</v>
      </c>
      <c r="E279" s="46">
        <f t="shared" si="198"/>
        <v>-14400</v>
      </c>
      <c r="F279" s="46">
        <f t="shared" si="198"/>
        <v>-19200</v>
      </c>
      <c r="G279" s="46">
        <f t="shared" si="198"/>
        <v>-19200</v>
      </c>
      <c r="H279" s="46">
        <f t="shared" si="198"/>
        <v>-19200</v>
      </c>
      <c r="I279" s="46"/>
      <c r="J279" s="46">
        <f t="shared" ref="J279:BH279" si="207">-J$194</f>
        <v>0</v>
      </c>
      <c r="K279" s="46">
        <f t="shared" si="207"/>
        <v>0</v>
      </c>
      <c r="L279" s="46">
        <f t="shared" si="207"/>
        <v>0</v>
      </c>
      <c r="M279" s="46">
        <f t="shared" si="207"/>
        <v>0</v>
      </c>
      <c r="N279" s="46">
        <f t="shared" si="207"/>
        <v>0</v>
      </c>
      <c r="O279" s="46">
        <f t="shared" si="207"/>
        <v>0</v>
      </c>
      <c r="P279" s="46">
        <f t="shared" si="207"/>
        <v>-1600</v>
      </c>
      <c r="Q279" s="46">
        <f t="shared" si="207"/>
        <v>-1600</v>
      </c>
      <c r="R279" s="46">
        <f t="shared" si="207"/>
        <v>-1600</v>
      </c>
      <c r="S279" s="46">
        <f t="shared" si="207"/>
        <v>-1600</v>
      </c>
      <c r="T279" s="46">
        <f t="shared" si="207"/>
        <v>-1600</v>
      </c>
      <c r="U279" s="46">
        <f t="shared" si="207"/>
        <v>-1600</v>
      </c>
      <c r="V279" s="46">
        <f t="shared" si="207"/>
        <v>-1600</v>
      </c>
      <c r="W279" s="46">
        <f t="shared" si="207"/>
        <v>-1600</v>
      </c>
      <c r="X279" s="46">
        <f t="shared" si="207"/>
        <v>-1600</v>
      </c>
      <c r="Y279" s="46">
        <f t="shared" si="207"/>
        <v>-1600</v>
      </c>
      <c r="Z279" s="46">
        <f t="shared" si="207"/>
        <v>-1600</v>
      </c>
      <c r="AA279" s="46">
        <f t="shared" si="207"/>
        <v>-1600</v>
      </c>
      <c r="AB279" s="46">
        <f t="shared" si="207"/>
        <v>-1600</v>
      </c>
      <c r="AC279" s="46">
        <f t="shared" si="207"/>
        <v>-1600</v>
      </c>
      <c r="AD279" s="46">
        <f t="shared" si="207"/>
        <v>-1600</v>
      </c>
      <c r="AE279" s="46">
        <f t="shared" si="207"/>
        <v>-1600</v>
      </c>
      <c r="AF279" s="46">
        <f t="shared" si="207"/>
        <v>-1600</v>
      </c>
      <c r="AG279" s="46">
        <f t="shared" si="207"/>
        <v>-1600</v>
      </c>
      <c r="AH279" s="46">
        <f t="shared" si="207"/>
        <v>-1600</v>
      </c>
      <c r="AI279" s="46">
        <f t="shared" si="207"/>
        <v>-1600</v>
      </c>
      <c r="AJ279" s="46">
        <f t="shared" si="207"/>
        <v>-1600</v>
      </c>
      <c r="AK279" s="46">
        <f t="shared" si="207"/>
        <v>-1600</v>
      </c>
      <c r="AL279" s="46">
        <f t="shared" si="207"/>
        <v>-1600</v>
      </c>
      <c r="AM279" s="46">
        <f t="shared" si="207"/>
        <v>-1600</v>
      </c>
      <c r="AN279" s="46">
        <f t="shared" si="207"/>
        <v>-1600</v>
      </c>
      <c r="AO279" s="46">
        <f t="shared" si="207"/>
        <v>-1600</v>
      </c>
      <c r="AP279" s="46">
        <f t="shared" si="207"/>
        <v>-1600</v>
      </c>
      <c r="AQ279" s="46">
        <f t="shared" si="207"/>
        <v>-1600</v>
      </c>
      <c r="AR279" s="46">
        <f t="shared" si="207"/>
        <v>-1600</v>
      </c>
      <c r="AS279" s="46">
        <f t="shared" si="207"/>
        <v>-1600</v>
      </c>
      <c r="AT279" s="46">
        <f t="shared" si="207"/>
        <v>-1600</v>
      </c>
      <c r="AU279" s="46">
        <f t="shared" si="207"/>
        <v>-1600</v>
      </c>
      <c r="AV279" s="46">
        <f t="shared" si="207"/>
        <v>-1600</v>
      </c>
      <c r="AW279" s="46">
        <f t="shared" si="207"/>
        <v>-1600</v>
      </c>
      <c r="AX279" s="46">
        <f t="shared" si="207"/>
        <v>-1600</v>
      </c>
      <c r="AY279" s="46">
        <f t="shared" si="207"/>
        <v>-1600</v>
      </c>
      <c r="AZ279" s="46">
        <f t="shared" si="207"/>
        <v>-1600</v>
      </c>
      <c r="BA279" s="46">
        <f t="shared" si="207"/>
        <v>-1600</v>
      </c>
      <c r="BB279" s="46">
        <f t="shared" si="207"/>
        <v>-1600</v>
      </c>
      <c r="BC279" s="46">
        <f t="shared" si="207"/>
        <v>-1600</v>
      </c>
      <c r="BD279" s="46">
        <f t="shared" si="207"/>
        <v>-1600</v>
      </c>
      <c r="BE279" s="46">
        <f t="shared" si="207"/>
        <v>-1600</v>
      </c>
      <c r="BF279" s="46">
        <f t="shared" si="207"/>
        <v>-1600</v>
      </c>
      <c r="BG279" s="46">
        <f t="shared" si="207"/>
        <v>-1600</v>
      </c>
      <c r="BH279" s="46">
        <f t="shared" si="207"/>
        <v>-1600</v>
      </c>
    </row>
    <row r="280" spans="1:60" ht="14.25" customHeight="1" x14ac:dyDescent="0.3">
      <c r="A280" s="37"/>
      <c r="B280" s="37"/>
      <c r="C280" s="37" t="s">
        <v>176</v>
      </c>
      <c r="D280" s="68">
        <f t="shared" si="198"/>
        <v>-17970</v>
      </c>
      <c r="E280" s="68">
        <f t="shared" si="198"/>
        <v>-436560.99070668512</v>
      </c>
      <c r="F280" s="68">
        <f t="shared" si="198"/>
        <v>-779557.58870668523</v>
      </c>
      <c r="G280" s="68">
        <f t="shared" si="198"/>
        <v>-791537.58870668523</v>
      </c>
      <c r="H280" s="68">
        <f t="shared" si="198"/>
        <v>-935297.58870668523</v>
      </c>
      <c r="I280" s="68"/>
      <c r="J280" s="68">
        <f t="shared" ref="J280:BH280" si="208">SUM(J271:J279)</f>
        <v>-5990</v>
      </c>
      <c r="K280" s="68">
        <f t="shared" si="208"/>
        <v>-5990</v>
      </c>
      <c r="L280" s="68">
        <f t="shared" si="208"/>
        <v>-5990</v>
      </c>
      <c r="M280" s="68">
        <f t="shared" si="208"/>
        <v>-19386.948392223763</v>
      </c>
      <c r="N280" s="68">
        <f t="shared" si="208"/>
        <v>-19848.178392223759</v>
      </c>
      <c r="O280" s="68">
        <f t="shared" si="208"/>
        <v>-20977.892392223759</v>
      </c>
      <c r="P280" s="68">
        <f t="shared" si="208"/>
        <v>-21811.172392223758</v>
      </c>
      <c r="Q280" s="68">
        <f t="shared" si="208"/>
        <v>-21751.27239222376</v>
      </c>
      <c r="R280" s="68">
        <f t="shared" si="208"/>
        <v>-25045.77239222376</v>
      </c>
      <c r="S280" s="68">
        <f>SUM(S271:S279)</f>
        <v>-35636.092392223763</v>
      </c>
      <c r="T280" s="68">
        <f t="shared" si="208"/>
        <v>-41003.132392223764</v>
      </c>
      <c r="U280" s="68">
        <f t="shared" si="208"/>
        <v>-45795.132392223764</v>
      </c>
      <c r="V280" s="68">
        <f t="shared" si="208"/>
        <v>-60171.132392223764</v>
      </c>
      <c r="W280" s="68">
        <f t="shared" si="208"/>
        <v>-60171.132392223764</v>
      </c>
      <c r="X280" s="68">
        <f t="shared" si="208"/>
        <v>-64963.132392223764</v>
      </c>
      <c r="Y280" s="68">
        <f t="shared" si="208"/>
        <v>-64963.132392223764</v>
      </c>
      <c r="Z280" s="68">
        <f t="shared" si="208"/>
        <v>-64963.132392223764</v>
      </c>
      <c r="AA280" s="68">
        <f t="shared" si="208"/>
        <v>-64963.132392223764</v>
      </c>
      <c r="AB280" s="68">
        <f t="shared" si="208"/>
        <v>-64963.132392223764</v>
      </c>
      <c r="AC280" s="68">
        <f t="shared" si="208"/>
        <v>-64963.132392223764</v>
      </c>
      <c r="AD280" s="68">
        <f t="shared" si="208"/>
        <v>-64963.132392223764</v>
      </c>
      <c r="AE280" s="68">
        <f t="shared" si="208"/>
        <v>-64963.132392223764</v>
      </c>
      <c r="AF280" s="68">
        <f t="shared" si="208"/>
        <v>-64963.132392223764</v>
      </c>
      <c r="AG280" s="68">
        <f t="shared" si="208"/>
        <v>-64963.132392223764</v>
      </c>
      <c r="AH280" s="68">
        <f t="shared" si="208"/>
        <v>-64963.132392223764</v>
      </c>
      <c r="AI280" s="68">
        <f t="shared" si="208"/>
        <v>-64963.132392223764</v>
      </c>
      <c r="AJ280" s="68">
        <f t="shared" si="208"/>
        <v>-64963.132392223764</v>
      </c>
      <c r="AK280" s="68">
        <f t="shared" si="208"/>
        <v>-64963.132392223764</v>
      </c>
      <c r="AL280" s="68">
        <f t="shared" si="208"/>
        <v>-64963.132392223764</v>
      </c>
      <c r="AM280" s="68">
        <f t="shared" si="208"/>
        <v>-64963.132392223764</v>
      </c>
      <c r="AN280" s="68">
        <f t="shared" si="208"/>
        <v>-64963.132392223764</v>
      </c>
      <c r="AO280" s="68">
        <f t="shared" si="208"/>
        <v>-64963.132392223764</v>
      </c>
      <c r="AP280" s="68">
        <f t="shared" si="208"/>
        <v>-64963.132392223764</v>
      </c>
      <c r="AQ280" s="68">
        <f t="shared" si="208"/>
        <v>-64963.132392223764</v>
      </c>
      <c r="AR280" s="68">
        <f t="shared" si="208"/>
        <v>-64963.132392223764</v>
      </c>
      <c r="AS280" s="68">
        <f t="shared" si="208"/>
        <v>-64963.132392223764</v>
      </c>
      <c r="AT280" s="68">
        <f t="shared" si="208"/>
        <v>-64963.132392223764</v>
      </c>
      <c r="AU280" s="68">
        <f t="shared" si="208"/>
        <v>-64963.132392223764</v>
      </c>
      <c r="AV280" s="68">
        <f t="shared" si="208"/>
        <v>-76943.132392223764</v>
      </c>
      <c r="AW280" s="68">
        <f t="shared" si="208"/>
        <v>-76943.132392223764</v>
      </c>
      <c r="AX280" s="68">
        <f t="shared" si="208"/>
        <v>-76943.132392223764</v>
      </c>
      <c r="AY280" s="68">
        <f t="shared" si="208"/>
        <v>-76943.132392223764</v>
      </c>
      <c r="AZ280" s="68">
        <f t="shared" si="208"/>
        <v>-76943.132392223764</v>
      </c>
      <c r="BA280" s="68">
        <f t="shared" si="208"/>
        <v>-76943.132392223764</v>
      </c>
      <c r="BB280" s="68">
        <f t="shared" si="208"/>
        <v>-76943.132392223764</v>
      </c>
      <c r="BC280" s="68">
        <f t="shared" si="208"/>
        <v>-76943.132392223764</v>
      </c>
      <c r="BD280" s="68">
        <f t="shared" si="208"/>
        <v>-76943.132392223764</v>
      </c>
      <c r="BE280" s="68">
        <f t="shared" si="208"/>
        <v>-76943.132392223764</v>
      </c>
      <c r="BF280" s="68">
        <f t="shared" si="208"/>
        <v>-76943.132392223764</v>
      </c>
      <c r="BG280" s="68">
        <f t="shared" si="208"/>
        <v>-76943.132392223764</v>
      </c>
      <c r="BH280" s="68">
        <f t="shared" si="208"/>
        <v>-88923.13239222375</v>
      </c>
    </row>
    <row r="281" spans="1:60" ht="14.25" customHeight="1" x14ac:dyDescent="0.3">
      <c r="A281" s="46"/>
      <c r="B281" s="37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  <c r="AC281" s="46"/>
      <c r="AD281" s="46"/>
      <c r="AE281" s="46"/>
      <c r="AF281" s="46"/>
      <c r="AG281" s="46"/>
      <c r="AH281" s="46"/>
      <c r="AI281" s="46"/>
      <c r="AJ281" s="46"/>
      <c r="AK281" s="46"/>
      <c r="AL281" s="46"/>
      <c r="AM281" s="46"/>
      <c r="AN281" s="46"/>
      <c r="AO281" s="46"/>
      <c r="AP281" s="46"/>
      <c r="AQ281" s="46"/>
      <c r="AR281" s="46"/>
      <c r="AS281" s="46"/>
      <c r="AT281" s="46"/>
      <c r="AU281" s="46"/>
      <c r="AV281" s="46"/>
      <c r="AW281" s="46"/>
      <c r="AX281" s="46"/>
      <c r="AY281" s="46"/>
      <c r="AZ281" s="46"/>
      <c r="BA281" s="46"/>
      <c r="BB281" s="46"/>
      <c r="BC281" s="46"/>
      <c r="BD281" s="46"/>
      <c r="BE281" s="46"/>
      <c r="BF281" s="46"/>
      <c r="BG281" s="46"/>
      <c r="BH281" s="46"/>
    </row>
    <row r="282" spans="1:60" ht="14.25" customHeight="1" x14ac:dyDescent="0.3">
      <c r="A282" s="46"/>
      <c r="B282" s="37"/>
      <c r="C282" s="46" t="str">
        <f>C$195</f>
        <v xml:space="preserve">Rent </v>
      </c>
      <c r="D282" s="46">
        <f t="shared" ref="D282:H290" si="209">SUMIF($1:$1,D$238,282:282)</f>
        <v>0</v>
      </c>
      <c r="E282" s="46">
        <f t="shared" si="209"/>
        <v>-162495</v>
      </c>
      <c r="F282" s="46">
        <f t="shared" si="209"/>
        <v>-342000</v>
      </c>
      <c r="G282" s="46">
        <f t="shared" si="209"/>
        <v>-342000</v>
      </c>
      <c r="H282" s="46">
        <f t="shared" si="209"/>
        <v>-342000</v>
      </c>
      <c r="I282" s="46"/>
      <c r="J282" s="46">
        <f t="shared" ref="J282:BH282" si="210">-J$195</f>
        <v>0</v>
      </c>
      <c r="K282" s="46">
        <f t="shared" si="210"/>
        <v>0</v>
      </c>
      <c r="L282" s="46">
        <f t="shared" si="210"/>
        <v>0</v>
      </c>
      <c r="M282" s="46">
        <f t="shared" si="210"/>
        <v>0</v>
      </c>
      <c r="N282" s="46">
        <f t="shared" si="210"/>
        <v>0</v>
      </c>
      <c r="O282" s="46">
        <f t="shared" si="210"/>
        <v>0</v>
      </c>
      <c r="P282" s="46">
        <f t="shared" si="210"/>
        <v>0</v>
      </c>
      <c r="Q282" s="46">
        <f t="shared" si="210"/>
        <v>0</v>
      </c>
      <c r="R282" s="46">
        <f t="shared" si="210"/>
        <v>0</v>
      </c>
      <c r="S282" s="46">
        <f t="shared" si="210"/>
        <v>-19995</v>
      </c>
      <c r="T282" s="46">
        <f t="shared" si="210"/>
        <v>-28500</v>
      </c>
      <c r="U282" s="46">
        <f t="shared" si="210"/>
        <v>-28500</v>
      </c>
      <c r="V282" s="46">
        <f t="shared" si="210"/>
        <v>-28500</v>
      </c>
      <c r="W282" s="46">
        <f t="shared" si="210"/>
        <v>-28500</v>
      </c>
      <c r="X282" s="46">
        <f t="shared" si="210"/>
        <v>-28500</v>
      </c>
      <c r="Y282" s="46">
        <f t="shared" si="210"/>
        <v>-28500</v>
      </c>
      <c r="Z282" s="46">
        <f t="shared" si="210"/>
        <v>-28500</v>
      </c>
      <c r="AA282" s="46">
        <f t="shared" si="210"/>
        <v>-28500</v>
      </c>
      <c r="AB282" s="46">
        <f t="shared" si="210"/>
        <v>-28500</v>
      </c>
      <c r="AC282" s="46">
        <f t="shared" si="210"/>
        <v>-28500</v>
      </c>
      <c r="AD282" s="46">
        <f t="shared" si="210"/>
        <v>-28500</v>
      </c>
      <c r="AE282" s="46">
        <f t="shared" si="210"/>
        <v>-28500</v>
      </c>
      <c r="AF282" s="46">
        <f t="shared" si="210"/>
        <v>-28500</v>
      </c>
      <c r="AG282" s="46">
        <f t="shared" si="210"/>
        <v>-28500</v>
      </c>
      <c r="AH282" s="46">
        <f t="shared" si="210"/>
        <v>-28500</v>
      </c>
      <c r="AI282" s="46">
        <f t="shared" si="210"/>
        <v>-28500</v>
      </c>
      <c r="AJ282" s="46">
        <f t="shared" si="210"/>
        <v>-28500</v>
      </c>
      <c r="AK282" s="46">
        <f t="shared" si="210"/>
        <v>-28500</v>
      </c>
      <c r="AL282" s="46">
        <f t="shared" si="210"/>
        <v>-28500</v>
      </c>
      <c r="AM282" s="46">
        <f t="shared" si="210"/>
        <v>-28500</v>
      </c>
      <c r="AN282" s="46">
        <f t="shared" si="210"/>
        <v>-28500</v>
      </c>
      <c r="AO282" s="46">
        <f t="shared" si="210"/>
        <v>-28500</v>
      </c>
      <c r="AP282" s="46">
        <f t="shared" si="210"/>
        <v>-28500</v>
      </c>
      <c r="AQ282" s="46">
        <f t="shared" si="210"/>
        <v>-28500</v>
      </c>
      <c r="AR282" s="46">
        <f t="shared" si="210"/>
        <v>-28500</v>
      </c>
      <c r="AS282" s="46">
        <f t="shared" si="210"/>
        <v>-28500</v>
      </c>
      <c r="AT282" s="46">
        <f t="shared" si="210"/>
        <v>-28500</v>
      </c>
      <c r="AU282" s="46">
        <f t="shared" si="210"/>
        <v>-28500</v>
      </c>
      <c r="AV282" s="46">
        <f t="shared" si="210"/>
        <v>-28500</v>
      </c>
      <c r="AW282" s="46">
        <f t="shared" si="210"/>
        <v>-28500</v>
      </c>
      <c r="AX282" s="46">
        <f t="shared" si="210"/>
        <v>-28500</v>
      </c>
      <c r="AY282" s="46">
        <f t="shared" si="210"/>
        <v>-28500</v>
      </c>
      <c r="AZ282" s="46">
        <f t="shared" si="210"/>
        <v>-28500</v>
      </c>
      <c r="BA282" s="46">
        <f t="shared" si="210"/>
        <v>-28500</v>
      </c>
      <c r="BB282" s="46">
        <f t="shared" si="210"/>
        <v>-28500</v>
      </c>
      <c r="BC282" s="46">
        <f t="shared" si="210"/>
        <v>-28500</v>
      </c>
      <c r="BD282" s="46">
        <f t="shared" si="210"/>
        <v>-28500</v>
      </c>
      <c r="BE282" s="46">
        <f t="shared" si="210"/>
        <v>-28500</v>
      </c>
      <c r="BF282" s="46">
        <f t="shared" si="210"/>
        <v>-28500</v>
      </c>
      <c r="BG282" s="46">
        <f t="shared" si="210"/>
        <v>-28500</v>
      </c>
      <c r="BH282" s="46">
        <f t="shared" si="210"/>
        <v>-28500</v>
      </c>
    </row>
    <row r="283" spans="1:60" ht="14.25" customHeight="1" x14ac:dyDescent="0.3">
      <c r="A283" s="46"/>
      <c r="B283" s="37"/>
      <c r="C283" s="46" t="str">
        <f>C196</f>
        <v>Business rates, service charge, water and elec</v>
      </c>
      <c r="D283" s="46">
        <f t="shared" si="209"/>
        <v>0</v>
      </c>
      <c r="E283" s="46">
        <f t="shared" si="209"/>
        <v>-168704</v>
      </c>
      <c r="F283" s="46">
        <f t="shared" si="209"/>
        <v>-199068</v>
      </c>
      <c r="G283" s="46">
        <f t="shared" si="209"/>
        <v>-199068</v>
      </c>
      <c r="H283" s="46">
        <f t="shared" si="209"/>
        <v>-199068</v>
      </c>
      <c r="I283" s="46"/>
      <c r="J283" s="46">
        <f t="shared" ref="J283:BH283" si="211">-J196</f>
        <v>0</v>
      </c>
      <c r="K283" s="46">
        <f t="shared" si="211"/>
        <v>0</v>
      </c>
      <c r="L283" s="46">
        <f t="shared" si="211"/>
        <v>0</v>
      </c>
      <c r="M283" s="46">
        <f t="shared" si="211"/>
        <v>-11724</v>
      </c>
      <c r="N283" s="46">
        <f t="shared" si="211"/>
        <v>-11724</v>
      </c>
      <c r="O283" s="46">
        <f t="shared" si="211"/>
        <v>-11049</v>
      </c>
      <c r="P283" s="46">
        <f t="shared" si="211"/>
        <v>-13325</v>
      </c>
      <c r="Q283" s="46">
        <f t="shared" si="211"/>
        <v>-13325</v>
      </c>
      <c r="R283" s="46">
        <f t="shared" si="211"/>
        <v>-11271</v>
      </c>
      <c r="S283" s="46">
        <f t="shared" si="211"/>
        <v>-13341</v>
      </c>
      <c r="T283" s="46">
        <f t="shared" si="211"/>
        <v>-16589</v>
      </c>
      <c r="U283" s="46">
        <f t="shared" si="211"/>
        <v>-16589</v>
      </c>
      <c r="V283" s="46">
        <f t="shared" si="211"/>
        <v>-16589</v>
      </c>
      <c r="W283" s="46">
        <f t="shared" si="211"/>
        <v>-16589</v>
      </c>
      <c r="X283" s="46">
        <f t="shared" si="211"/>
        <v>-16589</v>
      </c>
      <c r="Y283" s="46">
        <f t="shared" si="211"/>
        <v>-16589</v>
      </c>
      <c r="Z283" s="46">
        <f t="shared" si="211"/>
        <v>-16589</v>
      </c>
      <c r="AA283" s="46">
        <f t="shared" si="211"/>
        <v>-16589</v>
      </c>
      <c r="AB283" s="46">
        <f t="shared" si="211"/>
        <v>-16589</v>
      </c>
      <c r="AC283" s="46">
        <f t="shared" si="211"/>
        <v>-16589</v>
      </c>
      <c r="AD283" s="46">
        <f t="shared" si="211"/>
        <v>-16589</v>
      </c>
      <c r="AE283" s="46">
        <f t="shared" si="211"/>
        <v>-16589</v>
      </c>
      <c r="AF283" s="46">
        <f t="shared" si="211"/>
        <v>-16589</v>
      </c>
      <c r="AG283" s="46">
        <f t="shared" si="211"/>
        <v>-16589</v>
      </c>
      <c r="AH283" s="46">
        <f t="shared" si="211"/>
        <v>-16589</v>
      </c>
      <c r="AI283" s="46">
        <f t="shared" si="211"/>
        <v>-16589</v>
      </c>
      <c r="AJ283" s="46">
        <f t="shared" si="211"/>
        <v>-16589</v>
      </c>
      <c r="AK283" s="46">
        <f t="shared" si="211"/>
        <v>-16589</v>
      </c>
      <c r="AL283" s="46">
        <f t="shared" si="211"/>
        <v>-16589</v>
      </c>
      <c r="AM283" s="46">
        <f t="shared" si="211"/>
        <v>-16589</v>
      </c>
      <c r="AN283" s="46">
        <f t="shared" si="211"/>
        <v>-16589</v>
      </c>
      <c r="AO283" s="46">
        <f t="shared" si="211"/>
        <v>-16589</v>
      </c>
      <c r="AP283" s="46">
        <f t="shared" si="211"/>
        <v>-16589</v>
      </c>
      <c r="AQ283" s="46">
        <f t="shared" si="211"/>
        <v>-16589</v>
      </c>
      <c r="AR283" s="46">
        <f t="shared" si="211"/>
        <v>-16589</v>
      </c>
      <c r="AS283" s="46">
        <f t="shared" si="211"/>
        <v>-16589</v>
      </c>
      <c r="AT283" s="46">
        <f t="shared" si="211"/>
        <v>-16589</v>
      </c>
      <c r="AU283" s="46">
        <f t="shared" si="211"/>
        <v>-16589</v>
      </c>
      <c r="AV283" s="46">
        <f t="shared" si="211"/>
        <v>-16589</v>
      </c>
      <c r="AW283" s="46">
        <f t="shared" si="211"/>
        <v>-16589</v>
      </c>
      <c r="AX283" s="46">
        <f t="shared" si="211"/>
        <v>-16589</v>
      </c>
      <c r="AY283" s="46">
        <f t="shared" si="211"/>
        <v>-16589</v>
      </c>
      <c r="AZ283" s="46">
        <f t="shared" si="211"/>
        <v>-16589</v>
      </c>
      <c r="BA283" s="46">
        <f t="shared" si="211"/>
        <v>-16589</v>
      </c>
      <c r="BB283" s="46">
        <f t="shared" si="211"/>
        <v>-16589</v>
      </c>
      <c r="BC283" s="46">
        <f t="shared" si="211"/>
        <v>-16589</v>
      </c>
      <c r="BD283" s="46">
        <f t="shared" si="211"/>
        <v>-16589</v>
      </c>
      <c r="BE283" s="46">
        <f t="shared" si="211"/>
        <v>-16589</v>
      </c>
      <c r="BF283" s="46">
        <f t="shared" si="211"/>
        <v>-16589</v>
      </c>
      <c r="BG283" s="46">
        <f t="shared" si="211"/>
        <v>-16589</v>
      </c>
      <c r="BH283" s="46">
        <f t="shared" si="211"/>
        <v>-16589</v>
      </c>
    </row>
    <row r="284" spans="1:60" ht="14.25" customHeight="1" x14ac:dyDescent="0.3">
      <c r="A284" s="46"/>
      <c r="B284" s="37"/>
      <c r="C284" s="46" t="str">
        <f>C193</f>
        <v>Travel Expenses</v>
      </c>
      <c r="D284" s="46">
        <f t="shared" si="209"/>
        <v>0</v>
      </c>
      <c r="E284" s="46">
        <f t="shared" si="209"/>
        <v>0</v>
      </c>
      <c r="F284" s="46">
        <f t="shared" si="209"/>
        <v>0</v>
      </c>
      <c r="G284" s="46">
        <f t="shared" si="209"/>
        <v>0</v>
      </c>
      <c r="H284" s="46">
        <f t="shared" si="209"/>
        <v>0</v>
      </c>
      <c r="I284" s="46"/>
      <c r="J284" s="46">
        <f t="shared" ref="J284:BH284" si="212">-J193</f>
        <v>0</v>
      </c>
      <c r="K284" s="46">
        <f t="shared" si="212"/>
        <v>0</v>
      </c>
      <c r="L284" s="46">
        <f t="shared" si="212"/>
        <v>0</v>
      </c>
      <c r="M284" s="46">
        <f t="shared" si="212"/>
        <v>0</v>
      </c>
      <c r="N284" s="46">
        <f t="shared" si="212"/>
        <v>0</v>
      </c>
      <c r="O284" s="46">
        <f t="shared" si="212"/>
        <v>0</v>
      </c>
      <c r="P284" s="46">
        <f t="shared" si="212"/>
        <v>0</v>
      </c>
      <c r="Q284" s="46">
        <f t="shared" si="212"/>
        <v>0</v>
      </c>
      <c r="R284" s="46">
        <f t="shared" si="212"/>
        <v>0</v>
      </c>
      <c r="S284" s="46">
        <f t="shared" si="212"/>
        <v>0</v>
      </c>
      <c r="T284" s="46">
        <f t="shared" si="212"/>
        <v>0</v>
      </c>
      <c r="U284" s="46">
        <f t="shared" si="212"/>
        <v>0</v>
      </c>
      <c r="V284" s="46">
        <f t="shared" si="212"/>
        <v>0</v>
      </c>
      <c r="W284" s="46">
        <f t="shared" si="212"/>
        <v>0</v>
      </c>
      <c r="X284" s="46">
        <f t="shared" si="212"/>
        <v>0</v>
      </c>
      <c r="Y284" s="46">
        <f t="shared" si="212"/>
        <v>0</v>
      </c>
      <c r="Z284" s="46">
        <f t="shared" si="212"/>
        <v>0</v>
      </c>
      <c r="AA284" s="46">
        <f t="shared" si="212"/>
        <v>0</v>
      </c>
      <c r="AB284" s="46">
        <f t="shared" si="212"/>
        <v>0</v>
      </c>
      <c r="AC284" s="46">
        <f t="shared" si="212"/>
        <v>0</v>
      </c>
      <c r="AD284" s="46">
        <f t="shared" si="212"/>
        <v>0</v>
      </c>
      <c r="AE284" s="46">
        <f t="shared" si="212"/>
        <v>0</v>
      </c>
      <c r="AF284" s="46">
        <f t="shared" si="212"/>
        <v>0</v>
      </c>
      <c r="AG284" s="46">
        <f t="shared" si="212"/>
        <v>0</v>
      </c>
      <c r="AH284" s="46">
        <f t="shared" si="212"/>
        <v>0</v>
      </c>
      <c r="AI284" s="46">
        <f t="shared" si="212"/>
        <v>0</v>
      </c>
      <c r="AJ284" s="46">
        <f t="shared" si="212"/>
        <v>0</v>
      </c>
      <c r="AK284" s="46">
        <f t="shared" si="212"/>
        <v>0</v>
      </c>
      <c r="AL284" s="46">
        <f t="shared" si="212"/>
        <v>0</v>
      </c>
      <c r="AM284" s="46">
        <f t="shared" si="212"/>
        <v>0</v>
      </c>
      <c r="AN284" s="46">
        <f t="shared" si="212"/>
        <v>0</v>
      </c>
      <c r="AO284" s="46">
        <f t="shared" si="212"/>
        <v>0</v>
      </c>
      <c r="AP284" s="46">
        <f t="shared" si="212"/>
        <v>0</v>
      </c>
      <c r="AQ284" s="46">
        <f t="shared" si="212"/>
        <v>0</v>
      </c>
      <c r="AR284" s="46">
        <f t="shared" si="212"/>
        <v>0</v>
      </c>
      <c r="AS284" s="46">
        <f t="shared" si="212"/>
        <v>0</v>
      </c>
      <c r="AT284" s="46">
        <f t="shared" si="212"/>
        <v>0</v>
      </c>
      <c r="AU284" s="46">
        <f t="shared" si="212"/>
        <v>0</v>
      </c>
      <c r="AV284" s="46">
        <f t="shared" si="212"/>
        <v>0</v>
      </c>
      <c r="AW284" s="46">
        <f t="shared" si="212"/>
        <v>0</v>
      </c>
      <c r="AX284" s="46">
        <f t="shared" si="212"/>
        <v>0</v>
      </c>
      <c r="AY284" s="46">
        <f t="shared" si="212"/>
        <v>0</v>
      </c>
      <c r="AZ284" s="46">
        <f t="shared" si="212"/>
        <v>0</v>
      </c>
      <c r="BA284" s="46">
        <f t="shared" si="212"/>
        <v>0</v>
      </c>
      <c r="BB284" s="46">
        <f t="shared" si="212"/>
        <v>0</v>
      </c>
      <c r="BC284" s="46">
        <f t="shared" si="212"/>
        <v>0</v>
      </c>
      <c r="BD284" s="46">
        <f t="shared" si="212"/>
        <v>0</v>
      </c>
      <c r="BE284" s="46">
        <f t="shared" si="212"/>
        <v>0</v>
      </c>
      <c r="BF284" s="46">
        <f t="shared" si="212"/>
        <v>0</v>
      </c>
      <c r="BG284" s="46">
        <f t="shared" si="212"/>
        <v>0</v>
      </c>
      <c r="BH284" s="46">
        <f t="shared" si="212"/>
        <v>0</v>
      </c>
    </row>
    <row r="285" spans="1:60" ht="14.25" customHeight="1" x14ac:dyDescent="0.3">
      <c r="A285" s="46"/>
      <c r="B285" s="37"/>
      <c r="C285" s="46" t="str">
        <f>C$197</f>
        <v>Marketing &amp; PR Resource</v>
      </c>
      <c r="D285" s="46">
        <f t="shared" si="209"/>
        <v>0</v>
      </c>
      <c r="E285" s="46">
        <f t="shared" si="209"/>
        <v>0</v>
      </c>
      <c r="F285" s="46">
        <f t="shared" si="209"/>
        <v>0</v>
      </c>
      <c r="G285" s="46">
        <f t="shared" si="209"/>
        <v>0</v>
      </c>
      <c r="H285" s="46">
        <f t="shared" si="209"/>
        <v>0</v>
      </c>
      <c r="I285" s="46"/>
      <c r="J285" s="46">
        <f t="shared" ref="J285:BH285" si="213">-J$197</f>
        <v>0</v>
      </c>
      <c r="K285" s="46">
        <f t="shared" si="213"/>
        <v>0</v>
      </c>
      <c r="L285" s="46">
        <f t="shared" si="213"/>
        <v>0</v>
      </c>
      <c r="M285" s="46">
        <f t="shared" si="213"/>
        <v>0</v>
      </c>
      <c r="N285" s="46">
        <f t="shared" si="213"/>
        <v>0</v>
      </c>
      <c r="O285" s="46">
        <f t="shared" si="213"/>
        <v>0</v>
      </c>
      <c r="P285" s="46">
        <f t="shared" si="213"/>
        <v>0</v>
      </c>
      <c r="Q285" s="46">
        <f t="shared" si="213"/>
        <v>0</v>
      </c>
      <c r="R285" s="46">
        <f t="shared" si="213"/>
        <v>0</v>
      </c>
      <c r="S285" s="46">
        <f t="shared" si="213"/>
        <v>0</v>
      </c>
      <c r="T285" s="46">
        <f t="shared" si="213"/>
        <v>0</v>
      </c>
      <c r="U285" s="46">
        <f t="shared" si="213"/>
        <v>0</v>
      </c>
      <c r="V285" s="46">
        <f t="shared" si="213"/>
        <v>0</v>
      </c>
      <c r="W285" s="46">
        <f t="shared" si="213"/>
        <v>0</v>
      </c>
      <c r="X285" s="46">
        <f t="shared" si="213"/>
        <v>0</v>
      </c>
      <c r="Y285" s="46">
        <f t="shared" si="213"/>
        <v>0</v>
      </c>
      <c r="Z285" s="46">
        <f t="shared" si="213"/>
        <v>0</v>
      </c>
      <c r="AA285" s="46">
        <f t="shared" si="213"/>
        <v>0</v>
      </c>
      <c r="AB285" s="46">
        <f t="shared" si="213"/>
        <v>0</v>
      </c>
      <c r="AC285" s="46">
        <f t="shared" si="213"/>
        <v>0</v>
      </c>
      <c r="AD285" s="46">
        <f t="shared" si="213"/>
        <v>0</v>
      </c>
      <c r="AE285" s="46">
        <f t="shared" si="213"/>
        <v>0</v>
      </c>
      <c r="AF285" s="46">
        <f t="shared" si="213"/>
        <v>0</v>
      </c>
      <c r="AG285" s="46">
        <f t="shared" si="213"/>
        <v>0</v>
      </c>
      <c r="AH285" s="46">
        <f t="shared" si="213"/>
        <v>0</v>
      </c>
      <c r="AI285" s="46">
        <f t="shared" si="213"/>
        <v>0</v>
      </c>
      <c r="AJ285" s="46">
        <f t="shared" si="213"/>
        <v>0</v>
      </c>
      <c r="AK285" s="46">
        <f t="shared" si="213"/>
        <v>0</v>
      </c>
      <c r="AL285" s="46">
        <f t="shared" si="213"/>
        <v>0</v>
      </c>
      <c r="AM285" s="46">
        <f t="shared" si="213"/>
        <v>0</v>
      </c>
      <c r="AN285" s="46">
        <f t="shared" si="213"/>
        <v>0</v>
      </c>
      <c r="AO285" s="46">
        <f t="shared" si="213"/>
        <v>0</v>
      </c>
      <c r="AP285" s="46">
        <f t="shared" si="213"/>
        <v>0</v>
      </c>
      <c r="AQ285" s="46">
        <f t="shared" si="213"/>
        <v>0</v>
      </c>
      <c r="AR285" s="46">
        <f t="shared" si="213"/>
        <v>0</v>
      </c>
      <c r="AS285" s="46">
        <f t="shared" si="213"/>
        <v>0</v>
      </c>
      <c r="AT285" s="46">
        <f t="shared" si="213"/>
        <v>0</v>
      </c>
      <c r="AU285" s="46">
        <f t="shared" si="213"/>
        <v>0</v>
      </c>
      <c r="AV285" s="46">
        <f t="shared" si="213"/>
        <v>0</v>
      </c>
      <c r="AW285" s="46">
        <f t="shared" si="213"/>
        <v>0</v>
      </c>
      <c r="AX285" s="46">
        <f t="shared" si="213"/>
        <v>0</v>
      </c>
      <c r="AY285" s="46">
        <f t="shared" si="213"/>
        <v>0</v>
      </c>
      <c r="AZ285" s="46">
        <f t="shared" si="213"/>
        <v>0</v>
      </c>
      <c r="BA285" s="46">
        <f t="shared" si="213"/>
        <v>0</v>
      </c>
      <c r="BB285" s="46">
        <f t="shared" si="213"/>
        <v>0</v>
      </c>
      <c r="BC285" s="46">
        <f t="shared" si="213"/>
        <v>0</v>
      </c>
      <c r="BD285" s="46">
        <f t="shared" si="213"/>
        <v>0</v>
      </c>
      <c r="BE285" s="46">
        <f t="shared" si="213"/>
        <v>0</v>
      </c>
      <c r="BF285" s="46">
        <f t="shared" si="213"/>
        <v>0</v>
      </c>
      <c r="BG285" s="46">
        <f t="shared" si="213"/>
        <v>0</v>
      </c>
      <c r="BH285" s="46">
        <f t="shared" si="213"/>
        <v>0</v>
      </c>
    </row>
    <row r="286" spans="1:60" ht="14.25" customHeight="1" x14ac:dyDescent="0.3">
      <c r="A286" s="46"/>
      <c r="B286" s="37"/>
      <c r="C286" s="46" t="str">
        <f>C$198</f>
        <v>Opex</v>
      </c>
      <c r="D286" s="46">
        <f t="shared" si="209"/>
        <v>0</v>
      </c>
      <c r="E286" s="46">
        <f t="shared" si="209"/>
        <v>-98613</v>
      </c>
      <c r="F286" s="46">
        <f t="shared" si="209"/>
        <v>-120000</v>
      </c>
      <c r="G286" s="46">
        <f t="shared" si="209"/>
        <v>-120000</v>
      </c>
      <c r="H286" s="46">
        <f t="shared" si="209"/>
        <v>-120000</v>
      </c>
      <c r="I286" s="46"/>
      <c r="J286" s="46">
        <f t="shared" ref="J286:BH286" si="214">-J$198</f>
        <v>0</v>
      </c>
      <c r="K286" s="46">
        <f t="shared" si="214"/>
        <v>0</v>
      </c>
      <c r="L286" s="46">
        <f t="shared" si="214"/>
        <v>0</v>
      </c>
      <c r="M286" s="46">
        <f t="shared" si="214"/>
        <v>-4949</v>
      </c>
      <c r="N286" s="46">
        <f t="shared" si="214"/>
        <v>-3882</v>
      </c>
      <c r="O286" s="46">
        <f t="shared" si="214"/>
        <v>-5804</v>
      </c>
      <c r="P286" s="46">
        <f t="shared" si="214"/>
        <v>-3762</v>
      </c>
      <c r="Q286" s="46">
        <f t="shared" si="214"/>
        <v>-5839</v>
      </c>
      <c r="R286" s="46">
        <f t="shared" si="214"/>
        <v>-14179</v>
      </c>
      <c r="S286" s="46">
        <f t="shared" si="214"/>
        <v>-10198</v>
      </c>
      <c r="T286" s="46">
        <f t="shared" si="214"/>
        <v>-10000</v>
      </c>
      <c r="U286" s="46">
        <f t="shared" si="214"/>
        <v>-10000</v>
      </c>
      <c r="V286" s="46">
        <f t="shared" si="214"/>
        <v>-10000</v>
      </c>
      <c r="W286" s="46">
        <f t="shared" si="214"/>
        <v>-10000</v>
      </c>
      <c r="X286" s="46">
        <f t="shared" si="214"/>
        <v>-10000</v>
      </c>
      <c r="Y286" s="46">
        <f t="shared" si="214"/>
        <v>-10000</v>
      </c>
      <c r="Z286" s="46">
        <f t="shared" si="214"/>
        <v>-10000</v>
      </c>
      <c r="AA286" s="46">
        <f t="shared" si="214"/>
        <v>-10000</v>
      </c>
      <c r="AB286" s="46">
        <f t="shared" si="214"/>
        <v>-10000</v>
      </c>
      <c r="AC286" s="46">
        <f t="shared" si="214"/>
        <v>-10000</v>
      </c>
      <c r="AD286" s="46">
        <f t="shared" si="214"/>
        <v>-10000</v>
      </c>
      <c r="AE286" s="46">
        <f t="shared" si="214"/>
        <v>-10000</v>
      </c>
      <c r="AF286" s="46">
        <f t="shared" si="214"/>
        <v>-10000</v>
      </c>
      <c r="AG286" s="46">
        <f t="shared" si="214"/>
        <v>-10000</v>
      </c>
      <c r="AH286" s="46">
        <f t="shared" si="214"/>
        <v>-10000</v>
      </c>
      <c r="AI286" s="46">
        <f t="shared" si="214"/>
        <v>-10000</v>
      </c>
      <c r="AJ286" s="46">
        <f t="shared" si="214"/>
        <v>-10000</v>
      </c>
      <c r="AK286" s="46">
        <f t="shared" si="214"/>
        <v>-10000</v>
      </c>
      <c r="AL286" s="46">
        <f t="shared" si="214"/>
        <v>-10000</v>
      </c>
      <c r="AM286" s="46">
        <f t="shared" si="214"/>
        <v>-10000</v>
      </c>
      <c r="AN286" s="46">
        <f t="shared" si="214"/>
        <v>-10000</v>
      </c>
      <c r="AO286" s="46">
        <f t="shared" si="214"/>
        <v>-10000</v>
      </c>
      <c r="AP286" s="46">
        <f t="shared" si="214"/>
        <v>-10000</v>
      </c>
      <c r="AQ286" s="46">
        <f t="shared" si="214"/>
        <v>-10000</v>
      </c>
      <c r="AR286" s="46">
        <f t="shared" si="214"/>
        <v>-10000</v>
      </c>
      <c r="AS286" s="46">
        <f t="shared" si="214"/>
        <v>-10000</v>
      </c>
      <c r="AT286" s="46">
        <f t="shared" si="214"/>
        <v>-10000</v>
      </c>
      <c r="AU286" s="46">
        <f t="shared" si="214"/>
        <v>-10000</v>
      </c>
      <c r="AV286" s="46">
        <f t="shared" si="214"/>
        <v>-10000</v>
      </c>
      <c r="AW286" s="46">
        <f t="shared" si="214"/>
        <v>-10000</v>
      </c>
      <c r="AX286" s="46">
        <f t="shared" si="214"/>
        <v>-10000</v>
      </c>
      <c r="AY286" s="46">
        <f t="shared" si="214"/>
        <v>-10000</v>
      </c>
      <c r="AZ286" s="46">
        <f t="shared" si="214"/>
        <v>-10000</v>
      </c>
      <c r="BA286" s="46">
        <f t="shared" si="214"/>
        <v>-10000</v>
      </c>
      <c r="BB286" s="46">
        <f t="shared" si="214"/>
        <v>-10000</v>
      </c>
      <c r="BC286" s="46">
        <f t="shared" si="214"/>
        <v>-10000</v>
      </c>
      <c r="BD286" s="46">
        <f t="shared" si="214"/>
        <v>-10000</v>
      </c>
      <c r="BE286" s="46">
        <f t="shared" si="214"/>
        <v>-10000</v>
      </c>
      <c r="BF286" s="46">
        <f t="shared" si="214"/>
        <v>-10000</v>
      </c>
      <c r="BG286" s="46">
        <f t="shared" si="214"/>
        <v>-10000</v>
      </c>
      <c r="BH286" s="46">
        <f t="shared" si="214"/>
        <v>-10000</v>
      </c>
    </row>
    <row r="287" spans="1:60" ht="14.25" customHeight="1" x14ac:dyDescent="0.3">
      <c r="A287" s="46"/>
      <c r="B287" s="37"/>
      <c r="C287" s="46" t="str">
        <f>C199</f>
        <v>Commission Structure</v>
      </c>
      <c r="D287" s="46">
        <f t="shared" si="209"/>
        <v>0</v>
      </c>
      <c r="E287" s="46">
        <f t="shared" si="209"/>
        <v>0</v>
      </c>
      <c r="F287" s="46">
        <f t="shared" si="209"/>
        <v>-18000</v>
      </c>
      <c r="G287" s="46">
        <f t="shared" si="209"/>
        <v>-18000</v>
      </c>
      <c r="H287" s="46">
        <f t="shared" si="209"/>
        <v>-18000</v>
      </c>
      <c r="I287" s="46"/>
      <c r="J287" s="46">
        <f t="shared" ref="J287:BH287" si="215">-J199</f>
        <v>0</v>
      </c>
      <c r="K287" s="46">
        <f t="shared" si="215"/>
        <v>0</v>
      </c>
      <c r="L287" s="46">
        <f t="shared" si="215"/>
        <v>0</v>
      </c>
      <c r="M287" s="46">
        <f t="shared" si="215"/>
        <v>0</v>
      </c>
      <c r="N287" s="46">
        <f t="shared" si="215"/>
        <v>0</v>
      </c>
      <c r="O287" s="46">
        <f t="shared" si="215"/>
        <v>0</v>
      </c>
      <c r="P287" s="46">
        <f t="shared" si="215"/>
        <v>0</v>
      </c>
      <c r="Q287" s="46">
        <f t="shared" si="215"/>
        <v>0</v>
      </c>
      <c r="R287" s="46">
        <f t="shared" si="215"/>
        <v>0</v>
      </c>
      <c r="S287" s="46">
        <f t="shared" si="215"/>
        <v>0</v>
      </c>
      <c r="T287" s="46">
        <f t="shared" si="215"/>
        <v>0</v>
      </c>
      <c r="U287" s="46">
        <f t="shared" si="215"/>
        <v>0</v>
      </c>
      <c r="V287" s="46">
        <f t="shared" si="215"/>
        <v>0</v>
      </c>
      <c r="W287" s="46">
        <f t="shared" si="215"/>
        <v>0</v>
      </c>
      <c r="X287" s="46">
        <f t="shared" si="215"/>
        <v>0</v>
      </c>
      <c r="Y287" s="46">
        <f t="shared" si="215"/>
        <v>-1500</v>
      </c>
      <c r="Z287" s="46">
        <f t="shared" si="215"/>
        <v>-1500</v>
      </c>
      <c r="AA287" s="46">
        <f t="shared" si="215"/>
        <v>-1500</v>
      </c>
      <c r="AB287" s="46">
        <f t="shared" si="215"/>
        <v>-1500</v>
      </c>
      <c r="AC287" s="46">
        <f t="shared" si="215"/>
        <v>-1500</v>
      </c>
      <c r="AD287" s="46">
        <f t="shared" si="215"/>
        <v>-1500</v>
      </c>
      <c r="AE287" s="46">
        <f t="shared" si="215"/>
        <v>-1500</v>
      </c>
      <c r="AF287" s="46">
        <f t="shared" si="215"/>
        <v>-1500</v>
      </c>
      <c r="AG287" s="46">
        <f t="shared" si="215"/>
        <v>-1500</v>
      </c>
      <c r="AH287" s="46">
        <f t="shared" si="215"/>
        <v>-1500</v>
      </c>
      <c r="AI287" s="46">
        <f t="shared" si="215"/>
        <v>-1500</v>
      </c>
      <c r="AJ287" s="46">
        <f t="shared" si="215"/>
        <v>-1500</v>
      </c>
      <c r="AK287" s="46">
        <f t="shared" si="215"/>
        <v>-1500</v>
      </c>
      <c r="AL287" s="46">
        <f t="shared" si="215"/>
        <v>-1500</v>
      </c>
      <c r="AM287" s="46">
        <f t="shared" si="215"/>
        <v>-1500</v>
      </c>
      <c r="AN287" s="46">
        <f t="shared" si="215"/>
        <v>-1500</v>
      </c>
      <c r="AO287" s="46">
        <f t="shared" si="215"/>
        <v>-1500</v>
      </c>
      <c r="AP287" s="46">
        <f t="shared" si="215"/>
        <v>-1500</v>
      </c>
      <c r="AQ287" s="46">
        <f t="shared" si="215"/>
        <v>-1500</v>
      </c>
      <c r="AR287" s="46">
        <f t="shared" si="215"/>
        <v>-1500</v>
      </c>
      <c r="AS287" s="46">
        <f t="shared" si="215"/>
        <v>-1500</v>
      </c>
      <c r="AT287" s="46">
        <f t="shared" si="215"/>
        <v>-1500</v>
      </c>
      <c r="AU287" s="46">
        <f t="shared" si="215"/>
        <v>-1500</v>
      </c>
      <c r="AV287" s="46">
        <f t="shared" si="215"/>
        <v>-1500</v>
      </c>
      <c r="AW287" s="46">
        <f t="shared" si="215"/>
        <v>-1500</v>
      </c>
      <c r="AX287" s="46">
        <f t="shared" si="215"/>
        <v>-1500</v>
      </c>
      <c r="AY287" s="46">
        <f t="shared" si="215"/>
        <v>-1500</v>
      </c>
      <c r="AZ287" s="46">
        <f t="shared" si="215"/>
        <v>-1500</v>
      </c>
      <c r="BA287" s="46">
        <f t="shared" si="215"/>
        <v>-1500</v>
      </c>
      <c r="BB287" s="46">
        <f t="shared" si="215"/>
        <v>-1500</v>
      </c>
      <c r="BC287" s="46">
        <f t="shared" si="215"/>
        <v>-1500</v>
      </c>
      <c r="BD287" s="46">
        <f t="shared" si="215"/>
        <v>-1500</v>
      </c>
      <c r="BE287" s="46">
        <f t="shared" si="215"/>
        <v>-1500</v>
      </c>
      <c r="BF287" s="46">
        <f t="shared" si="215"/>
        <v>-1500</v>
      </c>
      <c r="BG287" s="46">
        <f t="shared" si="215"/>
        <v>-1500</v>
      </c>
      <c r="BH287" s="46">
        <f t="shared" si="215"/>
        <v>-1500</v>
      </c>
    </row>
    <row r="288" spans="1:60" ht="14.25" customHeight="1" x14ac:dyDescent="0.3">
      <c r="A288" s="46"/>
      <c r="B288" s="37"/>
      <c r="C288" s="46" t="str">
        <f>C$200</f>
        <v>Contingency</v>
      </c>
      <c r="D288" s="46">
        <f t="shared" si="209"/>
        <v>0</v>
      </c>
      <c r="E288" s="46">
        <f t="shared" si="209"/>
        <v>-10000</v>
      </c>
      <c r="F288" s="46">
        <f t="shared" si="209"/>
        <v>-24000</v>
      </c>
      <c r="G288" s="46">
        <f t="shared" si="209"/>
        <v>-24000</v>
      </c>
      <c r="H288" s="46">
        <f t="shared" si="209"/>
        <v>-24000</v>
      </c>
      <c r="I288" s="46"/>
      <c r="J288" s="46">
        <f t="shared" ref="J288:BH288" si="216">-J$200</f>
        <v>0</v>
      </c>
      <c r="K288" s="46">
        <f t="shared" si="216"/>
        <v>0</v>
      </c>
      <c r="L288" s="46">
        <f t="shared" si="216"/>
        <v>0</v>
      </c>
      <c r="M288" s="46">
        <f t="shared" si="216"/>
        <v>0</v>
      </c>
      <c r="N288" s="46">
        <f t="shared" si="216"/>
        <v>0</v>
      </c>
      <c r="O288" s="46">
        <f t="shared" si="216"/>
        <v>0</v>
      </c>
      <c r="P288" s="46">
        <f t="shared" si="216"/>
        <v>0</v>
      </c>
      <c r="Q288" s="46">
        <f t="shared" si="216"/>
        <v>0</v>
      </c>
      <c r="R288" s="46">
        <f t="shared" si="216"/>
        <v>0</v>
      </c>
      <c r="S288" s="46">
        <f t="shared" si="216"/>
        <v>0</v>
      </c>
      <c r="T288" s="46">
        <f t="shared" si="216"/>
        <v>-2000</v>
      </c>
      <c r="U288" s="46">
        <f t="shared" si="216"/>
        <v>-2000</v>
      </c>
      <c r="V288" s="46">
        <f t="shared" si="216"/>
        <v>-2000</v>
      </c>
      <c r="W288" s="46">
        <f t="shared" si="216"/>
        <v>-2000</v>
      </c>
      <c r="X288" s="46">
        <f t="shared" si="216"/>
        <v>-2000</v>
      </c>
      <c r="Y288" s="46">
        <f t="shared" si="216"/>
        <v>-2000</v>
      </c>
      <c r="Z288" s="46">
        <f t="shared" si="216"/>
        <v>-2000</v>
      </c>
      <c r="AA288" s="46">
        <f t="shared" si="216"/>
        <v>-2000</v>
      </c>
      <c r="AB288" s="46">
        <f t="shared" si="216"/>
        <v>-2000</v>
      </c>
      <c r="AC288" s="46">
        <f t="shared" si="216"/>
        <v>-2000</v>
      </c>
      <c r="AD288" s="46">
        <f t="shared" si="216"/>
        <v>-2000</v>
      </c>
      <c r="AE288" s="46">
        <f t="shared" si="216"/>
        <v>-2000</v>
      </c>
      <c r="AF288" s="46">
        <f t="shared" si="216"/>
        <v>-2000</v>
      </c>
      <c r="AG288" s="46">
        <f t="shared" si="216"/>
        <v>-2000</v>
      </c>
      <c r="AH288" s="46">
        <f t="shared" si="216"/>
        <v>-2000</v>
      </c>
      <c r="AI288" s="46">
        <f t="shared" si="216"/>
        <v>-2000</v>
      </c>
      <c r="AJ288" s="46">
        <f t="shared" si="216"/>
        <v>-2000</v>
      </c>
      <c r="AK288" s="46">
        <f t="shared" si="216"/>
        <v>-2000</v>
      </c>
      <c r="AL288" s="46">
        <f t="shared" si="216"/>
        <v>-2000</v>
      </c>
      <c r="AM288" s="46">
        <f t="shared" si="216"/>
        <v>-2000</v>
      </c>
      <c r="AN288" s="46">
        <f t="shared" si="216"/>
        <v>-2000</v>
      </c>
      <c r="AO288" s="46">
        <f t="shared" si="216"/>
        <v>-2000</v>
      </c>
      <c r="AP288" s="46">
        <f t="shared" si="216"/>
        <v>-2000</v>
      </c>
      <c r="AQ288" s="46">
        <f t="shared" si="216"/>
        <v>-2000</v>
      </c>
      <c r="AR288" s="46">
        <f t="shared" si="216"/>
        <v>-2000</v>
      </c>
      <c r="AS288" s="46">
        <f t="shared" si="216"/>
        <v>-2000</v>
      </c>
      <c r="AT288" s="46">
        <f t="shared" si="216"/>
        <v>-2000</v>
      </c>
      <c r="AU288" s="46">
        <f t="shared" si="216"/>
        <v>-2000</v>
      </c>
      <c r="AV288" s="46">
        <f t="shared" si="216"/>
        <v>-2000</v>
      </c>
      <c r="AW288" s="46">
        <f t="shared" si="216"/>
        <v>-2000</v>
      </c>
      <c r="AX288" s="46">
        <f t="shared" si="216"/>
        <v>-2000</v>
      </c>
      <c r="AY288" s="46">
        <f t="shared" si="216"/>
        <v>-2000</v>
      </c>
      <c r="AZ288" s="46">
        <f t="shared" si="216"/>
        <v>-2000</v>
      </c>
      <c r="BA288" s="46">
        <f t="shared" si="216"/>
        <v>-2000</v>
      </c>
      <c r="BB288" s="46">
        <f t="shared" si="216"/>
        <v>-2000</v>
      </c>
      <c r="BC288" s="46">
        <f t="shared" si="216"/>
        <v>-2000</v>
      </c>
      <c r="BD288" s="46">
        <f t="shared" si="216"/>
        <v>-2000</v>
      </c>
      <c r="BE288" s="46">
        <f t="shared" si="216"/>
        <v>-2000</v>
      </c>
      <c r="BF288" s="46">
        <f t="shared" si="216"/>
        <v>-2000</v>
      </c>
      <c r="BG288" s="46">
        <f t="shared" si="216"/>
        <v>-2000</v>
      </c>
      <c r="BH288" s="46">
        <f t="shared" si="216"/>
        <v>-2000</v>
      </c>
    </row>
    <row r="289" spans="1:60" ht="14.25" customHeight="1" x14ac:dyDescent="0.3">
      <c r="A289" s="46"/>
      <c r="B289" s="37"/>
      <c r="C289" s="46" t="str">
        <f>C$201</f>
        <v>SA IP Development cost</v>
      </c>
      <c r="D289" s="46">
        <f t="shared" si="209"/>
        <v>0</v>
      </c>
      <c r="E289" s="46">
        <f t="shared" si="209"/>
        <v>-131710</v>
      </c>
      <c r="F289" s="46">
        <f t="shared" si="209"/>
        <v>-120000</v>
      </c>
      <c r="G289" s="46">
        <f t="shared" si="209"/>
        <v>-120000</v>
      </c>
      <c r="H289" s="46">
        <f t="shared" si="209"/>
        <v>-120000</v>
      </c>
      <c r="I289" s="46"/>
      <c r="J289" s="46">
        <f t="shared" ref="J289:BH289" si="217">-J$201</f>
        <v>0</v>
      </c>
      <c r="K289" s="46">
        <f t="shared" si="217"/>
        <v>0</v>
      </c>
      <c r="L289" s="46">
        <f t="shared" si="217"/>
        <v>0</v>
      </c>
      <c r="M289" s="46">
        <f t="shared" si="217"/>
        <v>0</v>
      </c>
      <c r="N289" s="46">
        <f t="shared" si="217"/>
        <v>0</v>
      </c>
      <c r="O289" s="46">
        <f t="shared" si="217"/>
        <v>0</v>
      </c>
      <c r="P289" s="46">
        <f t="shared" si="217"/>
        <v>-33880</v>
      </c>
      <c r="Q289" s="46">
        <f t="shared" si="217"/>
        <v>0</v>
      </c>
      <c r="R289" s="46">
        <f t="shared" si="217"/>
        <v>-27830</v>
      </c>
      <c r="S289" s="46">
        <f t="shared" si="217"/>
        <v>0</v>
      </c>
      <c r="T289" s="46">
        <f t="shared" si="217"/>
        <v>-30000</v>
      </c>
      <c r="U289" s="46">
        <f t="shared" si="217"/>
        <v>-10000</v>
      </c>
      <c r="V289" s="46">
        <f t="shared" si="217"/>
        <v>-10000</v>
      </c>
      <c r="W289" s="46">
        <f t="shared" si="217"/>
        <v>-10000</v>
      </c>
      <c r="X289" s="46">
        <f t="shared" si="217"/>
        <v>-10000</v>
      </c>
      <c r="Y289" s="46">
        <f t="shared" si="217"/>
        <v>-10000</v>
      </c>
      <c r="Z289" s="46">
        <f t="shared" si="217"/>
        <v>-10000</v>
      </c>
      <c r="AA289" s="46">
        <f t="shared" si="217"/>
        <v>-10000</v>
      </c>
      <c r="AB289" s="46">
        <f t="shared" si="217"/>
        <v>-10000</v>
      </c>
      <c r="AC289" s="46">
        <f t="shared" si="217"/>
        <v>-10000</v>
      </c>
      <c r="AD289" s="46">
        <f t="shared" si="217"/>
        <v>-10000</v>
      </c>
      <c r="AE289" s="46">
        <f t="shared" si="217"/>
        <v>-10000</v>
      </c>
      <c r="AF289" s="46">
        <f t="shared" si="217"/>
        <v>-10000</v>
      </c>
      <c r="AG289" s="46">
        <f t="shared" si="217"/>
        <v>-10000</v>
      </c>
      <c r="AH289" s="46">
        <f t="shared" si="217"/>
        <v>-10000</v>
      </c>
      <c r="AI289" s="46">
        <f t="shared" si="217"/>
        <v>-10000</v>
      </c>
      <c r="AJ289" s="46">
        <f t="shared" si="217"/>
        <v>-10000</v>
      </c>
      <c r="AK289" s="46">
        <f t="shared" si="217"/>
        <v>-10000</v>
      </c>
      <c r="AL289" s="46">
        <f t="shared" si="217"/>
        <v>-10000</v>
      </c>
      <c r="AM289" s="46">
        <f t="shared" si="217"/>
        <v>-10000</v>
      </c>
      <c r="AN289" s="46">
        <f t="shared" si="217"/>
        <v>-10000</v>
      </c>
      <c r="AO289" s="46">
        <f t="shared" si="217"/>
        <v>-10000</v>
      </c>
      <c r="AP289" s="46">
        <f t="shared" si="217"/>
        <v>-10000</v>
      </c>
      <c r="AQ289" s="46">
        <f t="shared" si="217"/>
        <v>-10000</v>
      </c>
      <c r="AR289" s="46">
        <f t="shared" si="217"/>
        <v>-10000</v>
      </c>
      <c r="AS289" s="46">
        <f t="shared" si="217"/>
        <v>-10000</v>
      </c>
      <c r="AT289" s="46">
        <f t="shared" si="217"/>
        <v>-10000</v>
      </c>
      <c r="AU289" s="46">
        <f t="shared" si="217"/>
        <v>-10000</v>
      </c>
      <c r="AV289" s="46">
        <f t="shared" si="217"/>
        <v>-10000</v>
      </c>
      <c r="AW289" s="46">
        <f t="shared" si="217"/>
        <v>-10000</v>
      </c>
      <c r="AX289" s="46">
        <f t="shared" si="217"/>
        <v>-10000</v>
      </c>
      <c r="AY289" s="46">
        <f t="shared" si="217"/>
        <v>-10000</v>
      </c>
      <c r="AZ289" s="46">
        <f t="shared" si="217"/>
        <v>-10000</v>
      </c>
      <c r="BA289" s="46">
        <f t="shared" si="217"/>
        <v>-10000</v>
      </c>
      <c r="BB289" s="46">
        <f t="shared" si="217"/>
        <v>-10000</v>
      </c>
      <c r="BC289" s="46">
        <f t="shared" si="217"/>
        <v>-10000</v>
      </c>
      <c r="BD289" s="46">
        <f t="shared" si="217"/>
        <v>-10000</v>
      </c>
      <c r="BE289" s="46">
        <f t="shared" si="217"/>
        <v>-10000</v>
      </c>
      <c r="BF289" s="46">
        <f t="shared" si="217"/>
        <v>-10000</v>
      </c>
      <c r="BG289" s="46">
        <f t="shared" si="217"/>
        <v>-10000</v>
      </c>
      <c r="BH289" s="46">
        <f t="shared" si="217"/>
        <v>-10000</v>
      </c>
    </row>
    <row r="290" spans="1:60" ht="14.25" customHeight="1" x14ac:dyDescent="0.3">
      <c r="A290" s="37"/>
      <c r="B290" s="37"/>
      <c r="C290" s="37" t="s">
        <v>362</v>
      </c>
      <c r="D290" s="68">
        <f t="shared" si="209"/>
        <v>0</v>
      </c>
      <c r="E290" s="68">
        <f t="shared" si="209"/>
        <v>-571522</v>
      </c>
      <c r="F290" s="68">
        <f t="shared" si="209"/>
        <v>-823068</v>
      </c>
      <c r="G290" s="68">
        <f t="shared" si="209"/>
        <v>-823068</v>
      </c>
      <c r="H290" s="68">
        <f t="shared" si="209"/>
        <v>-823068</v>
      </c>
      <c r="I290" s="68"/>
      <c r="J290" s="68">
        <f>SUM(J282:J289)</f>
        <v>0</v>
      </c>
      <c r="K290" s="68">
        <f t="shared" ref="K290:BH290" si="218">SUM(K282:K289)</f>
        <v>0</v>
      </c>
      <c r="L290" s="68">
        <f t="shared" si="218"/>
        <v>0</v>
      </c>
      <c r="M290" s="68">
        <f t="shared" si="218"/>
        <v>-16673</v>
      </c>
      <c r="N290" s="68">
        <f t="shared" si="218"/>
        <v>-15606</v>
      </c>
      <c r="O290" s="68">
        <f t="shared" si="218"/>
        <v>-16853</v>
      </c>
      <c r="P290" s="68">
        <f t="shared" si="218"/>
        <v>-50967</v>
      </c>
      <c r="Q290" s="68">
        <f t="shared" si="218"/>
        <v>-19164</v>
      </c>
      <c r="R290" s="68">
        <f t="shared" si="218"/>
        <v>-53280</v>
      </c>
      <c r="S290" s="68">
        <f t="shared" si="218"/>
        <v>-43534</v>
      </c>
      <c r="T290" s="68">
        <f t="shared" si="218"/>
        <v>-87089</v>
      </c>
      <c r="U290" s="68">
        <f t="shared" si="218"/>
        <v>-67089</v>
      </c>
      <c r="V290" s="68">
        <f t="shared" si="218"/>
        <v>-67089</v>
      </c>
      <c r="W290" s="68">
        <f t="shared" si="218"/>
        <v>-67089</v>
      </c>
      <c r="X290" s="68">
        <f t="shared" si="218"/>
        <v>-67089</v>
      </c>
      <c r="Y290" s="68">
        <f t="shared" si="218"/>
        <v>-68589</v>
      </c>
      <c r="Z290" s="68">
        <f t="shared" si="218"/>
        <v>-68589</v>
      </c>
      <c r="AA290" s="68">
        <f t="shared" si="218"/>
        <v>-68589</v>
      </c>
      <c r="AB290" s="68">
        <f t="shared" si="218"/>
        <v>-68589</v>
      </c>
      <c r="AC290" s="68">
        <f t="shared" si="218"/>
        <v>-68589</v>
      </c>
      <c r="AD290" s="68">
        <f t="shared" si="218"/>
        <v>-68589</v>
      </c>
      <c r="AE290" s="68">
        <f t="shared" si="218"/>
        <v>-68589</v>
      </c>
      <c r="AF290" s="68">
        <f t="shared" si="218"/>
        <v>-68589</v>
      </c>
      <c r="AG290" s="68">
        <f t="shared" si="218"/>
        <v>-68589</v>
      </c>
      <c r="AH290" s="68">
        <f t="shared" si="218"/>
        <v>-68589</v>
      </c>
      <c r="AI290" s="68">
        <f t="shared" si="218"/>
        <v>-68589</v>
      </c>
      <c r="AJ290" s="68">
        <f t="shared" si="218"/>
        <v>-68589</v>
      </c>
      <c r="AK290" s="68">
        <f t="shared" si="218"/>
        <v>-68589</v>
      </c>
      <c r="AL290" s="68">
        <f t="shared" si="218"/>
        <v>-68589</v>
      </c>
      <c r="AM290" s="68">
        <f t="shared" si="218"/>
        <v>-68589</v>
      </c>
      <c r="AN290" s="68">
        <f t="shared" si="218"/>
        <v>-68589</v>
      </c>
      <c r="AO290" s="68">
        <f t="shared" si="218"/>
        <v>-68589</v>
      </c>
      <c r="AP290" s="68">
        <f t="shared" si="218"/>
        <v>-68589</v>
      </c>
      <c r="AQ290" s="68">
        <f t="shared" si="218"/>
        <v>-68589</v>
      </c>
      <c r="AR290" s="68">
        <f t="shared" si="218"/>
        <v>-68589</v>
      </c>
      <c r="AS290" s="68">
        <f t="shared" si="218"/>
        <v>-68589</v>
      </c>
      <c r="AT290" s="68">
        <f t="shared" si="218"/>
        <v>-68589</v>
      </c>
      <c r="AU290" s="68">
        <f t="shared" si="218"/>
        <v>-68589</v>
      </c>
      <c r="AV290" s="68">
        <f t="shared" si="218"/>
        <v>-68589</v>
      </c>
      <c r="AW290" s="68">
        <f t="shared" si="218"/>
        <v>-68589</v>
      </c>
      <c r="AX290" s="68">
        <f t="shared" si="218"/>
        <v>-68589</v>
      </c>
      <c r="AY290" s="68">
        <f t="shared" si="218"/>
        <v>-68589</v>
      </c>
      <c r="AZ290" s="68">
        <f t="shared" si="218"/>
        <v>-68589</v>
      </c>
      <c r="BA290" s="68">
        <f t="shared" si="218"/>
        <v>-68589</v>
      </c>
      <c r="BB290" s="68">
        <f t="shared" si="218"/>
        <v>-68589</v>
      </c>
      <c r="BC290" s="68">
        <f t="shared" si="218"/>
        <v>-68589</v>
      </c>
      <c r="BD290" s="68">
        <f t="shared" si="218"/>
        <v>-68589</v>
      </c>
      <c r="BE290" s="68">
        <f t="shared" si="218"/>
        <v>-68589</v>
      </c>
      <c r="BF290" s="68">
        <f t="shared" si="218"/>
        <v>-68589</v>
      </c>
      <c r="BG290" s="68">
        <f t="shared" si="218"/>
        <v>-68589</v>
      </c>
      <c r="BH290" s="68">
        <f t="shared" si="218"/>
        <v>-68589</v>
      </c>
    </row>
    <row r="291" spans="1:60" ht="14.25" customHeight="1" x14ac:dyDescent="0.3">
      <c r="A291" s="46"/>
      <c r="B291" s="37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  <c r="AE291" s="46"/>
      <c r="AF291" s="46"/>
      <c r="AG291" s="46"/>
      <c r="AH291" s="46"/>
      <c r="AI291" s="46"/>
      <c r="AJ291" s="46"/>
      <c r="AK291" s="46"/>
      <c r="AL291" s="46"/>
      <c r="AM291" s="46"/>
      <c r="AN291" s="46"/>
      <c r="AO291" s="46"/>
      <c r="AP291" s="46"/>
      <c r="AQ291" s="46"/>
      <c r="AR291" s="46"/>
      <c r="AS291" s="46"/>
      <c r="AT291" s="46"/>
      <c r="AU291" s="46"/>
      <c r="AV291" s="46"/>
      <c r="AW291" s="46"/>
      <c r="AX291" s="46"/>
      <c r="AY291" s="46"/>
      <c r="AZ291" s="46"/>
      <c r="BA291" s="46"/>
      <c r="BB291" s="46"/>
      <c r="BC291" s="46"/>
      <c r="BD291" s="46"/>
      <c r="BE291" s="46"/>
      <c r="BF291" s="46"/>
      <c r="BG291" s="46"/>
      <c r="BH291" s="46"/>
    </row>
    <row r="292" spans="1:60" ht="14.25" customHeight="1" x14ac:dyDescent="0.3">
      <c r="A292" s="37"/>
      <c r="B292" s="37"/>
      <c r="C292" s="37" t="s">
        <v>177</v>
      </c>
      <c r="D292" s="68">
        <f>SUMIF($1:$1,D$238,292:292)</f>
        <v>-17970</v>
      </c>
      <c r="E292" s="68">
        <f>SUMIF($1:$1,E$238,292:292)</f>
        <v>-1008082.9907066852</v>
      </c>
      <c r="F292" s="68">
        <f>SUMIF($1:$1,F$238,292:292)</f>
        <v>-1602625.5887066845</v>
      </c>
      <c r="G292" s="68">
        <f>SUMIF($1:$1,G$238,292:292)</f>
        <v>-1614605.5887066845</v>
      </c>
      <c r="H292" s="68">
        <f>SUMIF($1:$1,H$238,292:292)</f>
        <v>-1758365.5887066845</v>
      </c>
      <c r="I292" s="68"/>
      <c r="J292" s="68">
        <f t="shared" ref="J292:BH292" si="219">SUM(J280,J290)</f>
        <v>-5990</v>
      </c>
      <c r="K292" s="68">
        <f t="shared" si="219"/>
        <v>-5990</v>
      </c>
      <c r="L292" s="68">
        <f t="shared" si="219"/>
        <v>-5990</v>
      </c>
      <c r="M292" s="68">
        <f t="shared" si="219"/>
        <v>-36059.948392223763</v>
      </c>
      <c r="N292" s="68">
        <f t="shared" si="219"/>
        <v>-35454.178392223759</v>
      </c>
      <c r="O292" s="68">
        <f t="shared" si="219"/>
        <v>-37830.892392223759</v>
      </c>
      <c r="P292" s="68">
        <f>SUM(P280,P290)</f>
        <v>-72778.172392223758</v>
      </c>
      <c r="Q292" s="68">
        <f t="shared" si="219"/>
        <v>-40915.272392223764</v>
      </c>
      <c r="R292" s="68">
        <f t="shared" si="219"/>
        <v>-78325.772392223764</v>
      </c>
      <c r="S292" s="68">
        <f t="shared" si="219"/>
        <v>-79170.092392223771</v>
      </c>
      <c r="T292" s="68">
        <f t="shared" si="219"/>
        <v>-128092.13239222376</v>
      </c>
      <c r="U292" s="68">
        <f t="shared" si="219"/>
        <v>-112884.13239222376</v>
      </c>
      <c r="V292" s="68">
        <f t="shared" si="219"/>
        <v>-127260.13239222376</v>
      </c>
      <c r="W292" s="68">
        <f t="shared" si="219"/>
        <v>-127260.13239222376</v>
      </c>
      <c r="X292" s="68">
        <f t="shared" si="219"/>
        <v>-132052.13239222375</v>
      </c>
      <c r="Y292" s="68">
        <f t="shared" si="219"/>
        <v>-133552.13239222375</v>
      </c>
      <c r="Z292" s="68">
        <f t="shared" si="219"/>
        <v>-133552.13239222375</v>
      </c>
      <c r="AA292" s="68">
        <f t="shared" si="219"/>
        <v>-133552.13239222375</v>
      </c>
      <c r="AB292" s="68">
        <f t="shared" si="219"/>
        <v>-133552.13239222375</v>
      </c>
      <c r="AC292" s="68">
        <f t="shared" si="219"/>
        <v>-133552.13239222375</v>
      </c>
      <c r="AD292" s="68">
        <f t="shared" si="219"/>
        <v>-133552.13239222375</v>
      </c>
      <c r="AE292" s="68">
        <f t="shared" si="219"/>
        <v>-133552.13239222375</v>
      </c>
      <c r="AF292" s="68">
        <f t="shared" si="219"/>
        <v>-133552.13239222375</v>
      </c>
      <c r="AG292" s="68">
        <f t="shared" si="219"/>
        <v>-133552.13239222375</v>
      </c>
      <c r="AH292" s="68">
        <f t="shared" si="219"/>
        <v>-133552.13239222375</v>
      </c>
      <c r="AI292" s="68">
        <f t="shared" si="219"/>
        <v>-133552.13239222375</v>
      </c>
      <c r="AJ292" s="68">
        <f t="shared" si="219"/>
        <v>-133552.13239222375</v>
      </c>
      <c r="AK292" s="68">
        <f t="shared" si="219"/>
        <v>-133552.13239222375</v>
      </c>
      <c r="AL292" s="68">
        <f t="shared" si="219"/>
        <v>-133552.13239222375</v>
      </c>
      <c r="AM292" s="68">
        <f t="shared" si="219"/>
        <v>-133552.13239222375</v>
      </c>
      <c r="AN292" s="68">
        <f t="shared" si="219"/>
        <v>-133552.13239222375</v>
      </c>
      <c r="AO292" s="68">
        <f t="shared" si="219"/>
        <v>-133552.13239222375</v>
      </c>
      <c r="AP292" s="68">
        <f t="shared" si="219"/>
        <v>-133552.13239222375</v>
      </c>
      <c r="AQ292" s="68">
        <f t="shared" si="219"/>
        <v>-133552.13239222375</v>
      </c>
      <c r="AR292" s="68">
        <f t="shared" si="219"/>
        <v>-133552.13239222375</v>
      </c>
      <c r="AS292" s="68">
        <f t="shared" si="219"/>
        <v>-133552.13239222375</v>
      </c>
      <c r="AT292" s="68">
        <f t="shared" si="219"/>
        <v>-133552.13239222375</v>
      </c>
      <c r="AU292" s="68">
        <f t="shared" si="219"/>
        <v>-133552.13239222375</v>
      </c>
      <c r="AV292" s="68">
        <f t="shared" si="219"/>
        <v>-145532.13239222375</v>
      </c>
      <c r="AW292" s="68">
        <f t="shared" si="219"/>
        <v>-145532.13239222375</v>
      </c>
      <c r="AX292" s="68">
        <f t="shared" si="219"/>
        <v>-145532.13239222375</v>
      </c>
      <c r="AY292" s="68">
        <f t="shared" si="219"/>
        <v>-145532.13239222375</v>
      </c>
      <c r="AZ292" s="68">
        <f t="shared" si="219"/>
        <v>-145532.13239222375</v>
      </c>
      <c r="BA292" s="68">
        <f t="shared" si="219"/>
        <v>-145532.13239222375</v>
      </c>
      <c r="BB292" s="68">
        <f t="shared" si="219"/>
        <v>-145532.13239222375</v>
      </c>
      <c r="BC292" s="68">
        <f t="shared" si="219"/>
        <v>-145532.13239222375</v>
      </c>
      <c r="BD292" s="68">
        <f t="shared" si="219"/>
        <v>-145532.13239222375</v>
      </c>
      <c r="BE292" s="68">
        <f t="shared" si="219"/>
        <v>-145532.13239222375</v>
      </c>
      <c r="BF292" s="68">
        <f t="shared" si="219"/>
        <v>-145532.13239222375</v>
      </c>
      <c r="BG292" s="68">
        <f t="shared" si="219"/>
        <v>-145532.13239222375</v>
      </c>
      <c r="BH292" s="68">
        <f t="shared" si="219"/>
        <v>-157512.13239222375</v>
      </c>
    </row>
    <row r="293" spans="1:60" ht="14.25" customHeight="1" x14ac:dyDescent="0.3">
      <c r="A293" s="46"/>
      <c r="B293" s="37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  <c r="AD293" s="46"/>
      <c r="AE293" s="46"/>
      <c r="AF293" s="46"/>
      <c r="AG293" s="46"/>
      <c r="AH293" s="46"/>
      <c r="AI293" s="46"/>
      <c r="AJ293" s="46"/>
      <c r="AK293" s="46"/>
      <c r="AL293" s="46"/>
      <c r="AM293" s="46"/>
      <c r="AN293" s="46"/>
      <c r="AO293" s="46"/>
      <c r="AP293" s="46"/>
      <c r="AQ293" s="46"/>
      <c r="AR293" s="46"/>
      <c r="AS293" s="46"/>
      <c r="AT293" s="46"/>
      <c r="AU293" s="46"/>
      <c r="AV293" s="46"/>
      <c r="AW293" s="46"/>
      <c r="AX293" s="46"/>
      <c r="AY293" s="46"/>
      <c r="AZ293" s="46"/>
      <c r="BA293" s="46"/>
      <c r="BB293" s="46"/>
      <c r="BC293" s="46"/>
      <c r="BD293" s="46"/>
      <c r="BE293" s="46"/>
      <c r="BF293" s="46"/>
      <c r="BG293" s="46"/>
      <c r="BH293" s="46"/>
    </row>
    <row r="294" spans="1:60" ht="14.25" customHeight="1" x14ac:dyDescent="0.3">
      <c r="A294" s="37"/>
      <c r="B294" s="37"/>
      <c r="C294" s="37" t="s">
        <v>363</v>
      </c>
      <c r="D294" s="68">
        <f>SUMIF($1:$1,D$238,294:294)</f>
        <v>-17970</v>
      </c>
      <c r="E294" s="68">
        <f>SUMIF($1:$1,E$238,294:294)</f>
        <v>-205937.63050365157</v>
      </c>
      <c r="F294" s="68">
        <f>SUMIF($1:$1,F$238,294:294)</f>
        <v>662477.43134169385</v>
      </c>
      <c r="G294" s="68">
        <f>SUMIF($1:$1,G$238,294:294)</f>
        <v>1711821.7430975283</v>
      </c>
      <c r="H294" s="68">
        <f>SUMIF($1:$1,H$238,294:294)</f>
        <v>2670817.3983413535</v>
      </c>
      <c r="I294" s="68"/>
      <c r="J294" s="68">
        <f t="shared" ref="J294:BH294" si="220">SUM(J269,J292)</f>
        <v>-5990</v>
      </c>
      <c r="K294" s="68">
        <f t="shared" si="220"/>
        <v>-5990</v>
      </c>
      <c r="L294" s="68">
        <f t="shared" si="220"/>
        <v>-5990</v>
      </c>
      <c r="M294" s="68">
        <f t="shared" si="220"/>
        <v>-27001.948392223763</v>
      </c>
      <c r="N294" s="68">
        <f t="shared" si="220"/>
        <v>-29597.178392223759</v>
      </c>
      <c r="O294" s="68">
        <f t="shared" si="220"/>
        <v>-29008.892392223759</v>
      </c>
      <c r="P294" s="68">
        <f>SUM(P269,P292)</f>
        <v>87219.727607776236</v>
      </c>
      <c r="Q294" s="68">
        <f t="shared" si="220"/>
        <v>-32652.412392223767</v>
      </c>
      <c r="R294" s="68">
        <f t="shared" si="220"/>
        <v>-33859.08839222377</v>
      </c>
      <c r="S294" s="68">
        <f t="shared" si="220"/>
        <v>-30285.392392223766</v>
      </c>
      <c r="T294" s="68">
        <f t="shared" si="220"/>
        <v>-59961.464892223768</v>
      </c>
      <c r="U294" s="68">
        <f t="shared" si="220"/>
        <v>-28185.72657222375</v>
      </c>
      <c r="V294" s="68">
        <f t="shared" si="220"/>
        <v>-18647.45507425502</v>
      </c>
      <c r="W294" s="68">
        <f t="shared" si="220"/>
        <v>-8066.1081123468321</v>
      </c>
      <c r="X294" s="68">
        <f t="shared" si="220"/>
        <v>4108.3088929641526</v>
      </c>
      <c r="Y294" s="68">
        <f t="shared" si="220"/>
        <v>12590.321755007957</v>
      </c>
      <c r="Z294" s="68">
        <f t="shared" si="220"/>
        <v>20448.331356799463</v>
      </c>
      <c r="AA294" s="68">
        <f t="shared" si="220"/>
        <v>28538.627506884834</v>
      </c>
      <c r="AB294" s="68">
        <f t="shared" si="220"/>
        <v>36999.309130036127</v>
      </c>
      <c r="AC294" s="68">
        <f t="shared" si="220"/>
        <v>45979.516779812315</v>
      </c>
      <c r="AD294" s="68">
        <f t="shared" si="220"/>
        <v>52962.8948519931</v>
      </c>
      <c r="AE294" s="68">
        <f t="shared" si="220"/>
        <v>60368.005162946851</v>
      </c>
      <c r="AF294" s="68">
        <f t="shared" si="220"/>
        <v>68270.433138832363</v>
      </c>
      <c r="AG294" s="68">
        <f t="shared" si="220"/>
        <v>74155.590624670818</v>
      </c>
      <c r="AH294" s="68">
        <f t="shared" si="220"/>
        <v>80444.167476200411</v>
      </c>
      <c r="AI294" s="68">
        <f t="shared" si="220"/>
        <v>87214.281779356883</v>
      </c>
      <c r="AJ294" s="68">
        <f t="shared" si="220"/>
        <v>94505.951779152703</v>
      </c>
      <c r="AK294" s="68">
        <f t="shared" si="220"/>
        <v>102362.70089398677</v>
      </c>
      <c r="AL294" s="68">
        <f t="shared" si="220"/>
        <v>110368.23967624057</v>
      </c>
      <c r="AM294" s="68">
        <f t="shared" si="220"/>
        <v>117054.99466093158</v>
      </c>
      <c r="AN294" s="68">
        <f t="shared" si="220"/>
        <v>124217.12594604821</v>
      </c>
      <c r="AO294" s="68">
        <f t="shared" si="220"/>
        <v>131891.20579927997</v>
      </c>
      <c r="AP294" s="68">
        <f t="shared" si="220"/>
        <v>138836.23164826736</v>
      </c>
      <c r="AQ294" s="68">
        <f t="shared" si="220"/>
        <v>146028.0230427183</v>
      </c>
      <c r="AR294" s="68">
        <f t="shared" si="220"/>
        <v>153697.5564416027</v>
      </c>
      <c r="AS294" s="68">
        <f t="shared" si="220"/>
        <v>161878.62893653067</v>
      </c>
      <c r="AT294" s="68">
        <f t="shared" si="220"/>
        <v>170190.18243821309</v>
      </c>
      <c r="AU294" s="68">
        <f t="shared" si="220"/>
        <v>178964.17121528479</v>
      </c>
      <c r="AV294" s="68">
        <f t="shared" si="220"/>
        <v>176332.68239842408</v>
      </c>
      <c r="AW294" s="68">
        <f t="shared" si="220"/>
        <v>186295.2938912104</v>
      </c>
      <c r="AX294" s="68">
        <f t="shared" si="220"/>
        <v>196914.39854314108</v>
      </c>
      <c r="AY294" s="68">
        <f t="shared" si="220"/>
        <v>207831.41945083602</v>
      </c>
      <c r="AZ294" s="68">
        <f t="shared" si="220"/>
        <v>217072.9113967297</v>
      </c>
      <c r="BA294" s="68">
        <f t="shared" si="220"/>
        <v>220466.56179298408</v>
      </c>
      <c r="BB294" s="68">
        <f t="shared" si="220"/>
        <v>224035.1295297317</v>
      </c>
      <c r="BC294" s="68">
        <f t="shared" si="220"/>
        <v>227787.88395606552</v>
      </c>
      <c r="BD294" s="68">
        <f t="shared" si="220"/>
        <v>231734.61023673968</v>
      </c>
      <c r="BE294" s="68">
        <f t="shared" si="220"/>
        <v>235885.6403777735</v>
      </c>
      <c r="BF294" s="68">
        <f t="shared" si="220"/>
        <v>240251.8863268175</v>
      </c>
      <c r="BG294" s="68">
        <f t="shared" si="220"/>
        <v>244844.87530436821</v>
      </c>
      <c r="BH294" s="68">
        <f t="shared" si="220"/>
        <v>237696.7875349563</v>
      </c>
    </row>
    <row r="295" spans="1:60" ht="14.25" customHeight="1" x14ac:dyDescent="0.3">
      <c r="A295" s="46"/>
      <c r="B295" s="37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  <c r="AC295" s="46"/>
      <c r="AD295" s="46"/>
      <c r="AE295" s="46"/>
      <c r="AF295" s="46"/>
      <c r="AG295" s="46"/>
      <c r="AH295" s="46"/>
      <c r="AI295" s="46"/>
      <c r="AJ295" s="46"/>
      <c r="AK295" s="46"/>
      <c r="AL295" s="46"/>
      <c r="AM295" s="46"/>
      <c r="AN295" s="46"/>
      <c r="AO295" s="46"/>
      <c r="AP295" s="46"/>
      <c r="AQ295" s="46"/>
      <c r="AR295" s="46"/>
      <c r="AS295" s="46"/>
      <c r="AT295" s="46"/>
      <c r="AU295" s="46"/>
      <c r="AV295" s="46"/>
      <c r="AW295" s="46"/>
      <c r="AX295" s="46"/>
      <c r="AY295" s="46"/>
      <c r="AZ295" s="46"/>
      <c r="BA295" s="46"/>
      <c r="BB295" s="46"/>
      <c r="BC295" s="46"/>
      <c r="BD295" s="46"/>
      <c r="BE295" s="46"/>
      <c r="BF295" s="46"/>
      <c r="BG295" s="46"/>
      <c r="BH295" s="46"/>
    </row>
    <row r="296" spans="1:60" ht="14.25" customHeight="1" x14ac:dyDescent="0.3">
      <c r="A296" s="37"/>
      <c r="B296" s="37" t="s">
        <v>364</v>
      </c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37"/>
      <c r="AG296" s="37"/>
      <c r="AH296" s="37"/>
      <c r="AI296" s="37"/>
      <c r="AJ296" s="37"/>
      <c r="AK296" s="37"/>
      <c r="AL296" s="37"/>
      <c r="AM296" s="37"/>
      <c r="AN296" s="37"/>
      <c r="AO296" s="37"/>
      <c r="AP296" s="37"/>
      <c r="AQ296" s="37"/>
      <c r="AR296" s="37"/>
      <c r="AS296" s="37"/>
      <c r="AT296" s="37"/>
      <c r="AU296" s="37"/>
      <c r="AV296" s="37"/>
      <c r="AW296" s="37"/>
      <c r="AX296" s="37"/>
      <c r="AY296" s="37"/>
      <c r="AZ296" s="37"/>
      <c r="BA296" s="37"/>
      <c r="BB296" s="37"/>
      <c r="BC296" s="37"/>
      <c r="BD296" s="37"/>
      <c r="BE296" s="37"/>
      <c r="BF296" s="37"/>
      <c r="BG296" s="37"/>
      <c r="BH296" s="37"/>
    </row>
    <row r="297" spans="1:60" ht="14.25" customHeight="1" x14ac:dyDescent="0.3">
      <c r="A297" s="37"/>
      <c r="B297" s="37"/>
      <c r="C297" s="37" t="str">
        <f>C$206</f>
        <v>UK Capex</v>
      </c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  <c r="AE297" s="37"/>
      <c r="AF297" s="37"/>
      <c r="AG297" s="37"/>
      <c r="AH297" s="37"/>
      <c r="AI297" s="37"/>
      <c r="AJ297" s="37"/>
      <c r="AK297" s="37"/>
      <c r="AL297" s="37"/>
      <c r="AM297" s="37"/>
      <c r="AN297" s="37"/>
      <c r="AO297" s="37"/>
      <c r="AP297" s="37"/>
      <c r="AQ297" s="37"/>
      <c r="AR297" s="37"/>
      <c r="AS297" s="37"/>
      <c r="AT297" s="37"/>
      <c r="AU297" s="37"/>
      <c r="AV297" s="37"/>
      <c r="AW297" s="37"/>
      <c r="AX297" s="37"/>
      <c r="AY297" s="37"/>
      <c r="AZ297" s="37"/>
      <c r="BA297" s="37"/>
      <c r="BB297" s="37"/>
      <c r="BC297" s="37"/>
      <c r="BD297" s="37"/>
      <c r="BE297" s="37"/>
      <c r="BF297" s="37"/>
      <c r="BG297" s="37"/>
      <c r="BH297" s="37"/>
    </row>
    <row r="298" spans="1:60" ht="14.25" customHeight="1" x14ac:dyDescent="0.3">
      <c r="A298" s="46"/>
      <c r="B298" s="37"/>
      <c r="C298" s="46" t="str">
        <f>C$207</f>
        <v>Clinic Fit Out Phase 1</v>
      </c>
      <c r="D298" s="46">
        <f t="shared" ref="D298:H313" si="221">SUMIF($1:$1,D$238,298:298)</f>
        <v>0</v>
      </c>
      <c r="E298" s="46">
        <f t="shared" si="221"/>
        <v>-429544.52</v>
      </c>
      <c r="F298" s="46">
        <f t="shared" si="221"/>
        <v>0</v>
      </c>
      <c r="G298" s="46">
        <f t="shared" si="221"/>
        <v>0</v>
      </c>
      <c r="H298" s="46">
        <f t="shared" si="221"/>
        <v>0</v>
      </c>
      <c r="I298" s="46"/>
      <c r="J298" s="46">
        <f t="shared" ref="J298:BH298" si="222">-J$207</f>
        <v>0</v>
      </c>
      <c r="K298" s="46">
        <f t="shared" si="222"/>
        <v>0</v>
      </c>
      <c r="L298" s="46">
        <f t="shared" si="222"/>
        <v>0</v>
      </c>
      <c r="M298" s="46">
        <f t="shared" si="222"/>
        <v>0</v>
      </c>
      <c r="N298" s="46">
        <f t="shared" si="222"/>
        <v>0</v>
      </c>
      <c r="O298" s="46">
        <f t="shared" si="222"/>
        <v>-259062.93</v>
      </c>
      <c r="P298" s="46">
        <f t="shared" si="222"/>
        <v>-99639.59</v>
      </c>
      <c r="Q298" s="46">
        <f t="shared" si="222"/>
        <v>-60000</v>
      </c>
      <c r="R298" s="46">
        <f t="shared" si="222"/>
        <v>0</v>
      </c>
      <c r="S298" s="46">
        <f t="shared" si="222"/>
        <v>0</v>
      </c>
      <c r="T298" s="46">
        <f t="shared" si="222"/>
        <v>0</v>
      </c>
      <c r="U298" s="46">
        <f t="shared" si="222"/>
        <v>0</v>
      </c>
      <c r="V298" s="46">
        <f t="shared" si="222"/>
        <v>0</v>
      </c>
      <c r="W298" s="46">
        <f t="shared" si="222"/>
        <v>-10842</v>
      </c>
      <c r="X298" s="46">
        <f t="shared" si="222"/>
        <v>0</v>
      </c>
      <c r="Y298" s="46">
        <f t="shared" si="222"/>
        <v>0</v>
      </c>
      <c r="Z298" s="46">
        <f t="shared" si="222"/>
        <v>0</v>
      </c>
      <c r="AA298" s="46">
        <f t="shared" si="222"/>
        <v>0</v>
      </c>
      <c r="AB298" s="46">
        <f t="shared" si="222"/>
        <v>0</v>
      </c>
      <c r="AC298" s="46">
        <f t="shared" si="222"/>
        <v>0</v>
      </c>
      <c r="AD298" s="46">
        <f t="shared" si="222"/>
        <v>0</v>
      </c>
      <c r="AE298" s="46">
        <f t="shared" si="222"/>
        <v>0</v>
      </c>
      <c r="AF298" s="46">
        <f t="shared" si="222"/>
        <v>0</v>
      </c>
      <c r="AG298" s="46">
        <f t="shared" si="222"/>
        <v>0</v>
      </c>
      <c r="AH298" s="46">
        <f t="shared" si="222"/>
        <v>0</v>
      </c>
      <c r="AI298" s="46">
        <f t="shared" si="222"/>
        <v>0</v>
      </c>
      <c r="AJ298" s="46">
        <f t="shared" si="222"/>
        <v>0</v>
      </c>
      <c r="AK298" s="46">
        <f t="shared" si="222"/>
        <v>0</v>
      </c>
      <c r="AL298" s="46">
        <f t="shared" si="222"/>
        <v>0</v>
      </c>
      <c r="AM298" s="46">
        <f t="shared" si="222"/>
        <v>0</v>
      </c>
      <c r="AN298" s="46">
        <f t="shared" si="222"/>
        <v>0</v>
      </c>
      <c r="AO298" s="46">
        <f t="shared" si="222"/>
        <v>0</v>
      </c>
      <c r="AP298" s="46">
        <f t="shared" si="222"/>
        <v>0</v>
      </c>
      <c r="AQ298" s="46">
        <f t="shared" si="222"/>
        <v>0</v>
      </c>
      <c r="AR298" s="46">
        <f t="shared" si="222"/>
        <v>0</v>
      </c>
      <c r="AS298" s="46">
        <f t="shared" si="222"/>
        <v>0</v>
      </c>
      <c r="AT298" s="46">
        <f t="shared" si="222"/>
        <v>0</v>
      </c>
      <c r="AU298" s="46">
        <f t="shared" si="222"/>
        <v>0</v>
      </c>
      <c r="AV298" s="46">
        <f t="shared" si="222"/>
        <v>0</v>
      </c>
      <c r="AW298" s="46">
        <f t="shared" si="222"/>
        <v>0</v>
      </c>
      <c r="AX298" s="46">
        <f t="shared" si="222"/>
        <v>0</v>
      </c>
      <c r="AY298" s="46">
        <f t="shared" si="222"/>
        <v>0</v>
      </c>
      <c r="AZ298" s="46">
        <f t="shared" si="222"/>
        <v>0</v>
      </c>
      <c r="BA298" s="46">
        <f t="shared" si="222"/>
        <v>0</v>
      </c>
      <c r="BB298" s="46">
        <f t="shared" si="222"/>
        <v>0</v>
      </c>
      <c r="BC298" s="46">
        <f t="shared" si="222"/>
        <v>0</v>
      </c>
      <c r="BD298" s="46">
        <f t="shared" si="222"/>
        <v>0</v>
      </c>
      <c r="BE298" s="46">
        <f t="shared" si="222"/>
        <v>0</v>
      </c>
      <c r="BF298" s="46">
        <f t="shared" si="222"/>
        <v>0</v>
      </c>
      <c r="BG298" s="46">
        <f t="shared" si="222"/>
        <v>0</v>
      </c>
      <c r="BH298" s="46">
        <f t="shared" si="222"/>
        <v>0</v>
      </c>
    </row>
    <row r="299" spans="1:60" ht="14.25" customHeight="1" x14ac:dyDescent="0.3">
      <c r="A299" s="46"/>
      <c r="B299" s="37"/>
      <c r="C299" s="46" t="str">
        <f>C$208</f>
        <v>Clinic Fit Out Phase 2</v>
      </c>
      <c r="D299" s="46">
        <f t="shared" si="221"/>
        <v>0</v>
      </c>
      <c r="E299" s="46">
        <f t="shared" si="221"/>
        <v>0</v>
      </c>
      <c r="F299" s="46">
        <f t="shared" si="221"/>
        <v>-170000</v>
      </c>
      <c r="G299" s="46">
        <f t="shared" si="221"/>
        <v>0</v>
      </c>
      <c r="H299" s="46">
        <f t="shared" si="221"/>
        <v>0</v>
      </c>
      <c r="I299" s="46"/>
      <c r="J299" s="46">
        <f>-J$208</f>
        <v>0</v>
      </c>
      <c r="K299" s="46">
        <f t="shared" ref="K299:BH299" si="223">-K$208</f>
        <v>0</v>
      </c>
      <c r="L299" s="46">
        <f t="shared" si="223"/>
        <v>0</v>
      </c>
      <c r="M299" s="46">
        <f t="shared" si="223"/>
        <v>0</v>
      </c>
      <c r="N299" s="46">
        <f t="shared" si="223"/>
        <v>0</v>
      </c>
      <c r="O299" s="46">
        <f t="shared" si="223"/>
        <v>0</v>
      </c>
      <c r="P299" s="46">
        <f t="shared" si="223"/>
        <v>0</v>
      </c>
      <c r="Q299" s="46">
        <f t="shared" si="223"/>
        <v>0</v>
      </c>
      <c r="R299" s="46">
        <f t="shared" si="223"/>
        <v>0</v>
      </c>
      <c r="S299" s="46">
        <f t="shared" si="223"/>
        <v>0</v>
      </c>
      <c r="T299" s="46">
        <f t="shared" si="223"/>
        <v>0</v>
      </c>
      <c r="U299" s="46">
        <f t="shared" si="223"/>
        <v>0</v>
      </c>
      <c r="V299" s="46">
        <f t="shared" si="223"/>
        <v>0</v>
      </c>
      <c r="W299" s="46">
        <f t="shared" si="223"/>
        <v>0</v>
      </c>
      <c r="X299" s="46">
        <f t="shared" si="223"/>
        <v>0</v>
      </c>
      <c r="Y299" s="46">
        <f t="shared" si="223"/>
        <v>0</v>
      </c>
      <c r="Z299" s="46">
        <f t="shared" si="223"/>
        <v>0</v>
      </c>
      <c r="AA299" s="46">
        <f t="shared" si="223"/>
        <v>0</v>
      </c>
      <c r="AB299" s="46">
        <f t="shared" si="223"/>
        <v>0</v>
      </c>
      <c r="AC299" s="46">
        <f t="shared" si="223"/>
        <v>0</v>
      </c>
      <c r="AD299" s="46">
        <f t="shared" si="223"/>
        <v>0</v>
      </c>
      <c r="AE299" s="46">
        <f t="shared" si="223"/>
        <v>0</v>
      </c>
      <c r="AF299" s="46">
        <f t="shared" si="223"/>
        <v>0</v>
      </c>
      <c r="AG299" s="46">
        <f t="shared" si="223"/>
        <v>0</v>
      </c>
      <c r="AH299" s="46">
        <f t="shared" si="223"/>
        <v>0</v>
      </c>
      <c r="AI299" s="46">
        <f t="shared" si="223"/>
        <v>0</v>
      </c>
      <c r="AJ299" s="46">
        <f t="shared" si="223"/>
        <v>-170000</v>
      </c>
      <c r="AK299" s="46">
        <f t="shared" si="223"/>
        <v>0</v>
      </c>
      <c r="AL299" s="46">
        <f t="shared" si="223"/>
        <v>0</v>
      </c>
      <c r="AM299" s="46">
        <f t="shared" si="223"/>
        <v>0</v>
      </c>
      <c r="AN299" s="46">
        <f t="shared" si="223"/>
        <v>0</v>
      </c>
      <c r="AO299" s="46">
        <f t="shared" si="223"/>
        <v>0</v>
      </c>
      <c r="AP299" s="46">
        <f t="shared" si="223"/>
        <v>0</v>
      </c>
      <c r="AQ299" s="46">
        <f t="shared" si="223"/>
        <v>0</v>
      </c>
      <c r="AR299" s="46">
        <f t="shared" si="223"/>
        <v>0</v>
      </c>
      <c r="AS299" s="46">
        <f t="shared" si="223"/>
        <v>0</v>
      </c>
      <c r="AT299" s="46">
        <f t="shared" si="223"/>
        <v>0</v>
      </c>
      <c r="AU299" s="46">
        <f t="shared" si="223"/>
        <v>0</v>
      </c>
      <c r="AV299" s="46">
        <f t="shared" si="223"/>
        <v>0</v>
      </c>
      <c r="AW299" s="46">
        <f t="shared" si="223"/>
        <v>0</v>
      </c>
      <c r="AX299" s="46">
        <f t="shared" si="223"/>
        <v>0</v>
      </c>
      <c r="AY299" s="46">
        <f t="shared" si="223"/>
        <v>0</v>
      </c>
      <c r="AZ299" s="46">
        <f t="shared" si="223"/>
        <v>0</v>
      </c>
      <c r="BA299" s="46">
        <f t="shared" si="223"/>
        <v>0</v>
      </c>
      <c r="BB299" s="46">
        <f t="shared" si="223"/>
        <v>0</v>
      </c>
      <c r="BC299" s="46">
        <f t="shared" si="223"/>
        <v>0</v>
      </c>
      <c r="BD299" s="46">
        <f t="shared" si="223"/>
        <v>0</v>
      </c>
      <c r="BE299" s="46">
        <f t="shared" si="223"/>
        <v>0</v>
      </c>
      <c r="BF299" s="46">
        <f t="shared" si="223"/>
        <v>0</v>
      </c>
      <c r="BG299" s="46">
        <f t="shared" si="223"/>
        <v>0</v>
      </c>
      <c r="BH299" s="46">
        <f t="shared" si="223"/>
        <v>0</v>
      </c>
    </row>
    <row r="300" spans="1:60" ht="14.25" customHeight="1" x14ac:dyDescent="0.3">
      <c r="A300" s="46"/>
      <c r="B300" s="37"/>
      <c r="C300" s="46" t="str">
        <f>C$209</f>
        <v>Hyperthermia Machine #1</v>
      </c>
      <c r="D300" s="46">
        <f t="shared" si="221"/>
        <v>-333333.33333333337</v>
      </c>
      <c r="E300" s="46">
        <f t="shared" si="221"/>
        <v>0</v>
      </c>
      <c r="F300" s="46">
        <f t="shared" si="221"/>
        <v>0</v>
      </c>
      <c r="G300" s="46">
        <f t="shared" si="221"/>
        <v>0</v>
      </c>
      <c r="H300" s="46">
        <f t="shared" si="221"/>
        <v>0</v>
      </c>
      <c r="I300" s="46"/>
      <c r="J300" s="46">
        <f t="shared" ref="J300:BH300" si="224">-J$209</f>
        <v>-333333.33333333337</v>
      </c>
      <c r="K300" s="46">
        <f t="shared" si="224"/>
        <v>0</v>
      </c>
      <c r="L300" s="46">
        <f t="shared" si="224"/>
        <v>0</v>
      </c>
      <c r="M300" s="46">
        <f t="shared" si="224"/>
        <v>0</v>
      </c>
      <c r="N300" s="46">
        <f t="shared" si="224"/>
        <v>0</v>
      </c>
      <c r="O300" s="46">
        <f t="shared" si="224"/>
        <v>0</v>
      </c>
      <c r="P300" s="46">
        <f t="shared" si="224"/>
        <v>0</v>
      </c>
      <c r="Q300" s="46">
        <f t="shared" si="224"/>
        <v>0</v>
      </c>
      <c r="R300" s="46">
        <f t="shared" si="224"/>
        <v>0</v>
      </c>
      <c r="S300" s="46">
        <f t="shared" si="224"/>
        <v>0</v>
      </c>
      <c r="T300" s="46">
        <f t="shared" si="224"/>
        <v>0</v>
      </c>
      <c r="U300" s="46">
        <f t="shared" si="224"/>
        <v>0</v>
      </c>
      <c r="V300" s="46">
        <f t="shared" si="224"/>
        <v>0</v>
      </c>
      <c r="W300" s="46">
        <f t="shared" si="224"/>
        <v>0</v>
      </c>
      <c r="X300" s="46">
        <f t="shared" si="224"/>
        <v>0</v>
      </c>
      <c r="Y300" s="46">
        <f t="shared" si="224"/>
        <v>0</v>
      </c>
      <c r="Z300" s="46">
        <f t="shared" si="224"/>
        <v>0</v>
      </c>
      <c r="AA300" s="46">
        <f t="shared" si="224"/>
        <v>0</v>
      </c>
      <c r="AB300" s="46">
        <f t="shared" si="224"/>
        <v>0</v>
      </c>
      <c r="AC300" s="46">
        <f t="shared" si="224"/>
        <v>0</v>
      </c>
      <c r="AD300" s="46">
        <f t="shared" si="224"/>
        <v>0</v>
      </c>
      <c r="AE300" s="46">
        <f t="shared" si="224"/>
        <v>0</v>
      </c>
      <c r="AF300" s="46">
        <f t="shared" si="224"/>
        <v>0</v>
      </c>
      <c r="AG300" s="46">
        <f t="shared" si="224"/>
        <v>0</v>
      </c>
      <c r="AH300" s="46">
        <f t="shared" si="224"/>
        <v>0</v>
      </c>
      <c r="AI300" s="46">
        <f t="shared" si="224"/>
        <v>0</v>
      </c>
      <c r="AJ300" s="46">
        <f t="shared" si="224"/>
        <v>0</v>
      </c>
      <c r="AK300" s="46">
        <f t="shared" si="224"/>
        <v>0</v>
      </c>
      <c r="AL300" s="46">
        <f t="shared" si="224"/>
        <v>0</v>
      </c>
      <c r="AM300" s="46">
        <f t="shared" si="224"/>
        <v>0</v>
      </c>
      <c r="AN300" s="46">
        <f t="shared" si="224"/>
        <v>0</v>
      </c>
      <c r="AO300" s="46">
        <f t="shared" si="224"/>
        <v>0</v>
      </c>
      <c r="AP300" s="46">
        <f t="shared" si="224"/>
        <v>0</v>
      </c>
      <c r="AQ300" s="46">
        <f t="shared" si="224"/>
        <v>0</v>
      </c>
      <c r="AR300" s="46">
        <f t="shared" si="224"/>
        <v>0</v>
      </c>
      <c r="AS300" s="46">
        <f t="shared" si="224"/>
        <v>0</v>
      </c>
      <c r="AT300" s="46">
        <f t="shared" si="224"/>
        <v>0</v>
      </c>
      <c r="AU300" s="46">
        <f t="shared" si="224"/>
        <v>0</v>
      </c>
      <c r="AV300" s="46">
        <f t="shared" si="224"/>
        <v>0</v>
      </c>
      <c r="AW300" s="46">
        <f t="shared" si="224"/>
        <v>0</v>
      </c>
      <c r="AX300" s="46">
        <f t="shared" si="224"/>
        <v>0</v>
      </c>
      <c r="AY300" s="46">
        <f t="shared" si="224"/>
        <v>0</v>
      </c>
      <c r="AZ300" s="46">
        <f t="shared" si="224"/>
        <v>0</v>
      </c>
      <c r="BA300" s="46">
        <f t="shared" si="224"/>
        <v>0</v>
      </c>
      <c r="BB300" s="46">
        <f t="shared" si="224"/>
        <v>0</v>
      </c>
      <c r="BC300" s="46">
        <f t="shared" si="224"/>
        <v>0</v>
      </c>
      <c r="BD300" s="46">
        <f t="shared" si="224"/>
        <v>0</v>
      </c>
      <c r="BE300" s="46">
        <f t="shared" si="224"/>
        <v>0</v>
      </c>
      <c r="BF300" s="46">
        <f t="shared" si="224"/>
        <v>0</v>
      </c>
      <c r="BG300" s="46">
        <f t="shared" si="224"/>
        <v>0</v>
      </c>
      <c r="BH300" s="46">
        <f t="shared" si="224"/>
        <v>0</v>
      </c>
    </row>
    <row r="301" spans="1:60" ht="14.25" customHeight="1" x14ac:dyDescent="0.3">
      <c r="A301" s="46"/>
      <c r="B301" s="37"/>
      <c r="C301" s="46" t="str">
        <f>C$210</f>
        <v>Hyperthermia Machine #2</v>
      </c>
      <c r="D301" s="46">
        <f t="shared" si="221"/>
        <v>0</v>
      </c>
      <c r="E301" s="46">
        <f t="shared" si="221"/>
        <v>-326666.66666666669</v>
      </c>
      <c r="F301" s="46">
        <f t="shared" si="221"/>
        <v>0</v>
      </c>
      <c r="G301" s="46">
        <f t="shared" si="221"/>
        <v>0</v>
      </c>
      <c r="H301" s="46">
        <f t="shared" si="221"/>
        <v>0</v>
      </c>
      <c r="I301" s="46"/>
      <c r="J301" s="46">
        <f>-J$210</f>
        <v>0</v>
      </c>
      <c r="K301" s="46">
        <f t="shared" ref="K301:BH301" si="225">-K$210</f>
        <v>0</v>
      </c>
      <c r="L301" s="46">
        <f t="shared" si="225"/>
        <v>0</v>
      </c>
      <c r="M301" s="46">
        <f t="shared" si="225"/>
        <v>0</v>
      </c>
      <c r="N301" s="46">
        <f t="shared" si="225"/>
        <v>0</v>
      </c>
      <c r="O301" s="46">
        <f t="shared" si="225"/>
        <v>0</v>
      </c>
      <c r="P301" s="46">
        <f t="shared" si="225"/>
        <v>0</v>
      </c>
      <c r="Q301" s="46">
        <f t="shared" si="225"/>
        <v>0</v>
      </c>
      <c r="R301" s="46">
        <f t="shared" si="225"/>
        <v>0</v>
      </c>
      <c r="S301" s="46">
        <f t="shared" si="225"/>
        <v>0</v>
      </c>
      <c r="T301" s="46">
        <f t="shared" si="225"/>
        <v>0</v>
      </c>
      <c r="U301" s="46">
        <f>-U$210</f>
        <v>-326666.66666666669</v>
      </c>
      <c r="V301" s="46">
        <f t="shared" si="225"/>
        <v>0</v>
      </c>
      <c r="W301" s="46">
        <f t="shared" si="225"/>
        <v>0</v>
      </c>
      <c r="X301" s="46">
        <f t="shared" si="225"/>
        <v>0</v>
      </c>
      <c r="Y301" s="46">
        <f t="shared" si="225"/>
        <v>0</v>
      </c>
      <c r="Z301" s="46">
        <f t="shared" si="225"/>
        <v>0</v>
      </c>
      <c r="AA301" s="46">
        <f t="shared" si="225"/>
        <v>0</v>
      </c>
      <c r="AB301" s="46">
        <f t="shared" si="225"/>
        <v>0</v>
      </c>
      <c r="AC301" s="46">
        <f t="shared" si="225"/>
        <v>0</v>
      </c>
      <c r="AD301" s="46">
        <f t="shared" si="225"/>
        <v>0</v>
      </c>
      <c r="AE301" s="46">
        <f t="shared" si="225"/>
        <v>0</v>
      </c>
      <c r="AF301" s="46">
        <f t="shared" si="225"/>
        <v>0</v>
      </c>
      <c r="AG301" s="46">
        <f t="shared" si="225"/>
        <v>0</v>
      </c>
      <c r="AH301" s="46">
        <f t="shared" si="225"/>
        <v>0</v>
      </c>
      <c r="AI301" s="46">
        <f t="shared" si="225"/>
        <v>0</v>
      </c>
      <c r="AJ301" s="46">
        <f t="shared" si="225"/>
        <v>0</v>
      </c>
      <c r="AK301" s="46">
        <f t="shared" si="225"/>
        <v>0</v>
      </c>
      <c r="AL301" s="46">
        <f t="shared" si="225"/>
        <v>0</v>
      </c>
      <c r="AM301" s="46">
        <f t="shared" si="225"/>
        <v>0</v>
      </c>
      <c r="AN301" s="46">
        <f t="shared" si="225"/>
        <v>0</v>
      </c>
      <c r="AO301" s="46">
        <f t="shared" si="225"/>
        <v>0</v>
      </c>
      <c r="AP301" s="46">
        <f t="shared" si="225"/>
        <v>0</v>
      </c>
      <c r="AQ301" s="46">
        <f t="shared" si="225"/>
        <v>0</v>
      </c>
      <c r="AR301" s="46">
        <f t="shared" si="225"/>
        <v>0</v>
      </c>
      <c r="AS301" s="46">
        <f t="shared" si="225"/>
        <v>0</v>
      </c>
      <c r="AT301" s="46">
        <f t="shared" si="225"/>
        <v>0</v>
      </c>
      <c r="AU301" s="46">
        <f t="shared" si="225"/>
        <v>0</v>
      </c>
      <c r="AV301" s="46">
        <f t="shared" si="225"/>
        <v>0</v>
      </c>
      <c r="AW301" s="46">
        <f t="shared" si="225"/>
        <v>0</v>
      </c>
      <c r="AX301" s="46">
        <f t="shared" si="225"/>
        <v>0</v>
      </c>
      <c r="AY301" s="46">
        <f t="shared" si="225"/>
        <v>0</v>
      </c>
      <c r="AZ301" s="46">
        <f t="shared" si="225"/>
        <v>0</v>
      </c>
      <c r="BA301" s="46">
        <f t="shared" si="225"/>
        <v>0</v>
      </c>
      <c r="BB301" s="46">
        <f t="shared" si="225"/>
        <v>0</v>
      </c>
      <c r="BC301" s="46">
        <f t="shared" si="225"/>
        <v>0</v>
      </c>
      <c r="BD301" s="46">
        <f t="shared" si="225"/>
        <v>0</v>
      </c>
      <c r="BE301" s="46">
        <f t="shared" si="225"/>
        <v>0</v>
      </c>
      <c r="BF301" s="46">
        <f t="shared" si="225"/>
        <v>0</v>
      </c>
      <c r="BG301" s="46">
        <f t="shared" si="225"/>
        <v>0</v>
      </c>
      <c r="BH301" s="46">
        <f t="shared" si="225"/>
        <v>0</v>
      </c>
    </row>
    <row r="302" spans="1:60" ht="14.25" customHeight="1" x14ac:dyDescent="0.3">
      <c r="A302" s="46"/>
      <c r="B302" s="37"/>
      <c r="C302" s="46" t="str">
        <f>C$211</f>
        <v>Hyperthermia Machine #2 Deposit</v>
      </c>
      <c r="D302" s="46">
        <f t="shared" si="221"/>
        <v>-41666.666666666672</v>
      </c>
      <c r="E302" s="46">
        <f t="shared" si="221"/>
        <v>0</v>
      </c>
      <c r="F302" s="46">
        <f t="shared" si="221"/>
        <v>0</v>
      </c>
      <c r="G302" s="46">
        <f t="shared" si="221"/>
        <v>0</v>
      </c>
      <c r="H302" s="46">
        <f t="shared" si="221"/>
        <v>0</v>
      </c>
      <c r="I302" s="46"/>
      <c r="J302" s="46">
        <f>-J$211</f>
        <v>-41666.666666666672</v>
      </c>
      <c r="K302" s="46">
        <f t="shared" ref="K302:BH302" si="226">-K$211</f>
        <v>0</v>
      </c>
      <c r="L302" s="46">
        <f t="shared" si="226"/>
        <v>0</v>
      </c>
      <c r="M302" s="46">
        <f t="shared" si="226"/>
        <v>0</v>
      </c>
      <c r="N302" s="46">
        <f t="shared" si="226"/>
        <v>0</v>
      </c>
      <c r="O302" s="46">
        <f t="shared" si="226"/>
        <v>0</v>
      </c>
      <c r="P302" s="46">
        <f t="shared" si="226"/>
        <v>0</v>
      </c>
      <c r="Q302" s="46">
        <f t="shared" si="226"/>
        <v>0</v>
      </c>
      <c r="R302" s="46">
        <f t="shared" si="226"/>
        <v>0</v>
      </c>
      <c r="S302" s="46">
        <f t="shared" si="226"/>
        <v>0</v>
      </c>
      <c r="T302" s="46">
        <f t="shared" si="226"/>
        <v>0</v>
      </c>
      <c r="U302" s="46">
        <f t="shared" si="226"/>
        <v>0</v>
      </c>
      <c r="V302" s="46">
        <f t="shared" si="226"/>
        <v>0</v>
      </c>
      <c r="W302" s="46">
        <f t="shared" si="226"/>
        <v>0</v>
      </c>
      <c r="X302" s="46">
        <f t="shared" si="226"/>
        <v>0</v>
      </c>
      <c r="Y302" s="46">
        <f t="shared" si="226"/>
        <v>0</v>
      </c>
      <c r="Z302" s="46">
        <f t="shared" si="226"/>
        <v>0</v>
      </c>
      <c r="AA302" s="46">
        <f t="shared" si="226"/>
        <v>0</v>
      </c>
      <c r="AB302" s="46">
        <f t="shared" si="226"/>
        <v>0</v>
      </c>
      <c r="AC302" s="46">
        <f t="shared" si="226"/>
        <v>0</v>
      </c>
      <c r="AD302" s="46">
        <f t="shared" si="226"/>
        <v>0</v>
      </c>
      <c r="AE302" s="46">
        <f t="shared" si="226"/>
        <v>0</v>
      </c>
      <c r="AF302" s="46">
        <f t="shared" si="226"/>
        <v>0</v>
      </c>
      <c r="AG302" s="46">
        <f t="shared" si="226"/>
        <v>0</v>
      </c>
      <c r="AH302" s="46">
        <f t="shared" si="226"/>
        <v>0</v>
      </c>
      <c r="AI302" s="46">
        <f t="shared" si="226"/>
        <v>0</v>
      </c>
      <c r="AJ302" s="46">
        <f t="shared" si="226"/>
        <v>0</v>
      </c>
      <c r="AK302" s="46">
        <f t="shared" si="226"/>
        <v>0</v>
      </c>
      <c r="AL302" s="46">
        <f t="shared" si="226"/>
        <v>0</v>
      </c>
      <c r="AM302" s="46">
        <f t="shared" si="226"/>
        <v>0</v>
      </c>
      <c r="AN302" s="46">
        <f t="shared" si="226"/>
        <v>0</v>
      </c>
      <c r="AO302" s="46">
        <f t="shared" si="226"/>
        <v>0</v>
      </c>
      <c r="AP302" s="46">
        <f t="shared" si="226"/>
        <v>0</v>
      </c>
      <c r="AQ302" s="46">
        <f t="shared" si="226"/>
        <v>0</v>
      </c>
      <c r="AR302" s="46">
        <f t="shared" si="226"/>
        <v>0</v>
      </c>
      <c r="AS302" s="46">
        <f t="shared" si="226"/>
        <v>0</v>
      </c>
      <c r="AT302" s="46">
        <f t="shared" si="226"/>
        <v>0</v>
      </c>
      <c r="AU302" s="46">
        <f t="shared" si="226"/>
        <v>0</v>
      </c>
      <c r="AV302" s="46">
        <f t="shared" si="226"/>
        <v>0</v>
      </c>
      <c r="AW302" s="46">
        <f t="shared" si="226"/>
        <v>0</v>
      </c>
      <c r="AX302" s="46">
        <f t="shared" si="226"/>
        <v>0</v>
      </c>
      <c r="AY302" s="46">
        <f t="shared" si="226"/>
        <v>0</v>
      </c>
      <c r="AZ302" s="46">
        <f t="shared" si="226"/>
        <v>0</v>
      </c>
      <c r="BA302" s="46">
        <f t="shared" si="226"/>
        <v>0</v>
      </c>
      <c r="BB302" s="46">
        <f t="shared" si="226"/>
        <v>0</v>
      </c>
      <c r="BC302" s="46">
        <f t="shared" si="226"/>
        <v>0</v>
      </c>
      <c r="BD302" s="46">
        <f t="shared" si="226"/>
        <v>0</v>
      </c>
      <c r="BE302" s="46">
        <f t="shared" si="226"/>
        <v>0</v>
      </c>
      <c r="BF302" s="46">
        <f t="shared" si="226"/>
        <v>0</v>
      </c>
      <c r="BG302" s="46">
        <f t="shared" si="226"/>
        <v>0</v>
      </c>
      <c r="BH302" s="46">
        <f t="shared" si="226"/>
        <v>0</v>
      </c>
    </row>
    <row r="303" spans="1:60" ht="14.25" customHeight="1" x14ac:dyDescent="0.3">
      <c r="A303" s="46"/>
      <c r="B303" s="37"/>
      <c r="C303" s="46" t="str">
        <f>C$212</f>
        <v xml:space="preserve">HBOT Machine #1 Deposit </v>
      </c>
      <c r="D303" s="46">
        <f t="shared" si="221"/>
        <v>-37500</v>
      </c>
      <c r="E303" s="46">
        <f t="shared" si="221"/>
        <v>0</v>
      </c>
      <c r="F303" s="46">
        <f t="shared" si="221"/>
        <v>0</v>
      </c>
      <c r="G303" s="46">
        <f t="shared" si="221"/>
        <v>0</v>
      </c>
      <c r="H303" s="46">
        <f t="shared" si="221"/>
        <v>0</v>
      </c>
      <c r="I303" s="46"/>
      <c r="J303" s="46">
        <f>-J$212</f>
        <v>-37500</v>
      </c>
      <c r="K303" s="46">
        <f t="shared" ref="K303:BH303" si="227">-K$212</f>
        <v>0</v>
      </c>
      <c r="L303" s="46">
        <f t="shared" si="227"/>
        <v>0</v>
      </c>
      <c r="M303" s="46">
        <f t="shared" si="227"/>
        <v>0</v>
      </c>
      <c r="N303" s="46">
        <f t="shared" si="227"/>
        <v>0</v>
      </c>
      <c r="O303" s="46">
        <f t="shared" si="227"/>
        <v>0</v>
      </c>
      <c r="P303" s="46">
        <f t="shared" si="227"/>
        <v>0</v>
      </c>
      <c r="Q303" s="46">
        <f t="shared" si="227"/>
        <v>0</v>
      </c>
      <c r="R303" s="46">
        <f t="shared" si="227"/>
        <v>0</v>
      </c>
      <c r="S303" s="46">
        <f t="shared" si="227"/>
        <v>0</v>
      </c>
      <c r="T303" s="46">
        <f t="shared" si="227"/>
        <v>0</v>
      </c>
      <c r="U303" s="46">
        <f t="shared" si="227"/>
        <v>0</v>
      </c>
      <c r="V303" s="46">
        <f t="shared" si="227"/>
        <v>0</v>
      </c>
      <c r="W303" s="46">
        <f t="shared" si="227"/>
        <v>0</v>
      </c>
      <c r="X303" s="46">
        <f t="shared" si="227"/>
        <v>0</v>
      </c>
      <c r="Y303" s="46">
        <f t="shared" si="227"/>
        <v>0</v>
      </c>
      <c r="Z303" s="46">
        <f t="shared" si="227"/>
        <v>0</v>
      </c>
      <c r="AA303" s="46">
        <f t="shared" si="227"/>
        <v>0</v>
      </c>
      <c r="AB303" s="46">
        <f t="shared" si="227"/>
        <v>0</v>
      </c>
      <c r="AC303" s="46">
        <f t="shared" si="227"/>
        <v>0</v>
      </c>
      <c r="AD303" s="46">
        <f t="shared" si="227"/>
        <v>0</v>
      </c>
      <c r="AE303" s="46">
        <f t="shared" si="227"/>
        <v>0</v>
      </c>
      <c r="AF303" s="46">
        <f t="shared" si="227"/>
        <v>0</v>
      </c>
      <c r="AG303" s="46">
        <f t="shared" si="227"/>
        <v>0</v>
      </c>
      <c r="AH303" s="46">
        <f t="shared" si="227"/>
        <v>0</v>
      </c>
      <c r="AI303" s="46">
        <f t="shared" si="227"/>
        <v>0</v>
      </c>
      <c r="AJ303" s="46">
        <f t="shared" si="227"/>
        <v>0</v>
      </c>
      <c r="AK303" s="46">
        <f t="shared" si="227"/>
        <v>0</v>
      </c>
      <c r="AL303" s="46">
        <f t="shared" si="227"/>
        <v>0</v>
      </c>
      <c r="AM303" s="46">
        <f t="shared" si="227"/>
        <v>0</v>
      </c>
      <c r="AN303" s="46">
        <f t="shared" si="227"/>
        <v>0</v>
      </c>
      <c r="AO303" s="46">
        <f t="shared" si="227"/>
        <v>0</v>
      </c>
      <c r="AP303" s="46">
        <f t="shared" si="227"/>
        <v>0</v>
      </c>
      <c r="AQ303" s="46">
        <f t="shared" si="227"/>
        <v>0</v>
      </c>
      <c r="AR303" s="46">
        <f t="shared" si="227"/>
        <v>0</v>
      </c>
      <c r="AS303" s="46">
        <f t="shared" si="227"/>
        <v>0</v>
      </c>
      <c r="AT303" s="46">
        <f t="shared" si="227"/>
        <v>0</v>
      </c>
      <c r="AU303" s="46">
        <f t="shared" si="227"/>
        <v>0</v>
      </c>
      <c r="AV303" s="46">
        <f t="shared" si="227"/>
        <v>0</v>
      </c>
      <c r="AW303" s="46">
        <f t="shared" si="227"/>
        <v>0</v>
      </c>
      <c r="AX303" s="46">
        <f t="shared" si="227"/>
        <v>0</v>
      </c>
      <c r="AY303" s="46">
        <f t="shared" si="227"/>
        <v>0</v>
      </c>
      <c r="AZ303" s="46">
        <f t="shared" si="227"/>
        <v>0</v>
      </c>
      <c r="BA303" s="46">
        <f t="shared" si="227"/>
        <v>0</v>
      </c>
      <c r="BB303" s="46">
        <f t="shared" si="227"/>
        <v>0</v>
      </c>
      <c r="BC303" s="46">
        <f t="shared" si="227"/>
        <v>0</v>
      </c>
      <c r="BD303" s="46">
        <f t="shared" si="227"/>
        <v>0</v>
      </c>
      <c r="BE303" s="46">
        <f t="shared" si="227"/>
        <v>0</v>
      </c>
      <c r="BF303" s="46">
        <f t="shared" si="227"/>
        <v>0</v>
      </c>
      <c r="BG303" s="46">
        <f t="shared" si="227"/>
        <v>0</v>
      </c>
      <c r="BH303" s="46">
        <f t="shared" si="227"/>
        <v>0</v>
      </c>
    </row>
    <row r="304" spans="1:60" ht="14.25" customHeight="1" x14ac:dyDescent="0.3">
      <c r="A304" s="46"/>
      <c r="B304" s="37"/>
      <c r="C304" s="46" t="str">
        <f>C213</f>
        <v>HBOT Machine #1 Payment 2</v>
      </c>
      <c r="D304" s="46">
        <f t="shared" si="221"/>
        <v>0</v>
      </c>
      <c r="E304" s="46">
        <f t="shared" si="221"/>
        <v>-30000</v>
      </c>
      <c r="F304" s="46">
        <f t="shared" si="221"/>
        <v>0</v>
      </c>
      <c r="G304" s="46">
        <f t="shared" si="221"/>
        <v>0</v>
      </c>
      <c r="H304" s="46">
        <f t="shared" si="221"/>
        <v>0</v>
      </c>
      <c r="I304" s="46"/>
      <c r="J304" s="46">
        <f t="shared" ref="J304:BH304" si="228">-J213</f>
        <v>0</v>
      </c>
      <c r="K304" s="46">
        <f t="shared" si="228"/>
        <v>0</v>
      </c>
      <c r="L304" s="46">
        <f t="shared" si="228"/>
        <v>0</v>
      </c>
      <c r="M304" s="46">
        <f t="shared" si="228"/>
        <v>-30000</v>
      </c>
      <c r="N304" s="46">
        <f t="shared" si="228"/>
        <v>0</v>
      </c>
      <c r="O304" s="46">
        <f t="shared" si="228"/>
        <v>0</v>
      </c>
      <c r="P304" s="46">
        <f t="shared" si="228"/>
        <v>0</v>
      </c>
      <c r="Q304" s="46">
        <f t="shared" si="228"/>
        <v>0</v>
      </c>
      <c r="R304" s="46">
        <f t="shared" si="228"/>
        <v>0</v>
      </c>
      <c r="S304" s="46">
        <f t="shared" si="228"/>
        <v>0</v>
      </c>
      <c r="T304" s="46">
        <f t="shared" si="228"/>
        <v>0</v>
      </c>
      <c r="U304" s="46">
        <f t="shared" si="228"/>
        <v>0</v>
      </c>
      <c r="V304" s="46">
        <f t="shared" si="228"/>
        <v>0</v>
      </c>
      <c r="W304" s="46">
        <f t="shared" si="228"/>
        <v>0</v>
      </c>
      <c r="X304" s="46">
        <f t="shared" si="228"/>
        <v>0</v>
      </c>
      <c r="Y304" s="46">
        <f t="shared" si="228"/>
        <v>0</v>
      </c>
      <c r="Z304" s="46">
        <f t="shared" si="228"/>
        <v>0</v>
      </c>
      <c r="AA304" s="46">
        <f t="shared" si="228"/>
        <v>0</v>
      </c>
      <c r="AB304" s="46">
        <f t="shared" si="228"/>
        <v>0</v>
      </c>
      <c r="AC304" s="46">
        <f t="shared" si="228"/>
        <v>0</v>
      </c>
      <c r="AD304" s="46">
        <f t="shared" si="228"/>
        <v>0</v>
      </c>
      <c r="AE304" s="46">
        <f t="shared" si="228"/>
        <v>0</v>
      </c>
      <c r="AF304" s="46">
        <f t="shared" si="228"/>
        <v>0</v>
      </c>
      <c r="AG304" s="46">
        <f t="shared" si="228"/>
        <v>0</v>
      </c>
      <c r="AH304" s="46">
        <f t="shared" si="228"/>
        <v>0</v>
      </c>
      <c r="AI304" s="46">
        <f t="shared" si="228"/>
        <v>0</v>
      </c>
      <c r="AJ304" s="46">
        <f t="shared" si="228"/>
        <v>0</v>
      </c>
      <c r="AK304" s="46">
        <f t="shared" si="228"/>
        <v>0</v>
      </c>
      <c r="AL304" s="46">
        <f t="shared" si="228"/>
        <v>0</v>
      </c>
      <c r="AM304" s="46">
        <f t="shared" si="228"/>
        <v>0</v>
      </c>
      <c r="AN304" s="46">
        <f t="shared" si="228"/>
        <v>0</v>
      </c>
      <c r="AO304" s="46">
        <f t="shared" si="228"/>
        <v>0</v>
      </c>
      <c r="AP304" s="46">
        <f t="shared" si="228"/>
        <v>0</v>
      </c>
      <c r="AQ304" s="46">
        <f t="shared" si="228"/>
        <v>0</v>
      </c>
      <c r="AR304" s="46">
        <f t="shared" si="228"/>
        <v>0</v>
      </c>
      <c r="AS304" s="46">
        <f t="shared" si="228"/>
        <v>0</v>
      </c>
      <c r="AT304" s="46">
        <f t="shared" si="228"/>
        <v>0</v>
      </c>
      <c r="AU304" s="46">
        <f t="shared" si="228"/>
        <v>0</v>
      </c>
      <c r="AV304" s="46">
        <f t="shared" si="228"/>
        <v>0</v>
      </c>
      <c r="AW304" s="46">
        <f t="shared" si="228"/>
        <v>0</v>
      </c>
      <c r="AX304" s="46">
        <f t="shared" si="228"/>
        <v>0</v>
      </c>
      <c r="AY304" s="46">
        <f t="shared" si="228"/>
        <v>0</v>
      </c>
      <c r="AZ304" s="46">
        <f t="shared" si="228"/>
        <v>0</v>
      </c>
      <c r="BA304" s="46">
        <f t="shared" si="228"/>
        <v>0</v>
      </c>
      <c r="BB304" s="46">
        <f t="shared" si="228"/>
        <v>0</v>
      </c>
      <c r="BC304" s="46">
        <f t="shared" si="228"/>
        <v>0</v>
      </c>
      <c r="BD304" s="46">
        <f t="shared" si="228"/>
        <v>0</v>
      </c>
      <c r="BE304" s="46">
        <f t="shared" si="228"/>
        <v>0</v>
      </c>
      <c r="BF304" s="46">
        <f t="shared" si="228"/>
        <v>0</v>
      </c>
      <c r="BG304" s="46">
        <f t="shared" si="228"/>
        <v>0</v>
      </c>
      <c r="BH304" s="46">
        <f t="shared" si="228"/>
        <v>0</v>
      </c>
    </row>
    <row r="305" spans="1:60" ht="14.25" customHeight="1" x14ac:dyDescent="0.3">
      <c r="A305" s="46"/>
      <c r="B305" s="37"/>
      <c r="C305" s="46" t="str">
        <f>C$214</f>
        <v>HBOT Machine Final and storage</v>
      </c>
      <c r="D305" s="46">
        <f t="shared" si="221"/>
        <v>0</v>
      </c>
      <c r="E305" s="46">
        <f t="shared" si="221"/>
        <v>-20028</v>
      </c>
      <c r="F305" s="46">
        <f t="shared" si="221"/>
        <v>0</v>
      </c>
      <c r="G305" s="46">
        <f t="shared" si="221"/>
        <v>0</v>
      </c>
      <c r="H305" s="46">
        <f t="shared" si="221"/>
        <v>0</v>
      </c>
      <c r="I305" s="46"/>
      <c r="J305" s="46">
        <f t="shared" ref="J305:BH305" si="229">-J$214</f>
        <v>0</v>
      </c>
      <c r="K305" s="46">
        <f t="shared" si="229"/>
        <v>0</v>
      </c>
      <c r="L305" s="46">
        <f t="shared" si="229"/>
        <v>0</v>
      </c>
      <c r="M305" s="46">
        <f t="shared" si="229"/>
        <v>0</v>
      </c>
      <c r="N305" s="46">
        <f t="shared" si="229"/>
        <v>0</v>
      </c>
      <c r="O305" s="46">
        <f t="shared" si="229"/>
        <v>0</v>
      </c>
      <c r="P305" s="46">
        <f t="shared" si="229"/>
        <v>0</v>
      </c>
      <c r="Q305" s="46">
        <f t="shared" si="229"/>
        <v>-20028</v>
      </c>
      <c r="R305" s="46">
        <f t="shared" si="229"/>
        <v>0</v>
      </c>
      <c r="S305" s="46">
        <f t="shared" si="229"/>
        <v>0</v>
      </c>
      <c r="T305" s="46">
        <f t="shared" si="229"/>
        <v>0</v>
      </c>
      <c r="U305" s="46">
        <f t="shared" si="229"/>
        <v>0</v>
      </c>
      <c r="V305" s="46">
        <f t="shared" si="229"/>
        <v>0</v>
      </c>
      <c r="W305" s="46">
        <f t="shared" si="229"/>
        <v>0</v>
      </c>
      <c r="X305" s="46">
        <f t="shared" si="229"/>
        <v>0</v>
      </c>
      <c r="Y305" s="46">
        <f t="shared" si="229"/>
        <v>0</v>
      </c>
      <c r="Z305" s="46">
        <f t="shared" si="229"/>
        <v>0</v>
      </c>
      <c r="AA305" s="46">
        <f t="shared" si="229"/>
        <v>0</v>
      </c>
      <c r="AB305" s="46">
        <f t="shared" si="229"/>
        <v>0</v>
      </c>
      <c r="AC305" s="46">
        <f t="shared" si="229"/>
        <v>0</v>
      </c>
      <c r="AD305" s="46">
        <f t="shared" si="229"/>
        <v>0</v>
      </c>
      <c r="AE305" s="46">
        <f t="shared" si="229"/>
        <v>0</v>
      </c>
      <c r="AF305" s="46">
        <f t="shared" si="229"/>
        <v>0</v>
      </c>
      <c r="AG305" s="46">
        <f t="shared" si="229"/>
        <v>0</v>
      </c>
      <c r="AH305" s="46">
        <f t="shared" si="229"/>
        <v>0</v>
      </c>
      <c r="AI305" s="46">
        <f t="shared" si="229"/>
        <v>0</v>
      </c>
      <c r="AJ305" s="46">
        <f t="shared" si="229"/>
        <v>0</v>
      </c>
      <c r="AK305" s="46">
        <f t="shared" si="229"/>
        <v>0</v>
      </c>
      <c r="AL305" s="46">
        <f t="shared" si="229"/>
        <v>0</v>
      </c>
      <c r="AM305" s="46">
        <f t="shared" si="229"/>
        <v>0</v>
      </c>
      <c r="AN305" s="46">
        <f t="shared" si="229"/>
        <v>0</v>
      </c>
      <c r="AO305" s="46">
        <f t="shared" si="229"/>
        <v>0</v>
      </c>
      <c r="AP305" s="46">
        <f t="shared" si="229"/>
        <v>0</v>
      </c>
      <c r="AQ305" s="46">
        <f t="shared" si="229"/>
        <v>0</v>
      </c>
      <c r="AR305" s="46">
        <f t="shared" si="229"/>
        <v>0</v>
      </c>
      <c r="AS305" s="46">
        <f t="shared" si="229"/>
        <v>0</v>
      </c>
      <c r="AT305" s="46">
        <f t="shared" si="229"/>
        <v>0</v>
      </c>
      <c r="AU305" s="46">
        <f t="shared" si="229"/>
        <v>0</v>
      </c>
      <c r="AV305" s="46">
        <f t="shared" si="229"/>
        <v>0</v>
      </c>
      <c r="AW305" s="46">
        <f t="shared" si="229"/>
        <v>0</v>
      </c>
      <c r="AX305" s="46">
        <f t="shared" si="229"/>
        <v>0</v>
      </c>
      <c r="AY305" s="46">
        <f t="shared" si="229"/>
        <v>0</v>
      </c>
      <c r="AZ305" s="46">
        <f t="shared" si="229"/>
        <v>0</v>
      </c>
      <c r="BA305" s="46">
        <f t="shared" si="229"/>
        <v>0</v>
      </c>
      <c r="BB305" s="46">
        <f t="shared" si="229"/>
        <v>0</v>
      </c>
      <c r="BC305" s="46">
        <f t="shared" si="229"/>
        <v>0</v>
      </c>
      <c r="BD305" s="46">
        <f t="shared" si="229"/>
        <v>0</v>
      </c>
      <c r="BE305" s="46">
        <f t="shared" si="229"/>
        <v>0</v>
      </c>
      <c r="BF305" s="46">
        <f t="shared" si="229"/>
        <v>0</v>
      </c>
      <c r="BG305" s="46">
        <f t="shared" si="229"/>
        <v>0</v>
      </c>
      <c r="BH305" s="46">
        <f t="shared" si="229"/>
        <v>0</v>
      </c>
    </row>
    <row r="306" spans="1:60" ht="14.25" customHeight="1" x14ac:dyDescent="0.3">
      <c r="A306" s="46"/>
      <c r="B306" s="37"/>
      <c r="C306" s="46" t="str">
        <f>C$215</f>
        <v>Maintenance Contracts (HBOT &amp; mEHT)</v>
      </c>
      <c r="D306" s="46">
        <f t="shared" si="221"/>
        <v>0</v>
      </c>
      <c r="E306" s="46">
        <f t="shared" si="221"/>
        <v>0</v>
      </c>
      <c r="F306" s="46">
        <f t="shared" si="221"/>
        <v>-38833.333333333336</v>
      </c>
      <c r="G306" s="46">
        <f t="shared" si="221"/>
        <v>0</v>
      </c>
      <c r="H306" s="46">
        <f t="shared" si="221"/>
        <v>0</v>
      </c>
      <c r="I306" s="46"/>
      <c r="J306" s="46">
        <f>-J$215</f>
        <v>0</v>
      </c>
      <c r="K306" s="46">
        <f t="shared" ref="K306:BH306" si="230">-K$215</f>
        <v>0</v>
      </c>
      <c r="L306" s="46">
        <f t="shared" si="230"/>
        <v>0</v>
      </c>
      <c r="M306" s="46">
        <f t="shared" si="230"/>
        <v>0</v>
      </c>
      <c r="N306" s="46">
        <f t="shared" si="230"/>
        <v>0</v>
      </c>
      <c r="O306" s="46">
        <f t="shared" si="230"/>
        <v>0</v>
      </c>
      <c r="P306" s="46">
        <f t="shared" si="230"/>
        <v>0</v>
      </c>
      <c r="Q306" s="46">
        <f t="shared" si="230"/>
        <v>0</v>
      </c>
      <c r="R306" s="46">
        <f t="shared" si="230"/>
        <v>0</v>
      </c>
      <c r="S306" s="46">
        <f t="shared" si="230"/>
        <v>0</v>
      </c>
      <c r="T306" s="46">
        <f t="shared" si="230"/>
        <v>0</v>
      </c>
      <c r="U306" s="46">
        <f t="shared" si="230"/>
        <v>0</v>
      </c>
      <c r="V306" s="46">
        <f t="shared" si="230"/>
        <v>0</v>
      </c>
      <c r="W306" s="46">
        <f t="shared" si="230"/>
        <v>0</v>
      </c>
      <c r="X306" s="46">
        <f t="shared" si="230"/>
        <v>0</v>
      </c>
      <c r="Y306" s="46">
        <f t="shared" si="230"/>
        <v>0</v>
      </c>
      <c r="Z306" s="46">
        <f t="shared" si="230"/>
        <v>0</v>
      </c>
      <c r="AA306" s="46">
        <f t="shared" si="230"/>
        <v>0</v>
      </c>
      <c r="AB306" s="46">
        <f t="shared" si="230"/>
        <v>0</v>
      </c>
      <c r="AC306" s="46">
        <f t="shared" si="230"/>
        <v>-38833.333333333336</v>
      </c>
      <c r="AD306" s="46">
        <f t="shared" si="230"/>
        <v>0</v>
      </c>
      <c r="AE306" s="46">
        <f t="shared" si="230"/>
        <v>0</v>
      </c>
      <c r="AF306" s="46">
        <f t="shared" si="230"/>
        <v>0</v>
      </c>
      <c r="AG306" s="46">
        <f t="shared" si="230"/>
        <v>0</v>
      </c>
      <c r="AH306" s="46">
        <f t="shared" si="230"/>
        <v>0</v>
      </c>
      <c r="AI306" s="46">
        <f t="shared" si="230"/>
        <v>0</v>
      </c>
      <c r="AJ306" s="46">
        <f t="shared" si="230"/>
        <v>0</v>
      </c>
      <c r="AK306" s="46">
        <f t="shared" si="230"/>
        <v>0</v>
      </c>
      <c r="AL306" s="46">
        <f t="shared" si="230"/>
        <v>0</v>
      </c>
      <c r="AM306" s="46">
        <f t="shared" si="230"/>
        <v>0</v>
      </c>
      <c r="AN306" s="46">
        <f t="shared" si="230"/>
        <v>0</v>
      </c>
      <c r="AO306" s="46">
        <f t="shared" si="230"/>
        <v>0</v>
      </c>
      <c r="AP306" s="46">
        <f t="shared" si="230"/>
        <v>0</v>
      </c>
      <c r="AQ306" s="46">
        <f t="shared" si="230"/>
        <v>0</v>
      </c>
      <c r="AR306" s="46">
        <f t="shared" si="230"/>
        <v>0</v>
      </c>
      <c r="AS306" s="46">
        <f t="shared" si="230"/>
        <v>0</v>
      </c>
      <c r="AT306" s="46">
        <f t="shared" si="230"/>
        <v>0</v>
      </c>
      <c r="AU306" s="46">
        <f t="shared" si="230"/>
        <v>0</v>
      </c>
      <c r="AV306" s="46">
        <f t="shared" si="230"/>
        <v>0</v>
      </c>
      <c r="AW306" s="46">
        <f t="shared" si="230"/>
        <v>0</v>
      </c>
      <c r="AX306" s="46">
        <f t="shared" si="230"/>
        <v>0</v>
      </c>
      <c r="AY306" s="46">
        <f t="shared" si="230"/>
        <v>0</v>
      </c>
      <c r="AZ306" s="46">
        <f t="shared" si="230"/>
        <v>0</v>
      </c>
      <c r="BA306" s="46">
        <f t="shared" si="230"/>
        <v>0</v>
      </c>
      <c r="BB306" s="46">
        <f t="shared" si="230"/>
        <v>0</v>
      </c>
      <c r="BC306" s="46">
        <f t="shared" si="230"/>
        <v>0</v>
      </c>
      <c r="BD306" s="46">
        <f t="shared" si="230"/>
        <v>0</v>
      </c>
      <c r="BE306" s="46">
        <f t="shared" si="230"/>
        <v>0</v>
      </c>
      <c r="BF306" s="46">
        <f t="shared" si="230"/>
        <v>0</v>
      </c>
      <c r="BG306" s="46">
        <f t="shared" si="230"/>
        <v>0</v>
      </c>
      <c r="BH306" s="46">
        <f t="shared" si="230"/>
        <v>0</v>
      </c>
    </row>
    <row r="307" spans="1:60" ht="14.25" customHeight="1" x14ac:dyDescent="0.3">
      <c r="A307" s="46"/>
      <c r="B307" s="37"/>
      <c r="C307" s="46" t="str">
        <f>C$216</f>
        <v>Maintenance Contract mEHT 2</v>
      </c>
      <c r="D307" s="46">
        <f t="shared" si="221"/>
        <v>0</v>
      </c>
      <c r="E307" s="46">
        <f t="shared" si="221"/>
        <v>0</v>
      </c>
      <c r="F307" s="46">
        <f t="shared" si="221"/>
        <v>-35833.333333333336</v>
      </c>
      <c r="G307" s="46">
        <f t="shared" si="221"/>
        <v>0</v>
      </c>
      <c r="H307" s="46">
        <f t="shared" si="221"/>
        <v>0</v>
      </c>
      <c r="I307" s="46"/>
      <c r="J307" s="46">
        <f>-J$216</f>
        <v>0</v>
      </c>
      <c r="K307" s="46">
        <f t="shared" ref="K307:BH307" si="231">-K$216</f>
        <v>0</v>
      </c>
      <c r="L307" s="46">
        <f t="shared" si="231"/>
        <v>0</v>
      </c>
      <c r="M307" s="46">
        <f t="shared" si="231"/>
        <v>0</v>
      </c>
      <c r="N307" s="46">
        <f t="shared" si="231"/>
        <v>0</v>
      </c>
      <c r="O307" s="46">
        <f t="shared" si="231"/>
        <v>0</v>
      </c>
      <c r="P307" s="46">
        <f t="shared" si="231"/>
        <v>0</v>
      </c>
      <c r="Q307" s="46">
        <f t="shared" si="231"/>
        <v>0</v>
      </c>
      <c r="R307" s="46">
        <f t="shared" si="231"/>
        <v>0</v>
      </c>
      <c r="S307" s="46">
        <f t="shared" si="231"/>
        <v>0</v>
      </c>
      <c r="T307" s="46">
        <f t="shared" si="231"/>
        <v>0</v>
      </c>
      <c r="U307" s="46">
        <f t="shared" si="231"/>
        <v>0</v>
      </c>
      <c r="V307" s="46">
        <f t="shared" si="231"/>
        <v>0</v>
      </c>
      <c r="W307" s="46">
        <f t="shared" si="231"/>
        <v>0</v>
      </c>
      <c r="X307" s="46">
        <f t="shared" si="231"/>
        <v>0</v>
      </c>
      <c r="Y307" s="46">
        <f t="shared" si="231"/>
        <v>0</v>
      </c>
      <c r="Z307" s="46">
        <f t="shared" si="231"/>
        <v>0</v>
      </c>
      <c r="AA307" s="46">
        <f t="shared" si="231"/>
        <v>0</v>
      </c>
      <c r="AB307" s="46">
        <f t="shared" si="231"/>
        <v>0</v>
      </c>
      <c r="AC307" s="46">
        <f t="shared" si="231"/>
        <v>0</v>
      </c>
      <c r="AD307" s="46">
        <f t="shared" si="231"/>
        <v>0</v>
      </c>
      <c r="AE307" s="46">
        <f t="shared" si="231"/>
        <v>0</v>
      </c>
      <c r="AF307" s="46">
        <f t="shared" si="231"/>
        <v>0</v>
      </c>
      <c r="AG307" s="46">
        <f t="shared" si="231"/>
        <v>-35833.333333333336</v>
      </c>
      <c r="AH307" s="46">
        <f t="shared" si="231"/>
        <v>0</v>
      </c>
      <c r="AI307" s="46">
        <f t="shared" si="231"/>
        <v>0</v>
      </c>
      <c r="AJ307" s="46">
        <f t="shared" si="231"/>
        <v>0</v>
      </c>
      <c r="AK307" s="46">
        <f t="shared" si="231"/>
        <v>0</v>
      </c>
      <c r="AL307" s="46">
        <f t="shared" si="231"/>
        <v>0</v>
      </c>
      <c r="AM307" s="46">
        <f t="shared" si="231"/>
        <v>0</v>
      </c>
      <c r="AN307" s="46">
        <f t="shared" si="231"/>
        <v>0</v>
      </c>
      <c r="AO307" s="46">
        <f t="shared" si="231"/>
        <v>0</v>
      </c>
      <c r="AP307" s="46">
        <f t="shared" si="231"/>
        <v>0</v>
      </c>
      <c r="AQ307" s="46">
        <f t="shared" si="231"/>
        <v>0</v>
      </c>
      <c r="AR307" s="46">
        <f t="shared" si="231"/>
        <v>0</v>
      </c>
      <c r="AS307" s="46">
        <f t="shared" si="231"/>
        <v>0</v>
      </c>
      <c r="AT307" s="46">
        <f t="shared" si="231"/>
        <v>0</v>
      </c>
      <c r="AU307" s="46">
        <f t="shared" si="231"/>
        <v>0</v>
      </c>
      <c r="AV307" s="46">
        <f t="shared" si="231"/>
        <v>0</v>
      </c>
      <c r="AW307" s="46">
        <f t="shared" si="231"/>
        <v>0</v>
      </c>
      <c r="AX307" s="46">
        <f t="shared" si="231"/>
        <v>0</v>
      </c>
      <c r="AY307" s="46">
        <f t="shared" si="231"/>
        <v>0</v>
      </c>
      <c r="AZ307" s="46">
        <f t="shared" si="231"/>
        <v>0</v>
      </c>
      <c r="BA307" s="46">
        <f t="shared" si="231"/>
        <v>0</v>
      </c>
      <c r="BB307" s="46">
        <f t="shared" si="231"/>
        <v>0</v>
      </c>
      <c r="BC307" s="46">
        <f t="shared" si="231"/>
        <v>0</v>
      </c>
      <c r="BD307" s="46">
        <f t="shared" si="231"/>
        <v>0</v>
      </c>
      <c r="BE307" s="46">
        <f t="shared" si="231"/>
        <v>0</v>
      </c>
      <c r="BF307" s="46">
        <f t="shared" si="231"/>
        <v>0</v>
      </c>
      <c r="BG307" s="46">
        <f t="shared" si="231"/>
        <v>0</v>
      </c>
      <c r="BH307" s="46">
        <f t="shared" si="231"/>
        <v>0</v>
      </c>
    </row>
    <row r="308" spans="1:60" ht="14.25" customHeight="1" x14ac:dyDescent="0.3">
      <c r="A308" s="46"/>
      <c r="B308" s="37"/>
      <c r="C308" s="46" t="str">
        <f>C$217</f>
        <v xml:space="preserve">Endolaser </v>
      </c>
      <c r="D308" s="46">
        <f t="shared" si="221"/>
        <v>-30160.416666666668</v>
      </c>
      <c r="E308" s="46">
        <f t="shared" si="221"/>
        <v>0</v>
      </c>
      <c r="F308" s="46">
        <f t="shared" si="221"/>
        <v>0</v>
      </c>
      <c r="G308" s="46">
        <f t="shared" si="221"/>
        <v>0</v>
      </c>
      <c r="H308" s="46">
        <f t="shared" si="221"/>
        <v>0</v>
      </c>
      <c r="I308" s="46"/>
      <c r="J308" s="46">
        <f t="shared" ref="J308:BH308" si="232">-J$217</f>
        <v>-30160.416666666668</v>
      </c>
      <c r="K308" s="46">
        <f t="shared" si="232"/>
        <v>0</v>
      </c>
      <c r="L308" s="46">
        <f t="shared" si="232"/>
        <v>0</v>
      </c>
      <c r="M308" s="46">
        <f t="shared" si="232"/>
        <v>0</v>
      </c>
      <c r="N308" s="46">
        <f t="shared" si="232"/>
        <v>0</v>
      </c>
      <c r="O308" s="46">
        <f t="shared" si="232"/>
        <v>0</v>
      </c>
      <c r="P308" s="46">
        <f t="shared" si="232"/>
        <v>0</v>
      </c>
      <c r="Q308" s="46">
        <f t="shared" si="232"/>
        <v>0</v>
      </c>
      <c r="R308" s="46">
        <f t="shared" si="232"/>
        <v>0</v>
      </c>
      <c r="S308" s="46">
        <f t="shared" si="232"/>
        <v>0</v>
      </c>
      <c r="T308" s="46">
        <f t="shared" si="232"/>
        <v>0</v>
      </c>
      <c r="U308" s="46">
        <f t="shared" si="232"/>
        <v>0</v>
      </c>
      <c r="V308" s="46">
        <f t="shared" si="232"/>
        <v>0</v>
      </c>
      <c r="W308" s="46">
        <f t="shared" si="232"/>
        <v>0</v>
      </c>
      <c r="X308" s="46">
        <f t="shared" si="232"/>
        <v>0</v>
      </c>
      <c r="Y308" s="46">
        <f t="shared" si="232"/>
        <v>0</v>
      </c>
      <c r="Z308" s="46">
        <f t="shared" si="232"/>
        <v>0</v>
      </c>
      <c r="AA308" s="46">
        <f t="shared" si="232"/>
        <v>0</v>
      </c>
      <c r="AB308" s="46">
        <f t="shared" si="232"/>
        <v>0</v>
      </c>
      <c r="AC308" s="46">
        <f t="shared" si="232"/>
        <v>0</v>
      </c>
      <c r="AD308" s="46">
        <f t="shared" si="232"/>
        <v>0</v>
      </c>
      <c r="AE308" s="46">
        <f t="shared" si="232"/>
        <v>0</v>
      </c>
      <c r="AF308" s="46">
        <f t="shared" si="232"/>
        <v>0</v>
      </c>
      <c r="AG308" s="46">
        <f t="shared" si="232"/>
        <v>0</v>
      </c>
      <c r="AH308" s="46">
        <f t="shared" si="232"/>
        <v>0</v>
      </c>
      <c r="AI308" s="46">
        <f t="shared" si="232"/>
        <v>0</v>
      </c>
      <c r="AJ308" s="46">
        <f t="shared" si="232"/>
        <v>0</v>
      </c>
      <c r="AK308" s="46">
        <f t="shared" si="232"/>
        <v>0</v>
      </c>
      <c r="AL308" s="46">
        <f t="shared" si="232"/>
        <v>0</v>
      </c>
      <c r="AM308" s="46">
        <f t="shared" si="232"/>
        <v>0</v>
      </c>
      <c r="AN308" s="46">
        <f t="shared" si="232"/>
        <v>0</v>
      </c>
      <c r="AO308" s="46">
        <f t="shared" si="232"/>
        <v>0</v>
      </c>
      <c r="AP308" s="46">
        <f t="shared" si="232"/>
        <v>0</v>
      </c>
      <c r="AQ308" s="46">
        <f t="shared" si="232"/>
        <v>0</v>
      </c>
      <c r="AR308" s="46">
        <f t="shared" si="232"/>
        <v>0</v>
      </c>
      <c r="AS308" s="46">
        <f t="shared" si="232"/>
        <v>0</v>
      </c>
      <c r="AT308" s="46">
        <f t="shared" si="232"/>
        <v>0</v>
      </c>
      <c r="AU308" s="46">
        <f t="shared" si="232"/>
        <v>0</v>
      </c>
      <c r="AV308" s="46">
        <f t="shared" si="232"/>
        <v>0</v>
      </c>
      <c r="AW308" s="46">
        <f t="shared" si="232"/>
        <v>0</v>
      </c>
      <c r="AX308" s="46">
        <f t="shared" si="232"/>
        <v>0</v>
      </c>
      <c r="AY308" s="46">
        <f t="shared" si="232"/>
        <v>0</v>
      </c>
      <c r="AZ308" s="46">
        <f t="shared" si="232"/>
        <v>0</v>
      </c>
      <c r="BA308" s="46">
        <f t="shared" si="232"/>
        <v>0</v>
      </c>
      <c r="BB308" s="46">
        <f t="shared" si="232"/>
        <v>0</v>
      </c>
      <c r="BC308" s="46">
        <f t="shared" si="232"/>
        <v>0</v>
      </c>
      <c r="BD308" s="46">
        <f t="shared" si="232"/>
        <v>0</v>
      </c>
      <c r="BE308" s="46">
        <f t="shared" si="232"/>
        <v>0</v>
      </c>
      <c r="BF308" s="46">
        <f t="shared" si="232"/>
        <v>0</v>
      </c>
      <c r="BG308" s="46">
        <f t="shared" si="232"/>
        <v>0</v>
      </c>
      <c r="BH308" s="46">
        <f t="shared" si="232"/>
        <v>0</v>
      </c>
    </row>
    <row r="309" spans="1:60" ht="14.25" customHeight="1" x14ac:dyDescent="0.3">
      <c r="A309" s="46"/>
      <c r="B309" s="37"/>
      <c r="C309" s="46" t="str">
        <f>C$218</f>
        <v>Laser Bed</v>
      </c>
      <c r="D309" s="46">
        <f t="shared" si="221"/>
        <v>0</v>
      </c>
      <c r="E309" s="46">
        <f t="shared" si="221"/>
        <v>-13500</v>
      </c>
      <c r="F309" s="46">
        <f t="shared" si="221"/>
        <v>0</v>
      </c>
      <c r="G309" s="46">
        <f t="shared" si="221"/>
        <v>0</v>
      </c>
      <c r="H309" s="46">
        <f t="shared" si="221"/>
        <v>0</v>
      </c>
      <c r="I309" s="46"/>
      <c r="J309" s="46">
        <f t="shared" ref="J309:BH309" si="233">-J$218</f>
        <v>0</v>
      </c>
      <c r="K309" s="46">
        <f t="shared" si="233"/>
        <v>0</v>
      </c>
      <c r="L309" s="46">
        <f t="shared" si="233"/>
        <v>0</v>
      </c>
      <c r="M309" s="46">
        <f t="shared" si="233"/>
        <v>0</v>
      </c>
      <c r="N309" s="46">
        <f t="shared" si="233"/>
        <v>0</v>
      </c>
      <c r="O309" s="46">
        <f t="shared" si="233"/>
        <v>0</v>
      </c>
      <c r="P309" s="46">
        <f t="shared" si="233"/>
        <v>0</v>
      </c>
      <c r="Q309" s="46">
        <f t="shared" si="233"/>
        <v>-13500</v>
      </c>
      <c r="R309" s="46">
        <f t="shared" si="233"/>
        <v>0</v>
      </c>
      <c r="S309" s="46">
        <f t="shared" si="233"/>
        <v>0</v>
      </c>
      <c r="T309" s="46">
        <f t="shared" si="233"/>
        <v>0</v>
      </c>
      <c r="U309" s="46">
        <f t="shared" si="233"/>
        <v>0</v>
      </c>
      <c r="V309" s="46">
        <f t="shared" si="233"/>
        <v>0</v>
      </c>
      <c r="W309" s="46">
        <f t="shared" si="233"/>
        <v>0</v>
      </c>
      <c r="X309" s="46">
        <f t="shared" si="233"/>
        <v>0</v>
      </c>
      <c r="Y309" s="46">
        <f t="shared" si="233"/>
        <v>0</v>
      </c>
      <c r="Z309" s="46">
        <f t="shared" si="233"/>
        <v>0</v>
      </c>
      <c r="AA309" s="46">
        <f t="shared" si="233"/>
        <v>0</v>
      </c>
      <c r="AB309" s="46">
        <f t="shared" si="233"/>
        <v>0</v>
      </c>
      <c r="AC309" s="46">
        <f t="shared" si="233"/>
        <v>0</v>
      </c>
      <c r="AD309" s="46">
        <f t="shared" si="233"/>
        <v>0</v>
      </c>
      <c r="AE309" s="46">
        <f t="shared" si="233"/>
        <v>0</v>
      </c>
      <c r="AF309" s="46">
        <f t="shared" si="233"/>
        <v>0</v>
      </c>
      <c r="AG309" s="46">
        <f t="shared" si="233"/>
        <v>0</v>
      </c>
      <c r="AH309" s="46">
        <f t="shared" si="233"/>
        <v>0</v>
      </c>
      <c r="AI309" s="46">
        <f t="shared" si="233"/>
        <v>0</v>
      </c>
      <c r="AJ309" s="46">
        <f t="shared" si="233"/>
        <v>0</v>
      </c>
      <c r="AK309" s="46">
        <f t="shared" si="233"/>
        <v>0</v>
      </c>
      <c r="AL309" s="46">
        <f t="shared" si="233"/>
        <v>0</v>
      </c>
      <c r="AM309" s="46">
        <f t="shared" si="233"/>
        <v>0</v>
      </c>
      <c r="AN309" s="46">
        <f t="shared" si="233"/>
        <v>0</v>
      </c>
      <c r="AO309" s="46">
        <f t="shared" si="233"/>
        <v>0</v>
      </c>
      <c r="AP309" s="46">
        <f t="shared" si="233"/>
        <v>0</v>
      </c>
      <c r="AQ309" s="46">
        <f t="shared" si="233"/>
        <v>0</v>
      </c>
      <c r="AR309" s="46">
        <f t="shared" si="233"/>
        <v>0</v>
      </c>
      <c r="AS309" s="46">
        <f t="shared" si="233"/>
        <v>0</v>
      </c>
      <c r="AT309" s="46">
        <f t="shared" si="233"/>
        <v>0</v>
      </c>
      <c r="AU309" s="46">
        <f t="shared" si="233"/>
        <v>0</v>
      </c>
      <c r="AV309" s="46">
        <f t="shared" si="233"/>
        <v>0</v>
      </c>
      <c r="AW309" s="46">
        <f t="shared" si="233"/>
        <v>0</v>
      </c>
      <c r="AX309" s="46">
        <f t="shared" si="233"/>
        <v>0</v>
      </c>
      <c r="AY309" s="46">
        <f t="shared" si="233"/>
        <v>0</v>
      </c>
      <c r="AZ309" s="46">
        <f t="shared" si="233"/>
        <v>0</v>
      </c>
      <c r="BA309" s="46">
        <f t="shared" si="233"/>
        <v>0</v>
      </c>
      <c r="BB309" s="46">
        <f t="shared" si="233"/>
        <v>0</v>
      </c>
      <c r="BC309" s="46">
        <f t="shared" si="233"/>
        <v>0</v>
      </c>
      <c r="BD309" s="46">
        <f t="shared" si="233"/>
        <v>0</v>
      </c>
      <c r="BE309" s="46">
        <f t="shared" si="233"/>
        <v>0</v>
      </c>
      <c r="BF309" s="46">
        <f t="shared" si="233"/>
        <v>0</v>
      </c>
      <c r="BG309" s="46">
        <f t="shared" si="233"/>
        <v>0</v>
      </c>
      <c r="BH309" s="46">
        <f t="shared" si="233"/>
        <v>0</v>
      </c>
    </row>
    <row r="310" spans="1:60" ht="14.25" customHeight="1" x14ac:dyDescent="0.3">
      <c r="A310" s="46"/>
      <c r="B310" s="37"/>
      <c r="C310" s="46" t="str">
        <f>C$219</f>
        <v xml:space="preserve">Laser Helmet x 2 </v>
      </c>
      <c r="D310" s="46">
        <f t="shared" si="221"/>
        <v>0</v>
      </c>
      <c r="E310" s="46">
        <f t="shared" si="221"/>
        <v>-2939</v>
      </c>
      <c r="F310" s="46">
        <f t="shared" si="221"/>
        <v>0</v>
      </c>
      <c r="G310" s="46">
        <f t="shared" si="221"/>
        <v>0</v>
      </c>
      <c r="H310" s="46">
        <f t="shared" si="221"/>
        <v>0</v>
      </c>
      <c r="I310" s="46"/>
      <c r="J310" s="46">
        <f t="shared" ref="J310:BH310" si="234">-J$219</f>
        <v>0</v>
      </c>
      <c r="K310" s="46">
        <f t="shared" si="234"/>
        <v>0</v>
      </c>
      <c r="L310" s="46">
        <f t="shared" si="234"/>
        <v>0</v>
      </c>
      <c r="M310" s="46">
        <f t="shared" si="234"/>
        <v>0</v>
      </c>
      <c r="N310" s="46">
        <f t="shared" si="234"/>
        <v>0</v>
      </c>
      <c r="O310" s="46">
        <f t="shared" si="234"/>
        <v>0</v>
      </c>
      <c r="P310" s="46">
        <f t="shared" si="234"/>
        <v>0</v>
      </c>
      <c r="Q310" s="46">
        <f t="shared" si="234"/>
        <v>-2939</v>
      </c>
      <c r="R310" s="46">
        <f t="shared" si="234"/>
        <v>0</v>
      </c>
      <c r="S310" s="46">
        <f t="shared" si="234"/>
        <v>0</v>
      </c>
      <c r="T310" s="46">
        <f t="shared" si="234"/>
        <v>0</v>
      </c>
      <c r="U310" s="46">
        <f t="shared" si="234"/>
        <v>0</v>
      </c>
      <c r="V310" s="46">
        <f t="shared" si="234"/>
        <v>0</v>
      </c>
      <c r="W310" s="46">
        <f t="shared" si="234"/>
        <v>0</v>
      </c>
      <c r="X310" s="46">
        <f t="shared" si="234"/>
        <v>0</v>
      </c>
      <c r="Y310" s="46">
        <f t="shared" si="234"/>
        <v>0</v>
      </c>
      <c r="Z310" s="46">
        <f t="shared" si="234"/>
        <v>0</v>
      </c>
      <c r="AA310" s="46">
        <f t="shared" si="234"/>
        <v>0</v>
      </c>
      <c r="AB310" s="46">
        <f t="shared" si="234"/>
        <v>0</v>
      </c>
      <c r="AC310" s="46">
        <f t="shared" si="234"/>
        <v>0</v>
      </c>
      <c r="AD310" s="46">
        <f t="shared" si="234"/>
        <v>0</v>
      </c>
      <c r="AE310" s="46">
        <f t="shared" si="234"/>
        <v>0</v>
      </c>
      <c r="AF310" s="46">
        <f t="shared" si="234"/>
        <v>0</v>
      </c>
      <c r="AG310" s="46">
        <f t="shared" si="234"/>
        <v>0</v>
      </c>
      <c r="AH310" s="46">
        <f t="shared" si="234"/>
        <v>0</v>
      </c>
      <c r="AI310" s="46">
        <f t="shared" si="234"/>
        <v>0</v>
      </c>
      <c r="AJ310" s="46">
        <f t="shared" si="234"/>
        <v>0</v>
      </c>
      <c r="AK310" s="46">
        <f t="shared" si="234"/>
        <v>0</v>
      </c>
      <c r="AL310" s="46">
        <f t="shared" si="234"/>
        <v>0</v>
      </c>
      <c r="AM310" s="46">
        <f t="shared" si="234"/>
        <v>0</v>
      </c>
      <c r="AN310" s="46">
        <f t="shared" si="234"/>
        <v>0</v>
      </c>
      <c r="AO310" s="46">
        <f t="shared" si="234"/>
        <v>0</v>
      </c>
      <c r="AP310" s="46">
        <f t="shared" si="234"/>
        <v>0</v>
      </c>
      <c r="AQ310" s="46">
        <f t="shared" si="234"/>
        <v>0</v>
      </c>
      <c r="AR310" s="46">
        <f t="shared" si="234"/>
        <v>0</v>
      </c>
      <c r="AS310" s="46">
        <f t="shared" si="234"/>
        <v>0</v>
      </c>
      <c r="AT310" s="46">
        <f t="shared" si="234"/>
        <v>0</v>
      </c>
      <c r="AU310" s="46">
        <f t="shared" si="234"/>
        <v>0</v>
      </c>
      <c r="AV310" s="46">
        <f t="shared" si="234"/>
        <v>0</v>
      </c>
      <c r="AW310" s="46">
        <f t="shared" si="234"/>
        <v>0</v>
      </c>
      <c r="AX310" s="46">
        <f t="shared" si="234"/>
        <v>0</v>
      </c>
      <c r="AY310" s="46">
        <f t="shared" si="234"/>
        <v>0</v>
      </c>
      <c r="AZ310" s="46">
        <f t="shared" si="234"/>
        <v>0</v>
      </c>
      <c r="BA310" s="46">
        <f t="shared" si="234"/>
        <v>0</v>
      </c>
      <c r="BB310" s="46">
        <f t="shared" si="234"/>
        <v>0</v>
      </c>
      <c r="BC310" s="46">
        <f t="shared" si="234"/>
        <v>0</v>
      </c>
      <c r="BD310" s="46">
        <f t="shared" si="234"/>
        <v>0</v>
      </c>
      <c r="BE310" s="46">
        <f t="shared" si="234"/>
        <v>0</v>
      </c>
      <c r="BF310" s="46">
        <f t="shared" si="234"/>
        <v>0</v>
      </c>
      <c r="BG310" s="46">
        <f t="shared" si="234"/>
        <v>0</v>
      </c>
      <c r="BH310" s="46">
        <f t="shared" si="234"/>
        <v>0</v>
      </c>
    </row>
    <row r="311" spans="1:60" ht="14.25" customHeight="1" x14ac:dyDescent="0.3">
      <c r="A311" s="46"/>
      <c r="B311" s="37"/>
      <c r="C311" s="46" t="str">
        <f>C$220</f>
        <v>Medical Equipment</v>
      </c>
      <c r="D311" s="46">
        <f t="shared" si="221"/>
        <v>0</v>
      </c>
      <c r="E311" s="46">
        <f t="shared" si="221"/>
        <v>-14933</v>
      </c>
      <c r="F311" s="46">
        <f t="shared" si="221"/>
        <v>0</v>
      </c>
      <c r="G311" s="46">
        <f t="shared" si="221"/>
        <v>0</v>
      </c>
      <c r="H311" s="46">
        <f t="shared" si="221"/>
        <v>0</v>
      </c>
      <c r="I311" s="46"/>
      <c r="J311" s="46">
        <f>-J$220</f>
        <v>0</v>
      </c>
      <c r="K311" s="46">
        <f t="shared" ref="K311:BH311" si="235">-K$220</f>
        <v>0</v>
      </c>
      <c r="L311" s="46">
        <f t="shared" si="235"/>
        <v>0</v>
      </c>
      <c r="M311" s="46">
        <f t="shared" si="235"/>
        <v>0</v>
      </c>
      <c r="N311" s="46">
        <f t="shared" si="235"/>
        <v>0</v>
      </c>
      <c r="O311" s="46">
        <f t="shared" si="235"/>
        <v>0</v>
      </c>
      <c r="P311" s="46">
        <f t="shared" si="235"/>
        <v>0</v>
      </c>
      <c r="Q311" s="46">
        <f t="shared" si="235"/>
        <v>0</v>
      </c>
      <c r="R311" s="46">
        <f t="shared" si="235"/>
        <v>-14933</v>
      </c>
      <c r="S311" s="46">
        <f t="shared" si="235"/>
        <v>0</v>
      </c>
      <c r="T311" s="46">
        <f t="shared" si="235"/>
        <v>0</v>
      </c>
      <c r="U311" s="46">
        <f t="shared" si="235"/>
        <v>0</v>
      </c>
      <c r="V311" s="46">
        <f t="shared" si="235"/>
        <v>0</v>
      </c>
      <c r="W311" s="46">
        <f t="shared" si="235"/>
        <v>0</v>
      </c>
      <c r="X311" s="46">
        <f t="shared" si="235"/>
        <v>0</v>
      </c>
      <c r="Y311" s="46">
        <f t="shared" si="235"/>
        <v>0</v>
      </c>
      <c r="Z311" s="46">
        <f t="shared" si="235"/>
        <v>0</v>
      </c>
      <c r="AA311" s="46">
        <f t="shared" si="235"/>
        <v>0</v>
      </c>
      <c r="AB311" s="46">
        <f t="shared" si="235"/>
        <v>0</v>
      </c>
      <c r="AC311" s="46">
        <f t="shared" si="235"/>
        <v>0</v>
      </c>
      <c r="AD311" s="46">
        <f t="shared" si="235"/>
        <v>0</v>
      </c>
      <c r="AE311" s="46">
        <f t="shared" si="235"/>
        <v>0</v>
      </c>
      <c r="AF311" s="46">
        <f t="shared" si="235"/>
        <v>0</v>
      </c>
      <c r="AG311" s="46">
        <f t="shared" si="235"/>
        <v>0</v>
      </c>
      <c r="AH311" s="46">
        <f t="shared" si="235"/>
        <v>0</v>
      </c>
      <c r="AI311" s="46">
        <f t="shared" si="235"/>
        <v>0</v>
      </c>
      <c r="AJ311" s="46">
        <f t="shared" si="235"/>
        <v>0</v>
      </c>
      <c r="AK311" s="46">
        <f t="shared" si="235"/>
        <v>0</v>
      </c>
      <c r="AL311" s="46">
        <f t="shared" si="235"/>
        <v>0</v>
      </c>
      <c r="AM311" s="46">
        <f t="shared" si="235"/>
        <v>0</v>
      </c>
      <c r="AN311" s="46">
        <f t="shared" si="235"/>
        <v>0</v>
      </c>
      <c r="AO311" s="46">
        <f t="shared" si="235"/>
        <v>0</v>
      </c>
      <c r="AP311" s="46">
        <f t="shared" si="235"/>
        <v>0</v>
      </c>
      <c r="AQ311" s="46">
        <f t="shared" si="235"/>
        <v>0</v>
      </c>
      <c r="AR311" s="46">
        <f t="shared" si="235"/>
        <v>0</v>
      </c>
      <c r="AS311" s="46">
        <f t="shared" si="235"/>
        <v>0</v>
      </c>
      <c r="AT311" s="46">
        <f t="shared" si="235"/>
        <v>0</v>
      </c>
      <c r="AU311" s="46">
        <f t="shared" si="235"/>
        <v>0</v>
      </c>
      <c r="AV311" s="46">
        <f t="shared" si="235"/>
        <v>0</v>
      </c>
      <c r="AW311" s="46">
        <f t="shared" si="235"/>
        <v>0</v>
      </c>
      <c r="AX311" s="46">
        <f t="shared" si="235"/>
        <v>0</v>
      </c>
      <c r="AY311" s="46">
        <f t="shared" si="235"/>
        <v>0</v>
      </c>
      <c r="AZ311" s="46">
        <f t="shared" si="235"/>
        <v>0</v>
      </c>
      <c r="BA311" s="46">
        <f t="shared" si="235"/>
        <v>0</v>
      </c>
      <c r="BB311" s="46">
        <f t="shared" si="235"/>
        <v>0</v>
      </c>
      <c r="BC311" s="46">
        <f t="shared" si="235"/>
        <v>0</v>
      </c>
      <c r="BD311" s="46">
        <f t="shared" si="235"/>
        <v>0</v>
      </c>
      <c r="BE311" s="46">
        <f t="shared" si="235"/>
        <v>0</v>
      </c>
      <c r="BF311" s="46">
        <f t="shared" si="235"/>
        <v>0</v>
      </c>
      <c r="BG311" s="46">
        <f t="shared" si="235"/>
        <v>0</v>
      </c>
      <c r="BH311" s="46">
        <f t="shared" si="235"/>
        <v>0</v>
      </c>
    </row>
    <row r="312" spans="1:60" ht="14.25" customHeight="1" x14ac:dyDescent="0.3">
      <c r="A312" s="46"/>
      <c r="B312" s="37"/>
      <c r="C312" s="46" t="str">
        <f>C$221</f>
        <v>Furniture &amp; Computer Equipment</v>
      </c>
      <c r="D312" s="46">
        <f t="shared" si="221"/>
        <v>0</v>
      </c>
      <c r="E312" s="46">
        <f t="shared" si="221"/>
        <v>-39271</v>
      </c>
      <c r="F312" s="46">
        <f t="shared" si="221"/>
        <v>0</v>
      </c>
      <c r="G312" s="46">
        <f t="shared" si="221"/>
        <v>0</v>
      </c>
      <c r="H312" s="46">
        <f t="shared" si="221"/>
        <v>0</v>
      </c>
      <c r="I312" s="46"/>
      <c r="J312" s="46">
        <f>-J$221</f>
        <v>0</v>
      </c>
      <c r="K312" s="46">
        <f t="shared" ref="K312:BH312" si="236">-K$221</f>
        <v>0</v>
      </c>
      <c r="L312" s="46">
        <f t="shared" si="236"/>
        <v>0</v>
      </c>
      <c r="M312" s="46">
        <f t="shared" si="236"/>
        <v>0</v>
      </c>
      <c r="N312" s="46">
        <f t="shared" si="236"/>
        <v>0</v>
      </c>
      <c r="O312" s="46">
        <f t="shared" si="236"/>
        <v>0</v>
      </c>
      <c r="P312" s="46">
        <f t="shared" si="236"/>
        <v>0</v>
      </c>
      <c r="Q312" s="46">
        <f t="shared" si="236"/>
        <v>0</v>
      </c>
      <c r="R312" s="46">
        <f t="shared" si="236"/>
        <v>-39271</v>
      </c>
      <c r="S312" s="46">
        <f t="shared" si="236"/>
        <v>0</v>
      </c>
      <c r="T312" s="46">
        <f t="shared" si="236"/>
        <v>0</v>
      </c>
      <c r="U312" s="46">
        <f t="shared" si="236"/>
        <v>0</v>
      </c>
      <c r="V312" s="46">
        <f t="shared" si="236"/>
        <v>0</v>
      </c>
      <c r="W312" s="46">
        <f t="shared" si="236"/>
        <v>0</v>
      </c>
      <c r="X312" s="46">
        <f t="shared" si="236"/>
        <v>0</v>
      </c>
      <c r="Y312" s="46">
        <f t="shared" si="236"/>
        <v>0</v>
      </c>
      <c r="Z312" s="46">
        <f t="shared" si="236"/>
        <v>0</v>
      </c>
      <c r="AA312" s="46">
        <f t="shared" si="236"/>
        <v>0</v>
      </c>
      <c r="AB312" s="46">
        <f t="shared" si="236"/>
        <v>0</v>
      </c>
      <c r="AC312" s="46">
        <f t="shared" si="236"/>
        <v>0</v>
      </c>
      <c r="AD312" s="46">
        <f t="shared" si="236"/>
        <v>0</v>
      </c>
      <c r="AE312" s="46">
        <f t="shared" si="236"/>
        <v>0</v>
      </c>
      <c r="AF312" s="46">
        <f t="shared" si="236"/>
        <v>0</v>
      </c>
      <c r="AG312" s="46">
        <f t="shared" si="236"/>
        <v>0</v>
      </c>
      <c r="AH312" s="46">
        <f t="shared" si="236"/>
        <v>0</v>
      </c>
      <c r="AI312" s="46">
        <f t="shared" si="236"/>
        <v>0</v>
      </c>
      <c r="AJ312" s="46">
        <f t="shared" si="236"/>
        <v>0</v>
      </c>
      <c r="AK312" s="46">
        <f t="shared" si="236"/>
        <v>0</v>
      </c>
      <c r="AL312" s="46">
        <f t="shared" si="236"/>
        <v>0</v>
      </c>
      <c r="AM312" s="46">
        <f t="shared" si="236"/>
        <v>0</v>
      </c>
      <c r="AN312" s="46">
        <f t="shared" si="236"/>
        <v>0</v>
      </c>
      <c r="AO312" s="46">
        <f t="shared" si="236"/>
        <v>0</v>
      </c>
      <c r="AP312" s="46">
        <f t="shared" si="236"/>
        <v>0</v>
      </c>
      <c r="AQ312" s="46">
        <f t="shared" si="236"/>
        <v>0</v>
      </c>
      <c r="AR312" s="46">
        <f t="shared" si="236"/>
        <v>0</v>
      </c>
      <c r="AS312" s="46">
        <f t="shared" si="236"/>
        <v>0</v>
      </c>
      <c r="AT312" s="46">
        <f t="shared" si="236"/>
        <v>0</v>
      </c>
      <c r="AU312" s="46">
        <f t="shared" si="236"/>
        <v>0</v>
      </c>
      <c r="AV312" s="46">
        <f t="shared" si="236"/>
        <v>0</v>
      </c>
      <c r="AW312" s="46">
        <f t="shared" si="236"/>
        <v>0</v>
      </c>
      <c r="AX312" s="46">
        <f t="shared" si="236"/>
        <v>0</v>
      </c>
      <c r="AY312" s="46">
        <f t="shared" si="236"/>
        <v>0</v>
      </c>
      <c r="AZ312" s="46">
        <f t="shared" si="236"/>
        <v>0</v>
      </c>
      <c r="BA312" s="46">
        <f t="shared" si="236"/>
        <v>0</v>
      </c>
      <c r="BB312" s="46">
        <f t="shared" si="236"/>
        <v>0</v>
      </c>
      <c r="BC312" s="46">
        <f t="shared" si="236"/>
        <v>0</v>
      </c>
      <c r="BD312" s="46">
        <f t="shared" si="236"/>
        <v>0</v>
      </c>
      <c r="BE312" s="46">
        <f t="shared" si="236"/>
        <v>0</v>
      </c>
      <c r="BF312" s="46">
        <f t="shared" si="236"/>
        <v>0</v>
      </c>
      <c r="BG312" s="46">
        <f t="shared" si="236"/>
        <v>0</v>
      </c>
      <c r="BH312" s="46">
        <f t="shared" si="236"/>
        <v>0</v>
      </c>
    </row>
    <row r="313" spans="1:60" ht="14.25" customHeight="1" x14ac:dyDescent="0.3">
      <c r="A313" s="46"/>
      <c r="B313" s="37"/>
      <c r="C313" s="46" t="str">
        <f>C$222</f>
        <v xml:space="preserve">Furniture &amp; Computer Equipment </v>
      </c>
      <c r="D313" s="46">
        <f t="shared" si="221"/>
        <v>0</v>
      </c>
      <c r="E313" s="46">
        <f t="shared" si="221"/>
        <v>-25200</v>
      </c>
      <c r="F313" s="46">
        <f t="shared" si="221"/>
        <v>0</v>
      </c>
      <c r="G313" s="46">
        <f t="shared" si="221"/>
        <v>0</v>
      </c>
      <c r="H313" s="46">
        <f t="shared" si="221"/>
        <v>0</v>
      </c>
      <c r="I313" s="46"/>
      <c r="J313" s="46">
        <f>-J$222</f>
        <v>0</v>
      </c>
      <c r="K313" s="46">
        <f t="shared" ref="K313:BH313" si="237">-K$222</f>
        <v>0</v>
      </c>
      <c r="L313" s="46">
        <f t="shared" si="237"/>
        <v>0</v>
      </c>
      <c r="M313" s="46">
        <f t="shared" si="237"/>
        <v>0</v>
      </c>
      <c r="N313" s="46">
        <f t="shared" si="237"/>
        <v>0</v>
      </c>
      <c r="O313" s="46">
        <f t="shared" si="237"/>
        <v>0</v>
      </c>
      <c r="P313" s="46">
        <f t="shared" si="237"/>
        <v>0</v>
      </c>
      <c r="Q313" s="46">
        <f t="shared" si="237"/>
        <v>0</v>
      </c>
      <c r="R313" s="46">
        <f t="shared" si="237"/>
        <v>0</v>
      </c>
      <c r="S313" s="46">
        <f t="shared" si="237"/>
        <v>0</v>
      </c>
      <c r="T313" s="46">
        <f t="shared" si="237"/>
        <v>0</v>
      </c>
      <c r="U313" s="46">
        <f t="shared" si="237"/>
        <v>-25200</v>
      </c>
      <c r="V313" s="46">
        <f t="shared" si="237"/>
        <v>0</v>
      </c>
      <c r="W313" s="46">
        <f t="shared" si="237"/>
        <v>0</v>
      </c>
      <c r="X313" s="46">
        <f t="shared" si="237"/>
        <v>0</v>
      </c>
      <c r="Y313" s="46">
        <f t="shared" si="237"/>
        <v>0</v>
      </c>
      <c r="Z313" s="46">
        <f t="shared" si="237"/>
        <v>0</v>
      </c>
      <c r="AA313" s="46">
        <f t="shared" si="237"/>
        <v>0</v>
      </c>
      <c r="AB313" s="46">
        <f t="shared" si="237"/>
        <v>0</v>
      </c>
      <c r="AC313" s="46">
        <f t="shared" si="237"/>
        <v>0</v>
      </c>
      <c r="AD313" s="46">
        <f t="shared" si="237"/>
        <v>0</v>
      </c>
      <c r="AE313" s="46">
        <f t="shared" si="237"/>
        <v>0</v>
      </c>
      <c r="AF313" s="46">
        <f t="shared" si="237"/>
        <v>0</v>
      </c>
      <c r="AG313" s="46">
        <f t="shared" si="237"/>
        <v>0</v>
      </c>
      <c r="AH313" s="46">
        <f t="shared" si="237"/>
        <v>0</v>
      </c>
      <c r="AI313" s="46">
        <f t="shared" si="237"/>
        <v>0</v>
      </c>
      <c r="AJ313" s="46">
        <f t="shared" si="237"/>
        <v>0</v>
      </c>
      <c r="AK313" s="46">
        <f t="shared" si="237"/>
        <v>0</v>
      </c>
      <c r="AL313" s="46">
        <f t="shared" si="237"/>
        <v>0</v>
      </c>
      <c r="AM313" s="46">
        <f t="shared" si="237"/>
        <v>0</v>
      </c>
      <c r="AN313" s="46">
        <f t="shared" si="237"/>
        <v>0</v>
      </c>
      <c r="AO313" s="46">
        <f t="shared" si="237"/>
        <v>0</v>
      </c>
      <c r="AP313" s="46">
        <f t="shared" si="237"/>
        <v>0</v>
      </c>
      <c r="AQ313" s="46">
        <f t="shared" si="237"/>
        <v>0</v>
      </c>
      <c r="AR313" s="46">
        <f t="shared" si="237"/>
        <v>0</v>
      </c>
      <c r="AS313" s="46">
        <f t="shared" si="237"/>
        <v>0</v>
      </c>
      <c r="AT313" s="46">
        <f t="shared" si="237"/>
        <v>0</v>
      </c>
      <c r="AU313" s="46">
        <f t="shared" si="237"/>
        <v>0</v>
      </c>
      <c r="AV313" s="46">
        <f t="shared" si="237"/>
        <v>0</v>
      </c>
      <c r="AW313" s="46">
        <f t="shared" si="237"/>
        <v>0</v>
      </c>
      <c r="AX313" s="46">
        <f t="shared" si="237"/>
        <v>0</v>
      </c>
      <c r="AY313" s="46">
        <f t="shared" si="237"/>
        <v>0</v>
      </c>
      <c r="AZ313" s="46">
        <f t="shared" si="237"/>
        <v>0</v>
      </c>
      <c r="BA313" s="46">
        <f t="shared" si="237"/>
        <v>0</v>
      </c>
      <c r="BB313" s="46">
        <f t="shared" si="237"/>
        <v>0</v>
      </c>
      <c r="BC313" s="46">
        <f t="shared" si="237"/>
        <v>0</v>
      </c>
      <c r="BD313" s="46">
        <f t="shared" si="237"/>
        <v>0</v>
      </c>
      <c r="BE313" s="46">
        <f t="shared" si="237"/>
        <v>0</v>
      </c>
      <c r="BF313" s="46">
        <f t="shared" si="237"/>
        <v>0</v>
      </c>
      <c r="BG313" s="46">
        <f t="shared" si="237"/>
        <v>0</v>
      </c>
      <c r="BH313" s="46">
        <f t="shared" si="237"/>
        <v>0</v>
      </c>
    </row>
    <row r="314" spans="1:60" ht="14.25" customHeight="1" x14ac:dyDescent="0.3">
      <c r="A314" s="46"/>
      <c r="B314" s="37"/>
      <c r="C314" s="46" t="str">
        <f>C$223</f>
        <v>Oxyhydrogen therapy (5 machines)</v>
      </c>
      <c r="D314" s="46">
        <f t="shared" ref="D314:H314" si="238">SUMIF($1:$1,D$238,314:314)</f>
        <v>0</v>
      </c>
      <c r="E314" s="46">
        <f t="shared" si="238"/>
        <v>-16980</v>
      </c>
      <c r="F314" s="46">
        <f t="shared" si="238"/>
        <v>0</v>
      </c>
      <c r="G314" s="46">
        <f t="shared" si="238"/>
        <v>0</v>
      </c>
      <c r="H314" s="46">
        <f t="shared" si="238"/>
        <v>0</v>
      </c>
      <c r="I314" s="46"/>
      <c r="J314" s="46">
        <f>-J$223</f>
        <v>0</v>
      </c>
      <c r="K314" s="46">
        <f t="shared" ref="K314:BH314" si="239">-K$223</f>
        <v>0</v>
      </c>
      <c r="L314" s="46">
        <f t="shared" si="239"/>
        <v>0</v>
      </c>
      <c r="M314" s="46">
        <f t="shared" si="239"/>
        <v>0</v>
      </c>
      <c r="N314" s="46">
        <f t="shared" si="239"/>
        <v>0</v>
      </c>
      <c r="O314" s="46">
        <f t="shared" si="239"/>
        <v>0</v>
      </c>
      <c r="P314" s="46">
        <f t="shared" si="239"/>
        <v>0</v>
      </c>
      <c r="Q314" s="46">
        <f t="shared" si="239"/>
        <v>0</v>
      </c>
      <c r="R314" s="46">
        <f t="shared" si="239"/>
        <v>0</v>
      </c>
      <c r="S314" s="46">
        <f t="shared" si="239"/>
        <v>0</v>
      </c>
      <c r="T314" s="46">
        <f t="shared" si="239"/>
        <v>-16980</v>
      </c>
      <c r="U314" s="46">
        <f t="shared" si="239"/>
        <v>0</v>
      </c>
      <c r="V314" s="46">
        <f t="shared" si="239"/>
        <v>0</v>
      </c>
      <c r="W314" s="46">
        <f t="shared" si="239"/>
        <v>0</v>
      </c>
      <c r="X314" s="46">
        <f t="shared" si="239"/>
        <v>0</v>
      </c>
      <c r="Y314" s="46">
        <f t="shared" si="239"/>
        <v>0</v>
      </c>
      <c r="Z314" s="46">
        <f t="shared" si="239"/>
        <v>0</v>
      </c>
      <c r="AA314" s="46">
        <f t="shared" si="239"/>
        <v>0</v>
      </c>
      <c r="AB314" s="46">
        <f t="shared" si="239"/>
        <v>0</v>
      </c>
      <c r="AC314" s="46">
        <f t="shared" si="239"/>
        <v>0</v>
      </c>
      <c r="AD314" s="46">
        <f t="shared" si="239"/>
        <v>0</v>
      </c>
      <c r="AE314" s="46">
        <f t="shared" si="239"/>
        <v>0</v>
      </c>
      <c r="AF314" s="46">
        <f t="shared" si="239"/>
        <v>0</v>
      </c>
      <c r="AG314" s="46">
        <f t="shared" si="239"/>
        <v>0</v>
      </c>
      <c r="AH314" s="46">
        <f t="shared" si="239"/>
        <v>0</v>
      </c>
      <c r="AI314" s="46">
        <f t="shared" si="239"/>
        <v>0</v>
      </c>
      <c r="AJ314" s="46">
        <f t="shared" si="239"/>
        <v>0</v>
      </c>
      <c r="AK314" s="46">
        <f t="shared" si="239"/>
        <v>0</v>
      </c>
      <c r="AL314" s="46">
        <f t="shared" si="239"/>
        <v>0</v>
      </c>
      <c r="AM314" s="46">
        <f t="shared" si="239"/>
        <v>0</v>
      </c>
      <c r="AN314" s="46">
        <f t="shared" si="239"/>
        <v>0</v>
      </c>
      <c r="AO314" s="46">
        <f t="shared" si="239"/>
        <v>0</v>
      </c>
      <c r="AP314" s="46">
        <f t="shared" si="239"/>
        <v>0</v>
      </c>
      <c r="AQ314" s="46">
        <f t="shared" si="239"/>
        <v>0</v>
      </c>
      <c r="AR314" s="46">
        <f t="shared" si="239"/>
        <v>0</v>
      </c>
      <c r="AS314" s="46">
        <f t="shared" si="239"/>
        <v>0</v>
      </c>
      <c r="AT314" s="46">
        <f t="shared" si="239"/>
        <v>0</v>
      </c>
      <c r="AU314" s="46">
        <f t="shared" si="239"/>
        <v>0</v>
      </c>
      <c r="AV314" s="46">
        <f t="shared" si="239"/>
        <v>0</v>
      </c>
      <c r="AW314" s="46">
        <f t="shared" si="239"/>
        <v>0</v>
      </c>
      <c r="AX314" s="46">
        <f t="shared" si="239"/>
        <v>0</v>
      </c>
      <c r="AY314" s="46">
        <f t="shared" si="239"/>
        <v>0</v>
      </c>
      <c r="AZ314" s="46">
        <f t="shared" si="239"/>
        <v>0</v>
      </c>
      <c r="BA314" s="46">
        <f t="shared" si="239"/>
        <v>0</v>
      </c>
      <c r="BB314" s="46">
        <f t="shared" si="239"/>
        <v>0</v>
      </c>
      <c r="BC314" s="46">
        <f t="shared" si="239"/>
        <v>0</v>
      </c>
      <c r="BD314" s="46">
        <f t="shared" si="239"/>
        <v>0</v>
      </c>
      <c r="BE314" s="46">
        <f t="shared" si="239"/>
        <v>0</v>
      </c>
      <c r="BF314" s="46">
        <f t="shared" si="239"/>
        <v>0</v>
      </c>
      <c r="BG314" s="46">
        <f t="shared" si="239"/>
        <v>0</v>
      </c>
      <c r="BH314" s="46">
        <f t="shared" si="239"/>
        <v>0</v>
      </c>
    </row>
    <row r="315" spans="1:60" ht="14.25" customHeight="1" x14ac:dyDescent="0.3">
      <c r="A315" s="46"/>
      <c r="B315" s="37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  <c r="AB315" s="46"/>
      <c r="AC315" s="46"/>
      <c r="AD315" s="46"/>
      <c r="AE315" s="46"/>
      <c r="AF315" s="46"/>
      <c r="AG315" s="46"/>
      <c r="AH315" s="46"/>
      <c r="AI315" s="46"/>
      <c r="AJ315" s="46"/>
      <c r="AK315" s="46"/>
      <c r="AL315" s="46"/>
      <c r="AM315" s="46"/>
      <c r="AN315" s="46"/>
      <c r="AO315" s="46"/>
      <c r="AP315" s="46"/>
      <c r="AQ315" s="46"/>
      <c r="AR315" s="46"/>
      <c r="AS315" s="46"/>
      <c r="AT315" s="46"/>
      <c r="AU315" s="46"/>
      <c r="AV315" s="46"/>
      <c r="AW315" s="46"/>
      <c r="AX315" s="46"/>
      <c r="AY315" s="46"/>
      <c r="AZ315" s="46"/>
      <c r="BA315" s="46"/>
      <c r="BB315" s="46"/>
      <c r="BC315" s="46"/>
      <c r="BD315" s="46"/>
      <c r="BE315" s="46"/>
      <c r="BF315" s="46"/>
      <c r="BG315" s="46"/>
      <c r="BH315" s="46"/>
    </row>
    <row r="316" spans="1:60" ht="14.25" customHeight="1" x14ac:dyDescent="0.3">
      <c r="A316" s="46"/>
      <c r="B316" s="37" t="str">
        <f>B225</f>
        <v>One Off Expenses</v>
      </c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  <c r="AB316" s="46"/>
      <c r="AC316" s="46"/>
      <c r="AD316" s="46"/>
      <c r="AE316" s="46"/>
      <c r="AF316" s="46"/>
      <c r="AG316" s="46"/>
      <c r="AH316" s="46"/>
      <c r="AI316" s="46"/>
      <c r="AJ316" s="46"/>
      <c r="AK316" s="46"/>
      <c r="AL316" s="46"/>
      <c r="AM316" s="46"/>
      <c r="AN316" s="46"/>
      <c r="AO316" s="46"/>
      <c r="AP316" s="46"/>
      <c r="AQ316" s="46"/>
      <c r="AR316" s="46"/>
      <c r="AS316" s="46"/>
      <c r="AT316" s="46"/>
      <c r="AU316" s="46"/>
      <c r="AV316" s="46"/>
      <c r="AW316" s="46"/>
      <c r="AX316" s="46"/>
      <c r="AY316" s="46"/>
      <c r="AZ316" s="46"/>
      <c r="BA316" s="46"/>
      <c r="BB316" s="46"/>
      <c r="BC316" s="46"/>
      <c r="BD316" s="46"/>
      <c r="BE316" s="46"/>
      <c r="BF316" s="46"/>
      <c r="BG316" s="46"/>
      <c r="BH316" s="46"/>
    </row>
    <row r="317" spans="1:60" ht="14.25" customHeight="1" x14ac:dyDescent="0.3">
      <c r="A317" s="46"/>
      <c r="B317" s="37"/>
      <c r="C317" s="46" t="s">
        <v>352</v>
      </c>
      <c r="D317" s="46">
        <f t="shared" ref="D317:H326" si="240">SUMIF($1:$1,D$238,317:317)</f>
        <v>-20500</v>
      </c>
      <c r="E317" s="46">
        <f t="shared" si="240"/>
        <v>0</v>
      </c>
      <c r="F317" s="46">
        <f t="shared" si="240"/>
        <v>0</v>
      </c>
      <c r="G317" s="46">
        <f t="shared" si="240"/>
        <v>0</v>
      </c>
      <c r="H317" s="46">
        <f t="shared" si="240"/>
        <v>0</v>
      </c>
      <c r="I317" s="46"/>
      <c r="J317" s="46">
        <f t="shared" ref="J317:BH321" si="241">-J226</f>
        <v>0</v>
      </c>
      <c r="K317" s="46">
        <f t="shared" si="241"/>
        <v>-20500</v>
      </c>
      <c r="L317" s="46">
        <f t="shared" si="241"/>
        <v>0</v>
      </c>
      <c r="M317" s="46">
        <f t="shared" si="241"/>
        <v>0</v>
      </c>
      <c r="N317" s="46">
        <f t="shared" si="241"/>
        <v>0</v>
      </c>
      <c r="O317" s="46">
        <f t="shared" si="241"/>
        <v>0</v>
      </c>
      <c r="P317" s="46">
        <f t="shared" si="241"/>
        <v>0</v>
      </c>
      <c r="Q317" s="46">
        <f t="shared" si="241"/>
        <v>0</v>
      </c>
      <c r="R317" s="46">
        <f t="shared" si="241"/>
        <v>0</v>
      </c>
      <c r="S317" s="46">
        <f t="shared" si="241"/>
        <v>0</v>
      </c>
      <c r="T317" s="46">
        <f t="shared" si="241"/>
        <v>0</v>
      </c>
      <c r="U317" s="46">
        <f t="shared" si="241"/>
        <v>0</v>
      </c>
      <c r="V317" s="46">
        <f t="shared" si="241"/>
        <v>0</v>
      </c>
      <c r="W317" s="46">
        <f t="shared" si="241"/>
        <v>0</v>
      </c>
      <c r="X317" s="46">
        <f t="shared" si="241"/>
        <v>0</v>
      </c>
      <c r="Y317" s="46">
        <f t="shared" si="241"/>
        <v>0</v>
      </c>
      <c r="Z317" s="46">
        <f t="shared" si="241"/>
        <v>0</v>
      </c>
      <c r="AA317" s="46">
        <f t="shared" si="241"/>
        <v>0</v>
      </c>
      <c r="AB317" s="46">
        <f t="shared" si="241"/>
        <v>0</v>
      </c>
      <c r="AC317" s="46">
        <f t="shared" si="241"/>
        <v>0</v>
      </c>
      <c r="AD317" s="46">
        <f t="shared" si="241"/>
        <v>0</v>
      </c>
      <c r="AE317" s="46">
        <f t="shared" si="241"/>
        <v>0</v>
      </c>
      <c r="AF317" s="46">
        <f t="shared" si="241"/>
        <v>0</v>
      </c>
      <c r="AG317" s="46">
        <f t="shared" si="241"/>
        <v>0</v>
      </c>
      <c r="AH317" s="46">
        <f t="shared" si="241"/>
        <v>0</v>
      </c>
      <c r="AI317" s="46">
        <f t="shared" si="241"/>
        <v>0</v>
      </c>
      <c r="AJ317" s="46">
        <f t="shared" si="241"/>
        <v>0</v>
      </c>
      <c r="AK317" s="46">
        <f t="shared" si="241"/>
        <v>0</v>
      </c>
      <c r="AL317" s="46">
        <f t="shared" si="241"/>
        <v>0</v>
      </c>
      <c r="AM317" s="46">
        <f t="shared" si="241"/>
        <v>0</v>
      </c>
      <c r="AN317" s="46">
        <f t="shared" si="241"/>
        <v>0</v>
      </c>
      <c r="AO317" s="46">
        <f t="shared" si="241"/>
        <v>0</v>
      </c>
      <c r="AP317" s="46">
        <f t="shared" si="241"/>
        <v>0</v>
      </c>
      <c r="AQ317" s="46">
        <f t="shared" si="241"/>
        <v>0</v>
      </c>
      <c r="AR317" s="46">
        <f t="shared" si="241"/>
        <v>0</v>
      </c>
      <c r="AS317" s="46">
        <f t="shared" si="241"/>
        <v>0</v>
      </c>
      <c r="AT317" s="46">
        <f t="shared" si="241"/>
        <v>0</v>
      </c>
      <c r="AU317" s="46">
        <f t="shared" si="241"/>
        <v>0</v>
      </c>
      <c r="AV317" s="46">
        <f t="shared" si="241"/>
        <v>0</v>
      </c>
      <c r="AW317" s="46">
        <f t="shared" si="241"/>
        <v>0</v>
      </c>
      <c r="AX317" s="46">
        <f t="shared" si="241"/>
        <v>0</v>
      </c>
      <c r="AY317" s="46">
        <f t="shared" si="241"/>
        <v>0</v>
      </c>
      <c r="AZ317" s="46">
        <f t="shared" si="241"/>
        <v>0</v>
      </c>
      <c r="BA317" s="46">
        <f t="shared" si="241"/>
        <v>0</v>
      </c>
      <c r="BB317" s="46">
        <f t="shared" si="241"/>
        <v>0</v>
      </c>
      <c r="BC317" s="46">
        <f t="shared" si="241"/>
        <v>0</v>
      </c>
      <c r="BD317" s="46">
        <f t="shared" si="241"/>
        <v>0</v>
      </c>
      <c r="BE317" s="46">
        <f t="shared" si="241"/>
        <v>0</v>
      </c>
      <c r="BF317" s="46">
        <f t="shared" si="241"/>
        <v>0</v>
      </c>
      <c r="BG317" s="46">
        <f t="shared" si="241"/>
        <v>0</v>
      </c>
      <c r="BH317" s="46">
        <f t="shared" si="241"/>
        <v>0</v>
      </c>
    </row>
    <row r="318" spans="1:60" s="69" customFormat="1" ht="14.25" customHeight="1" x14ac:dyDescent="0.3">
      <c r="A318" s="57"/>
      <c r="B318" s="112"/>
      <c r="C318" s="57" t="s">
        <v>353</v>
      </c>
      <c r="D318" s="46">
        <f t="shared" si="240"/>
        <v>-204000</v>
      </c>
      <c r="E318" s="46">
        <f t="shared" si="240"/>
        <v>0</v>
      </c>
      <c r="F318" s="46">
        <f t="shared" si="240"/>
        <v>0</v>
      </c>
      <c r="G318" s="46">
        <f t="shared" si="240"/>
        <v>0</v>
      </c>
      <c r="H318" s="46">
        <f t="shared" si="240"/>
        <v>0</v>
      </c>
      <c r="I318" s="57"/>
      <c r="J318" s="46">
        <f t="shared" si="241"/>
        <v>0</v>
      </c>
      <c r="K318" s="46">
        <f t="shared" si="241"/>
        <v>0</v>
      </c>
      <c r="L318" s="46">
        <f t="shared" si="241"/>
        <v>-204000</v>
      </c>
      <c r="M318" s="46">
        <f t="shared" si="241"/>
        <v>0</v>
      </c>
      <c r="N318" s="46">
        <f t="shared" si="241"/>
        <v>0</v>
      </c>
      <c r="O318" s="46">
        <f t="shared" si="241"/>
        <v>0</v>
      </c>
      <c r="P318" s="46">
        <f t="shared" si="241"/>
        <v>0</v>
      </c>
      <c r="Q318" s="46">
        <f t="shared" si="241"/>
        <v>0</v>
      </c>
      <c r="R318" s="46">
        <f t="shared" si="241"/>
        <v>0</v>
      </c>
      <c r="S318" s="46">
        <f t="shared" si="241"/>
        <v>0</v>
      </c>
      <c r="T318" s="46">
        <f t="shared" si="241"/>
        <v>0</v>
      </c>
      <c r="U318" s="46">
        <f t="shared" si="241"/>
        <v>0</v>
      </c>
      <c r="V318" s="46">
        <f t="shared" si="241"/>
        <v>0</v>
      </c>
      <c r="W318" s="46">
        <f t="shared" si="241"/>
        <v>0</v>
      </c>
      <c r="X318" s="46">
        <f t="shared" si="241"/>
        <v>0</v>
      </c>
      <c r="Y318" s="46">
        <f t="shared" si="241"/>
        <v>0</v>
      </c>
      <c r="Z318" s="46">
        <f t="shared" si="241"/>
        <v>0</v>
      </c>
      <c r="AA318" s="46">
        <f t="shared" si="241"/>
        <v>0</v>
      </c>
      <c r="AB318" s="46">
        <f t="shared" si="241"/>
        <v>0</v>
      </c>
      <c r="AC318" s="46">
        <f t="shared" si="241"/>
        <v>0</v>
      </c>
      <c r="AD318" s="46">
        <f t="shared" si="241"/>
        <v>0</v>
      </c>
      <c r="AE318" s="46">
        <f t="shared" si="241"/>
        <v>0</v>
      </c>
      <c r="AF318" s="46">
        <f t="shared" si="241"/>
        <v>0</v>
      </c>
      <c r="AG318" s="46">
        <f t="shared" si="241"/>
        <v>0</v>
      </c>
      <c r="AH318" s="46">
        <f t="shared" si="241"/>
        <v>0</v>
      </c>
      <c r="AI318" s="46">
        <f t="shared" si="241"/>
        <v>0</v>
      </c>
      <c r="AJ318" s="46">
        <f t="shared" si="241"/>
        <v>0</v>
      </c>
      <c r="AK318" s="46">
        <f t="shared" si="241"/>
        <v>0</v>
      </c>
      <c r="AL318" s="46">
        <f t="shared" si="241"/>
        <v>0</v>
      </c>
      <c r="AM318" s="46">
        <f t="shared" si="241"/>
        <v>0</v>
      </c>
      <c r="AN318" s="46">
        <f t="shared" si="241"/>
        <v>0</v>
      </c>
      <c r="AO318" s="46">
        <f t="shared" si="241"/>
        <v>0</v>
      </c>
      <c r="AP318" s="46">
        <f t="shared" si="241"/>
        <v>0</v>
      </c>
      <c r="AQ318" s="46">
        <f t="shared" si="241"/>
        <v>0</v>
      </c>
      <c r="AR318" s="46">
        <f t="shared" si="241"/>
        <v>0</v>
      </c>
      <c r="AS318" s="46">
        <f t="shared" si="241"/>
        <v>0</v>
      </c>
      <c r="AT318" s="46">
        <f t="shared" si="241"/>
        <v>0</v>
      </c>
      <c r="AU318" s="46">
        <f t="shared" si="241"/>
        <v>0</v>
      </c>
      <c r="AV318" s="46">
        <f t="shared" si="241"/>
        <v>0</v>
      </c>
      <c r="AW318" s="46">
        <f t="shared" si="241"/>
        <v>0</v>
      </c>
      <c r="AX318" s="46">
        <f t="shared" si="241"/>
        <v>0</v>
      </c>
      <c r="AY318" s="46">
        <f t="shared" si="241"/>
        <v>0</v>
      </c>
      <c r="AZ318" s="46">
        <f t="shared" si="241"/>
        <v>0</v>
      </c>
      <c r="BA318" s="46">
        <f t="shared" si="241"/>
        <v>0</v>
      </c>
      <c r="BB318" s="46">
        <f t="shared" si="241"/>
        <v>0</v>
      </c>
      <c r="BC318" s="46">
        <f t="shared" si="241"/>
        <v>0</v>
      </c>
      <c r="BD318" s="46">
        <f t="shared" si="241"/>
        <v>0</v>
      </c>
      <c r="BE318" s="46">
        <f t="shared" si="241"/>
        <v>0</v>
      </c>
      <c r="BF318" s="46">
        <f t="shared" si="241"/>
        <v>0</v>
      </c>
      <c r="BG318" s="46">
        <f t="shared" si="241"/>
        <v>0</v>
      </c>
      <c r="BH318" s="46">
        <f t="shared" si="241"/>
        <v>0</v>
      </c>
    </row>
    <row r="319" spans="1:60" ht="14.25" customHeight="1" x14ac:dyDescent="0.3">
      <c r="A319" s="46"/>
      <c r="B319" s="37"/>
      <c r="C319" s="46" t="s">
        <v>365</v>
      </c>
      <c r="D319" s="46">
        <f t="shared" si="240"/>
        <v>-10800</v>
      </c>
      <c r="E319" s="46">
        <f t="shared" si="240"/>
        <v>0</v>
      </c>
      <c r="F319" s="46">
        <f t="shared" si="240"/>
        <v>0</v>
      </c>
      <c r="G319" s="46">
        <f t="shared" si="240"/>
        <v>0</v>
      </c>
      <c r="H319" s="46">
        <f t="shared" si="240"/>
        <v>0</v>
      </c>
      <c r="I319" s="46"/>
      <c r="J319" s="46">
        <f t="shared" si="241"/>
        <v>0</v>
      </c>
      <c r="K319" s="46">
        <f t="shared" si="241"/>
        <v>-10800</v>
      </c>
      <c r="L319" s="46">
        <f t="shared" si="241"/>
        <v>0</v>
      </c>
      <c r="M319" s="46">
        <f t="shared" si="241"/>
        <v>0</v>
      </c>
      <c r="N319" s="46">
        <f t="shared" si="241"/>
        <v>0</v>
      </c>
      <c r="O319" s="46">
        <f t="shared" si="241"/>
        <v>0</v>
      </c>
      <c r="P319" s="46">
        <f t="shared" si="241"/>
        <v>0</v>
      </c>
      <c r="Q319" s="46">
        <f t="shared" si="241"/>
        <v>0</v>
      </c>
      <c r="R319" s="46">
        <f t="shared" si="241"/>
        <v>0</v>
      </c>
      <c r="S319" s="46">
        <f t="shared" si="241"/>
        <v>0</v>
      </c>
      <c r="T319" s="46">
        <f t="shared" si="241"/>
        <v>0</v>
      </c>
      <c r="U319" s="46">
        <f t="shared" si="241"/>
        <v>0</v>
      </c>
      <c r="V319" s="46">
        <f t="shared" si="241"/>
        <v>0</v>
      </c>
      <c r="W319" s="46">
        <f t="shared" si="241"/>
        <v>0</v>
      </c>
      <c r="X319" s="46">
        <f t="shared" si="241"/>
        <v>0</v>
      </c>
      <c r="Y319" s="46">
        <f t="shared" si="241"/>
        <v>0</v>
      </c>
      <c r="Z319" s="46">
        <f t="shared" si="241"/>
        <v>0</v>
      </c>
      <c r="AA319" s="46">
        <f t="shared" si="241"/>
        <v>0</v>
      </c>
      <c r="AB319" s="46">
        <f t="shared" si="241"/>
        <v>0</v>
      </c>
      <c r="AC319" s="46">
        <f t="shared" si="241"/>
        <v>0</v>
      </c>
      <c r="AD319" s="46">
        <f t="shared" si="241"/>
        <v>0</v>
      </c>
      <c r="AE319" s="46">
        <f t="shared" si="241"/>
        <v>0</v>
      </c>
      <c r="AF319" s="46">
        <f t="shared" si="241"/>
        <v>0</v>
      </c>
      <c r="AG319" s="46">
        <f t="shared" si="241"/>
        <v>0</v>
      </c>
      <c r="AH319" s="46">
        <f t="shared" si="241"/>
        <v>0</v>
      </c>
      <c r="AI319" s="46">
        <f t="shared" si="241"/>
        <v>0</v>
      </c>
      <c r="AJ319" s="46">
        <f t="shared" si="241"/>
        <v>0</v>
      </c>
      <c r="AK319" s="46">
        <f t="shared" si="241"/>
        <v>0</v>
      </c>
      <c r="AL319" s="46">
        <f t="shared" si="241"/>
        <v>0</v>
      </c>
      <c r="AM319" s="46">
        <f t="shared" si="241"/>
        <v>0</v>
      </c>
      <c r="AN319" s="46">
        <f t="shared" si="241"/>
        <v>0</v>
      </c>
      <c r="AO319" s="46">
        <f t="shared" si="241"/>
        <v>0</v>
      </c>
      <c r="AP319" s="46">
        <f t="shared" si="241"/>
        <v>0</v>
      </c>
      <c r="AQ319" s="46">
        <f t="shared" si="241"/>
        <v>0</v>
      </c>
      <c r="AR319" s="46">
        <f t="shared" si="241"/>
        <v>0</v>
      </c>
      <c r="AS319" s="46">
        <f t="shared" si="241"/>
        <v>0</v>
      </c>
      <c r="AT319" s="46">
        <f t="shared" si="241"/>
        <v>0</v>
      </c>
      <c r="AU319" s="46">
        <f t="shared" si="241"/>
        <v>0</v>
      </c>
      <c r="AV319" s="46">
        <f t="shared" si="241"/>
        <v>0</v>
      </c>
      <c r="AW319" s="46">
        <f t="shared" si="241"/>
        <v>0</v>
      </c>
      <c r="AX319" s="46">
        <f t="shared" si="241"/>
        <v>0</v>
      </c>
      <c r="AY319" s="46">
        <f t="shared" si="241"/>
        <v>0</v>
      </c>
      <c r="AZ319" s="46">
        <f t="shared" si="241"/>
        <v>0</v>
      </c>
      <c r="BA319" s="46">
        <f t="shared" si="241"/>
        <v>0</v>
      </c>
      <c r="BB319" s="46">
        <f t="shared" si="241"/>
        <v>0</v>
      </c>
      <c r="BC319" s="46">
        <f t="shared" si="241"/>
        <v>0</v>
      </c>
      <c r="BD319" s="46">
        <f t="shared" si="241"/>
        <v>0</v>
      </c>
      <c r="BE319" s="46">
        <f t="shared" si="241"/>
        <v>0</v>
      </c>
      <c r="BF319" s="46">
        <f t="shared" si="241"/>
        <v>0</v>
      </c>
      <c r="BG319" s="46">
        <f t="shared" si="241"/>
        <v>0</v>
      </c>
      <c r="BH319" s="46">
        <f t="shared" si="241"/>
        <v>0</v>
      </c>
    </row>
    <row r="320" spans="1:60" ht="14.25" customHeight="1" x14ac:dyDescent="0.3">
      <c r="A320" s="46"/>
      <c r="B320" s="37"/>
      <c r="C320" s="46" t="str">
        <f>C$229</f>
        <v>Leasing Agent</v>
      </c>
      <c r="D320" s="46">
        <f t="shared" si="240"/>
        <v>-19984.400000000001</v>
      </c>
      <c r="E320" s="46">
        <f t="shared" si="240"/>
        <v>0</v>
      </c>
      <c r="F320" s="46">
        <f t="shared" si="240"/>
        <v>0</v>
      </c>
      <c r="G320" s="46">
        <f t="shared" si="240"/>
        <v>0</v>
      </c>
      <c r="H320" s="46">
        <f t="shared" si="240"/>
        <v>0</v>
      </c>
      <c r="I320" s="46"/>
      <c r="J320" s="46">
        <f t="shared" si="241"/>
        <v>0</v>
      </c>
      <c r="K320" s="46">
        <f t="shared" si="241"/>
        <v>0</v>
      </c>
      <c r="L320" s="46">
        <f t="shared" si="241"/>
        <v>-19984.400000000001</v>
      </c>
      <c r="M320" s="46">
        <f t="shared" si="241"/>
        <v>0</v>
      </c>
      <c r="N320" s="46">
        <f t="shared" si="241"/>
        <v>0</v>
      </c>
      <c r="O320" s="46">
        <f t="shared" si="241"/>
        <v>0</v>
      </c>
      <c r="P320" s="46">
        <f t="shared" si="241"/>
        <v>0</v>
      </c>
      <c r="Q320" s="46">
        <f t="shared" si="241"/>
        <v>0</v>
      </c>
      <c r="R320" s="46">
        <f t="shared" si="241"/>
        <v>0</v>
      </c>
      <c r="S320" s="46">
        <f t="shared" si="241"/>
        <v>0</v>
      </c>
      <c r="T320" s="46">
        <f t="shared" si="241"/>
        <v>0</v>
      </c>
      <c r="U320" s="46">
        <f t="shared" si="241"/>
        <v>0</v>
      </c>
      <c r="V320" s="46">
        <f t="shared" si="241"/>
        <v>0</v>
      </c>
      <c r="W320" s="46">
        <f t="shared" si="241"/>
        <v>0</v>
      </c>
      <c r="X320" s="46">
        <f t="shared" si="241"/>
        <v>0</v>
      </c>
      <c r="Y320" s="46">
        <f t="shared" si="241"/>
        <v>0</v>
      </c>
      <c r="Z320" s="46">
        <f t="shared" si="241"/>
        <v>0</v>
      </c>
      <c r="AA320" s="46">
        <f t="shared" si="241"/>
        <v>0</v>
      </c>
      <c r="AB320" s="46">
        <f t="shared" si="241"/>
        <v>0</v>
      </c>
      <c r="AC320" s="46">
        <f t="shared" si="241"/>
        <v>0</v>
      </c>
      <c r="AD320" s="46">
        <f t="shared" si="241"/>
        <v>0</v>
      </c>
      <c r="AE320" s="46">
        <f t="shared" si="241"/>
        <v>0</v>
      </c>
      <c r="AF320" s="46">
        <f t="shared" si="241"/>
        <v>0</v>
      </c>
      <c r="AG320" s="46">
        <f t="shared" si="241"/>
        <v>0</v>
      </c>
      <c r="AH320" s="46">
        <f t="shared" si="241"/>
        <v>0</v>
      </c>
      <c r="AI320" s="46">
        <f t="shared" si="241"/>
        <v>0</v>
      </c>
      <c r="AJ320" s="46">
        <f t="shared" si="241"/>
        <v>0</v>
      </c>
      <c r="AK320" s="46">
        <f t="shared" si="241"/>
        <v>0</v>
      </c>
      <c r="AL320" s="46">
        <f t="shared" si="241"/>
        <v>0</v>
      </c>
      <c r="AM320" s="46">
        <f t="shared" si="241"/>
        <v>0</v>
      </c>
      <c r="AN320" s="46">
        <f t="shared" si="241"/>
        <v>0</v>
      </c>
      <c r="AO320" s="46">
        <f t="shared" si="241"/>
        <v>0</v>
      </c>
      <c r="AP320" s="46">
        <f t="shared" si="241"/>
        <v>0</v>
      </c>
      <c r="AQ320" s="46">
        <f t="shared" si="241"/>
        <v>0</v>
      </c>
      <c r="AR320" s="46">
        <f t="shared" si="241"/>
        <v>0</v>
      </c>
      <c r="AS320" s="46">
        <f t="shared" si="241"/>
        <v>0</v>
      </c>
      <c r="AT320" s="46">
        <f t="shared" si="241"/>
        <v>0</v>
      </c>
      <c r="AU320" s="46">
        <f t="shared" si="241"/>
        <v>0</v>
      </c>
      <c r="AV320" s="46">
        <f t="shared" si="241"/>
        <v>0</v>
      </c>
      <c r="AW320" s="46">
        <f t="shared" si="241"/>
        <v>0</v>
      </c>
      <c r="AX320" s="46">
        <f t="shared" si="241"/>
        <v>0</v>
      </c>
      <c r="AY320" s="46">
        <f t="shared" si="241"/>
        <v>0</v>
      </c>
      <c r="AZ320" s="46">
        <f t="shared" si="241"/>
        <v>0</v>
      </c>
      <c r="BA320" s="46">
        <f t="shared" si="241"/>
        <v>0</v>
      </c>
      <c r="BB320" s="46">
        <f t="shared" si="241"/>
        <v>0</v>
      </c>
      <c r="BC320" s="46">
        <f t="shared" si="241"/>
        <v>0</v>
      </c>
      <c r="BD320" s="46">
        <f t="shared" si="241"/>
        <v>0</v>
      </c>
      <c r="BE320" s="46">
        <f t="shared" si="241"/>
        <v>0</v>
      </c>
      <c r="BF320" s="46">
        <f t="shared" si="241"/>
        <v>0</v>
      </c>
      <c r="BG320" s="46">
        <f t="shared" si="241"/>
        <v>0</v>
      </c>
      <c r="BH320" s="46">
        <f t="shared" si="241"/>
        <v>0</v>
      </c>
    </row>
    <row r="321" spans="1:60" ht="14.25" customHeight="1" x14ac:dyDescent="0.3">
      <c r="A321" s="46"/>
      <c r="B321" s="37"/>
      <c r="C321" s="46" t="str">
        <f>C$230</f>
        <v>Stamp Duties and Legal Fees</v>
      </c>
      <c r="D321" s="46">
        <f t="shared" si="240"/>
        <v>0</v>
      </c>
      <c r="E321" s="46">
        <f t="shared" si="240"/>
        <v>-61917</v>
      </c>
      <c r="F321" s="46">
        <f t="shared" si="240"/>
        <v>0</v>
      </c>
      <c r="G321" s="46">
        <f t="shared" si="240"/>
        <v>0</v>
      </c>
      <c r="H321" s="46">
        <f t="shared" si="240"/>
        <v>0</v>
      </c>
      <c r="I321" s="46"/>
      <c r="J321" s="46">
        <f t="shared" si="241"/>
        <v>0</v>
      </c>
      <c r="K321" s="46">
        <f t="shared" si="241"/>
        <v>0</v>
      </c>
      <c r="L321" s="46">
        <f t="shared" si="241"/>
        <v>0</v>
      </c>
      <c r="M321" s="46">
        <f t="shared" si="241"/>
        <v>-61917</v>
      </c>
      <c r="N321" s="46">
        <f t="shared" si="241"/>
        <v>0</v>
      </c>
      <c r="O321" s="46">
        <f t="shared" si="241"/>
        <v>0</v>
      </c>
      <c r="P321" s="46">
        <f t="shared" si="241"/>
        <v>0</v>
      </c>
      <c r="Q321" s="46">
        <f t="shared" si="241"/>
        <v>0</v>
      </c>
      <c r="R321" s="46">
        <f t="shared" si="241"/>
        <v>0</v>
      </c>
      <c r="S321" s="46">
        <f t="shared" si="241"/>
        <v>0</v>
      </c>
      <c r="T321" s="46">
        <f t="shared" si="241"/>
        <v>0</v>
      </c>
      <c r="U321" s="46">
        <f t="shared" si="241"/>
        <v>0</v>
      </c>
      <c r="V321" s="46">
        <f t="shared" si="241"/>
        <v>0</v>
      </c>
      <c r="W321" s="46">
        <f t="shared" si="241"/>
        <v>0</v>
      </c>
      <c r="X321" s="46">
        <f t="shared" si="241"/>
        <v>0</v>
      </c>
      <c r="Y321" s="46">
        <f t="shared" si="241"/>
        <v>0</v>
      </c>
      <c r="Z321" s="46">
        <f t="shared" si="241"/>
        <v>0</v>
      </c>
      <c r="AA321" s="46">
        <f t="shared" si="241"/>
        <v>0</v>
      </c>
      <c r="AB321" s="46">
        <f t="shared" si="241"/>
        <v>0</v>
      </c>
      <c r="AC321" s="46">
        <f t="shared" si="241"/>
        <v>0</v>
      </c>
      <c r="AD321" s="46">
        <f t="shared" si="241"/>
        <v>0</v>
      </c>
      <c r="AE321" s="46">
        <f t="shared" si="241"/>
        <v>0</v>
      </c>
      <c r="AF321" s="46">
        <f t="shared" si="241"/>
        <v>0</v>
      </c>
      <c r="AG321" s="46">
        <f t="shared" si="241"/>
        <v>0</v>
      </c>
      <c r="AH321" s="46">
        <f t="shared" si="241"/>
        <v>0</v>
      </c>
      <c r="AI321" s="46">
        <f t="shared" si="241"/>
        <v>0</v>
      </c>
      <c r="AJ321" s="46">
        <f t="shared" si="241"/>
        <v>0</v>
      </c>
      <c r="AK321" s="46">
        <f t="shared" si="241"/>
        <v>0</v>
      </c>
      <c r="AL321" s="46">
        <f t="shared" si="241"/>
        <v>0</v>
      </c>
      <c r="AM321" s="46">
        <f t="shared" si="241"/>
        <v>0</v>
      </c>
      <c r="AN321" s="46">
        <f t="shared" si="241"/>
        <v>0</v>
      </c>
      <c r="AO321" s="46">
        <f t="shared" si="241"/>
        <v>0</v>
      </c>
      <c r="AP321" s="46">
        <f t="shared" si="241"/>
        <v>0</v>
      </c>
      <c r="AQ321" s="46">
        <f t="shared" si="241"/>
        <v>0</v>
      </c>
      <c r="AR321" s="46">
        <f t="shared" si="241"/>
        <v>0</v>
      </c>
      <c r="AS321" s="46">
        <f t="shared" si="241"/>
        <v>0</v>
      </c>
      <c r="AT321" s="46">
        <f t="shared" si="241"/>
        <v>0</v>
      </c>
      <c r="AU321" s="46">
        <f t="shared" si="241"/>
        <v>0</v>
      </c>
      <c r="AV321" s="46">
        <f t="shared" si="241"/>
        <v>0</v>
      </c>
      <c r="AW321" s="46">
        <f t="shared" si="241"/>
        <v>0</v>
      </c>
      <c r="AX321" s="46">
        <f t="shared" si="241"/>
        <v>0</v>
      </c>
      <c r="AY321" s="46">
        <f t="shared" si="241"/>
        <v>0</v>
      </c>
      <c r="AZ321" s="46">
        <f t="shared" si="241"/>
        <v>0</v>
      </c>
      <c r="BA321" s="46">
        <f t="shared" si="241"/>
        <v>0</v>
      </c>
      <c r="BB321" s="46">
        <f t="shared" si="241"/>
        <v>0</v>
      </c>
      <c r="BC321" s="46">
        <f t="shared" si="241"/>
        <v>0</v>
      </c>
      <c r="BD321" s="46">
        <f t="shared" si="241"/>
        <v>0</v>
      </c>
      <c r="BE321" s="46">
        <f t="shared" si="241"/>
        <v>0</v>
      </c>
      <c r="BF321" s="46">
        <f t="shared" si="241"/>
        <v>0</v>
      </c>
      <c r="BG321" s="46">
        <f t="shared" si="241"/>
        <v>0</v>
      </c>
      <c r="BH321" s="46">
        <f t="shared" si="241"/>
        <v>0</v>
      </c>
    </row>
    <row r="322" spans="1:60" ht="14.25" customHeight="1" x14ac:dyDescent="0.3">
      <c r="A322" s="46"/>
      <c r="B322" s="37"/>
      <c r="C322" s="46" t="s">
        <v>357</v>
      </c>
      <c r="D322" s="46">
        <f t="shared" si="240"/>
        <v>0</v>
      </c>
      <c r="E322" s="46">
        <f t="shared" si="240"/>
        <v>0</v>
      </c>
      <c r="F322" s="46">
        <f t="shared" si="240"/>
        <v>0</v>
      </c>
      <c r="G322" s="46">
        <f t="shared" si="240"/>
        <v>0</v>
      </c>
      <c r="H322" s="46">
        <f t="shared" si="240"/>
        <v>0</v>
      </c>
      <c r="I322" s="46"/>
      <c r="J322" s="46">
        <f t="shared" ref="J322:BH322" si="242">-J231</f>
        <v>0</v>
      </c>
      <c r="K322" s="46">
        <f t="shared" si="242"/>
        <v>0</v>
      </c>
      <c r="L322" s="46">
        <f t="shared" si="242"/>
        <v>0</v>
      </c>
      <c r="M322" s="46">
        <f t="shared" si="242"/>
        <v>0</v>
      </c>
      <c r="N322" s="46">
        <f t="shared" si="242"/>
        <v>0</v>
      </c>
      <c r="O322" s="46">
        <f t="shared" si="242"/>
        <v>0</v>
      </c>
      <c r="P322" s="46">
        <f t="shared" si="242"/>
        <v>0</v>
      </c>
      <c r="Q322" s="46">
        <f t="shared" si="242"/>
        <v>0</v>
      </c>
      <c r="R322" s="46">
        <f t="shared" si="242"/>
        <v>0</v>
      </c>
      <c r="S322" s="46">
        <f t="shared" si="242"/>
        <v>0</v>
      </c>
      <c r="T322" s="46">
        <f t="shared" si="242"/>
        <v>0</v>
      </c>
      <c r="U322" s="46">
        <f t="shared" si="242"/>
        <v>0</v>
      </c>
      <c r="V322" s="46">
        <f t="shared" si="242"/>
        <v>0</v>
      </c>
      <c r="W322" s="46">
        <f t="shared" si="242"/>
        <v>0</v>
      </c>
      <c r="X322" s="46">
        <f t="shared" si="242"/>
        <v>0</v>
      </c>
      <c r="Y322" s="46">
        <f t="shared" si="242"/>
        <v>0</v>
      </c>
      <c r="Z322" s="46">
        <f t="shared" si="242"/>
        <v>0</v>
      </c>
      <c r="AA322" s="46">
        <f t="shared" si="242"/>
        <v>0</v>
      </c>
      <c r="AB322" s="46">
        <f t="shared" si="242"/>
        <v>0</v>
      </c>
      <c r="AC322" s="46">
        <f t="shared" si="242"/>
        <v>0</v>
      </c>
      <c r="AD322" s="46">
        <f t="shared" si="242"/>
        <v>0</v>
      </c>
      <c r="AE322" s="46">
        <f t="shared" si="242"/>
        <v>0</v>
      </c>
      <c r="AF322" s="46">
        <f t="shared" si="242"/>
        <v>0</v>
      </c>
      <c r="AG322" s="46">
        <f t="shared" si="242"/>
        <v>0</v>
      </c>
      <c r="AH322" s="46">
        <f t="shared" si="242"/>
        <v>0</v>
      </c>
      <c r="AI322" s="46">
        <f t="shared" si="242"/>
        <v>0</v>
      </c>
      <c r="AJ322" s="46">
        <f t="shared" si="242"/>
        <v>0</v>
      </c>
      <c r="AK322" s="46">
        <f t="shared" si="242"/>
        <v>0</v>
      </c>
      <c r="AL322" s="46">
        <f t="shared" si="242"/>
        <v>0</v>
      </c>
      <c r="AM322" s="46">
        <f t="shared" si="242"/>
        <v>0</v>
      </c>
      <c r="AN322" s="46">
        <f t="shared" si="242"/>
        <v>0</v>
      </c>
      <c r="AO322" s="46">
        <f t="shared" si="242"/>
        <v>0</v>
      </c>
      <c r="AP322" s="46">
        <f t="shared" si="242"/>
        <v>0</v>
      </c>
      <c r="AQ322" s="46">
        <f t="shared" si="242"/>
        <v>0</v>
      </c>
      <c r="AR322" s="46">
        <f t="shared" si="242"/>
        <v>0</v>
      </c>
      <c r="AS322" s="46">
        <f t="shared" si="242"/>
        <v>0</v>
      </c>
      <c r="AT322" s="46">
        <f t="shared" si="242"/>
        <v>0</v>
      </c>
      <c r="AU322" s="46">
        <f t="shared" si="242"/>
        <v>0</v>
      </c>
      <c r="AV322" s="46">
        <f t="shared" si="242"/>
        <v>0</v>
      </c>
      <c r="AW322" s="46">
        <f t="shared" si="242"/>
        <v>0</v>
      </c>
      <c r="AX322" s="46">
        <f t="shared" si="242"/>
        <v>0</v>
      </c>
      <c r="AY322" s="46">
        <f t="shared" si="242"/>
        <v>0</v>
      </c>
      <c r="AZ322" s="46">
        <f t="shared" si="242"/>
        <v>0</v>
      </c>
      <c r="BA322" s="46">
        <f t="shared" si="242"/>
        <v>0</v>
      </c>
      <c r="BB322" s="46">
        <f t="shared" si="242"/>
        <v>0</v>
      </c>
      <c r="BC322" s="46">
        <f t="shared" si="242"/>
        <v>0</v>
      </c>
      <c r="BD322" s="46">
        <f t="shared" si="242"/>
        <v>0</v>
      </c>
      <c r="BE322" s="46">
        <f t="shared" si="242"/>
        <v>0</v>
      </c>
      <c r="BF322" s="46">
        <f t="shared" si="242"/>
        <v>0</v>
      </c>
      <c r="BG322" s="46">
        <f t="shared" si="242"/>
        <v>0</v>
      </c>
      <c r="BH322" s="46">
        <f t="shared" si="242"/>
        <v>0</v>
      </c>
    </row>
    <row r="323" spans="1:60" ht="14.25" customHeight="1" x14ac:dyDescent="0.3">
      <c r="A323" s="46"/>
      <c r="B323" s="37"/>
      <c r="C323" s="46" t="str">
        <f>C$232</f>
        <v>Legal Fees / Rental Agent</v>
      </c>
      <c r="D323" s="46">
        <f t="shared" si="240"/>
        <v>0</v>
      </c>
      <c r="E323" s="46">
        <f t="shared" si="240"/>
        <v>0</v>
      </c>
      <c r="F323" s="46">
        <f t="shared" si="240"/>
        <v>0</v>
      </c>
      <c r="G323" s="46">
        <f t="shared" si="240"/>
        <v>0</v>
      </c>
      <c r="H323" s="46">
        <f t="shared" si="240"/>
        <v>0</v>
      </c>
      <c r="I323" s="46"/>
      <c r="J323" s="46">
        <f>-J$232</f>
        <v>0</v>
      </c>
      <c r="K323" s="46">
        <f t="shared" ref="K323:BH323" si="243">-K$232</f>
        <v>0</v>
      </c>
      <c r="L323" s="46">
        <f t="shared" si="243"/>
        <v>0</v>
      </c>
      <c r="M323" s="46">
        <f t="shared" si="243"/>
        <v>0</v>
      </c>
      <c r="N323" s="46">
        <f t="shared" si="243"/>
        <v>0</v>
      </c>
      <c r="O323" s="46">
        <f t="shared" si="243"/>
        <v>0</v>
      </c>
      <c r="P323" s="46">
        <f t="shared" si="243"/>
        <v>0</v>
      </c>
      <c r="Q323" s="46">
        <f t="shared" si="243"/>
        <v>0</v>
      </c>
      <c r="R323" s="46">
        <f t="shared" si="243"/>
        <v>0</v>
      </c>
      <c r="S323" s="46">
        <f t="shared" si="243"/>
        <v>0</v>
      </c>
      <c r="T323" s="46">
        <f t="shared" si="243"/>
        <v>0</v>
      </c>
      <c r="U323" s="46">
        <f t="shared" si="243"/>
        <v>0</v>
      </c>
      <c r="V323" s="46">
        <f t="shared" si="243"/>
        <v>0</v>
      </c>
      <c r="W323" s="46">
        <f t="shared" si="243"/>
        <v>0</v>
      </c>
      <c r="X323" s="46">
        <f t="shared" si="243"/>
        <v>0</v>
      </c>
      <c r="Y323" s="46">
        <f t="shared" si="243"/>
        <v>0</v>
      </c>
      <c r="Z323" s="46">
        <f t="shared" si="243"/>
        <v>0</v>
      </c>
      <c r="AA323" s="46">
        <f t="shared" si="243"/>
        <v>0</v>
      </c>
      <c r="AB323" s="46">
        <f t="shared" si="243"/>
        <v>0</v>
      </c>
      <c r="AC323" s="46">
        <f t="shared" si="243"/>
        <v>0</v>
      </c>
      <c r="AD323" s="46">
        <f t="shared" si="243"/>
        <v>0</v>
      </c>
      <c r="AE323" s="46">
        <f t="shared" si="243"/>
        <v>0</v>
      </c>
      <c r="AF323" s="46">
        <f t="shared" si="243"/>
        <v>0</v>
      </c>
      <c r="AG323" s="46">
        <f t="shared" si="243"/>
        <v>0</v>
      </c>
      <c r="AH323" s="46">
        <f t="shared" si="243"/>
        <v>0</v>
      </c>
      <c r="AI323" s="46">
        <f t="shared" si="243"/>
        <v>0</v>
      </c>
      <c r="AJ323" s="46">
        <f t="shared" si="243"/>
        <v>0</v>
      </c>
      <c r="AK323" s="46">
        <f t="shared" si="243"/>
        <v>0</v>
      </c>
      <c r="AL323" s="46">
        <f t="shared" si="243"/>
        <v>0</v>
      </c>
      <c r="AM323" s="46">
        <f t="shared" si="243"/>
        <v>0</v>
      </c>
      <c r="AN323" s="46">
        <f t="shared" si="243"/>
        <v>0</v>
      </c>
      <c r="AO323" s="46">
        <f t="shared" si="243"/>
        <v>0</v>
      </c>
      <c r="AP323" s="46">
        <f t="shared" si="243"/>
        <v>0</v>
      </c>
      <c r="AQ323" s="46">
        <f t="shared" si="243"/>
        <v>0</v>
      </c>
      <c r="AR323" s="46">
        <f t="shared" si="243"/>
        <v>0</v>
      </c>
      <c r="AS323" s="46">
        <f t="shared" si="243"/>
        <v>0</v>
      </c>
      <c r="AT323" s="46">
        <f t="shared" si="243"/>
        <v>0</v>
      </c>
      <c r="AU323" s="46">
        <f t="shared" si="243"/>
        <v>0</v>
      </c>
      <c r="AV323" s="46">
        <f t="shared" si="243"/>
        <v>0</v>
      </c>
      <c r="AW323" s="46">
        <f t="shared" si="243"/>
        <v>0</v>
      </c>
      <c r="AX323" s="46">
        <f t="shared" si="243"/>
        <v>0</v>
      </c>
      <c r="AY323" s="46">
        <f t="shared" si="243"/>
        <v>0</v>
      </c>
      <c r="AZ323" s="46">
        <f t="shared" si="243"/>
        <v>0</v>
      </c>
      <c r="BA323" s="46">
        <f t="shared" si="243"/>
        <v>0</v>
      </c>
      <c r="BB323" s="46">
        <f t="shared" si="243"/>
        <v>0</v>
      </c>
      <c r="BC323" s="46">
        <f t="shared" si="243"/>
        <v>0</v>
      </c>
      <c r="BD323" s="46">
        <f t="shared" si="243"/>
        <v>0</v>
      </c>
      <c r="BE323" s="46">
        <f t="shared" si="243"/>
        <v>0</v>
      </c>
      <c r="BF323" s="46">
        <f t="shared" si="243"/>
        <v>0</v>
      </c>
      <c r="BG323" s="46">
        <f t="shared" si="243"/>
        <v>0</v>
      </c>
      <c r="BH323" s="46">
        <f t="shared" si="243"/>
        <v>0</v>
      </c>
    </row>
    <row r="324" spans="1:60" ht="14.25" customHeight="1" x14ac:dyDescent="0.3">
      <c r="A324" s="46"/>
      <c r="B324" s="37"/>
      <c r="C324" s="46" t="str">
        <f>C$233</f>
        <v>Launch Event</v>
      </c>
      <c r="D324" s="46">
        <f t="shared" si="240"/>
        <v>0</v>
      </c>
      <c r="E324" s="46">
        <f t="shared" si="240"/>
        <v>-4500</v>
      </c>
      <c r="F324" s="46">
        <f t="shared" si="240"/>
        <v>0</v>
      </c>
      <c r="G324" s="46">
        <f t="shared" si="240"/>
        <v>0</v>
      </c>
      <c r="H324" s="46">
        <f t="shared" si="240"/>
        <v>0</v>
      </c>
      <c r="I324" s="46"/>
      <c r="J324" s="46">
        <f>-J$233</f>
        <v>0</v>
      </c>
      <c r="K324" s="46">
        <f t="shared" ref="K324:BH324" si="244">-K$233</f>
        <v>0</v>
      </c>
      <c r="L324" s="46">
        <f t="shared" si="244"/>
        <v>0</v>
      </c>
      <c r="M324" s="46">
        <f t="shared" si="244"/>
        <v>0</v>
      </c>
      <c r="N324" s="46">
        <f t="shared" si="244"/>
        <v>0</v>
      </c>
      <c r="O324" s="46">
        <f t="shared" si="244"/>
        <v>0</v>
      </c>
      <c r="P324" s="46">
        <f t="shared" si="244"/>
        <v>0</v>
      </c>
      <c r="Q324" s="46">
        <f t="shared" si="244"/>
        <v>0</v>
      </c>
      <c r="R324" s="46">
        <f t="shared" si="244"/>
        <v>0</v>
      </c>
      <c r="S324" s="46">
        <f t="shared" si="244"/>
        <v>0</v>
      </c>
      <c r="T324" s="46">
        <f t="shared" si="244"/>
        <v>0</v>
      </c>
      <c r="U324" s="46">
        <f t="shared" si="244"/>
        <v>0</v>
      </c>
      <c r="V324" s="46">
        <f t="shared" si="244"/>
        <v>0</v>
      </c>
      <c r="W324" s="46">
        <f t="shared" si="244"/>
        <v>-4500</v>
      </c>
      <c r="X324" s="46">
        <f t="shared" si="244"/>
        <v>0</v>
      </c>
      <c r="Y324" s="46">
        <f t="shared" si="244"/>
        <v>0</v>
      </c>
      <c r="Z324" s="46">
        <f t="shared" si="244"/>
        <v>0</v>
      </c>
      <c r="AA324" s="46">
        <f t="shared" si="244"/>
        <v>0</v>
      </c>
      <c r="AB324" s="46">
        <f t="shared" si="244"/>
        <v>0</v>
      </c>
      <c r="AC324" s="46">
        <f t="shared" si="244"/>
        <v>0</v>
      </c>
      <c r="AD324" s="46">
        <f t="shared" si="244"/>
        <v>0</v>
      </c>
      <c r="AE324" s="46">
        <f t="shared" si="244"/>
        <v>0</v>
      </c>
      <c r="AF324" s="46">
        <f t="shared" si="244"/>
        <v>0</v>
      </c>
      <c r="AG324" s="46">
        <f t="shared" si="244"/>
        <v>0</v>
      </c>
      <c r="AH324" s="46">
        <f t="shared" si="244"/>
        <v>0</v>
      </c>
      <c r="AI324" s="46">
        <f t="shared" si="244"/>
        <v>0</v>
      </c>
      <c r="AJ324" s="46">
        <f t="shared" si="244"/>
        <v>0</v>
      </c>
      <c r="AK324" s="46">
        <f t="shared" si="244"/>
        <v>0</v>
      </c>
      <c r="AL324" s="46">
        <f t="shared" si="244"/>
        <v>0</v>
      </c>
      <c r="AM324" s="46">
        <f t="shared" si="244"/>
        <v>0</v>
      </c>
      <c r="AN324" s="46">
        <f t="shared" si="244"/>
        <v>0</v>
      </c>
      <c r="AO324" s="46">
        <f t="shared" si="244"/>
        <v>0</v>
      </c>
      <c r="AP324" s="46">
        <f t="shared" si="244"/>
        <v>0</v>
      </c>
      <c r="AQ324" s="46">
        <f t="shared" si="244"/>
        <v>0</v>
      </c>
      <c r="AR324" s="46">
        <f t="shared" si="244"/>
        <v>0</v>
      </c>
      <c r="AS324" s="46">
        <f t="shared" si="244"/>
        <v>0</v>
      </c>
      <c r="AT324" s="46">
        <f t="shared" si="244"/>
        <v>0</v>
      </c>
      <c r="AU324" s="46">
        <f t="shared" si="244"/>
        <v>0</v>
      </c>
      <c r="AV324" s="46">
        <f t="shared" si="244"/>
        <v>0</v>
      </c>
      <c r="AW324" s="46">
        <f t="shared" si="244"/>
        <v>0</v>
      </c>
      <c r="AX324" s="46">
        <f t="shared" si="244"/>
        <v>0</v>
      </c>
      <c r="AY324" s="46">
        <f t="shared" si="244"/>
        <v>0</v>
      </c>
      <c r="AZ324" s="46">
        <f t="shared" si="244"/>
        <v>0</v>
      </c>
      <c r="BA324" s="46">
        <f t="shared" si="244"/>
        <v>0</v>
      </c>
      <c r="BB324" s="46">
        <f t="shared" si="244"/>
        <v>0</v>
      </c>
      <c r="BC324" s="46">
        <f t="shared" si="244"/>
        <v>0</v>
      </c>
      <c r="BD324" s="46">
        <f t="shared" si="244"/>
        <v>0</v>
      </c>
      <c r="BE324" s="46">
        <f t="shared" si="244"/>
        <v>0</v>
      </c>
      <c r="BF324" s="46">
        <f t="shared" si="244"/>
        <v>0</v>
      </c>
      <c r="BG324" s="46">
        <f t="shared" si="244"/>
        <v>0</v>
      </c>
      <c r="BH324" s="46">
        <f t="shared" si="244"/>
        <v>0</v>
      </c>
    </row>
    <row r="325" spans="1:60" ht="14.25" customHeight="1" x14ac:dyDescent="0.3">
      <c r="A325" s="46"/>
      <c r="B325" s="37"/>
      <c r="C325" s="46" t="str">
        <f>C$234</f>
        <v>Bulk Stock Purchase #1</v>
      </c>
      <c r="D325" s="46">
        <f t="shared" si="240"/>
        <v>0</v>
      </c>
      <c r="E325" s="46">
        <f t="shared" si="240"/>
        <v>-40000</v>
      </c>
      <c r="F325" s="46">
        <f t="shared" si="240"/>
        <v>0</v>
      </c>
      <c r="G325" s="46">
        <f t="shared" si="240"/>
        <v>0</v>
      </c>
      <c r="H325" s="46">
        <f t="shared" si="240"/>
        <v>0</v>
      </c>
      <c r="I325" s="46"/>
      <c r="J325" s="46">
        <f t="shared" ref="J325:BH325" si="245">-J$234</f>
        <v>0</v>
      </c>
      <c r="K325" s="46">
        <f t="shared" si="245"/>
        <v>0</v>
      </c>
      <c r="L325" s="46">
        <f t="shared" si="245"/>
        <v>0</v>
      </c>
      <c r="M325" s="46">
        <f t="shared" si="245"/>
        <v>0</v>
      </c>
      <c r="N325" s="46">
        <f t="shared" si="245"/>
        <v>0</v>
      </c>
      <c r="O325" s="46">
        <f t="shared" si="245"/>
        <v>0</v>
      </c>
      <c r="P325" s="46">
        <f t="shared" si="245"/>
        <v>0</v>
      </c>
      <c r="Q325" s="46">
        <f t="shared" si="245"/>
        <v>0</v>
      </c>
      <c r="R325" s="46">
        <f t="shared" si="245"/>
        <v>0</v>
      </c>
      <c r="S325" s="46">
        <f t="shared" si="245"/>
        <v>0</v>
      </c>
      <c r="T325" s="46">
        <f t="shared" si="245"/>
        <v>0</v>
      </c>
      <c r="U325" s="46">
        <f t="shared" si="245"/>
        <v>0</v>
      </c>
      <c r="V325" s="46">
        <f t="shared" si="245"/>
        <v>0</v>
      </c>
      <c r="W325" s="46">
        <f t="shared" si="245"/>
        <v>0</v>
      </c>
      <c r="X325" s="46">
        <f t="shared" si="245"/>
        <v>-40000</v>
      </c>
      <c r="Y325" s="46">
        <f t="shared" si="245"/>
        <v>0</v>
      </c>
      <c r="Z325" s="46">
        <f t="shared" si="245"/>
        <v>0</v>
      </c>
      <c r="AA325" s="46">
        <f t="shared" si="245"/>
        <v>0</v>
      </c>
      <c r="AB325" s="46">
        <f t="shared" si="245"/>
        <v>0</v>
      </c>
      <c r="AC325" s="46">
        <f t="shared" si="245"/>
        <v>0</v>
      </c>
      <c r="AD325" s="46">
        <f t="shared" si="245"/>
        <v>0</v>
      </c>
      <c r="AE325" s="46">
        <f t="shared" si="245"/>
        <v>0</v>
      </c>
      <c r="AF325" s="46">
        <f t="shared" si="245"/>
        <v>0</v>
      </c>
      <c r="AG325" s="46">
        <f t="shared" si="245"/>
        <v>0</v>
      </c>
      <c r="AH325" s="46">
        <f t="shared" si="245"/>
        <v>0</v>
      </c>
      <c r="AI325" s="46">
        <f t="shared" si="245"/>
        <v>0</v>
      </c>
      <c r="AJ325" s="46">
        <f t="shared" si="245"/>
        <v>0</v>
      </c>
      <c r="AK325" s="46">
        <f t="shared" si="245"/>
        <v>0</v>
      </c>
      <c r="AL325" s="46">
        <f t="shared" si="245"/>
        <v>0</v>
      </c>
      <c r="AM325" s="46">
        <f t="shared" si="245"/>
        <v>0</v>
      </c>
      <c r="AN325" s="46">
        <f t="shared" si="245"/>
        <v>0</v>
      </c>
      <c r="AO325" s="46">
        <f t="shared" si="245"/>
        <v>0</v>
      </c>
      <c r="AP325" s="46">
        <f t="shared" si="245"/>
        <v>0</v>
      </c>
      <c r="AQ325" s="46">
        <f t="shared" si="245"/>
        <v>0</v>
      </c>
      <c r="AR325" s="46">
        <f t="shared" si="245"/>
        <v>0</v>
      </c>
      <c r="AS325" s="46">
        <f t="shared" si="245"/>
        <v>0</v>
      </c>
      <c r="AT325" s="46">
        <f t="shared" si="245"/>
        <v>0</v>
      </c>
      <c r="AU325" s="46">
        <f t="shared" si="245"/>
        <v>0</v>
      </c>
      <c r="AV325" s="46">
        <f t="shared" si="245"/>
        <v>0</v>
      </c>
      <c r="AW325" s="46">
        <f t="shared" si="245"/>
        <v>0</v>
      </c>
      <c r="AX325" s="46">
        <f t="shared" si="245"/>
        <v>0</v>
      </c>
      <c r="AY325" s="46">
        <f t="shared" si="245"/>
        <v>0</v>
      </c>
      <c r="AZ325" s="46">
        <f t="shared" si="245"/>
        <v>0</v>
      </c>
      <c r="BA325" s="46">
        <f t="shared" si="245"/>
        <v>0</v>
      </c>
      <c r="BB325" s="46">
        <f t="shared" si="245"/>
        <v>0</v>
      </c>
      <c r="BC325" s="46">
        <f t="shared" si="245"/>
        <v>0</v>
      </c>
      <c r="BD325" s="46">
        <f t="shared" si="245"/>
        <v>0</v>
      </c>
      <c r="BE325" s="46">
        <f t="shared" si="245"/>
        <v>0</v>
      </c>
      <c r="BF325" s="46">
        <f t="shared" si="245"/>
        <v>0</v>
      </c>
      <c r="BG325" s="46">
        <f t="shared" si="245"/>
        <v>0</v>
      </c>
      <c r="BH325" s="46">
        <f t="shared" si="245"/>
        <v>0</v>
      </c>
    </row>
    <row r="326" spans="1:60" ht="14.25" customHeight="1" x14ac:dyDescent="0.3">
      <c r="A326" s="46"/>
      <c r="B326" s="37"/>
      <c r="C326" s="46" t="str">
        <f>C$235</f>
        <v>Bulk Stock Purchase #2</v>
      </c>
      <c r="D326" s="46">
        <f t="shared" si="240"/>
        <v>0</v>
      </c>
      <c r="E326" s="46">
        <f t="shared" si="240"/>
        <v>-40000</v>
      </c>
      <c r="F326" s="46">
        <f t="shared" si="240"/>
        <v>0</v>
      </c>
      <c r="G326" s="46">
        <f t="shared" si="240"/>
        <v>0</v>
      </c>
      <c r="H326" s="46">
        <f t="shared" si="240"/>
        <v>0</v>
      </c>
      <c r="I326" s="46"/>
      <c r="J326" s="46">
        <f>-J$235</f>
        <v>0</v>
      </c>
      <c r="K326" s="46">
        <f t="shared" ref="K326:BH326" si="246">-K$235</f>
        <v>0</v>
      </c>
      <c r="L326" s="46">
        <f t="shared" si="246"/>
        <v>0</v>
      </c>
      <c r="M326" s="46">
        <f t="shared" si="246"/>
        <v>0</v>
      </c>
      <c r="N326" s="46">
        <f t="shared" si="246"/>
        <v>0</v>
      </c>
      <c r="O326" s="46">
        <f t="shared" si="246"/>
        <v>0</v>
      </c>
      <c r="P326" s="46">
        <f t="shared" si="246"/>
        <v>0</v>
      </c>
      <c r="Q326" s="46">
        <f t="shared" si="246"/>
        <v>0</v>
      </c>
      <c r="R326" s="46">
        <f t="shared" si="246"/>
        <v>0</v>
      </c>
      <c r="S326" s="46">
        <f t="shared" si="246"/>
        <v>0</v>
      </c>
      <c r="T326" s="46">
        <f t="shared" si="246"/>
        <v>0</v>
      </c>
      <c r="U326" s="46">
        <f t="shared" si="246"/>
        <v>0</v>
      </c>
      <c r="V326" s="46">
        <f t="shared" si="246"/>
        <v>-40000</v>
      </c>
      <c r="W326" s="46">
        <f t="shared" si="246"/>
        <v>0</v>
      </c>
      <c r="X326" s="46">
        <f t="shared" si="246"/>
        <v>0</v>
      </c>
      <c r="Y326" s="46">
        <f t="shared" si="246"/>
        <v>0</v>
      </c>
      <c r="Z326" s="46">
        <f t="shared" si="246"/>
        <v>0</v>
      </c>
      <c r="AA326" s="46">
        <f t="shared" si="246"/>
        <v>0</v>
      </c>
      <c r="AB326" s="46">
        <f t="shared" si="246"/>
        <v>0</v>
      </c>
      <c r="AC326" s="46">
        <f t="shared" si="246"/>
        <v>0</v>
      </c>
      <c r="AD326" s="46">
        <f t="shared" si="246"/>
        <v>0</v>
      </c>
      <c r="AE326" s="46">
        <f t="shared" si="246"/>
        <v>0</v>
      </c>
      <c r="AF326" s="46">
        <f t="shared" si="246"/>
        <v>0</v>
      </c>
      <c r="AG326" s="46">
        <f t="shared" si="246"/>
        <v>0</v>
      </c>
      <c r="AH326" s="46">
        <f t="shared" si="246"/>
        <v>0</v>
      </c>
      <c r="AI326" s="46">
        <f t="shared" si="246"/>
        <v>0</v>
      </c>
      <c r="AJ326" s="46">
        <f t="shared" si="246"/>
        <v>0</v>
      </c>
      <c r="AK326" s="46">
        <f t="shared" si="246"/>
        <v>0</v>
      </c>
      <c r="AL326" s="46">
        <f t="shared" si="246"/>
        <v>0</v>
      </c>
      <c r="AM326" s="46">
        <f t="shared" si="246"/>
        <v>0</v>
      </c>
      <c r="AN326" s="46">
        <f t="shared" si="246"/>
        <v>0</v>
      </c>
      <c r="AO326" s="46">
        <f t="shared" si="246"/>
        <v>0</v>
      </c>
      <c r="AP326" s="46">
        <f t="shared" si="246"/>
        <v>0</v>
      </c>
      <c r="AQ326" s="46">
        <f t="shared" si="246"/>
        <v>0</v>
      </c>
      <c r="AR326" s="46">
        <f t="shared" si="246"/>
        <v>0</v>
      </c>
      <c r="AS326" s="46">
        <f t="shared" si="246"/>
        <v>0</v>
      </c>
      <c r="AT326" s="46">
        <f t="shared" si="246"/>
        <v>0</v>
      </c>
      <c r="AU326" s="46">
        <f t="shared" si="246"/>
        <v>0</v>
      </c>
      <c r="AV326" s="46">
        <f t="shared" si="246"/>
        <v>0</v>
      </c>
      <c r="AW326" s="46">
        <f t="shared" si="246"/>
        <v>0</v>
      </c>
      <c r="AX326" s="46">
        <f t="shared" si="246"/>
        <v>0</v>
      </c>
      <c r="AY326" s="46">
        <f t="shared" si="246"/>
        <v>0</v>
      </c>
      <c r="AZ326" s="46">
        <f t="shared" si="246"/>
        <v>0</v>
      </c>
      <c r="BA326" s="46">
        <f t="shared" si="246"/>
        <v>0</v>
      </c>
      <c r="BB326" s="46">
        <f t="shared" si="246"/>
        <v>0</v>
      </c>
      <c r="BC326" s="46">
        <f t="shared" si="246"/>
        <v>0</v>
      </c>
      <c r="BD326" s="46">
        <f t="shared" si="246"/>
        <v>0</v>
      </c>
      <c r="BE326" s="46">
        <f t="shared" si="246"/>
        <v>0</v>
      </c>
      <c r="BF326" s="46">
        <f t="shared" si="246"/>
        <v>0</v>
      </c>
      <c r="BG326" s="46">
        <f t="shared" si="246"/>
        <v>0</v>
      </c>
      <c r="BH326" s="46">
        <f t="shared" si="246"/>
        <v>0</v>
      </c>
    </row>
    <row r="327" spans="1:60" ht="14.25" customHeight="1" x14ac:dyDescent="0.3">
      <c r="A327" s="46"/>
      <c r="B327" s="37"/>
      <c r="C327" s="37" t="s">
        <v>366</v>
      </c>
      <c r="D327" s="51">
        <f>SUM(D298:D326)</f>
        <v>-697944.81666666677</v>
      </c>
      <c r="E327" s="51">
        <f t="shared" ref="E327:H327" si="247">SUM(E298:E326)</f>
        <v>-1065479.1866666668</v>
      </c>
      <c r="F327" s="51">
        <f t="shared" si="247"/>
        <v>-244666.66666666669</v>
      </c>
      <c r="G327" s="51">
        <f t="shared" si="247"/>
        <v>0</v>
      </c>
      <c r="H327" s="51">
        <f t="shared" si="247"/>
        <v>0</v>
      </c>
      <c r="I327" s="46"/>
      <c r="J327" s="51">
        <f>SUM(J298:J326)</f>
        <v>-442660.41666666674</v>
      </c>
      <c r="K327" s="51">
        <f t="shared" ref="K327:BH327" si="248">SUM(K298:K326)</f>
        <v>-31300</v>
      </c>
      <c r="L327" s="51">
        <f t="shared" si="248"/>
        <v>-223984.4</v>
      </c>
      <c r="M327" s="51">
        <f t="shared" si="248"/>
        <v>-91917</v>
      </c>
      <c r="N327" s="51">
        <f t="shared" si="248"/>
        <v>0</v>
      </c>
      <c r="O327" s="51">
        <f t="shared" si="248"/>
        <v>-259062.93</v>
      </c>
      <c r="P327" s="51">
        <f t="shared" si="248"/>
        <v>-99639.59</v>
      </c>
      <c r="Q327" s="51">
        <f t="shared" si="248"/>
        <v>-96467</v>
      </c>
      <c r="R327" s="51">
        <f t="shared" si="248"/>
        <v>-54204</v>
      </c>
      <c r="S327" s="51">
        <f t="shared" si="248"/>
        <v>0</v>
      </c>
      <c r="T327" s="51">
        <f t="shared" si="248"/>
        <v>-16980</v>
      </c>
      <c r="U327" s="51">
        <f t="shared" si="248"/>
        <v>-351866.66666666669</v>
      </c>
      <c r="V327" s="51">
        <f t="shared" si="248"/>
        <v>-40000</v>
      </c>
      <c r="W327" s="51">
        <f t="shared" si="248"/>
        <v>-15342</v>
      </c>
      <c r="X327" s="51">
        <f t="shared" si="248"/>
        <v>-40000</v>
      </c>
      <c r="Y327" s="51">
        <f t="shared" si="248"/>
        <v>0</v>
      </c>
      <c r="Z327" s="51">
        <f t="shared" si="248"/>
        <v>0</v>
      </c>
      <c r="AA327" s="51">
        <f t="shared" si="248"/>
        <v>0</v>
      </c>
      <c r="AB327" s="51">
        <f t="shared" si="248"/>
        <v>0</v>
      </c>
      <c r="AC327" s="51">
        <f t="shared" si="248"/>
        <v>-38833.333333333336</v>
      </c>
      <c r="AD327" s="51">
        <f t="shared" si="248"/>
        <v>0</v>
      </c>
      <c r="AE327" s="51">
        <f t="shared" si="248"/>
        <v>0</v>
      </c>
      <c r="AF327" s="51">
        <f t="shared" si="248"/>
        <v>0</v>
      </c>
      <c r="AG327" s="51">
        <f t="shared" si="248"/>
        <v>-35833.333333333336</v>
      </c>
      <c r="AH327" s="51">
        <f t="shared" si="248"/>
        <v>0</v>
      </c>
      <c r="AI327" s="51">
        <f t="shared" si="248"/>
        <v>0</v>
      </c>
      <c r="AJ327" s="51">
        <f t="shared" si="248"/>
        <v>-170000</v>
      </c>
      <c r="AK327" s="51">
        <f t="shared" si="248"/>
        <v>0</v>
      </c>
      <c r="AL327" s="51">
        <f t="shared" si="248"/>
        <v>0</v>
      </c>
      <c r="AM327" s="51">
        <f t="shared" si="248"/>
        <v>0</v>
      </c>
      <c r="AN327" s="51">
        <f t="shared" si="248"/>
        <v>0</v>
      </c>
      <c r="AO327" s="51">
        <f t="shared" si="248"/>
        <v>0</v>
      </c>
      <c r="AP327" s="51">
        <f t="shared" si="248"/>
        <v>0</v>
      </c>
      <c r="AQ327" s="51">
        <f t="shared" si="248"/>
        <v>0</v>
      </c>
      <c r="AR327" s="51">
        <f t="shared" si="248"/>
        <v>0</v>
      </c>
      <c r="AS327" s="51">
        <f t="shared" si="248"/>
        <v>0</v>
      </c>
      <c r="AT327" s="51">
        <f t="shared" si="248"/>
        <v>0</v>
      </c>
      <c r="AU327" s="51">
        <f t="shared" si="248"/>
        <v>0</v>
      </c>
      <c r="AV327" s="51">
        <f t="shared" si="248"/>
        <v>0</v>
      </c>
      <c r="AW327" s="51">
        <f t="shared" si="248"/>
        <v>0</v>
      </c>
      <c r="AX327" s="51">
        <f t="shared" si="248"/>
        <v>0</v>
      </c>
      <c r="AY327" s="51">
        <f t="shared" si="248"/>
        <v>0</v>
      </c>
      <c r="AZ327" s="51">
        <f t="shared" si="248"/>
        <v>0</v>
      </c>
      <c r="BA327" s="51">
        <f t="shared" si="248"/>
        <v>0</v>
      </c>
      <c r="BB327" s="51">
        <f t="shared" si="248"/>
        <v>0</v>
      </c>
      <c r="BC327" s="51">
        <f t="shared" si="248"/>
        <v>0</v>
      </c>
      <c r="BD327" s="51">
        <f t="shared" si="248"/>
        <v>0</v>
      </c>
      <c r="BE327" s="51">
        <f t="shared" si="248"/>
        <v>0</v>
      </c>
      <c r="BF327" s="51">
        <f t="shared" si="248"/>
        <v>0</v>
      </c>
      <c r="BG327" s="51">
        <f t="shared" si="248"/>
        <v>0</v>
      </c>
      <c r="BH327" s="51">
        <f t="shared" si="248"/>
        <v>0</v>
      </c>
    </row>
    <row r="328" spans="1:60" ht="14.25" customHeight="1" x14ac:dyDescent="0.3">
      <c r="A328" s="46"/>
      <c r="B328" s="37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  <c r="AC328" s="46"/>
      <c r="AD328" s="46"/>
      <c r="AE328" s="46"/>
      <c r="AF328" s="46"/>
      <c r="AG328" s="46"/>
      <c r="AH328" s="46"/>
      <c r="AI328" s="46"/>
      <c r="AJ328" s="46"/>
      <c r="AK328" s="46"/>
      <c r="AL328" s="46"/>
      <c r="AM328" s="46"/>
      <c r="AN328" s="46"/>
      <c r="AO328" s="46"/>
      <c r="AP328" s="46"/>
      <c r="AQ328" s="46"/>
      <c r="AR328" s="46"/>
      <c r="AS328" s="46"/>
      <c r="AT328" s="46"/>
      <c r="AU328" s="46"/>
      <c r="AV328" s="46"/>
      <c r="AW328" s="46"/>
      <c r="AX328" s="46"/>
      <c r="AY328" s="46"/>
      <c r="AZ328" s="46"/>
      <c r="BA328" s="46"/>
      <c r="BB328" s="46"/>
      <c r="BC328" s="46"/>
      <c r="BD328" s="46"/>
      <c r="BE328" s="46"/>
      <c r="BF328" s="46"/>
      <c r="BG328" s="46"/>
      <c r="BH328" s="46"/>
    </row>
    <row r="329" spans="1:60" ht="14.25" customHeight="1" x14ac:dyDescent="0.3">
      <c r="A329" s="37"/>
      <c r="B329" s="37"/>
      <c r="C329" s="37" t="s">
        <v>367</v>
      </c>
      <c r="D329" s="68">
        <f>SUMIF($1:$1,D$238,329:329)</f>
        <v>-697944.81666666677</v>
      </c>
      <c r="E329" s="68">
        <f>SUMIF($1:$1,E$238,329:329)</f>
        <v>-1065479.1866666668</v>
      </c>
      <c r="F329" s="68">
        <f>SUMIF($1:$1,F$238,329:329)</f>
        <v>-244666.66666666669</v>
      </c>
      <c r="G329" s="68">
        <f>SUMIF($1:$1,G$238,329:329)</f>
        <v>0</v>
      </c>
      <c r="H329" s="68">
        <f>SUMIF($1:$1,H$238,329:329)</f>
        <v>0</v>
      </c>
      <c r="I329" s="68"/>
      <c r="J329" s="68">
        <f>J327</f>
        <v>-442660.41666666674</v>
      </c>
      <c r="K329" s="68">
        <f t="shared" ref="K329:BH329" si="249">K327</f>
        <v>-31300</v>
      </c>
      <c r="L329" s="68">
        <f t="shared" si="249"/>
        <v>-223984.4</v>
      </c>
      <c r="M329" s="68">
        <f t="shared" si="249"/>
        <v>-91917</v>
      </c>
      <c r="N329" s="68">
        <f t="shared" si="249"/>
        <v>0</v>
      </c>
      <c r="O329" s="68">
        <f t="shared" si="249"/>
        <v>-259062.93</v>
      </c>
      <c r="P329" s="68">
        <f t="shared" si="249"/>
        <v>-99639.59</v>
      </c>
      <c r="Q329" s="68">
        <f t="shared" si="249"/>
        <v>-96467</v>
      </c>
      <c r="R329" s="68">
        <f t="shared" si="249"/>
        <v>-54204</v>
      </c>
      <c r="S329" s="68">
        <f t="shared" si="249"/>
        <v>0</v>
      </c>
      <c r="T329" s="68">
        <f t="shared" si="249"/>
        <v>-16980</v>
      </c>
      <c r="U329" s="68">
        <f t="shared" si="249"/>
        <v>-351866.66666666669</v>
      </c>
      <c r="V329" s="68">
        <f t="shared" si="249"/>
        <v>-40000</v>
      </c>
      <c r="W329" s="68">
        <f t="shared" si="249"/>
        <v>-15342</v>
      </c>
      <c r="X329" s="68">
        <f t="shared" si="249"/>
        <v>-40000</v>
      </c>
      <c r="Y329" s="68">
        <f t="shared" si="249"/>
        <v>0</v>
      </c>
      <c r="Z329" s="68">
        <f t="shared" si="249"/>
        <v>0</v>
      </c>
      <c r="AA329" s="68">
        <f t="shared" si="249"/>
        <v>0</v>
      </c>
      <c r="AB329" s="68">
        <f t="shared" si="249"/>
        <v>0</v>
      </c>
      <c r="AC329" s="68">
        <f t="shared" si="249"/>
        <v>-38833.333333333336</v>
      </c>
      <c r="AD329" s="68">
        <f t="shared" si="249"/>
        <v>0</v>
      </c>
      <c r="AE329" s="68">
        <f t="shared" si="249"/>
        <v>0</v>
      </c>
      <c r="AF329" s="68">
        <f t="shared" si="249"/>
        <v>0</v>
      </c>
      <c r="AG329" s="68">
        <f t="shared" si="249"/>
        <v>-35833.333333333336</v>
      </c>
      <c r="AH329" s="68">
        <f t="shared" si="249"/>
        <v>0</v>
      </c>
      <c r="AI329" s="68">
        <f t="shared" si="249"/>
        <v>0</v>
      </c>
      <c r="AJ329" s="68">
        <f t="shared" si="249"/>
        <v>-170000</v>
      </c>
      <c r="AK329" s="68">
        <f t="shared" si="249"/>
        <v>0</v>
      </c>
      <c r="AL329" s="68">
        <f t="shared" si="249"/>
        <v>0</v>
      </c>
      <c r="AM329" s="68">
        <f t="shared" si="249"/>
        <v>0</v>
      </c>
      <c r="AN329" s="68">
        <f t="shared" si="249"/>
        <v>0</v>
      </c>
      <c r="AO329" s="68">
        <f t="shared" si="249"/>
        <v>0</v>
      </c>
      <c r="AP329" s="68">
        <f t="shared" si="249"/>
        <v>0</v>
      </c>
      <c r="AQ329" s="68">
        <f t="shared" si="249"/>
        <v>0</v>
      </c>
      <c r="AR329" s="68">
        <f t="shared" si="249"/>
        <v>0</v>
      </c>
      <c r="AS329" s="68">
        <f t="shared" si="249"/>
        <v>0</v>
      </c>
      <c r="AT329" s="68">
        <f t="shared" si="249"/>
        <v>0</v>
      </c>
      <c r="AU329" s="68">
        <f t="shared" si="249"/>
        <v>0</v>
      </c>
      <c r="AV329" s="68">
        <f t="shared" si="249"/>
        <v>0</v>
      </c>
      <c r="AW329" s="68">
        <f t="shared" si="249"/>
        <v>0</v>
      </c>
      <c r="AX329" s="68">
        <f t="shared" si="249"/>
        <v>0</v>
      </c>
      <c r="AY329" s="68">
        <f t="shared" si="249"/>
        <v>0</v>
      </c>
      <c r="AZ329" s="68">
        <f t="shared" si="249"/>
        <v>0</v>
      </c>
      <c r="BA329" s="68">
        <f t="shared" si="249"/>
        <v>0</v>
      </c>
      <c r="BB329" s="68">
        <f t="shared" si="249"/>
        <v>0</v>
      </c>
      <c r="BC329" s="68">
        <f t="shared" si="249"/>
        <v>0</v>
      </c>
      <c r="BD329" s="68">
        <f t="shared" si="249"/>
        <v>0</v>
      </c>
      <c r="BE329" s="68">
        <f t="shared" si="249"/>
        <v>0</v>
      </c>
      <c r="BF329" s="68">
        <f t="shared" si="249"/>
        <v>0</v>
      </c>
      <c r="BG329" s="68">
        <f t="shared" si="249"/>
        <v>0</v>
      </c>
      <c r="BH329" s="68">
        <f t="shared" si="249"/>
        <v>0</v>
      </c>
    </row>
    <row r="330" spans="1:60" ht="14.25" customHeight="1" x14ac:dyDescent="0.3">
      <c r="A330" s="46"/>
      <c r="B330" s="37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  <c r="AC330" s="46"/>
      <c r="AD330" s="46"/>
      <c r="AE330" s="46"/>
      <c r="AF330" s="46"/>
      <c r="AG330" s="46"/>
      <c r="AH330" s="46"/>
      <c r="AI330" s="46"/>
      <c r="AJ330" s="46"/>
      <c r="AK330" s="46"/>
      <c r="AL330" s="46"/>
      <c r="AM330" s="46"/>
      <c r="AN330" s="46"/>
      <c r="AO330" s="46"/>
      <c r="AP330" s="46"/>
      <c r="AQ330" s="46"/>
      <c r="AR330" s="46"/>
      <c r="AS330" s="46"/>
      <c r="AT330" s="46"/>
      <c r="AU330" s="46"/>
      <c r="AV330" s="46"/>
      <c r="AW330" s="46"/>
      <c r="AX330" s="46"/>
      <c r="AY330" s="46"/>
      <c r="AZ330" s="46"/>
      <c r="BA330" s="46"/>
      <c r="BB330" s="46"/>
      <c r="BC330" s="46"/>
      <c r="BD330" s="46"/>
      <c r="BE330" s="46"/>
      <c r="BF330" s="46"/>
      <c r="BG330" s="46"/>
      <c r="BH330" s="46"/>
    </row>
    <row r="331" spans="1:60" ht="14.25" customHeight="1" x14ac:dyDescent="0.3">
      <c r="A331" s="37"/>
      <c r="B331" s="37"/>
      <c r="C331" s="37" t="s">
        <v>181</v>
      </c>
      <c r="D331" s="68">
        <f>SUMIF($1:$1,D$238,331:331)</f>
        <v>-715914.81666666677</v>
      </c>
      <c r="E331" s="68">
        <f>SUMIF($1:$1,E$238,331:331)</f>
        <v>-1271416.8171703184</v>
      </c>
      <c r="F331" s="68">
        <f>SUMIF($1:$1,F$238,331:331)</f>
        <v>417810.76467502711</v>
      </c>
      <c r="G331" s="68">
        <f>SUMIF($1:$1,G$238,331:331)</f>
        <v>1711821.7430975283</v>
      </c>
      <c r="H331" s="68">
        <f>SUMIF($1:$1,H$238,331:331)</f>
        <v>2670817.3983413535</v>
      </c>
      <c r="I331" s="37"/>
      <c r="J331" s="68">
        <f>SUM(J294,J329)</f>
        <v>-448650.41666666674</v>
      </c>
      <c r="K331" s="68">
        <f>SUM(K294,K329)</f>
        <v>-37290</v>
      </c>
      <c r="L331" s="68">
        <f>SUM(L294,L329)</f>
        <v>-229974.39999999999</v>
      </c>
      <c r="M331" s="68">
        <f>SUM(M294,M329)</f>
        <v>-118918.94839222377</v>
      </c>
      <c r="N331" s="68">
        <f>SUM(N294,N329)</f>
        <v>-29597.178392223759</v>
      </c>
      <c r="O331" s="68">
        <f t="shared" ref="O331:BH331" si="250">SUM(O294,O329)</f>
        <v>-288071.82239222375</v>
      </c>
      <c r="P331" s="68">
        <f t="shared" si="250"/>
        <v>-12419.86239222376</v>
      </c>
      <c r="Q331" s="68">
        <f t="shared" si="250"/>
        <v>-129119.41239222376</v>
      </c>
      <c r="R331" s="68">
        <f t="shared" si="250"/>
        <v>-88063.08839222377</v>
      </c>
      <c r="S331" s="68">
        <f t="shared" si="250"/>
        <v>-30285.392392223766</v>
      </c>
      <c r="T331" s="68">
        <f t="shared" si="250"/>
        <v>-76941.464892223768</v>
      </c>
      <c r="U331" s="68">
        <f t="shared" si="250"/>
        <v>-380052.39323889045</v>
      </c>
      <c r="V331" s="68">
        <f t="shared" si="250"/>
        <v>-58647.45507425502</v>
      </c>
      <c r="W331" s="68">
        <f t="shared" si="250"/>
        <v>-23408.108112346832</v>
      </c>
      <c r="X331" s="68">
        <f t="shared" si="250"/>
        <v>-35891.691107035847</v>
      </c>
      <c r="Y331" s="68">
        <f t="shared" si="250"/>
        <v>12590.321755007957</v>
      </c>
      <c r="Z331" s="68">
        <f t="shared" si="250"/>
        <v>20448.331356799463</v>
      </c>
      <c r="AA331" s="68">
        <f t="shared" si="250"/>
        <v>28538.627506884834</v>
      </c>
      <c r="AB331" s="68">
        <f t="shared" si="250"/>
        <v>36999.309130036127</v>
      </c>
      <c r="AC331" s="68">
        <f t="shared" si="250"/>
        <v>7146.183446478979</v>
      </c>
      <c r="AD331" s="68">
        <f t="shared" si="250"/>
        <v>52962.8948519931</v>
      </c>
      <c r="AE331" s="68">
        <f t="shared" si="250"/>
        <v>60368.005162946851</v>
      </c>
      <c r="AF331" s="68">
        <f t="shared" si="250"/>
        <v>68270.433138832363</v>
      </c>
      <c r="AG331" s="68">
        <f t="shared" si="250"/>
        <v>38322.257291337482</v>
      </c>
      <c r="AH331" s="68">
        <f t="shared" si="250"/>
        <v>80444.167476200411</v>
      </c>
      <c r="AI331" s="68">
        <f t="shared" si="250"/>
        <v>87214.281779356883</v>
      </c>
      <c r="AJ331" s="68">
        <f t="shared" si="250"/>
        <v>-75494.048220847297</v>
      </c>
      <c r="AK331" s="68">
        <f t="shared" si="250"/>
        <v>102362.70089398677</v>
      </c>
      <c r="AL331" s="68">
        <f t="shared" si="250"/>
        <v>110368.23967624057</v>
      </c>
      <c r="AM331" s="68">
        <f t="shared" si="250"/>
        <v>117054.99466093158</v>
      </c>
      <c r="AN331" s="68">
        <f t="shared" si="250"/>
        <v>124217.12594604821</v>
      </c>
      <c r="AO331" s="68">
        <f t="shared" si="250"/>
        <v>131891.20579927997</v>
      </c>
      <c r="AP331" s="68">
        <f t="shared" si="250"/>
        <v>138836.23164826736</v>
      </c>
      <c r="AQ331" s="68">
        <f t="shared" si="250"/>
        <v>146028.0230427183</v>
      </c>
      <c r="AR331" s="68">
        <f t="shared" si="250"/>
        <v>153697.5564416027</v>
      </c>
      <c r="AS331" s="68">
        <f t="shared" si="250"/>
        <v>161878.62893653067</v>
      </c>
      <c r="AT331" s="68">
        <f t="shared" si="250"/>
        <v>170190.18243821309</v>
      </c>
      <c r="AU331" s="68">
        <f t="shared" si="250"/>
        <v>178964.17121528479</v>
      </c>
      <c r="AV331" s="68">
        <f t="shared" si="250"/>
        <v>176332.68239842408</v>
      </c>
      <c r="AW331" s="68">
        <f t="shared" si="250"/>
        <v>186295.2938912104</v>
      </c>
      <c r="AX331" s="68">
        <f t="shared" si="250"/>
        <v>196914.39854314108</v>
      </c>
      <c r="AY331" s="68">
        <f t="shared" si="250"/>
        <v>207831.41945083602</v>
      </c>
      <c r="AZ331" s="68">
        <f t="shared" si="250"/>
        <v>217072.9113967297</v>
      </c>
      <c r="BA331" s="68">
        <f t="shared" si="250"/>
        <v>220466.56179298408</v>
      </c>
      <c r="BB331" s="68">
        <f t="shared" si="250"/>
        <v>224035.1295297317</v>
      </c>
      <c r="BC331" s="68">
        <f t="shared" si="250"/>
        <v>227787.88395606552</v>
      </c>
      <c r="BD331" s="68">
        <f t="shared" si="250"/>
        <v>231734.61023673968</v>
      </c>
      <c r="BE331" s="68">
        <f t="shared" si="250"/>
        <v>235885.6403777735</v>
      </c>
      <c r="BF331" s="68">
        <f t="shared" si="250"/>
        <v>240251.8863268175</v>
      </c>
      <c r="BG331" s="68">
        <f t="shared" si="250"/>
        <v>244844.87530436821</v>
      </c>
      <c r="BH331" s="68">
        <f t="shared" si="250"/>
        <v>237696.7875349563</v>
      </c>
    </row>
    <row r="332" spans="1:60" ht="14.25" customHeight="1" x14ac:dyDescent="0.3">
      <c r="A332" s="46"/>
      <c r="B332" s="37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46"/>
      <c r="AF332" s="46"/>
      <c r="AG332" s="46"/>
      <c r="AH332" s="46"/>
      <c r="AI332" s="46"/>
      <c r="AJ332" s="46"/>
      <c r="AK332" s="46"/>
      <c r="AL332" s="46"/>
      <c r="AM332" s="46"/>
      <c r="AN332" s="46"/>
      <c r="AO332" s="46"/>
      <c r="AP332" s="46"/>
      <c r="AQ332" s="46"/>
      <c r="AR332" s="46"/>
      <c r="AS332" s="46"/>
      <c r="AT332" s="46"/>
      <c r="AU332" s="46"/>
      <c r="AV332" s="46"/>
      <c r="AW332" s="46"/>
      <c r="AX332" s="46"/>
      <c r="AY332" s="46"/>
      <c r="AZ332" s="46"/>
      <c r="BA332" s="46"/>
      <c r="BB332" s="46"/>
      <c r="BC332" s="46"/>
      <c r="BD332" s="46"/>
      <c r="BE332" s="46"/>
      <c r="BF332" s="46"/>
      <c r="BG332" s="46"/>
      <c r="BH332" s="46"/>
    </row>
    <row r="333" spans="1:60" ht="14.25" customHeight="1" x14ac:dyDescent="0.3">
      <c r="A333" s="46"/>
      <c r="B333" s="37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46"/>
      <c r="AD333" s="46"/>
      <c r="AE333" s="46"/>
      <c r="AF333" s="46"/>
      <c r="AG333" s="46"/>
      <c r="AH333" s="46"/>
      <c r="AI333" s="46"/>
      <c r="AJ333" s="46"/>
      <c r="AK333" s="46"/>
      <c r="AL333" s="46"/>
      <c r="AM333" s="46"/>
      <c r="AN333" s="46"/>
      <c r="AO333" s="46"/>
      <c r="AP333" s="46"/>
      <c r="AQ333" s="46"/>
      <c r="AR333" s="46"/>
      <c r="AS333" s="46"/>
      <c r="AT333" s="46"/>
      <c r="AU333" s="46"/>
      <c r="AV333" s="46"/>
      <c r="AW333" s="46"/>
      <c r="AX333" s="46"/>
      <c r="AY333" s="46"/>
      <c r="AZ333" s="46"/>
      <c r="BA333" s="46"/>
      <c r="BB333" s="46"/>
      <c r="BC333" s="46"/>
      <c r="BD333" s="46"/>
      <c r="BE333" s="46"/>
      <c r="BF333" s="46"/>
      <c r="BG333" s="46"/>
      <c r="BH333" s="46"/>
    </row>
    <row r="334" spans="1:60" ht="14.25" customHeight="1" x14ac:dyDescent="0.3">
      <c r="A334" s="46"/>
      <c r="B334" s="37" t="s">
        <v>368</v>
      </c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  <c r="AD334" s="46"/>
      <c r="AE334" s="46"/>
      <c r="AF334" s="46"/>
      <c r="AG334" s="46"/>
      <c r="AH334" s="46"/>
      <c r="AI334" s="46"/>
      <c r="AJ334" s="46"/>
      <c r="AK334" s="46"/>
      <c r="AL334" s="46"/>
      <c r="AM334" s="46"/>
      <c r="AN334" s="46"/>
      <c r="AO334" s="46"/>
      <c r="AP334" s="46"/>
      <c r="AQ334" s="46"/>
      <c r="AR334" s="46"/>
      <c r="AS334" s="46"/>
      <c r="AT334" s="46"/>
      <c r="AU334" s="46"/>
      <c r="AV334" s="46"/>
      <c r="AW334" s="46"/>
      <c r="AX334" s="46"/>
      <c r="AY334" s="46"/>
      <c r="AZ334" s="46"/>
      <c r="BA334" s="46"/>
      <c r="BB334" s="46"/>
      <c r="BC334" s="46"/>
      <c r="BD334" s="46"/>
      <c r="BE334" s="46"/>
      <c r="BF334" s="46"/>
      <c r="BG334" s="46"/>
      <c r="BH334" s="46"/>
    </row>
    <row r="335" spans="1:60" ht="14.25" customHeight="1" x14ac:dyDescent="0.3">
      <c r="A335" s="46"/>
      <c r="B335" s="37"/>
      <c r="C335" s="46"/>
      <c r="D335" s="46"/>
      <c r="E335" s="46"/>
      <c r="F335" s="46"/>
      <c r="G335" s="113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  <c r="AF335" s="46"/>
      <c r="AG335" s="46"/>
      <c r="AH335" s="46"/>
      <c r="AI335" s="46"/>
      <c r="AJ335" s="46"/>
      <c r="AK335" s="46"/>
      <c r="AL335" s="46"/>
      <c r="AM335" s="46"/>
      <c r="AN335" s="46"/>
      <c r="AO335" s="46"/>
      <c r="AP335" s="46"/>
      <c r="AQ335" s="46"/>
      <c r="AR335" s="46"/>
      <c r="AS335" s="46"/>
      <c r="AT335" s="46"/>
      <c r="AU335" s="46"/>
      <c r="AV335" s="46"/>
      <c r="AW335" s="46"/>
      <c r="AX335" s="46"/>
      <c r="AY335" s="46"/>
      <c r="AZ335" s="46"/>
      <c r="BA335" s="46"/>
      <c r="BB335" s="46"/>
      <c r="BC335" s="46"/>
      <c r="BD335" s="46"/>
      <c r="BE335" s="46"/>
      <c r="BF335" s="46"/>
      <c r="BG335" s="46"/>
      <c r="BH335" s="46"/>
    </row>
    <row r="336" spans="1:60" ht="14.25" customHeight="1" x14ac:dyDescent="0.3">
      <c r="A336" s="46"/>
      <c r="B336" s="37"/>
      <c r="C336" s="46" t="s">
        <v>369</v>
      </c>
      <c r="D336" s="46"/>
      <c r="E336" s="114">
        <v>275000</v>
      </c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  <c r="AC336" s="46"/>
      <c r="AD336" s="46"/>
      <c r="AE336" s="46"/>
      <c r="AF336" s="46"/>
      <c r="AG336" s="46"/>
      <c r="AH336" s="46"/>
      <c r="AI336" s="46"/>
      <c r="AJ336" s="46"/>
      <c r="AK336" s="46"/>
      <c r="AL336" s="46"/>
      <c r="AM336" s="46"/>
      <c r="AN336" s="46"/>
      <c r="AO336" s="46"/>
      <c r="AP336" s="46"/>
      <c r="AQ336" s="46"/>
      <c r="AR336" s="46"/>
      <c r="AS336" s="46"/>
      <c r="AT336" s="46"/>
      <c r="AU336" s="46"/>
      <c r="AV336" s="46"/>
      <c r="AW336" s="46"/>
      <c r="AX336" s="46"/>
      <c r="AY336" s="46"/>
      <c r="AZ336" s="46"/>
      <c r="BA336" s="46"/>
      <c r="BB336" s="46"/>
      <c r="BC336" s="46"/>
      <c r="BD336" s="46"/>
      <c r="BE336" s="46"/>
      <c r="BF336" s="46"/>
      <c r="BG336" s="46"/>
      <c r="BH336" s="46"/>
    </row>
    <row r="337" spans="1:60" ht="14.25" customHeight="1" x14ac:dyDescent="0.3">
      <c r="A337" s="46"/>
      <c r="B337" s="37"/>
      <c r="C337" s="46" t="s">
        <v>370</v>
      </c>
      <c r="D337" s="46"/>
      <c r="E337" s="50">
        <v>0.1</v>
      </c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  <c r="AC337" s="46"/>
      <c r="AD337" s="46"/>
      <c r="AE337" s="46"/>
      <c r="AF337" s="46"/>
      <c r="AG337" s="46"/>
      <c r="AH337" s="46"/>
      <c r="AI337" s="46"/>
      <c r="AJ337" s="46"/>
      <c r="AK337" s="46"/>
      <c r="AL337" s="46"/>
      <c r="AM337" s="46"/>
      <c r="AN337" s="46"/>
      <c r="AO337" s="46"/>
      <c r="AP337" s="46"/>
      <c r="AQ337" s="46"/>
      <c r="AR337" s="46"/>
      <c r="AS337" s="46"/>
      <c r="AT337" s="46"/>
      <c r="AU337" s="46"/>
      <c r="AV337" s="46"/>
      <c r="AW337" s="46"/>
      <c r="AX337" s="46"/>
      <c r="AY337" s="46"/>
      <c r="AZ337" s="46"/>
      <c r="BA337" s="46"/>
      <c r="BB337" s="46"/>
      <c r="BC337" s="46"/>
      <c r="BD337" s="46"/>
      <c r="BE337" s="46"/>
      <c r="BF337" s="46"/>
      <c r="BG337" s="46"/>
      <c r="BH337" s="46"/>
    </row>
    <row r="338" spans="1:60" ht="14.25" customHeight="1" x14ac:dyDescent="0.3">
      <c r="A338" s="46"/>
      <c r="B338" s="37"/>
      <c r="C338" s="46" t="s">
        <v>43</v>
      </c>
      <c r="D338" s="46"/>
      <c r="E338" s="115">
        <f>'[2]SA V2'!D2</f>
        <v>22.509600000000002</v>
      </c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  <c r="AC338" s="46"/>
      <c r="AD338" s="46"/>
      <c r="AE338" s="46"/>
      <c r="AF338" s="46"/>
      <c r="AG338" s="46"/>
      <c r="AH338" s="46"/>
      <c r="AI338" s="46"/>
      <c r="AJ338" s="46"/>
      <c r="AK338" s="46"/>
      <c r="AL338" s="46"/>
      <c r="AM338" s="46"/>
      <c r="AN338" s="46"/>
      <c r="AO338" s="46"/>
      <c r="AP338" s="46"/>
      <c r="AQ338" s="46"/>
      <c r="AR338" s="46"/>
      <c r="AS338" s="46"/>
      <c r="AT338" s="46"/>
      <c r="AU338" s="46"/>
      <c r="AV338" s="46"/>
      <c r="AW338" s="46"/>
      <c r="AX338" s="46"/>
      <c r="AY338" s="46"/>
      <c r="AZ338" s="46"/>
      <c r="BA338" s="46"/>
      <c r="BB338" s="46"/>
      <c r="BC338" s="46"/>
      <c r="BD338" s="46"/>
      <c r="BE338" s="46"/>
      <c r="BF338" s="46"/>
      <c r="BG338" s="46"/>
      <c r="BH338" s="46"/>
    </row>
    <row r="339" spans="1:60" ht="14.25" customHeight="1" x14ac:dyDescent="0.3">
      <c r="A339" s="46"/>
      <c r="B339" s="37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  <c r="AD339" s="46"/>
      <c r="AE339" s="46"/>
      <c r="AF339" s="46"/>
      <c r="AG339" s="46"/>
      <c r="AH339" s="46"/>
      <c r="AI339" s="46"/>
      <c r="AJ339" s="46"/>
      <c r="AK339" s="46"/>
      <c r="AL339" s="46"/>
      <c r="AM339" s="46"/>
      <c r="AN339" s="46"/>
      <c r="AO339" s="46"/>
      <c r="AP339" s="46"/>
      <c r="AQ339" s="46"/>
      <c r="AR339" s="46"/>
      <c r="AS339" s="46"/>
      <c r="AT339" s="46"/>
      <c r="AU339" s="46"/>
      <c r="AV339" s="46"/>
      <c r="AW339" s="46"/>
      <c r="AX339" s="46"/>
      <c r="AY339" s="46"/>
      <c r="AZ339" s="46"/>
      <c r="BA339" s="46"/>
      <c r="BB339" s="46"/>
      <c r="BC339" s="46"/>
      <c r="BD339" s="46"/>
      <c r="BE339" s="46"/>
      <c r="BF339" s="46"/>
      <c r="BG339" s="46"/>
      <c r="BH339" s="46"/>
    </row>
    <row r="340" spans="1:60" ht="14.25" customHeight="1" x14ac:dyDescent="0.3">
      <c r="A340" s="46"/>
      <c r="B340" s="37"/>
      <c r="C340" s="46" t="s">
        <v>371</v>
      </c>
      <c r="D340" s="46"/>
      <c r="E340" s="116">
        <f>G360</f>
        <v>119971.13231687811</v>
      </c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  <c r="AC340" s="46"/>
      <c r="AD340" s="46"/>
      <c r="AE340" s="46"/>
      <c r="AF340" s="46"/>
      <c r="AG340" s="46"/>
      <c r="AH340" s="46"/>
      <c r="AI340" s="46"/>
      <c r="AJ340" s="46"/>
      <c r="AK340" s="46"/>
      <c r="AL340" s="46"/>
      <c r="AM340" s="46"/>
      <c r="AN340" s="46"/>
      <c r="AO340" s="46"/>
      <c r="AP340" s="46"/>
      <c r="AQ340" s="46"/>
      <c r="AR340" s="46"/>
      <c r="AS340" s="46"/>
      <c r="AT340" s="46"/>
      <c r="AU340" s="46"/>
      <c r="AV340" s="46"/>
      <c r="AW340" s="46"/>
      <c r="AX340" s="46"/>
      <c r="AY340" s="46"/>
      <c r="AZ340" s="46"/>
      <c r="BA340" s="46"/>
      <c r="BB340" s="46"/>
      <c r="BC340" s="46"/>
      <c r="BD340" s="46"/>
      <c r="BE340" s="46"/>
      <c r="BF340" s="46"/>
      <c r="BG340" s="46"/>
      <c r="BH340" s="46"/>
    </row>
    <row r="341" spans="1:60" ht="14.25" customHeight="1" x14ac:dyDescent="0.3">
      <c r="A341" s="46"/>
      <c r="B341" s="37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  <c r="AC341" s="46"/>
      <c r="AD341" s="46"/>
      <c r="AE341" s="46"/>
      <c r="AF341" s="46"/>
      <c r="AG341" s="46"/>
      <c r="AH341" s="46"/>
      <c r="AI341" s="46"/>
      <c r="AJ341" s="46"/>
      <c r="AK341" s="46"/>
      <c r="AL341" s="46"/>
      <c r="AM341" s="46"/>
      <c r="AN341" s="46"/>
      <c r="AO341" s="46"/>
      <c r="AP341" s="46"/>
      <c r="AQ341" s="46"/>
      <c r="AR341" s="46"/>
      <c r="AS341" s="46"/>
      <c r="AT341" s="46"/>
      <c r="AU341" s="46"/>
      <c r="AV341" s="46"/>
      <c r="AW341" s="46"/>
      <c r="AX341" s="46"/>
      <c r="AY341" s="46"/>
      <c r="AZ341" s="46"/>
      <c r="BA341" s="46"/>
      <c r="BB341" s="46"/>
      <c r="BC341" s="46"/>
      <c r="BD341" s="46"/>
      <c r="BE341" s="46"/>
      <c r="BF341" s="46"/>
      <c r="BG341" s="46"/>
      <c r="BH341" s="46"/>
    </row>
    <row r="342" spans="1:60" ht="14.25" customHeight="1" x14ac:dyDescent="0.3">
      <c r="A342" s="46"/>
      <c r="B342" s="37"/>
      <c r="C342" s="46" t="s">
        <v>184</v>
      </c>
      <c r="D342" s="46">
        <f>I342</f>
        <v>0</v>
      </c>
      <c r="E342" s="46">
        <f>D347</f>
        <v>1204832.6180257511</v>
      </c>
      <c r="F342" s="46">
        <f t="shared" ref="F342:H342" si="251">E347</f>
        <v>2627107.9157106602</v>
      </c>
      <c r="G342" s="46">
        <f t="shared" si="251"/>
        <v>2390137.4923719028</v>
      </c>
      <c r="H342" s="46">
        <f t="shared" si="251"/>
        <v>856884.30484103924</v>
      </c>
      <c r="I342" s="46"/>
      <c r="J342" s="46">
        <f>I347</f>
        <v>0</v>
      </c>
      <c r="K342" s="46">
        <f t="shared" ref="K342:BH342" si="252">J347</f>
        <v>0</v>
      </c>
      <c r="L342" s="46">
        <f t="shared" si="252"/>
        <v>0</v>
      </c>
      <c r="M342" s="46">
        <f t="shared" si="252"/>
        <v>1204832.6180257511</v>
      </c>
      <c r="N342" s="46">
        <f t="shared" si="252"/>
        <v>1214872.8898426325</v>
      </c>
      <c r="O342" s="46">
        <f t="shared" si="252"/>
        <v>1444996.830591321</v>
      </c>
      <c r="P342" s="46">
        <f t="shared" si="252"/>
        <v>1657038.4708462486</v>
      </c>
      <c r="Q342" s="46">
        <f t="shared" si="252"/>
        <v>1670847.1247699673</v>
      </c>
      <c r="R342" s="46">
        <f t="shared" si="252"/>
        <v>1884770.8508097171</v>
      </c>
      <c r="S342" s="46">
        <f t="shared" si="252"/>
        <v>1900477.2745664648</v>
      </c>
      <c r="T342" s="46">
        <f t="shared" si="252"/>
        <v>2021314.5851878519</v>
      </c>
      <c r="U342" s="46">
        <f t="shared" si="252"/>
        <v>2038158.8733977508</v>
      </c>
      <c r="V342" s="46">
        <f t="shared" si="252"/>
        <v>2405143.5306760655</v>
      </c>
      <c r="W342" s="46">
        <f t="shared" si="252"/>
        <v>2425186.3934316994</v>
      </c>
      <c r="X342" s="46">
        <f t="shared" si="252"/>
        <v>2605396.2800436304</v>
      </c>
      <c r="Y342" s="46">
        <f t="shared" si="252"/>
        <v>2627107.9157106606</v>
      </c>
      <c r="Z342" s="46">
        <f t="shared" si="252"/>
        <v>2636410.1599199083</v>
      </c>
      <c r="AA342" s="46">
        <f t="shared" si="252"/>
        <v>2637931.9132291079</v>
      </c>
      <c r="AB342" s="46">
        <f t="shared" si="252"/>
        <v>2631376.0516657992</v>
      </c>
      <c r="AC342" s="46">
        <f t="shared" si="252"/>
        <v>2616304.8762996448</v>
      </c>
      <c r="AD342" s="46">
        <f t="shared" si="252"/>
        <v>2630961.233488996</v>
      </c>
      <c r="AE342" s="46">
        <f t="shared" si="252"/>
        <v>2599923.0155827445</v>
      </c>
      <c r="AF342" s="46">
        <f t="shared" si="252"/>
        <v>2561221.0355496537</v>
      </c>
      <c r="AG342" s="46">
        <f t="shared" si="252"/>
        <v>2514294.1110404017</v>
      </c>
      <c r="AH342" s="46">
        <f t="shared" si="252"/>
        <v>2496924.3046744009</v>
      </c>
      <c r="AI342" s="46">
        <f t="shared" si="252"/>
        <v>2437287.8397371536</v>
      </c>
      <c r="AJ342" s="46">
        <f t="shared" si="252"/>
        <v>2370384.2899556067</v>
      </c>
      <c r="AK342" s="46">
        <f t="shared" si="252"/>
        <v>2390137.4923719033</v>
      </c>
      <c r="AL342" s="46">
        <f t="shared" si="252"/>
        <v>2307692.6039143489</v>
      </c>
      <c r="AM342" s="46">
        <f t="shared" si="252"/>
        <v>2216555.1359373946</v>
      </c>
      <c r="AN342" s="46">
        <f t="shared" si="252"/>
        <v>2117971.4340759413</v>
      </c>
      <c r="AO342" s="46">
        <f t="shared" si="252"/>
        <v>2011404.0700805262</v>
      </c>
      <c r="AP342" s="46">
        <f t="shared" si="252"/>
        <v>1896274.5648652506</v>
      </c>
      <c r="AQ342" s="46">
        <f t="shared" si="252"/>
        <v>1773240.6212575268</v>
      </c>
      <c r="AR342" s="46">
        <f t="shared" si="252"/>
        <v>1641989.6033919547</v>
      </c>
      <c r="AS342" s="46">
        <f t="shared" si="252"/>
        <v>1501975.2936452848</v>
      </c>
      <c r="AT342" s="46">
        <f t="shared" si="252"/>
        <v>1352613.1254891315</v>
      </c>
      <c r="AU342" s="46">
        <f t="shared" si="252"/>
        <v>1193694.7190966611</v>
      </c>
      <c r="AV342" s="46">
        <f t="shared" si="252"/>
        <v>1024678.0038738484</v>
      </c>
      <c r="AW342" s="46">
        <f t="shared" si="252"/>
        <v>856884.3048410397</v>
      </c>
      <c r="AX342" s="46">
        <f t="shared" si="252"/>
        <v>677729.71349017136</v>
      </c>
      <c r="AY342" s="46">
        <f t="shared" si="252"/>
        <v>486463.06255944842</v>
      </c>
      <c r="AZ342" s="46">
        <f t="shared" si="252"/>
        <v>282685.50196327444</v>
      </c>
      <c r="BA342" s="46">
        <f t="shared" si="252"/>
        <v>67968.30308290536</v>
      </c>
      <c r="BB342" s="46">
        <f t="shared" si="252"/>
        <v>0</v>
      </c>
      <c r="BC342" s="46">
        <f t="shared" si="252"/>
        <v>0</v>
      </c>
      <c r="BD342" s="46">
        <f t="shared" si="252"/>
        <v>0</v>
      </c>
      <c r="BE342" s="46">
        <f t="shared" si="252"/>
        <v>0</v>
      </c>
      <c r="BF342" s="46">
        <f t="shared" si="252"/>
        <v>0</v>
      </c>
      <c r="BG342" s="46">
        <f t="shared" si="252"/>
        <v>0</v>
      </c>
      <c r="BH342" s="46">
        <f t="shared" si="252"/>
        <v>0</v>
      </c>
    </row>
    <row r="343" spans="1:60" ht="14.25" customHeight="1" x14ac:dyDescent="0.3">
      <c r="A343" s="46"/>
      <c r="B343" s="37"/>
      <c r="C343" s="46" t="s">
        <v>372</v>
      </c>
      <c r="D343" s="46">
        <f t="shared" ref="D343:H344" si="253">SUMIF($1:$1,D$238,343:343)</f>
        <v>1204832.6180257511</v>
      </c>
      <c r="E343" s="46">
        <f t="shared" si="253"/>
        <v>1235000</v>
      </c>
      <c r="F343" s="46">
        <f t="shared" si="253"/>
        <v>0</v>
      </c>
      <c r="G343" s="46">
        <f t="shared" si="253"/>
        <v>0</v>
      </c>
      <c r="H343" s="46">
        <f t="shared" si="253"/>
        <v>0</v>
      </c>
      <c r="I343" s="46"/>
      <c r="J343" s="46"/>
      <c r="K343" s="46"/>
      <c r="L343" s="59">
        <v>1204832.6180257511</v>
      </c>
      <c r="M343" s="46"/>
      <c r="N343" s="59">
        <v>220000</v>
      </c>
      <c r="O343" s="59">
        <v>200000</v>
      </c>
      <c r="P343" s="46"/>
      <c r="Q343" s="59">
        <v>200000</v>
      </c>
      <c r="R343" s="46"/>
      <c r="S343" s="59">
        <v>105000</v>
      </c>
      <c r="T343" s="46"/>
      <c r="U343" s="59">
        <v>350000</v>
      </c>
      <c r="V343" s="46"/>
      <c r="W343" s="59">
        <v>160000</v>
      </c>
      <c r="X343" s="46"/>
      <c r="Y343" s="46"/>
      <c r="Z343" s="46"/>
      <c r="AA343" s="46"/>
      <c r="AB343" s="46"/>
      <c r="AC343" s="46"/>
      <c r="AD343" s="46"/>
      <c r="AE343" s="46"/>
      <c r="AF343" s="46"/>
      <c r="AG343" s="46"/>
      <c r="AH343" s="46"/>
      <c r="AI343" s="46"/>
      <c r="AJ343" s="46"/>
      <c r="AK343" s="46"/>
      <c r="AL343" s="46"/>
      <c r="AM343" s="46"/>
      <c r="AN343" s="46"/>
      <c r="AO343" s="46"/>
      <c r="AP343" s="46"/>
      <c r="AQ343" s="46"/>
      <c r="AR343" s="46"/>
      <c r="AS343" s="46"/>
      <c r="AT343" s="46"/>
      <c r="AU343" s="46"/>
      <c r="AV343" s="46"/>
      <c r="AW343" s="46"/>
      <c r="AX343" s="46"/>
      <c r="AY343" s="46"/>
      <c r="AZ343" s="46"/>
      <c r="BA343" s="46"/>
      <c r="BB343" s="46"/>
      <c r="BC343" s="46"/>
      <c r="BD343" s="46"/>
      <c r="BE343" s="46"/>
      <c r="BF343" s="46"/>
      <c r="BG343" s="46"/>
      <c r="BH343" s="46"/>
    </row>
    <row r="344" spans="1:60" ht="14.25" customHeight="1" x14ac:dyDescent="0.3">
      <c r="A344" s="46"/>
      <c r="B344" s="37"/>
      <c r="C344" s="46" t="s">
        <v>373</v>
      </c>
      <c r="D344" s="46">
        <f t="shared" si="253"/>
        <v>0</v>
      </c>
      <c r="E344" s="46">
        <f t="shared" si="253"/>
        <v>187275.29768490919</v>
      </c>
      <c r="F344" s="46">
        <f t="shared" si="253"/>
        <v>256334.38955711731</v>
      </c>
      <c r="G344" s="46">
        <f t="shared" si="253"/>
        <v>178568.55556666481</v>
      </c>
      <c r="H344" s="46">
        <f t="shared" si="253"/>
        <v>19764.424049473662</v>
      </c>
      <c r="I344" s="46"/>
      <c r="J344" s="46">
        <f t="shared" ref="J344:BH344" si="254">J342*$E$337/12</f>
        <v>0</v>
      </c>
      <c r="K344" s="46">
        <f t="shared" si="254"/>
        <v>0</v>
      </c>
      <c r="L344" s="46">
        <f t="shared" si="254"/>
        <v>0</v>
      </c>
      <c r="M344" s="46">
        <f t="shared" si="254"/>
        <v>10040.271816881259</v>
      </c>
      <c r="N344" s="46">
        <f t="shared" si="254"/>
        <v>10123.940748688605</v>
      </c>
      <c r="O344" s="46">
        <f t="shared" si="254"/>
        <v>12041.640254927675</v>
      </c>
      <c r="P344" s="46">
        <f t="shared" si="254"/>
        <v>13808.653923718739</v>
      </c>
      <c r="Q344" s="46">
        <f t="shared" si="254"/>
        <v>13923.726039749728</v>
      </c>
      <c r="R344" s="46">
        <f t="shared" si="254"/>
        <v>15706.423756747643</v>
      </c>
      <c r="S344" s="46">
        <f t="shared" si="254"/>
        <v>15837.310621387209</v>
      </c>
      <c r="T344" s="46">
        <f t="shared" si="254"/>
        <v>16844.288209898765</v>
      </c>
      <c r="U344" s="46">
        <f t="shared" si="254"/>
        <v>16984.657278314593</v>
      </c>
      <c r="V344" s="46">
        <f t="shared" si="254"/>
        <v>20042.86275563388</v>
      </c>
      <c r="W344" s="46">
        <f t="shared" si="254"/>
        <v>20209.88661193083</v>
      </c>
      <c r="X344" s="46">
        <f t="shared" si="254"/>
        <v>21711.635667030252</v>
      </c>
      <c r="Y344" s="46">
        <f t="shared" si="254"/>
        <v>21892.565964255507</v>
      </c>
      <c r="Z344" s="46">
        <f t="shared" si="254"/>
        <v>21970.084665999238</v>
      </c>
      <c r="AA344" s="46">
        <f t="shared" si="254"/>
        <v>21982.765943575898</v>
      </c>
      <c r="AB344" s="46">
        <f t="shared" si="254"/>
        <v>21928.133763881662</v>
      </c>
      <c r="AC344" s="46">
        <f t="shared" si="254"/>
        <v>21802.540635830374</v>
      </c>
      <c r="AD344" s="46">
        <f t="shared" si="254"/>
        <v>21924.676945741634</v>
      </c>
      <c r="AE344" s="46">
        <f t="shared" si="254"/>
        <v>21666.025129856203</v>
      </c>
      <c r="AF344" s="46">
        <f t="shared" si="254"/>
        <v>21343.508629580447</v>
      </c>
      <c r="AG344" s="46">
        <f t="shared" si="254"/>
        <v>20952.450925336681</v>
      </c>
      <c r="AH344" s="46">
        <f t="shared" si="254"/>
        <v>20807.702538953341</v>
      </c>
      <c r="AI344" s="46">
        <f t="shared" si="254"/>
        <v>20310.731997809617</v>
      </c>
      <c r="AJ344" s="46">
        <f t="shared" si="254"/>
        <v>19753.202416296725</v>
      </c>
      <c r="AK344" s="46">
        <f t="shared" si="254"/>
        <v>19917.81243643253</v>
      </c>
      <c r="AL344" s="46">
        <f t="shared" si="254"/>
        <v>19230.771699286241</v>
      </c>
      <c r="AM344" s="46">
        <f t="shared" si="254"/>
        <v>18471.292799478291</v>
      </c>
      <c r="AN344" s="46">
        <f t="shared" si="254"/>
        <v>17649.761950632845</v>
      </c>
      <c r="AO344" s="46">
        <f t="shared" si="254"/>
        <v>16761.700584004386</v>
      </c>
      <c r="AP344" s="46">
        <f t="shared" si="254"/>
        <v>15802.288040543755</v>
      </c>
      <c r="AQ344" s="46">
        <f t="shared" si="254"/>
        <v>14777.005177146057</v>
      </c>
      <c r="AR344" s="46">
        <f t="shared" si="254"/>
        <v>13683.246694932956</v>
      </c>
      <c r="AS344" s="46">
        <f t="shared" si="254"/>
        <v>12516.460780377374</v>
      </c>
      <c r="AT344" s="46">
        <f t="shared" si="254"/>
        <v>11271.776045742763</v>
      </c>
      <c r="AU344" s="46">
        <f t="shared" si="254"/>
        <v>9947.4559924721761</v>
      </c>
      <c r="AV344" s="46">
        <f t="shared" si="254"/>
        <v>8538.9833656154024</v>
      </c>
      <c r="AW344" s="46">
        <f t="shared" si="254"/>
        <v>7140.7025403419975</v>
      </c>
      <c r="AX344" s="46">
        <f t="shared" si="254"/>
        <v>5647.7476124180948</v>
      </c>
      <c r="AY344" s="46">
        <f t="shared" si="254"/>
        <v>4053.8588546620704</v>
      </c>
      <c r="AZ344" s="46">
        <f t="shared" si="254"/>
        <v>2355.7125163606202</v>
      </c>
      <c r="BA344" s="46">
        <f t="shared" si="254"/>
        <v>566.40252569087806</v>
      </c>
      <c r="BB344" s="46">
        <f t="shared" si="254"/>
        <v>0</v>
      </c>
      <c r="BC344" s="46">
        <f t="shared" si="254"/>
        <v>0</v>
      </c>
      <c r="BD344" s="46">
        <f t="shared" si="254"/>
        <v>0</v>
      </c>
      <c r="BE344" s="46">
        <f t="shared" si="254"/>
        <v>0</v>
      </c>
      <c r="BF344" s="46">
        <f t="shared" si="254"/>
        <v>0</v>
      </c>
      <c r="BG344" s="46">
        <f t="shared" si="254"/>
        <v>0</v>
      </c>
      <c r="BH344" s="46">
        <f t="shared" si="254"/>
        <v>0</v>
      </c>
    </row>
    <row r="345" spans="1:60" ht="14.25" customHeight="1" x14ac:dyDescent="0.3">
      <c r="A345" s="46"/>
      <c r="B345" s="37"/>
      <c r="C345" s="46" t="s">
        <v>374</v>
      </c>
      <c r="D345" s="63">
        <f>SUM(D342:D344)</f>
        <v>1204832.6180257511</v>
      </c>
      <c r="E345" s="63">
        <f>SUM(E342:E344)</f>
        <v>2627107.9157106602</v>
      </c>
      <c r="F345" s="63">
        <f>SUM(F342:F344)</f>
        <v>2883442.3052677773</v>
      </c>
      <c r="G345" s="63">
        <f>SUM(G342:G344)</f>
        <v>2568706.0479385676</v>
      </c>
      <c r="H345" s="63">
        <f>SUM(H342:H344)</f>
        <v>876648.72889051295</v>
      </c>
      <c r="I345" s="46"/>
      <c r="J345" s="63">
        <f t="shared" ref="J345:BH345" si="255">SUM(J342:J344)</f>
        <v>0</v>
      </c>
      <c r="K345" s="63">
        <f t="shared" si="255"/>
        <v>0</v>
      </c>
      <c r="L345" s="63">
        <f t="shared" si="255"/>
        <v>1204832.6180257511</v>
      </c>
      <c r="M345" s="63">
        <f t="shared" si="255"/>
        <v>1214872.8898426325</v>
      </c>
      <c r="N345" s="63">
        <f t="shared" si="255"/>
        <v>1444996.830591321</v>
      </c>
      <c r="O345" s="63">
        <f t="shared" si="255"/>
        <v>1657038.4708462486</v>
      </c>
      <c r="P345" s="63">
        <f t="shared" si="255"/>
        <v>1670847.1247699673</v>
      </c>
      <c r="Q345" s="63">
        <f t="shared" si="255"/>
        <v>1884770.8508097171</v>
      </c>
      <c r="R345" s="63">
        <f t="shared" si="255"/>
        <v>1900477.2745664648</v>
      </c>
      <c r="S345" s="63">
        <f t="shared" si="255"/>
        <v>2021314.5851878519</v>
      </c>
      <c r="T345" s="63">
        <f t="shared" si="255"/>
        <v>2038158.8733977508</v>
      </c>
      <c r="U345" s="63">
        <f t="shared" si="255"/>
        <v>2405143.5306760655</v>
      </c>
      <c r="V345" s="63">
        <f t="shared" si="255"/>
        <v>2425186.3934316994</v>
      </c>
      <c r="W345" s="63">
        <f t="shared" si="255"/>
        <v>2605396.2800436304</v>
      </c>
      <c r="X345" s="63">
        <f t="shared" si="255"/>
        <v>2627107.9157106606</v>
      </c>
      <c r="Y345" s="63">
        <f t="shared" si="255"/>
        <v>2649000.4816749161</v>
      </c>
      <c r="Z345" s="63">
        <f t="shared" si="255"/>
        <v>2658380.2445859076</v>
      </c>
      <c r="AA345" s="63">
        <f t="shared" si="255"/>
        <v>2659914.679172684</v>
      </c>
      <c r="AB345" s="63">
        <f t="shared" si="255"/>
        <v>2653304.1854296811</v>
      </c>
      <c r="AC345" s="63">
        <f t="shared" si="255"/>
        <v>2638107.4169354751</v>
      </c>
      <c r="AD345" s="63">
        <f t="shared" si="255"/>
        <v>2652885.9104347378</v>
      </c>
      <c r="AE345" s="63">
        <f t="shared" si="255"/>
        <v>2621589.0407126006</v>
      </c>
      <c r="AF345" s="63">
        <f t="shared" si="255"/>
        <v>2582564.5441792342</v>
      </c>
      <c r="AG345" s="63">
        <f t="shared" si="255"/>
        <v>2535246.5619657384</v>
      </c>
      <c r="AH345" s="63">
        <f t="shared" si="255"/>
        <v>2517732.0072133541</v>
      </c>
      <c r="AI345" s="63">
        <f t="shared" si="255"/>
        <v>2457598.5717349635</v>
      </c>
      <c r="AJ345" s="63">
        <f t="shared" si="255"/>
        <v>2390137.4923719033</v>
      </c>
      <c r="AK345" s="63">
        <f t="shared" si="255"/>
        <v>2410055.3048083358</v>
      </c>
      <c r="AL345" s="63">
        <f t="shared" si="255"/>
        <v>2326923.3756136349</v>
      </c>
      <c r="AM345" s="63">
        <f t="shared" si="255"/>
        <v>2235026.428736873</v>
      </c>
      <c r="AN345" s="63">
        <f t="shared" si="255"/>
        <v>2135621.1960265744</v>
      </c>
      <c r="AO345" s="63">
        <f t="shared" si="255"/>
        <v>2028165.7706645306</v>
      </c>
      <c r="AP345" s="63">
        <f t="shared" si="255"/>
        <v>1912076.8529057943</v>
      </c>
      <c r="AQ345" s="63">
        <f t="shared" si="255"/>
        <v>1788017.6264346729</v>
      </c>
      <c r="AR345" s="63">
        <f t="shared" si="255"/>
        <v>1655672.8500868876</v>
      </c>
      <c r="AS345" s="63">
        <f t="shared" si="255"/>
        <v>1514491.7544256621</v>
      </c>
      <c r="AT345" s="63">
        <f t="shared" si="255"/>
        <v>1363884.9015348742</v>
      </c>
      <c r="AU345" s="63">
        <f t="shared" si="255"/>
        <v>1203642.1750891332</v>
      </c>
      <c r="AV345" s="63">
        <f t="shared" si="255"/>
        <v>1033216.9872394637</v>
      </c>
      <c r="AW345" s="63">
        <f t="shared" si="255"/>
        <v>864025.0073813817</v>
      </c>
      <c r="AX345" s="63">
        <f t="shared" si="255"/>
        <v>683377.4611025895</v>
      </c>
      <c r="AY345" s="63">
        <f t="shared" si="255"/>
        <v>490516.92141411046</v>
      </c>
      <c r="AZ345" s="63">
        <f t="shared" si="255"/>
        <v>285041.21447963506</v>
      </c>
      <c r="BA345" s="63">
        <f t="shared" si="255"/>
        <v>68534.705608596239</v>
      </c>
      <c r="BB345" s="63">
        <f t="shared" si="255"/>
        <v>0</v>
      </c>
      <c r="BC345" s="63">
        <f t="shared" si="255"/>
        <v>0</v>
      </c>
      <c r="BD345" s="63">
        <f t="shared" si="255"/>
        <v>0</v>
      </c>
      <c r="BE345" s="63">
        <f t="shared" si="255"/>
        <v>0</v>
      </c>
      <c r="BF345" s="63">
        <f t="shared" si="255"/>
        <v>0</v>
      </c>
      <c r="BG345" s="63">
        <f t="shared" si="255"/>
        <v>0</v>
      </c>
      <c r="BH345" s="63">
        <f t="shared" si="255"/>
        <v>0</v>
      </c>
    </row>
    <row r="346" spans="1:60" ht="14.25" customHeight="1" x14ac:dyDescent="0.3">
      <c r="A346" s="46"/>
      <c r="B346" s="37"/>
      <c r="C346" s="46" t="s">
        <v>375</v>
      </c>
      <c r="D346" s="46">
        <f>SUMIF($1:$1,D$238,346:346)</f>
        <v>0</v>
      </c>
      <c r="E346" s="46">
        <f>SUMIF($1:$1,E$238,346:346)</f>
        <v>0</v>
      </c>
      <c r="F346" s="46">
        <f>SUMIF($1:$1,F$238,346:346)</f>
        <v>-493304.81289587438</v>
      </c>
      <c r="G346" s="46">
        <f>SUMIF($1:$1,G$238,346:346)</f>
        <v>-1711821.7430975283</v>
      </c>
      <c r="H346" s="46">
        <f>SUMIF($1:$1,H$238,346:346)</f>
        <v>-876648.72889051342</v>
      </c>
      <c r="I346" s="46"/>
      <c r="J346" s="46">
        <f t="shared" ref="J346:BH346" si="256">IF(J331&gt;0,-MIN(J331,J345),0)</f>
        <v>0</v>
      </c>
      <c r="K346" s="46">
        <f t="shared" si="256"/>
        <v>0</v>
      </c>
      <c r="L346" s="46">
        <f t="shared" si="256"/>
        <v>0</v>
      </c>
      <c r="M346" s="46">
        <f t="shared" si="256"/>
        <v>0</v>
      </c>
      <c r="N346" s="46">
        <f t="shared" si="256"/>
        <v>0</v>
      </c>
      <c r="O346" s="46">
        <f t="shared" si="256"/>
        <v>0</v>
      </c>
      <c r="P346" s="46">
        <f t="shared" si="256"/>
        <v>0</v>
      </c>
      <c r="Q346" s="46">
        <f t="shared" si="256"/>
        <v>0</v>
      </c>
      <c r="R346" s="46">
        <f t="shared" si="256"/>
        <v>0</v>
      </c>
      <c r="S346" s="46">
        <f t="shared" si="256"/>
        <v>0</v>
      </c>
      <c r="T346" s="46">
        <f t="shared" si="256"/>
        <v>0</v>
      </c>
      <c r="U346" s="46">
        <f t="shared" si="256"/>
        <v>0</v>
      </c>
      <c r="V346" s="46">
        <f t="shared" si="256"/>
        <v>0</v>
      </c>
      <c r="W346" s="46">
        <f t="shared" si="256"/>
        <v>0</v>
      </c>
      <c r="X346" s="46">
        <f t="shared" si="256"/>
        <v>0</v>
      </c>
      <c r="Y346" s="46">
        <f t="shared" si="256"/>
        <v>-12590.321755007957</v>
      </c>
      <c r="Z346" s="46">
        <f t="shared" si="256"/>
        <v>-20448.331356799463</v>
      </c>
      <c r="AA346" s="46">
        <f t="shared" si="256"/>
        <v>-28538.627506884834</v>
      </c>
      <c r="AB346" s="46">
        <f t="shared" si="256"/>
        <v>-36999.309130036127</v>
      </c>
      <c r="AC346" s="46">
        <f t="shared" si="256"/>
        <v>-7146.183446478979</v>
      </c>
      <c r="AD346" s="46">
        <f t="shared" si="256"/>
        <v>-52962.8948519931</v>
      </c>
      <c r="AE346" s="46">
        <f t="shared" si="256"/>
        <v>-60368.005162946851</v>
      </c>
      <c r="AF346" s="46">
        <f t="shared" si="256"/>
        <v>-68270.433138832363</v>
      </c>
      <c r="AG346" s="46">
        <f t="shared" si="256"/>
        <v>-38322.257291337482</v>
      </c>
      <c r="AH346" s="46">
        <f t="shared" si="256"/>
        <v>-80444.167476200411</v>
      </c>
      <c r="AI346" s="46">
        <f t="shared" si="256"/>
        <v>-87214.281779356883</v>
      </c>
      <c r="AJ346" s="46">
        <f t="shared" si="256"/>
        <v>0</v>
      </c>
      <c r="AK346" s="46">
        <f t="shared" si="256"/>
        <v>-102362.70089398677</v>
      </c>
      <c r="AL346" s="46">
        <f t="shared" si="256"/>
        <v>-110368.23967624057</v>
      </c>
      <c r="AM346" s="46">
        <f t="shared" si="256"/>
        <v>-117054.99466093158</v>
      </c>
      <c r="AN346" s="46">
        <f t="shared" si="256"/>
        <v>-124217.12594604821</v>
      </c>
      <c r="AO346" s="46">
        <f t="shared" si="256"/>
        <v>-131891.20579927997</v>
      </c>
      <c r="AP346" s="46">
        <f t="shared" si="256"/>
        <v>-138836.23164826736</v>
      </c>
      <c r="AQ346" s="46">
        <f t="shared" si="256"/>
        <v>-146028.0230427183</v>
      </c>
      <c r="AR346" s="46">
        <f t="shared" si="256"/>
        <v>-153697.5564416027</v>
      </c>
      <c r="AS346" s="46">
        <f t="shared" si="256"/>
        <v>-161878.62893653067</v>
      </c>
      <c r="AT346" s="46">
        <f t="shared" si="256"/>
        <v>-170190.18243821309</v>
      </c>
      <c r="AU346" s="46">
        <f t="shared" si="256"/>
        <v>-178964.17121528479</v>
      </c>
      <c r="AV346" s="46">
        <f t="shared" si="256"/>
        <v>-176332.68239842408</v>
      </c>
      <c r="AW346" s="46">
        <f t="shared" si="256"/>
        <v>-186295.2938912104</v>
      </c>
      <c r="AX346" s="46">
        <f t="shared" si="256"/>
        <v>-196914.39854314108</v>
      </c>
      <c r="AY346" s="46">
        <f t="shared" si="256"/>
        <v>-207831.41945083602</v>
      </c>
      <c r="AZ346" s="46">
        <f t="shared" si="256"/>
        <v>-217072.9113967297</v>
      </c>
      <c r="BA346" s="46">
        <f t="shared" si="256"/>
        <v>-68534.705608596239</v>
      </c>
      <c r="BB346" s="46">
        <f t="shared" si="256"/>
        <v>0</v>
      </c>
      <c r="BC346" s="46">
        <f t="shared" si="256"/>
        <v>0</v>
      </c>
      <c r="BD346" s="46">
        <f t="shared" si="256"/>
        <v>0</v>
      </c>
      <c r="BE346" s="46">
        <f t="shared" si="256"/>
        <v>0</v>
      </c>
      <c r="BF346" s="46">
        <f t="shared" si="256"/>
        <v>0</v>
      </c>
      <c r="BG346" s="46">
        <f t="shared" si="256"/>
        <v>0</v>
      </c>
      <c r="BH346" s="46">
        <f t="shared" si="256"/>
        <v>0</v>
      </c>
    </row>
    <row r="347" spans="1:60" ht="14.25" customHeight="1" thickBot="1" x14ac:dyDescent="0.35">
      <c r="A347" s="46"/>
      <c r="B347" s="37"/>
      <c r="C347" s="37" t="s">
        <v>186</v>
      </c>
      <c r="D347" s="117">
        <f>SUM(D345:D346)</f>
        <v>1204832.6180257511</v>
      </c>
      <c r="E347" s="117">
        <f t="shared" ref="E347:H347" si="257">SUM(E345:E346)</f>
        <v>2627107.9157106602</v>
      </c>
      <c r="F347" s="117">
        <f t="shared" si="257"/>
        <v>2390137.4923719028</v>
      </c>
      <c r="G347" s="117">
        <f t="shared" si="257"/>
        <v>856884.30484103924</v>
      </c>
      <c r="H347" s="117">
        <f t="shared" si="257"/>
        <v>0</v>
      </c>
      <c r="I347" s="46"/>
      <c r="J347" s="117">
        <f>SUM(J345:J346)</f>
        <v>0</v>
      </c>
      <c r="K347" s="117">
        <f t="shared" ref="K347:BH347" si="258">SUM(K345:K346)</f>
        <v>0</v>
      </c>
      <c r="L347" s="117">
        <f t="shared" si="258"/>
        <v>1204832.6180257511</v>
      </c>
      <c r="M347" s="117">
        <f t="shared" si="258"/>
        <v>1214872.8898426325</v>
      </c>
      <c r="N347" s="117">
        <f t="shared" si="258"/>
        <v>1444996.830591321</v>
      </c>
      <c r="O347" s="117">
        <f t="shared" si="258"/>
        <v>1657038.4708462486</v>
      </c>
      <c r="P347" s="117">
        <f t="shared" si="258"/>
        <v>1670847.1247699673</v>
      </c>
      <c r="Q347" s="117">
        <f t="shared" si="258"/>
        <v>1884770.8508097171</v>
      </c>
      <c r="R347" s="117">
        <f t="shared" si="258"/>
        <v>1900477.2745664648</v>
      </c>
      <c r="S347" s="117">
        <f t="shared" si="258"/>
        <v>2021314.5851878519</v>
      </c>
      <c r="T347" s="117">
        <f t="shared" si="258"/>
        <v>2038158.8733977508</v>
      </c>
      <c r="U347" s="117">
        <f t="shared" si="258"/>
        <v>2405143.5306760655</v>
      </c>
      <c r="V347" s="117">
        <f t="shared" si="258"/>
        <v>2425186.3934316994</v>
      </c>
      <c r="W347" s="117">
        <f t="shared" si="258"/>
        <v>2605396.2800436304</v>
      </c>
      <c r="X347" s="117">
        <f t="shared" si="258"/>
        <v>2627107.9157106606</v>
      </c>
      <c r="Y347" s="117">
        <f t="shared" si="258"/>
        <v>2636410.1599199083</v>
      </c>
      <c r="Z347" s="117">
        <f t="shared" si="258"/>
        <v>2637931.9132291079</v>
      </c>
      <c r="AA347" s="117">
        <f t="shared" si="258"/>
        <v>2631376.0516657992</v>
      </c>
      <c r="AB347" s="117">
        <f t="shared" si="258"/>
        <v>2616304.8762996448</v>
      </c>
      <c r="AC347" s="117">
        <f t="shared" si="258"/>
        <v>2630961.233488996</v>
      </c>
      <c r="AD347" s="117">
        <f t="shared" si="258"/>
        <v>2599923.0155827445</v>
      </c>
      <c r="AE347" s="117">
        <f t="shared" si="258"/>
        <v>2561221.0355496537</v>
      </c>
      <c r="AF347" s="117">
        <f t="shared" si="258"/>
        <v>2514294.1110404017</v>
      </c>
      <c r="AG347" s="117">
        <f t="shared" si="258"/>
        <v>2496924.3046744009</v>
      </c>
      <c r="AH347" s="117">
        <f t="shared" si="258"/>
        <v>2437287.8397371536</v>
      </c>
      <c r="AI347" s="117">
        <f t="shared" si="258"/>
        <v>2370384.2899556067</v>
      </c>
      <c r="AJ347" s="117">
        <f t="shared" si="258"/>
        <v>2390137.4923719033</v>
      </c>
      <c r="AK347" s="117">
        <f t="shared" si="258"/>
        <v>2307692.6039143489</v>
      </c>
      <c r="AL347" s="117">
        <f t="shared" si="258"/>
        <v>2216555.1359373946</v>
      </c>
      <c r="AM347" s="117">
        <f t="shared" si="258"/>
        <v>2117971.4340759413</v>
      </c>
      <c r="AN347" s="117">
        <f t="shared" si="258"/>
        <v>2011404.0700805262</v>
      </c>
      <c r="AO347" s="117">
        <f t="shared" si="258"/>
        <v>1896274.5648652506</v>
      </c>
      <c r="AP347" s="117">
        <f t="shared" si="258"/>
        <v>1773240.6212575268</v>
      </c>
      <c r="AQ347" s="117">
        <f t="shared" si="258"/>
        <v>1641989.6033919547</v>
      </c>
      <c r="AR347" s="117">
        <f t="shared" si="258"/>
        <v>1501975.2936452848</v>
      </c>
      <c r="AS347" s="117">
        <f t="shared" si="258"/>
        <v>1352613.1254891315</v>
      </c>
      <c r="AT347" s="117">
        <f t="shared" si="258"/>
        <v>1193694.7190966611</v>
      </c>
      <c r="AU347" s="117">
        <f t="shared" si="258"/>
        <v>1024678.0038738484</v>
      </c>
      <c r="AV347" s="117">
        <f t="shared" si="258"/>
        <v>856884.3048410397</v>
      </c>
      <c r="AW347" s="117">
        <f t="shared" si="258"/>
        <v>677729.71349017136</v>
      </c>
      <c r="AX347" s="117">
        <f t="shared" si="258"/>
        <v>486463.06255944842</v>
      </c>
      <c r="AY347" s="117">
        <f t="shared" si="258"/>
        <v>282685.50196327444</v>
      </c>
      <c r="AZ347" s="117">
        <f t="shared" si="258"/>
        <v>67968.30308290536</v>
      </c>
      <c r="BA347" s="117">
        <f t="shared" si="258"/>
        <v>0</v>
      </c>
      <c r="BB347" s="117">
        <f t="shared" si="258"/>
        <v>0</v>
      </c>
      <c r="BC347" s="117">
        <f t="shared" si="258"/>
        <v>0</v>
      </c>
      <c r="BD347" s="117">
        <f t="shared" si="258"/>
        <v>0</v>
      </c>
      <c r="BE347" s="117">
        <f t="shared" si="258"/>
        <v>0</v>
      </c>
      <c r="BF347" s="117">
        <f t="shared" si="258"/>
        <v>0</v>
      </c>
      <c r="BG347" s="117">
        <f t="shared" si="258"/>
        <v>0</v>
      </c>
      <c r="BH347" s="117">
        <f t="shared" si="258"/>
        <v>0</v>
      </c>
    </row>
    <row r="348" spans="1:60" ht="14.25" customHeight="1" thickTop="1" x14ac:dyDescent="0.3">
      <c r="A348" s="46"/>
      <c r="B348" s="37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  <c r="AB348" s="46"/>
      <c r="AC348" s="46"/>
      <c r="AD348" s="46"/>
      <c r="AE348" s="46"/>
      <c r="AF348" s="46"/>
      <c r="AG348" s="46"/>
      <c r="AH348" s="46"/>
      <c r="AI348" s="46"/>
      <c r="AJ348" s="46"/>
      <c r="AK348" s="46"/>
      <c r="AL348" s="46"/>
      <c r="AM348" s="46"/>
      <c r="AN348" s="46"/>
      <c r="AO348" s="46"/>
      <c r="AP348" s="46"/>
      <c r="AQ348" s="46"/>
      <c r="AR348" s="46"/>
      <c r="AS348" s="46"/>
      <c r="AT348" s="46"/>
      <c r="AU348" s="46"/>
      <c r="AV348" s="46"/>
      <c r="AW348" s="46"/>
      <c r="AX348" s="46"/>
      <c r="AY348" s="46"/>
      <c r="AZ348" s="46"/>
      <c r="BA348" s="46"/>
      <c r="BB348" s="46"/>
      <c r="BC348" s="46"/>
      <c r="BD348" s="46"/>
      <c r="BE348" s="46"/>
      <c r="BF348" s="46"/>
      <c r="BG348" s="46"/>
      <c r="BH348" s="46"/>
    </row>
    <row r="349" spans="1:60" ht="14.25" customHeight="1" x14ac:dyDescent="0.3">
      <c r="A349" s="46"/>
      <c r="B349" s="37"/>
      <c r="C349" s="71" t="s">
        <v>376</v>
      </c>
      <c r="D349" s="71">
        <v>12397.900515046298</v>
      </c>
      <c r="E349" s="71">
        <v>210714.2391720055</v>
      </c>
      <c r="F349" s="71">
        <v>256035.93928573013</v>
      </c>
      <c r="G349" s="71">
        <v>219416.3854669086</v>
      </c>
      <c r="H349" s="71">
        <v>45162.615802347151</v>
      </c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  <c r="AC349" s="46"/>
      <c r="AD349" s="46"/>
      <c r="AE349" s="46"/>
      <c r="AF349" s="46"/>
      <c r="AG349" s="46"/>
      <c r="AH349" s="46"/>
      <c r="AI349" s="46"/>
      <c r="AJ349" s="46"/>
      <c r="AK349" s="46"/>
      <c r="AL349" s="46"/>
      <c r="AM349" s="46"/>
      <c r="AN349" s="46"/>
      <c r="AO349" s="46"/>
      <c r="AP349" s="46"/>
      <c r="AQ349" s="46"/>
      <c r="AR349" s="46"/>
      <c r="AS349" s="46"/>
      <c r="AT349" s="46"/>
      <c r="AU349" s="46"/>
      <c r="AV349" s="46"/>
      <c r="AW349" s="46"/>
      <c r="AX349" s="46"/>
      <c r="AY349" s="46"/>
      <c r="AZ349" s="46"/>
      <c r="BA349" s="46"/>
      <c r="BB349" s="46"/>
      <c r="BC349" s="46"/>
      <c r="BD349" s="46"/>
      <c r="BE349" s="46"/>
      <c r="BF349" s="46"/>
      <c r="BG349" s="46"/>
      <c r="BH349" s="46"/>
    </row>
    <row r="350" spans="1:60" ht="14.25" customHeight="1" x14ac:dyDescent="0.3">
      <c r="A350" s="46"/>
      <c r="B350" s="37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  <c r="AC350" s="46"/>
      <c r="AD350" s="46"/>
      <c r="AE350" s="46"/>
      <c r="AF350" s="46"/>
      <c r="AG350" s="46"/>
      <c r="AH350" s="46"/>
      <c r="AI350" s="46"/>
      <c r="AJ350" s="46"/>
      <c r="AK350" s="46"/>
      <c r="AL350" s="46"/>
      <c r="AM350" s="46"/>
      <c r="AN350" s="46"/>
      <c r="AO350" s="46"/>
      <c r="AP350" s="46"/>
      <c r="AQ350" s="46"/>
      <c r="AR350" s="46"/>
      <c r="AS350" s="46"/>
      <c r="AT350" s="46"/>
      <c r="AU350" s="46"/>
      <c r="AV350" s="46"/>
      <c r="AW350" s="46"/>
      <c r="AX350" s="46"/>
      <c r="AY350" s="46"/>
      <c r="AZ350" s="46"/>
      <c r="BA350" s="46"/>
      <c r="BB350" s="46"/>
      <c r="BC350" s="46"/>
      <c r="BD350" s="46"/>
      <c r="BE350" s="46"/>
      <c r="BF350" s="46"/>
      <c r="BG350" s="46"/>
      <c r="BH350" s="46"/>
    </row>
    <row r="351" spans="1:60" ht="14.25" customHeight="1" x14ac:dyDescent="0.3">
      <c r="A351" s="46"/>
      <c r="B351" s="37" t="s">
        <v>371</v>
      </c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  <c r="AC351" s="46"/>
      <c r="AD351" s="46"/>
      <c r="AE351" s="46"/>
      <c r="AF351" s="46"/>
      <c r="AG351" s="46"/>
      <c r="AH351" s="46"/>
      <c r="AI351" s="46"/>
      <c r="AJ351" s="46"/>
      <c r="AK351" s="46"/>
      <c r="AL351" s="46"/>
      <c r="AM351" s="46"/>
      <c r="AN351" s="46"/>
      <c r="AO351" s="46"/>
      <c r="AP351" s="46"/>
      <c r="AQ351" s="46"/>
      <c r="AR351" s="46"/>
      <c r="AS351" s="46"/>
      <c r="AT351" s="46"/>
      <c r="AU351" s="46"/>
      <c r="AV351" s="46"/>
      <c r="AW351" s="46"/>
      <c r="AX351" s="46"/>
      <c r="AY351" s="46"/>
      <c r="AZ351" s="46"/>
      <c r="BA351" s="46"/>
      <c r="BB351" s="46"/>
      <c r="BC351" s="46"/>
      <c r="BD351" s="46"/>
      <c r="BE351" s="46"/>
      <c r="BF351" s="46"/>
      <c r="BG351" s="46"/>
      <c r="BH351" s="46"/>
    </row>
    <row r="352" spans="1:60" ht="14.25" customHeight="1" x14ac:dyDescent="0.3">
      <c r="A352" s="46"/>
      <c r="B352" s="37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  <c r="AC352" s="46"/>
      <c r="AD352" s="46"/>
      <c r="AE352" s="46"/>
      <c r="AF352" s="46"/>
      <c r="AG352" s="46"/>
      <c r="AH352" s="46"/>
      <c r="AI352" s="46"/>
      <c r="AJ352" s="46"/>
      <c r="AK352" s="46"/>
      <c r="AL352" s="46"/>
      <c r="AM352" s="46"/>
      <c r="AN352" s="46"/>
      <c r="AO352" s="46"/>
      <c r="AP352" s="46"/>
      <c r="AQ352" s="46"/>
      <c r="AR352" s="46"/>
      <c r="AS352" s="46"/>
      <c r="AT352" s="46"/>
      <c r="AU352" s="46"/>
      <c r="AV352" s="46"/>
      <c r="AW352" s="46"/>
      <c r="AX352" s="46"/>
      <c r="AY352" s="46"/>
      <c r="AZ352" s="46"/>
      <c r="BA352" s="46"/>
      <c r="BB352" s="46"/>
      <c r="BC352" s="46"/>
      <c r="BD352" s="46"/>
      <c r="BE352" s="46"/>
      <c r="BF352" s="46"/>
      <c r="BG352" s="46"/>
      <c r="BH352" s="46"/>
    </row>
    <row r="353" spans="1:60" ht="14.25" customHeight="1" x14ac:dyDescent="0.3">
      <c r="A353" s="46"/>
      <c r="B353" s="37"/>
      <c r="C353" s="46" t="s">
        <v>377</v>
      </c>
      <c r="D353" s="118" t="s">
        <v>378</v>
      </c>
      <c r="E353" s="118" t="s">
        <v>379</v>
      </c>
      <c r="F353" s="118" t="s">
        <v>380</v>
      </c>
      <c r="G353" s="118" t="s">
        <v>381</v>
      </c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  <c r="AC353" s="46"/>
      <c r="AD353" s="46"/>
      <c r="AE353" s="46"/>
      <c r="AF353" s="46"/>
      <c r="AG353" s="46"/>
      <c r="AH353" s="46"/>
      <c r="AI353" s="46"/>
      <c r="AJ353" s="46"/>
      <c r="AK353" s="46"/>
      <c r="AL353" s="46"/>
      <c r="AM353" s="46"/>
      <c r="AN353" s="46"/>
      <c r="AO353" s="46"/>
      <c r="AP353" s="46"/>
      <c r="AQ353" s="46"/>
      <c r="AR353" s="46"/>
      <c r="AS353" s="46"/>
      <c r="AT353" s="46"/>
      <c r="AU353" s="46"/>
      <c r="AV353" s="46"/>
      <c r="AW353" s="46"/>
      <c r="AX353" s="46"/>
      <c r="AY353" s="46"/>
      <c r="AZ353" s="46"/>
      <c r="BA353" s="46"/>
      <c r="BB353" s="46"/>
      <c r="BC353" s="46"/>
      <c r="BD353" s="46"/>
      <c r="BE353" s="46"/>
      <c r="BF353" s="46"/>
      <c r="BG353" s="46"/>
      <c r="BH353" s="46"/>
    </row>
    <row r="354" spans="1:60" ht="14.25" customHeight="1" x14ac:dyDescent="0.3">
      <c r="A354" s="46"/>
      <c r="B354" s="37"/>
      <c r="C354" s="46" t="s">
        <v>382</v>
      </c>
      <c r="D354" s="59">
        <f>40000*12</f>
        <v>480000</v>
      </c>
      <c r="E354" s="119">
        <v>1</v>
      </c>
      <c r="F354" s="46">
        <f>D354*E354</f>
        <v>480000</v>
      </c>
      <c r="G354" s="46">
        <f>F354/$E$338</f>
        <v>21324.234993069622</v>
      </c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  <c r="AC354" s="46"/>
      <c r="AD354" s="46"/>
      <c r="AE354" s="46"/>
      <c r="AF354" s="46"/>
      <c r="AG354" s="46"/>
      <c r="AH354" s="46"/>
      <c r="AI354" s="46"/>
      <c r="AJ354" s="46"/>
      <c r="AK354" s="46"/>
      <c r="AL354" s="46"/>
      <c r="AM354" s="46"/>
      <c r="AN354" s="46"/>
      <c r="AO354" s="46"/>
      <c r="AP354" s="46"/>
      <c r="AQ354" s="46"/>
      <c r="AR354" s="46"/>
      <c r="AS354" s="46"/>
      <c r="AT354" s="46"/>
      <c r="AU354" s="46"/>
      <c r="AV354" s="46"/>
      <c r="AW354" s="46"/>
      <c r="AX354" s="46"/>
      <c r="AY354" s="46"/>
      <c r="AZ354" s="46"/>
      <c r="BA354" s="46"/>
      <c r="BB354" s="46"/>
      <c r="BC354" s="46"/>
      <c r="BD354" s="46"/>
      <c r="BE354" s="46"/>
      <c r="BF354" s="46"/>
      <c r="BG354" s="46"/>
      <c r="BH354" s="46"/>
    </row>
    <row r="355" spans="1:60" ht="14.25" customHeight="1" x14ac:dyDescent="0.3">
      <c r="A355" s="46"/>
      <c r="B355" s="37"/>
      <c r="C355" s="46" t="s">
        <v>383</v>
      </c>
      <c r="D355" s="46">
        <f>'[3]CFF SA'!E166/2*12</f>
        <v>2000004</v>
      </c>
      <c r="E355" s="119">
        <v>0.5</v>
      </c>
      <c r="F355" s="46">
        <f>D355*E355</f>
        <v>1000002</v>
      </c>
      <c r="G355" s="46">
        <f t="shared" ref="G355:G357" si="259">F355/$E$338</f>
        <v>44425.578419874182</v>
      </c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  <c r="AC355" s="46"/>
      <c r="AD355" s="46"/>
      <c r="AE355" s="46"/>
      <c r="AF355" s="46"/>
      <c r="AG355" s="46"/>
      <c r="AH355" s="46"/>
      <c r="AI355" s="46"/>
      <c r="AJ355" s="46"/>
      <c r="AK355" s="46"/>
      <c r="AL355" s="46"/>
      <c r="AM355" s="46"/>
      <c r="AN355" s="46"/>
      <c r="AO355" s="46"/>
      <c r="AP355" s="46"/>
      <c r="AQ355" s="46"/>
      <c r="AR355" s="46"/>
      <c r="AS355" s="46"/>
      <c r="AT355" s="46"/>
      <c r="AU355" s="46"/>
      <c r="AV355" s="46"/>
      <c r="AW355" s="46"/>
      <c r="AX355" s="46"/>
      <c r="AY355" s="46"/>
      <c r="AZ355" s="46"/>
      <c r="BA355" s="46"/>
      <c r="BB355" s="46"/>
      <c r="BC355" s="46"/>
      <c r="BD355" s="46"/>
      <c r="BE355" s="46"/>
      <c r="BF355" s="46"/>
      <c r="BG355" s="46"/>
      <c r="BH355" s="46"/>
    </row>
    <row r="356" spans="1:60" ht="14.25" customHeight="1" x14ac:dyDescent="0.3">
      <c r="A356" s="46"/>
      <c r="B356" s="37"/>
      <c r="C356" s="46" t="s">
        <v>384</v>
      </c>
      <c r="D356" s="46">
        <f>'[3]CFF SA'!E189*12</f>
        <v>1500000</v>
      </c>
      <c r="E356" s="119">
        <v>0.25</v>
      </c>
      <c r="F356" s="46">
        <f>D356*E356</f>
        <v>375000</v>
      </c>
      <c r="G356" s="46">
        <f t="shared" si="259"/>
        <v>16659.55858833564</v>
      </c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  <c r="AC356" s="46"/>
      <c r="AD356" s="46"/>
      <c r="AE356" s="46"/>
      <c r="AF356" s="46"/>
      <c r="AG356" s="46"/>
      <c r="AH356" s="46"/>
      <c r="AI356" s="46"/>
      <c r="AJ356" s="46"/>
      <c r="AK356" s="46"/>
      <c r="AL356" s="46"/>
      <c r="AM356" s="46"/>
      <c r="AN356" s="46"/>
      <c r="AO356" s="46"/>
      <c r="AP356" s="46"/>
      <c r="AQ356" s="46"/>
      <c r="AR356" s="46"/>
      <c r="AS356" s="46"/>
      <c r="AT356" s="46"/>
      <c r="AU356" s="46"/>
      <c r="AV356" s="46"/>
      <c r="AW356" s="46"/>
      <c r="AX356" s="46"/>
      <c r="AY356" s="46"/>
      <c r="AZ356" s="46"/>
      <c r="BA356" s="46"/>
      <c r="BB356" s="46"/>
      <c r="BC356" s="46"/>
      <c r="BD356" s="46"/>
      <c r="BE356" s="46"/>
      <c r="BF356" s="46"/>
      <c r="BG356" s="46"/>
      <c r="BH356" s="46"/>
    </row>
    <row r="357" spans="1:60" ht="14.25" customHeight="1" x14ac:dyDescent="0.3">
      <c r="A357" s="46"/>
      <c r="B357" s="37"/>
      <c r="C357" s="46" t="s">
        <v>385</v>
      </c>
      <c r="D357" s="59">
        <f>50000*12</f>
        <v>600000</v>
      </c>
      <c r="E357" s="119">
        <v>1</v>
      </c>
      <c r="F357" s="46">
        <f>D357*E357</f>
        <v>600000</v>
      </c>
      <c r="G357" s="120">
        <f t="shared" si="259"/>
        <v>26655.293741337027</v>
      </c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  <c r="AC357" s="46"/>
      <c r="AD357" s="46"/>
      <c r="AE357" s="46"/>
      <c r="AF357" s="46"/>
      <c r="AG357" s="46"/>
      <c r="AH357" s="46"/>
      <c r="AI357" s="46"/>
      <c r="AJ357" s="46"/>
      <c r="AK357" s="46"/>
      <c r="AL357" s="46"/>
      <c r="AM357" s="46"/>
      <c r="AN357" s="46"/>
      <c r="AO357" s="46"/>
      <c r="AP357" s="46"/>
      <c r="AQ357" s="46"/>
      <c r="AR357" s="46"/>
      <c r="AS357" s="46"/>
      <c r="AT357" s="46"/>
      <c r="AU357" s="46"/>
      <c r="AV357" s="46"/>
      <c r="AW357" s="46"/>
      <c r="AX357" s="46"/>
      <c r="AY357" s="46"/>
      <c r="AZ357" s="46"/>
      <c r="BA357" s="46"/>
      <c r="BB357" s="46"/>
      <c r="BC357" s="46"/>
      <c r="BD357" s="46"/>
      <c r="BE357" s="46"/>
      <c r="BF357" s="46"/>
      <c r="BG357" s="46"/>
      <c r="BH357" s="46"/>
    </row>
    <row r="358" spans="1:60" ht="14.25" customHeight="1" x14ac:dyDescent="0.3">
      <c r="A358" s="46"/>
      <c r="B358" s="37"/>
      <c r="C358" s="46"/>
      <c r="D358" s="46"/>
      <c r="E358" s="46"/>
      <c r="F358" s="46" t="s">
        <v>386</v>
      </c>
      <c r="G358" s="46">
        <f>SUM(G354:G357)</f>
        <v>109064.66574261646</v>
      </c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  <c r="AC358" s="46"/>
      <c r="AD358" s="46"/>
      <c r="AE358" s="46"/>
      <c r="AF358" s="46"/>
      <c r="AG358" s="46"/>
      <c r="AH358" s="46"/>
      <c r="AI358" s="46"/>
      <c r="AJ358" s="46"/>
      <c r="AK358" s="46"/>
      <c r="AL358" s="46"/>
      <c r="AM358" s="46"/>
      <c r="AN358" s="46"/>
      <c r="AO358" s="46"/>
      <c r="AP358" s="46"/>
      <c r="AQ358" s="46"/>
      <c r="AR358" s="46"/>
      <c r="AS358" s="46"/>
      <c r="AT358" s="46"/>
      <c r="AU358" s="46"/>
      <c r="AV358" s="46"/>
      <c r="AW358" s="46"/>
      <c r="AX358" s="46"/>
      <c r="AY358" s="46"/>
      <c r="AZ358" s="46"/>
      <c r="BA358" s="46"/>
      <c r="BB358" s="46"/>
      <c r="BC358" s="46"/>
      <c r="BD358" s="46"/>
      <c r="BE358" s="46"/>
      <c r="BF358" s="46"/>
      <c r="BG358" s="46"/>
      <c r="BH358" s="46"/>
    </row>
    <row r="359" spans="1:60" ht="14.25" customHeight="1" x14ac:dyDescent="0.3">
      <c r="A359" s="46"/>
      <c r="B359" s="37"/>
      <c r="C359" s="118" t="s">
        <v>387</v>
      </c>
      <c r="D359" s="46"/>
      <c r="E359" s="119">
        <v>0.1</v>
      </c>
      <c r="G359" s="46">
        <f>G358*E359</f>
        <v>10906.466574261647</v>
      </c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  <c r="AC359" s="46"/>
      <c r="AD359" s="46"/>
      <c r="AE359" s="46"/>
      <c r="AF359" s="46"/>
      <c r="AG359" s="46"/>
      <c r="AH359" s="46"/>
      <c r="AI359" s="46"/>
      <c r="AJ359" s="46"/>
      <c r="AK359" s="46"/>
      <c r="AL359" s="46"/>
      <c r="AM359" s="46"/>
      <c r="AN359" s="46"/>
      <c r="AO359" s="46"/>
      <c r="AP359" s="46"/>
      <c r="AQ359" s="46"/>
      <c r="AR359" s="46"/>
      <c r="AS359" s="46"/>
      <c r="AT359" s="46"/>
      <c r="AU359" s="46"/>
      <c r="AV359" s="46"/>
      <c r="AW359" s="46"/>
      <c r="AX359" s="46"/>
      <c r="AY359" s="46"/>
      <c r="AZ359" s="46"/>
      <c r="BA359" s="46"/>
      <c r="BB359" s="46"/>
      <c r="BC359" s="46"/>
      <c r="BD359" s="46"/>
      <c r="BE359" s="46"/>
      <c r="BF359" s="46"/>
      <c r="BG359" s="46"/>
      <c r="BH359" s="46"/>
    </row>
    <row r="360" spans="1:60" ht="14.25" customHeight="1" x14ac:dyDescent="0.3">
      <c r="A360" s="46"/>
      <c r="B360" s="37"/>
      <c r="C360" s="46"/>
      <c r="D360" s="46"/>
      <c r="E360" s="46"/>
      <c r="F360" s="46" t="s">
        <v>386</v>
      </c>
      <c r="G360" s="63">
        <f>G358+G359</f>
        <v>119971.13231687811</v>
      </c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  <c r="AC360" s="46"/>
      <c r="AD360" s="46"/>
      <c r="AE360" s="46"/>
      <c r="AF360" s="46"/>
      <c r="AG360" s="46"/>
      <c r="AH360" s="46"/>
      <c r="AI360" s="46"/>
      <c r="AJ360" s="46"/>
      <c r="AK360" s="46"/>
      <c r="AL360" s="46"/>
      <c r="AM360" s="46"/>
      <c r="AN360" s="46"/>
      <c r="AO360" s="46"/>
      <c r="AP360" s="46"/>
      <c r="AQ360" s="46"/>
      <c r="AR360" s="46"/>
      <c r="AS360" s="46"/>
      <c r="AT360" s="46"/>
      <c r="AU360" s="46"/>
      <c r="AV360" s="46"/>
      <c r="AW360" s="46"/>
      <c r="AX360" s="46"/>
      <c r="AY360" s="46"/>
      <c r="AZ360" s="46"/>
      <c r="BA360" s="46"/>
      <c r="BB360" s="46"/>
      <c r="BC360" s="46"/>
      <c r="BD360" s="46"/>
      <c r="BE360" s="46"/>
      <c r="BF360" s="46"/>
      <c r="BG360" s="46"/>
      <c r="BH360" s="46"/>
    </row>
    <row r="361" spans="1:60" ht="14.25" customHeight="1" x14ac:dyDescent="0.3">
      <c r="A361" s="46"/>
      <c r="B361" s="37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  <c r="AC361" s="46"/>
      <c r="AD361" s="46"/>
      <c r="AE361" s="46"/>
      <c r="AF361" s="46"/>
      <c r="AG361" s="46"/>
      <c r="AH361" s="46"/>
      <c r="AI361" s="46"/>
      <c r="AJ361" s="46"/>
      <c r="AK361" s="46"/>
      <c r="AL361" s="46"/>
      <c r="AM361" s="46"/>
      <c r="AN361" s="46"/>
      <c r="AO361" s="46"/>
      <c r="AP361" s="46"/>
      <c r="AQ361" s="46"/>
      <c r="AR361" s="46"/>
      <c r="AS361" s="46"/>
      <c r="AT361" s="46"/>
      <c r="AU361" s="46"/>
      <c r="AV361" s="46"/>
      <c r="AW361" s="46"/>
      <c r="AX361" s="46"/>
      <c r="AY361" s="46"/>
      <c r="AZ361" s="46"/>
      <c r="BA361" s="46"/>
      <c r="BB361" s="46"/>
      <c r="BC361" s="46"/>
      <c r="BD361" s="46"/>
      <c r="BE361" s="46"/>
      <c r="BF361" s="46"/>
      <c r="BG361" s="46"/>
      <c r="BH361" s="46"/>
    </row>
    <row r="362" spans="1:60" ht="14.25" customHeight="1" x14ac:dyDescent="0.3">
      <c r="A362" s="46"/>
      <c r="B362" s="37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  <c r="AC362" s="46"/>
      <c r="AD362" s="46"/>
      <c r="AE362" s="46"/>
      <c r="AF362" s="46"/>
      <c r="AG362" s="46"/>
      <c r="AH362" s="46"/>
      <c r="AI362" s="46"/>
      <c r="AJ362" s="46"/>
      <c r="AK362" s="46"/>
      <c r="AL362" s="46"/>
      <c r="AM362" s="46"/>
      <c r="AN362" s="46"/>
      <c r="AO362" s="46"/>
      <c r="AP362" s="46"/>
      <c r="AQ362" s="46"/>
      <c r="AR362" s="46"/>
      <c r="AS362" s="46"/>
      <c r="AT362" s="46"/>
      <c r="AU362" s="46"/>
      <c r="AV362" s="46"/>
      <c r="AW362" s="46"/>
      <c r="AX362" s="46"/>
      <c r="AY362" s="46"/>
      <c r="AZ362" s="46"/>
      <c r="BA362" s="46"/>
      <c r="BB362" s="46"/>
      <c r="BC362" s="46"/>
      <c r="BD362" s="46"/>
      <c r="BE362" s="46"/>
      <c r="BF362" s="46"/>
      <c r="BG362" s="46"/>
      <c r="BH362" s="46"/>
    </row>
    <row r="363" spans="1:60" ht="14.25" customHeight="1" x14ac:dyDescent="0.3">
      <c r="A363" s="46"/>
      <c r="B363" s="37" t="s">
        <v>388</v>
      </c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  <c r="AC363" s="46"/>
      <c r="AD363" s="46"/>
      <c r="AE363" s="46"/>
      <c r="AF363" s="46"/>
      <c r="AG363" s="46"/>
      <c r="AH363" s="46"/>
      <c r="AI363" s="46"/>
      <c r="AJ363" s="46"/>
      <c r="AK363" s="46"/>
      <c r="AL363" s="46"/>
      <c r="AM363" s="46"/>
      <c r="AN363" s="46"/>
      <c r="AO363" s="46"/>
      <c r="AP363" s="46"/>
      <c r="AQ363" s="46"/>
      <c r="AR363" s="46"/>
      <c r="AS363" s="46"/>
      <c r="AT363" s="46"/>
      <c r="AU363" s="46"/>
      <c r="AV363" s="46"/>
      <c r="AW363" s="46"/>
      <c r="AX363" s="46"/>
      <c r="AY363" s="46"/>
      <c r="AZ363" s="46"/>
      <c r="BA363" s="46"/>
      <c r="BB363" s="46"/>
      <c r="BC363" s="46"/>
      <c r="BD363" s="46"/>
      <c r="BE363" s="46"/>
      <c r="BF363" s="46"/>
      <c r="BG363" s="46"/>
      <c r="BH363" s="46"/>
    </row>
    <row r="364" spans="1:60" ht="14.25" customHeight="1" x14ac:dyDescent="0.3">
      <c r="A364" s="46"/>
      <c r="B364" s="37"/>
      <c r="C364" s="46" t="s">
        <v>184</v>
      </c>
      <c r="D364" s="46">
        <v>0</v>
      </c>
      <c r="E364" s="46">
        <f>D368</f>
        <v>488917.80135908432</v>
      </c>
      <c r="F364" s="46">
        <f t="shared" ref="F364:H364" si="260">E368</f>
        <v>452500.98418876599</v>
      </c>
      <c r="G364" s="46">
        <f t="shared" si="260"/>
        <v>870311.74886379309</v>
      </c>
      <c r="H364" s="46">
        <f t="shared" si="260"/>
        <v>2582133.4919613213</v>
      </c>
      <c r="I364" s="46"/>
      <c r="J364" s="46">
        <f>I368</f>
        <v>0</v>
      </c>
      <c r="K364" s="46">
        <f t="shared" ref="K364:BH364" si="261">J368</f>
        <v>-448650.41666666674</v>
      </c>
      <c r="L364" s="46">
        <f t="shared" si="261"/>
        <v>-485940.41666666674</v>
      </c>
      <c r="M364" s="46">
        <f t="shared" si="261"/>
        <v>488917.80135908432</v>
      </c>
      <c r="N364" s="46">
        <f t="shared" si="261"/>
        <v>94998.852966860548</v>
      </c>
      <c r="O364" s="46">
        <f t="shared" si="261"/>
        <v>285401.67457463674</v>
      </c>
      <c r="P364" s="46">
        <f t="shared" si="261"/>
        <v>197329.85218241299</v>
      </c>
      <c r="Q364" s="46">
        <f t="shared" si="261"/>
        <v>184909.98979018923</v>
      </c>
      <c r="R364" s="46">
        <f t="shared" si="261"/>
        <v>255790.57739796542</v>
      </c>
      <c r="S364" s="46">
        <f t="shared" si="261"/>
        <v>167727.48900574166</v>
      </c>
      <c r="T364" s="46">
        <f t="shared" si="261"/>
        <v>242442.0966135179</v>
      </c>
      <c r="U364" s="46">
        <f t="shared" si="261"/>
        <v>165500.63172129414</v>
      </c>
      <c r="V364" s="46">
        <f t="shared" si="261"/>
        <v>85448.238482403685</v>
      </c>
      <c r="W364" s="46">
        <f t="shared" si="261"/>
        <v>26800.783408148665</v>
      </c>
      <c r="X364" s="46">
        <f t="shared" si="261"/>
        <v>163392.67529580183</v>
      </c>
      <c r="Y364" s="46">
        <f t="shared" si="261"/>
        <v>127500.98418876599</v>
      </c>
      <c r="Z364" s="46">
        <f t="shared" si="261"/>
        <v>140091.30594377394</v>
      </c>
      <c r="AA364" s="46">
        <f t="shared" si="261"/>
        <v>160539.63730057341</v>
      </c>
      <c r="AB364" s="46">
        <f t="shared" si="261"/>
        <v>189078.26480745824</v>
      </c>
      <c r="AC364" s="46">
        <f t="shared" si="261"/>
        <v>226077.57393749437</v>
      </c>
      <c r="AD364" s="46">
        <f t="shared" si="261"/>
        <v>233223.75738397334</v>
      </c>
      <c r="AE364" s="46">
        <f t="shared" si="261"/>
        <v>286186.65223596641</v>
      </c>
      <c r="AF364" s="46">
        <f t="shared" si="261"/>
        <v>346554.65739891329</v>
      </c>
      <c r="AG364" s="46">
        <f t="shared" si="261"/>
        <v>414825.09053774562</v>
      </c>
      <c r="AH364" s="46">
        <f t="shared" si="261"/>
        <v>453147.3478290831</v>
      </c>
      <c r="AI364" s="46">
        <f t="shared" si="261"/>
        <v>533591.51530528348</v>
      </c>
      <c r="AJ364" s="46">
        <f t="shared" si="261"/>
        <v>620805.79708464036</v>
      </c>
      <c r="AK364" s="46">
        <f t="shared" si="261"/>
        <v>545311.74886379309</v>
      </c>
      <c r="AL364" s="46">
        <f t="shared" si="261"/>
        <v>647674.44975777983</v>
      </c>
      <c r="AM364" s="46">
        <f t="shared" si="261"/>
        <v>758042.68943402043</v>
      </c>
      <c r="AN364" s="46">
        <f t="shared" si="261"/>
        <v>875097.68409495195</v>
      </c>
      <c r="AO364" s="46">
        <f t="shared" si="261"/>
        <v>999314.81004100014</v>
      </c>
      <c r="AP364" s="46">
        <f t="shared" si="261"/>
        <v>1131206.0158402801</v>
      </c>
      <c r="AQ364" s="46">
        <f t="shared" si="261"/>
        <v>1270042.2474885476</v>
      </c>
      <c r="AR364" s="46">
        <f t="shared" si="261"/>
        <v>1416070.270531266</v>
      </c>
      <c r="AS364" s="46">
        <f t="shared" si="261"/>
        <v>1569767.8269728688</v>
      </c>
      <c r="AT364" s="46">
        <f t="shared" si="261"/>
        <v>1731646.4559093993</v>
      </c>
      <c r="AU364" s="46">
        <f t="shared" si="261"/>
        <v>1901836.6383476125</v>
      </c>
      <c r="AV364" s="46">
        <f t="shared" si="261"/>
        <v>2080800.8095628973</v>
      </c>
      <c r="AW364" s="46">
        <f t="shared" si="261"/>
        <v>2257133.4919613213</v>
      </c>
      <c r="AX364" s="46">
        <f t="shared" si="261"/>
        <v>2443428.7858525319</v>
      </c>
      <c r="AY364" s="46">
        <f t="shared" si="261"/>
        <v>2640343.1843956728</v>
      </c>
      <c r="AZ364" s="46">
        <f t="shared" si="261"/>
        <v>2848174.603846509</v>
      </c>
      <c r="BA364" s="46">
        <f t="shared" si="261"/>
        <v>3065247.5152432388</v>
      </c>
      <c r="BB364" s="46">
        <f t="shared" si="261"/>
        <v>3285714.0770362229</v>
      </c>
      <c r="BC364" s="46">
        <f t="shared" si="261"/>
        <v>3509749.2065659547</v>
      </c>
      <c r="BD364" s="46">
        <f t="shared" si="261"/>
        <v>3737537.0905220201</v>
      </c>
      <c r="BE364" s="46">
        <f t="shared" si="261"/>
        <v>3969271.7007587599</v>
      </c>
      <c r="BF364" s="46">
        <f t="shared" si="261"/>
        <v>4205157.3411365338</v>
      </c>
      <c r="BG364" s="46">
        <f t="shared" si="261"/>
        <v>4445409.2274633516</v>
      </c>
      <c r="BH364" s="46">
        <f t="shared" si="261"/>
        <v>4690254.1027677199</v>
      </c>
    </row>
    <row r="365" spans="1:60" ht="14.25" customHeight="1" x14ac:dyDescent="0.3">
      <c r="A365" s="46"/>
      <c r="B365" s="37"/>
      <c r="C365" s="46" t="s">
        <v>389</v>
      </c>
      <c r="D365" s="46">
        <f>SUMIF($1:$1,D$238,365:365)</f>
        <v>1204832.6180257511</v>
      </c>
      <c r="E365" s="46">
        <f>SUMIF($1:$1,E$238,365:365)</f>
        <v>1235000</v>
      </c>
      <c r="F365" s="46">
        <f>SUMIF($1:$1,F$238,365:365)</f>
        <v>0</v>
      </c>
      <c r="G365" s="46">
        <f>SUMIF($1:$1,G$238,365:365)</f>
        <v>0</v>
      </c>
      <c r="H365" s="46">
        <f>SUMIF($1:$1,H$238,365:365)</f>
        <v>0</v>
      </c>
      <c r="I365" s="46"/>
      <c r="J365" s="46">
        <f t="shared" ref="J365:BH365" si="262">J343</f>
        <v>0</v>
      </c>
      <c r="K365" s="46">
        <f t="shared" si="262"/>
        <v>0</v>
      </c>
      <c r="L365" s="46">
        <f t="shared" si="262"/>
        <v>1204832.6180257511</v>
      </c>
      <c r="M365" s="46">
        <f t="shared" si="262"/>
        <v>0</v>
      </c>
      <c r="N365" s="46">
        <f t="shared" si="262"/>
        <v>220000</v>
      </c>
      <c r="O365" s="46">
        <f t="shared" si="262"/>
        <v>200000</v>
      </c>
      <c r="P365" s="46">
        <f t="shared" si="262"/>
        <v>0</v>
      </c>
      <c r="Q365" s="46">
        <f t="shared" si="262"/>
        <v>200000</v>
      </c>
      <c r="R365" s="46">
        <f t="shared" si="262"/>
        <v>0</v>
      </c>
      <c r="S365" s="46">
        <f t="shared" si="262"/>
        <v>105000</v>
      </c>
      <c r="T365" s="46">
        <f t="shared" si="262"/>
        <v>0</v>
      </c>
      <c r="U365" s="46">
        <f t="shared" si="262"/>
        <v>350000</v>
      </c>
      <c r="V365" s="46">
        <f t="shared" si="262"/>
        <v>0</v>
      </c>
      <c r="W365" s="46">
        <f t="shared" si="262"/>
        <v>160000</v>
      </c>
      <c r="X365" s="46">
        <f t="shared" si="262"/>
        <v>0</v>
      </c>
      <c r="Y365" s="46">
        <f t="shared" si="262"/>
        <v>0</v>
      </c>
      <c r="Z365" s="46">
        <f t="shared" si="262"/>
        <v>0</v>
      </c>
      <c r="AA365" s="46">
        <f t="shared" si="262"/>
        <v>0</v>
      </c>
      <c r="AB365" s="46">
        <f t="shared" si="262"/>
        <v>0</v>
      </c>
      <c r="AC365" s="46">
        <f t="shared" si="262"/>
        <v>0</v>
      </c>
      <c r="AD365" s="46">
        <f t="shared" si="262"/>
        <v>0</v>
      </c>
      <c r="AE365" s="46">
        <f t="shared" si="262"/>
        <v>0</v>
      </c>
      <c r="AF365" s="46">
        <f t="shared" si="262"/>
        <v>0</v>
      </c>
      <c r="AG365" s="46">
        <f t="shared" si="262"/>
        <v>0</v>
      </c>
      <c r="AH365" s="46">
        <f t="shared" si="262"/>
        <v>0</v>
      </c>
      <c r="AI365" s="46">
        <f t="shared" si="262"/>
        <v>0</v>
      </c>
      <c r="AJ365" s="46">
        <f t="shared" si="262"/>
        <v>0</v>
      </c>
      <c r="AK365" s="46">
        <f t="shared" si="262"/>
        <v>0</v>
      </c>
      <c r="AL365" s="46">
        <f t="shared" si="262"/>
        <v>0</v>
      </c>
      <c r="AM365" s="46">
        <f t="shared" si="262"/>
        <v>0</v>
      </c>
      <c r="AN365" s="46">
        <f t="shared" si="262"/>
        <v>0</v>
      </c>
      <c r="AO365" s="46">
        <f t="shared" si="262"/>
        <v>0</v>
      </c>
      <c r="AP365" s="46">
        <f t="shared" si="262"/>
        <v>0</v>
      </c>
      <c r="AQ365" s="46">
        <f t="shared" si="262"/>
        <v>0</v>
      </c>
      <c r="AR365" s="46">
        <f t="shared" si="262"/>
        <v>0</v>
      </c>
      <c r="AS365" s="46">
        <f t="shared" si="262"/>
        <v>0</v>
      </c>
      <c r="AT365" s="46">
        <f t="shared" si="262"/>
        <v>0</v>
      </c>
      <c r="AU365" s="46">
        <f t="shared" si="262"/>
        <v>0</v>
      </c>
      <c r="AV365" s="46">
        <f t="shared" si="262"/>
        <v>0</v>
      </c>
      <c r="AW365" s="46">
        <f t="shared" si="262"/>
        <v>0</v>
      </c>
      <c r="AX365" s="46">
        <f t="shared" si="262"/>
        <v>0</v>
      </c>
      <c r="AY365" s="46">
        <f t="shared" si="262"/>
        <v>0</v>
      </c>
      <c r="AZ365" s="46">
        <f t="shared" si="262"/>
        <v>0</v>
      </c>
      <c r="BA365" s="46">
        <f t="shared" si="262"/>
        <v>0</v>
      </c>
      <c r="BB365" s="46">
        <f t="shared" si="262"/>
        <v>0</v>
      </c>
      <c r="BC365" s="46">
        <f t="shared" si="262"/>
        <v>0</v>
      </c>
      <c r="BD365" s="46">
        <f t="shared" si="262"/>
        <v>0</v>
      </c>
      <c r="BE365" s="46">
        <f t="shared" si="262"/>
        <v>0</v>
      </c>
      <c r="BF365" s="46">
        <f t="shared" si="262"/>
        <v>0</v>
      </c>
      <c r="BG365" s="46">
        <f t="shared" si="262"/>
        <v>0</v>
      </c>
      <c r="BH365" s="46">
        <f t="shared" si="262"/>
        <v>0</v>
      </c>
    </row>
    <row r="366" spans="1:60" ht="14.25" customHeight="1" x14ac:dyDescent="0.3">
      <c r="A366" s="46"/>
      <c r="B366" s="37"/>
      <c r="C366" s="46" t="s">
        <v>390</v>
      </c>
      <c r="D366" s="46"/>
      <c r="E366" s="46"/>
      <c r="F366" s="46"/>
      <c r="G366" s="46"/>
      <c r="H366" s="46"/>
      <c r="I366" s="46"/>
      <c r="J366" s="46"/>
      <c r="K366" s="46"/>
      <c r="L366" s="46"/>
      <c r="M366" s="46">
        <f>E336*-1</f>
        <v>-275000</v>
      </c>
      <c r="N366" s="46"/>
      <c r="O366" s="46"/>
      <c r="P366" s="46"/>
      <c r="Q366" s="46"/>
      <c r="R366" s="46"/>
      <c r="S366" s="46"/>
      <c r="T366" s="46"/>
      <c r="U366" s="46">
        <v>-50000</v>
      </c>
      <c r="V366" s="46"/>
      <c r="W366" s="46"/>
      <c r="X366" s="46"/>
      <c r="Y366" s="46"/>
      <c r="Z366" s="46"/>
      <c r="AA366" s="46"/>
      <c r="AB366" s="46"/>
      <c r="AC366" s="46"/>
      <c r="AD366" s="46"/>
      <c r="AE366" s="46"/>
      <c r="AF366" s="46"/>
      <c r="AG366" s="46"/>
      <c r="AH366" s="46"/>
      <c r="AI366" s="46"/>
      <c r="AJ366" s="46"/>
      <c r="AK366" s="46"/>
      <c r="AL366" s="46"/>
      <c r="AM366" s="46"/>
      <c r="AN366" s="46"/>
      <c r="AO366" s="46"/>
      <c r="AP366" s="46"/>
      <c r="AQ366" s="46"/>
      <c r="AR366" s="46"/>
      <c r="AS366" s="46"/>
      <c r="AT366" s="46"/>
      <c r="AU366" s="46"/>
      <c r="AV366" s="46"/>
      <c r="AW366" s="46"/>
      <c r="AX366" s="46"/>
      <c r="AY366" s="46"/>
      <c r="AZ366" s="46"/>
      <c r="BA366" s="46"/>
      <c r="BB366" s="46"/>
      <c r="BC366" s="46"/>
      <c r="BD366" s="46"/>
      <c r="BE366" s="46"/>
      <c r="BF366" s="46"/>
      <c r="BG366" s="46"/>
      <c r="BH366" s="46"/>
    </row>
    <row r="367" spans="1:60" ht="14.25" customHeight="1" x14ac:dyDescent="0.3">
      <c r="A367" s="46"/>
      <c r="B367" s="37"/>
      <c r="C367" s="46" t="s">
        <v>185</v>
      </c>
      <c r="D367" s="46">
        <f>SUMIF($1:$1,D$238,367:367)</f>
        <v>-715914.81666666677</v>
      </c>
      <c r="E367" s="46">
        <f>SUMIF($1:$1,E$238,367:367)</f>
        <v>-1271416.8171703184</v>
      </c>
      <c r="F367" s="46">
        <f>SUMIF($1:$1,F$238,367:367)</f>
        <v>417810.76467502711</v>
      </c>
      <c r="G367" s="46">
        <f>SUMIF($1:$1,G$238,367:367)</f>
        <v>1711821.7430975283</v>
      </c>
      <c r="H367" s="46">
        <f>SUMIF($1:$1,H$238,367:367)</f>
        <v>2670817.3983413535</v>
      </c>
      <c r="I367" s="46"/>
      <c r="J367" s="46">
        <f t="shared" ref="J367:BH367" si="263">J331</f>
        <v>-448650.41666666674</v>
      </c>
      <c r="K367" s="46">
        <f t="shared" si="263"/>
        <v>-37290</v>
      </c>
      <c r="L367" s="46">
        <f t="shared" si="263"/>
        <v>-229974.39999999999</v>
      </c>
      <c r="M367" s="46">
        <f t="shared" si="263"/>
        <v>-118918.94839222377</v>
      </c>
      <c r="N367" s="46">
        <f t="shared" si="263"/>
        <v>-29597.178392223759</v>
      </c>
      <c r="O367" s="46">
        <f t="shared" si="263"/>
        <v>-288071.82239222375</v>
      </c>
      <c r="P367" s="46">
        <f t="shared" si="263"/>
        <v>-12419.86239222376</v>
      </c>
      <c r="Q367" s="46">
        <f t="shared" si="263"/>
        <v>-129119.41239222376</v>
      </c>
      <c r="R367" s="46">
        <f t="shared" si="263"/>
        <v>-88063.08839222377</v>
      </c>
      <c r="S367" s="46">
        <f t="shared" si="263"/>
        <v>-30285.392392223766</v>
      </c>
      <c r="T367" s="46">
        <f t="shared" si="263"/>
        <v>-76941.464892223768</v>
      </c>
      <c r="U367" s="46">
        <f t="shared" si="263"/>
        <v>-380052.39323889045</v>
      </c>
      <c r="V367" s="46">
        <f t="shared" si="263"/>
        <v>-58647.45507425502</v>
      </c>
      <c r="W367" s="46">
        <f t="shared" si="263"/>
        <v>-23408.108112346832</v>
      </c>
      <c r="X367" s="46">
        <f t="shared" si="263"/>
        <v>-35891.691107035847</v>
      </c>
      <c r="Y367" s="46">
        <f t="shared" si="263"/>
        <v>12590.321755007957</v>
      </c>
      <c r="Z367" s="46">
        <f t="shared" si="263"/>
        <v>20448.331356799463</v>
      </c>
      <c r="AA367" s="46">
        <f t="shared" si="263"/>
        <v>28538.627506884834</v>
      </c>
      <c r="AB367" s="46">
        <f t="shared" si="263"/>
        <v>36999.309130036127</v>
      </c>
      <c r="AC367" s="46">
        <f t="shared" si="263"/>
        <v>7146.183446478979</v>
      </c>
      <c r="AD367" s="46">
        <f t="shared" si="263"/>
        <v>52962.8948519931</v>
      </c>
      <c r="AE367" s="46">
        <f t="shared" si="263"/>
        <v>60368.005162946851</v>
      </c>
      <c r="AF367" s="46">
        <f t="shared" si="263"/>
        <v>68270.433138832363</v>
      </c>
      <c r="AG367" s="46">
        <f t="shared" si="263"/>
        <v>38322.257291337482</v>
      </c>
      <c r="AH367" s="46">
        <f t="shared" si="263"/>
        <v>80444.167476200411</v>
      </c>
      <c r="AI367" s="46">
        <f t="shared" si="263"/>
        <v>87214.281779356883</v>
      </c>
      <c r="AJ367" s="46">
        <f t="shared" si="263"/>
        <v>-75494.048220847297</v>
      </c>
      <c r="AK367" s="46">
        <f t="shared" si="263"/>
        <v>102362.70089398677</v>
      </c>
      <c r="AL367" s="46">
        <f t="shared" si="263"/>
        <v>110368.23967624057</v>
      </c>
      <c r="AM367" s="46">
        <f t="shared" si="263"/>
        <v>117054.99466093158</v>
      </c>
      <c r="AN367" s="46">
        <f t="shared" si="263"/>
        <v>124217.12594604821</v>
      </c>
      <c r="AO367" s="46">
        <f t="shared" si="263"/>
        <v>131891.20579927997</v>
      </c>
      <c r="AP367" s="46">
        <f t="shared" si="263"/>
        <v>138836.23164826736</v>
      </c>
      <c r="AQ367" s="46">
        <f t="shared" si="263"/>
        <v>146028.0230427183</v>
      </c>
      <c r="AR367" s="46">
        <f t="shared" si="263"/>
        <v>153697.5564416027</v>
      </c>
      <c r="AS367" s="46">
        <f t="shared" si="263"/>
        <v>161878.62893653067</v>
      </c>
      <c r="AT367" s="46">
        <f t="shared" si="263"/>
        <v>170190.18243821309</v>
      </c>
      <c r="AU367" s="46">
        <f t="shared" si="263"/>
        <v>178964.17121528479</v>
      </c>
      <c r="AV367" s="46">
        <f t="shared" si="263"/>
        <v>176332.68239842408</v>
      </c>
      <c r="AW367" s="46">
        <f t="shared" si="263"/>
        <v>186295.2938912104</v>
      </c>
      <c r="AX367" s="46">
        <f t="shared" si="263"/>
        <v>196914.39854314108</v>
      </c>
      <c r="AY367" s="46">
        <f t="shared" si="263"/>
        <v>207831.41945083602</v>
      </c>
      <c r="AZ367" s="46">
        <f t="shared" si="263"/>
        <v>217072.9113967297</v>
      </c>
      <c r="BA367" s="46">
        <f t="shared" si="263"/>
        <v>220466.56179298408</v>
      </c>
      <c r="BB367" s="46">
        <f t="shared" si="263"/>
        <v>224035.1295297317</v>
      </c>
      <c r="BC367" s="46">
        <f t="shared" si="263"/>
        <v>227787.88395606552</v>
      </c>
      <c r="BD367" s="46">
        <f t="shared" si="263"/>
        <v>231734.61023673968</v>
      </c>
      <c r="BE367" s="46">
        <f t="shared" si="263"/>
        <v>235885.6403777735</v>
      </c>
      <c r="BF367" s="46">
        <f t="shared" si="263"/>
        <v>240251.8863268175</v>
      </c>
      <c r="BG367" s="46">
        <f t="shared" si="263"/>
        <v>244844.87530436821</v>
      </c>
      <c r="BH367" s="46">
        <f t="shared" si="263"/>
        <v>237696.7875349563</v>
      </c>
    </row>
    <row r="368" spans="1:60" ht="14.25" customHeight="1" x14ac:dyDescent="0.3">
      <c r="A368" s="46"/>
      <c r="B368" s="37"/>
      <c r="C368" s="46" t="s">
        <v>186</v>
      </c>
      <c r="D368" s="63">
        <f>SUM(D364:D367)</f>
        <v>488917.80135908432</v>
      </c>
      <c r="E368" s="63">
        <f t="shared" ref="E368:H368" si="264">SUM(E364:E367)</f>
        <v>452500.98418876599</v>
      </c>
      <c r="F368" s="63">
        <f t="shared" si="264"/>
        <v>870311.74886379309</v>
      </c>
      <c r="G368" s="63">
        <f t="shared" si="264"/>
        <v>2582133.4919613213</v>
      </c>
      <c r="H368" s="63">
        <f t="shared" si="264"/>
        <v>5252950.8903026748</v>
      </c>
      <c r="I368" s="46"/>
      <c r="J368" s="63">
        <f>SUM(J364:J367)</f>
        <v>-448650.41666666674</v>
      </c>
      <c r="K368" s="63">
        <f t="shared" ref="K368:BH368" si="265">SUM(K364:K367)</f>
        <v>-485940.41666666674</v>
      </c>
      <c r="L368" s="63">
        <f t="shared" si="265"/>
        <v>488917.80135908432</v>
      </c>
      <c r="M368" s="63">
        <f>SUM(M364:M367)</f>
        <v>94998.852966860548</v>
      </c>
      <c r="N368" s="63">
        <f t="shared" si="265"/>
        <v>285401.67457463674</v>
      </c>
      <c r="O368" s="63">
        <f t="shared" si="265"/>
        <v>197329.85218241299</v>
      </c>
      <c r="P368" s="63">
        <f t="shared" si="265"/>
        <v>184909.98979018923</v>
      </c>
      <c r="Q368" s="63">
        <f t="shared" si="265"/>
        <v>255790.57739796542</v>
      </c>
      <c r="R368" s="63">
        <f t="shared" si="265"/>
        <v>167727.48900574166</v>
      </c>
      <c r="S368" s="63">
        <f t="shared" si="265"/>
        <v>242442.0966135179</v>
      </c>
      <c r="T368" s="63">
        <f t="shared" si="265"/>
        <v>165500.63172129414</v>
      </c>
      <c r="U368" s="63">
        <f t="shared" si="265"/>
        <v>85448.238482403685</v>
      </c>
      <c r="V368" s="63">
        <f t="shared" si="265"/>
        <v>26800.783408148665</v>
      </c>
      <c r="W368" s="63">
        <f t="shared" si="265"/>
        <v>163392.67529580183</v>
      </c>
      <c r="X368" s="63">
        <f t="shared" si="265"/>
        <v>127500.98418876599</v>
      </c>
      <c r="Y368" s="63">
        <f t="shared" si="265"/>
        <v>140091.30594377394</v>
      </c>
      <c r="Z368" s="63">
        <f t="shared" si="265"/>
        <v>160539.63730057341</v>
      </c>
      <c r="AA368" s="63">
        <f t="shared" si="265"/>
        <v>189078.26480745824</v>
      </c>
      <c r="AB368" s="63">
        <f t="shared" si="265"/>
        <v>226077.57393749437</v>
      </c>
      <c r="AC368" s="63">
        <f t="shared" si="265"/>
        <v>233223.75738397334</v>
      </c>
      <c r="AD368" s="63">
        <f t="shared" si="265"/>
        <v>286186.65223596641</v>
      </c>
      <c r="AE368" s="63">
        <f t="shared" si="265"/>
        <v>346554.65739891329</v>
      </c>
      <c r="AF368" s="63">
        <f t="shared" si="265"/>
        <v>414825.09053774562</v>
      </c>
      <c r="AG368" s="63">
        <f t="shared" si="265"/>
        <v>453147.3478290831</v>
      </c>
      <c r="AH368" s="63">
        <f t="shared" si="265"/>
        <v>533591.51530528348</v>
      </c>
      <c r="AI368" s="63">
        <f t="shared" si="265"/>
        <v>620805.79708464036</v>
      </c>
      <c r="AJ368" s="63">
        <f t="shared" si="265"/>
        <v>545311.74886379309</v>
      </c>
      <c r="AK368" s="63">
        <f t="shared" si="265"/>
        <v>647674.44975777983</v>
      </c>
      <c r="AL368" s="63">
        <f t="shared" si="265"/>
        <v>758042.68943402043</v>
      </c>
      <c r="AM368" s="63">
        <f t="shared" si="265"/>
        <v>875097.68409495195</v>
      </c>
      <c r="AN368" s="63">
        <f t="shared" si="265"/>
        <v>999314.81004100014</v>
      </c>
      <c r="AO368" s="63">
        <f t="shared" si="265"/>
        <v>1131206.0158402801</v>
      </c>
      <c r="AP368" s="63">
        <f t="shared" si="265"/>
        <v>1270042.2474885476</v>
      </c>
      <c r="AQ368" s="63">
        <f t="shared" si="265"/>
        <v>1416070.270531266</v>
      </c>
      <c r="AR368" s="63">
        <f t="shared" si="265"/>
        <v>1569767.8269728688</v>
      </c>
      <c r="AS368" s="63">
        <f t="shared" si="265"/>
        <v>1731646.4559093993</v>
      </c>
      <c r="AT368" s="63">
        <f t="shared" si="265"/>
        <v>1901836.6383476125</v>
      </c>
      <c r="AU368" s="63">
        <f t="shared" si="265"/>
        <v>2080800.8095628973</v>
      </c>
      <c r="AV368" s="63">
        <f t="shared" si="265"/>
        <v>2257133.4919613213</v>
      </c>
      <c r="AW368" s="63">
        <f t="shared" si="265"/>
        <v>2443428.7858525319</v>
      </c>
      <c r="AX368" s="63">
        <f t="shared" si="265"/>
        <v>2640343.1843956728</v>
      </c>
      <c r="AY368" s="63">
        <f t="shared" si="265"/>
        <v>2848174.603846509</v>
      </c>
      <c r="AZ368" s="63">
        <f t="shared" si="265"/>
        <v>3065247.5152432388</v>
      </c>
      <c r="BA368" s="63">
        <f t="shared" si="265"/>
        <v>3285714.0770362229</v>
      </c>
      <c r="BB368" s="63">
        <f t="shared" si="265"/>
        <v>3509749.2065659547</v>
      </c>
      <c r="BC368" s="63">
        <f t="shared" si="265"/>
        <v>3737537.0905220201</v>
      </c>
      <c r="BD368" s="63">
        <f t="shared" si="265"/>
        <v>3969271.7007587599</v>
      </c>
      <c r="BE368" s="63">
        <f t="shared" si="265"/>
        <v>4205157.3411365338</v>
      </c>
      <c r="BF368" s="63">
        <f t="shared" si="265"/>
        <v>4445409.2274633516</v>
      </c>
      <c r="BG368" s="63">
        <f t="shared" si="265"/>
        <v>4690254.1027677199</v>
      </c>
      <c r="BH368" s="63">
        <f t="shared" si="265"/>
        <v>4927950.8903026758</v>
      </c>
    </row>
    <row r="369" spans="1:60" ht="14.25" customHeight="1" x14ac:dyDescent="0.3">
      <c r="A369" s="46"/>
      <c r="B369" s="37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  <c r="AC369" s="46"/>
      <c r="AD369" s="46"/>
      <c r="AE369" s="46"/>
      <c r="AF369" s="46"/>
      <c r="AG369" s="46"/>
      <c r="AH369" s="46"/>
      <c r="AI369" s="46"/>
      <c r="AJ369" s="46"/>
      <c r="AK369" s="46"/>
      <c r="AL369" s="46"/>
      <c r="AM369" s="46"/>
      <c r="AN369" s="46"/>
      <c r="AO369" s="46"/>
      <c r="AP369" s="46"/>
      <c r="AQ369" s="46"/>
      <c r="AR369" s="46"/>
      <c r="AS369" s="46"/>
      <c r="AT369" s="46"/>
      <c r="AU369" s="46"/>
      <c r="AV369" s="46"/>
      <c r="AW369" s="46"/>
      <c r="AX369" s="46"/>
      <c r="AY369" s="46"/>
      <c r="AZ369" s="46"/>
      <c r="BA369" s="46"/>
      <c r="BB369" s="46"/>
      <c r="BC369" s="46"/>
      <c r="BD369" s="46"/>
      <c r="BE369" s="46"/>
      <c r="BF369" s="46"/>
      <c r="BG369" s="46"/>
      <c r="BH369" s="46"/>
    </row>
    <row r="370" spans="1:60" ht="14.25" customHeight="1" x14ac:dyDescent="0.3">
      <c r="A370" s="46"/>
      <c r="B370" s="37" t="s">
        <v>246</v>
      </c>
      <c r="C370" s="37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  <c r="AE370" s="46"/>
      <c r="AF370" s="46"/>
      <c r="AG370" s="46"/>
      <c r="AH370" s="46"/>
      <c r="AI370" s="46"/>
      <c r="AJ370" s="46"/>
      <c r="AK370" s="46"/>
      <c r="AL370" s="46"/>
      <c r="AM370" s="46"/>
      <c r="AN370" s="46"/>
      <c r="AO370" s="46"/>
      <c r="AP370" s="46"/>
      <c r="AQ370" s="46"/>
      <c r="AR370" s="46"/>
      <c r="AS370" s="46"/>
      <c r="AT370" s="46"/>
      <c r="AU370" s="46"/>
      <c r="AV370" s="46"/>
      <c r="AW370" s="46"/>
      <c r="AX370" s="46"/>
      <c r="AY370" s="46"/>
      <c r="AZ370" s="46"/>
      <c r="BA370" s="46"/>
      <c r="BB370" s="46"/>
      <c r="BC370" s="46"/>
      <c r="BD370" s="46"/>
      <c r="BE370" s="46"/>
      <c r="BF370" s="46"/>
      <c r="BG370" s="46"/>
      <c r="BH370" s="46"/>
    </row>
    <row r="371" spans="1:60" ht="14.25" customHeight="1" x14ac:dyDescent="0.3">
      <c r="A371" s="46"/>
      <c r="B371" s="37"/>
      <c r="C371" s="46" t="s">
        <v>391</v>
      </c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  <c r="AC371" s="46"/>
      <c r="AD371" s="46"/>
      <c r="AE371" s="46"/>
      <c r="AF371" s="46"/>
      <c r="AG371" s="46"/>
      <c r="AH371" s="46"/>
      <c r="AI371" s="46"/>
      <c r="AJ371" s="46"/>
      <c r="AK371" s="46"/>
      <c r="AL371" s="46"/>
      <c r="AM371" s="46"/>
      <c r="AN371" s="46"/>
      <c r="AO371" s="46"/>
      <c r="AP371" s="46"/>
      <c r="AQ371" s="46"/>
      <c r="AR371" s="46"/>
      <c r="AS371" s="46"/>
      <c r="AT371" s="46"/>
      <c r="AU371" s="46"/>
      <c r="AV371" s="46"/>
      <c r="AW371" s="46"/>
      <c r="AX371" s="46"/>
      <c r="AY371" s="46"/>
      <c r="AZ371" s="46"/>
      <c r="BA371" s="46"/>
      <c r="BB371" s="46"/>
      <c r="BC371" s="46"/>
      <c r="BD371" s="46"/>
      <c r="BE371" s="46"/>
      <c r="BF371" s="46"/>
      <c r="BG371" s="46"/>
      <c r="BH371" s="46"/>
    </row>
    <row r="372" spans="1:60" ht="14.25" customHeight="1" x14ac:dyDescent="0.3">
      <c r="A372" s="46"/>
      <c r="B372" s="37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  <c r="AC372" s="46"/>
      <c r="AD372" s="46"/>
      <c r="AE372" s="46"/>
      <c r="AF372" s="46"/>
      <c r="AG372" s="46"/>
      <c r="AH372" s="46"/>
      <c r="AI372" s="46"/>
      <c r="AJ372" s="46"/>
      <c r="AK372" s="46"/>
      <c r="AL372" s="46"/>
      <c r="AM372" s="46"/>
      <c r="AN372" s="46"/>
      <c r="AO372" s="46"/>
      <c r="AP372" s="46"/>
      <c r="AQ372" s="46"/>
      <c r="AR372" s="46"/>
      <c r="AS372" s="46"/>
      <c r="AT372" s="46"/>
      <c r="AU372" s="46"/>
      <c r="AV372" s="46"/>
      <c r="AW372" s="46"/>
      <c r="AX372" s="46"/>
      <c r="AY372" s="46"/>
      <c r="AZ372" s="46"/>
      <c r="BA372" s="46"/>
      <c r="BB372" s="46"/>
      <c r="BC372" s="46"/>
      <c r="BD372" s="46"/>
      <c r="BE372" s="46"/>
      <c r="BF372" s="46"/>
      <c r="BG372" s="46"/>
      <c r="BH372" s="46"/>
    </row>
    <row r="373" spans="1:60" ht="14.25" customHeight="1" x14ac:dyDescent="0.3">
      <c r="A373" s="46"/>
      <c r="B373" s="37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  <c r="AE373" s="46"/>
      <c r="AF373" s="46"/>
      <c r="AG373" s="46"/>
      <c r="AH373" s="46"/>
      <c r="AI373" s="46"/>
      <c r="AJ373" s="46"/>
      <c r="AK373" s="46"/>
      <c r="AL373" s="46"/>
      <c r="AM373" s="46"/>
      <c r="AN373" s="46"/>
      <c r="AO373" s="46"/>
      <c r="AP373" s="46"/>
      <c r="AQ373" s="46"/>
      <c r="AR373" s="46"/>
      <c r="AS373" s="46"/>
      <c r="AT373" s="46"/>
      <c r="AU373" s="46"/>
      <c r="AV373" s="46"/>
      <c r="AW373" s="46"/>
      <c r="AX373" s="46"/>
      <c r="AY373" s="46"/>
      <c r="AZ373" s="46"/>
      <c r="BA373" s="46"/>
      <c r="BB373" s="46"/>
      <c r="BC373" s="46"/>
      <c r="BD373" s="46"/>
      <c r="BE373" s="46"/>
      <c r="BF373" s="46"/>
      <c r="BG373" s="46"/>
      <c r="BH373" s="46"/>
    </row>
    <row r="374" spans="1:60" ht="14.25" customHeight="1" x14ac:dyDescent="0.3">
      <c r="A374" s="46"/>
      <c r="B374" s="37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  <c r="AD374" s="46"/>
      <c r="AE374" s="46"/>
      <c r="AF374" s="46"/>
      <c r="AG374" s="46"/>
      <c r="AH374" s="46"/>
      <c r="AI374" s="46"/>
      <c r="AJ374" s="46"/>
      <c r="AK374" s="46"/>
      <c r="AL374" s="46"/>
      <c r="AM374" s="46"/>
      <c r="AN374" s="46"/>
      <c r="AO374" s="46"/>
      <c r="AP374" s="46"/>
      <c r="AQ374" s="46"/>
      <c r="AR374" s="46"/>
      <c r="AS374" s="46"/>
      <c r="AT374" s="46"/>
      <c r="AU374" s="46"/>
      <c r="AV374" s="46"/>
      <c r="AW374" s="46"/>
      <c r="AX374" s="46"/>
      <c r="AY374" s="46"/>
      <c r="AZ374" s="46"/>
      <c r="BA374" s="46"/>
      <c r="BB374" s="46"/>
      <c r="BC374" s="46"/>
      <c r="BD374" s="46"/>
      <c r="BE374" s="46"/>
      <c r="BF374" s="46"/>
      <c r="BG374" s="46"/>
      <c r="BH374" s="46"/>
    </row>
    <row r="375" spans="1:60" ht="14.25" customHeight="1" x14ac:dyDescent="0.3">
      <c r="A375" s="46"/>
      <c r="B375" s="37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  <c r="AC375" s="46"/>
      <c r="AD375" s="46"/>
      <c r="AE375" s="46"/>
      <c r="AF375" s="46"/>
      <c r="AG375" s="46"/>
      <c r="AH375" s="46"/>
      <c r="AI375" s="46"/>
      <c r="AJ375" s="46"/>
      <c r="AK375" s="46"/>
      <c r="AL375" s="46"/>
      <c r="AM375" s="46"/>
      <c r="AN375" s="46"/>
      <c r="AO375" s="46"/>
      <c r="AP375" s="46"/>
      <c r="AQ375" s="46"/>
      <c r="AR375" s="46"/>
      <c r="AS375" s="46"/>
      <c r="AT375" s="46"/>
      <c r="AU375" s="46"/>
      <c r="AV375" s="46"/>
      <c r="AW375" s="46"/>
      <c r="AX375" s="46"/>
      <c r="AY375" s="46"/>
      <c r="AZ375" s="46"/>
      <c r="BA375" s="46"/>
      <c r="BB375" s="46"/>
      <c r="BC375" s="46"/>
      <c r="BD375" s="46"/>
      <c r="BE375" s="46"/>
      <c r="BF375" s="46"/>
      <c r="BG375" s="46"/>
      <c r="BH375" s="46"/>
    </row>
    <row r="376" spans="1:60" ht="14.25" customHeight="1" x14ac:dyDescent="0.3">
      <c r="A376" s="46"/>
      <c r="B376" s="37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  <c r="AC376" s="46"/>
      <c r="AD376" s="46"/>
      <c r="AE376" s="46"/>
      <c r="AF376" s="46"/>
      <c r="AG376" s="46"/>
      <c r="AH376" s="46"/>
      <c r="AI376" s="46"/>
      <c r="AJ376" s="46"/>
      <c r="AK376" s="46"/>
      <c r="AL376" s="46"/>
      <c r="AM376" s="46"/>
      <c r="AN376" s="46"/>
      <c r="AO376" s="46"/>
      <c r="AP376" s="46"/>
      <c r="AQ376" s="46"/>
      <c r="AR376" s="46"/>
      <c r="AS376" s="46"/>
      <c r="AT376" s="46"/>
      <c r="AU376" s="46"/>
      <c r="AV376" s="46"/>
      <c r="AW376" s="46"/>
      <c r="AX376" s="46"/>
      <c r="AY376" s="46"/>
      <c r="AZ376" s="46"/>
      <c r="BA376" s="46"/>
      <c r="BB376" s="46"/>
      <c r="BC376" s="46"/>
      <c r="BD376" s="46"/>
      <c r="BE376" s="46"/>
      <c r="BF376" s="46"/>
      <c r="BG376" s="46"/>
      <c r="BH376" s="46"/>
    </row>
    <row r="377" spans="1:60" ht="14.25" customHeight="1" x14ac:dyDescent="0.3">
      <c r="A377" s="46"/>
      <c r="B377" s="37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  <c r="AD377" s="46"/>
      <c r="AE377" s="46"/>
      <c r="AF377" s="46"/>
      <c r="AG377" s="46"/>
      <c r="AH377" s="46"/>
      <c r="AI377" s="46"/>
      <c r="AJ377" s="46"/>
      <c r="AK377" s="46"/>
      <c r="AL377" s="46"/>
      <c r="AM377" s="46"/>
      <c r="AN377" s="46"/>
      <c r="AO377" s="46"/>
      <c r="AP377" s="46"/>
      <c r="AQ377" s="46"/>
      <c r="AR377" s="46"/>
      <c r="AS377" s="46"/>
      <c r="AT377" s="46"/>
      <c r="AU377" s="46"/>
      <c r="AV377" s="46"/>
      <c r="AW377" s="46"/>
      <c r="AX377" s="46"/>
      <c r="AY377" s="46"/>
      <c r="AZ377" s="46"/>
      <c r="BA377" s="46"/>
      <c r="BB377" s="46"/>
      <c r="BC377" s="46"/>
      <c r="BD377" s="46"/>
      <c r="BE377" s="46"/>
      <c r="BF377" s="46"/>
      <c r="BG377" s="46"/>
      <c r="BH377" s="46"/>
    </row>
    <row r="378" spans="1:60" ht="14.25" customHeight="1" x14ac:dyDescent="0.3">
      <c r="A378" s="46"/>
      <c r="B378" s="37" t="s">
        <v>392</v>
      </c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46"/>
      <c r="AD378" s="46"/>
      <c r="AE378" s="46"/>
      <c r="AF378" s="46"/>
      <c r="AG378" s="46"/>
      <c r="AH378" s="46"/>
      <c r="AI378" s="46"/>
      <c r="AJ378" s="46"/>
      <c r="AK378" s="46"/>
      <c r="AL378" s="46"/>
      <c r="AM378" s="46"/>
      <c r="AN378" s="46"/>
      <c r="AO378" s="46"/>
      <c r="AP378" s="46"/>
      <c r="AQ378" s="46"/>
      <c r="AR378" s="46"/>
      <c r="AS378" s="46"/>
      <c r="AT378" s="46"/>
      <c r="AU378" s="46"/>
      <c r="AV378" s="46"/>
      <c r="AW378" s="46"/>
      <c r="AX378" s="46"/>
      <c r="AY378" s="46"/>
      <c r="AZ378" s="46"/>
      <c r="BA378" s="46"/>
      <c r="BB378" s="46"/>
      <c r="BC378" s="46"/>
      <c r="BD378" s="46"/>
      <c r="BE378" s="46"/>
      <c r="BF378" s="46"/>
      <c r="BG378" s="46"/>
      <c r="BH378" s="46"/>
    </row>
    <row r="379" spans="1:60" ht="14.25" customHeight="1" x14ac:dyDescent="0.3">
      <c r="A379" s="46"/>
      <c r="B379" s="37"/>
      <c r="C379" s="46" t="s">
        <v>184</v>
      </c>
      <c r="D379" s="46">
        <v>0</v>
      </c>
      <c r="E379" s="46">
        <f>D382</f>
        <v>0</v>
      </c>
      <c r="F379" s="46">
        <f t="shared" ref="F379:H379" si="266">E382</f>
        <v>-34792.810126636236</v>
      </c>
      <c r="G379" s="46">
        <f t="shared" si="266"/>
        <v>136134.97789018473</v>
      </c>
      <c r="H379" s="46">
        <f t="shared" si="266"/>
        <v>481612.56923266884</v>
      </c>
      <c r="I379" s="46"/>
      <c r="J379" s="46">
        <f>I382</f>
        <v>0</v>
      </c>
      <c r="K379" s="46">
        <f t="shared" ref="K379:BH379" si="267">J382</f>
        <v>0</v>
      </c>
      <c r="L379" s="46">
        <f t="shared" si="267"/>
        <v>0</v>
      </c>
      <c r="M379" s="46">
        <f t="shared" si="267"/>
        <v>0</v>
      </c>
      <c r="N379" s="46">
        <f t="shared" si="267"/>
        <v>111479.13322006748</v>
      </c>
      <c r="O379" s="46">
        <f t="shared" si="267"/>
        <v>88883.46594921418</v>
      </c>
      <c r="P379" s="46">
        <f t="shared" si="267"/>
        <v>96346.10060287299</v>
      </c>
      <c r="Q379" s="46">
        <f t="shared" si="267"/>
        <v>95123.541205993432</v>
      </c>
      <c r="R379" s="46">
        <f t="shared" si="267"/>
        <v>94559.82559132234</v>
      </c>
      <c r="S379" s="46">
        <f t="shared" si="267"/>
        <v>48361.275728152854</v>
      </c>
      <c r="T379" s="46">
        <f t="shared" si="267"/>
        <v>-11726.277493583642</v>
      </c>
      <c r="U379" s="46">
        <f t="shared" si="267"/>
        <v>-18421.670376905808</v>
      </c>
      <c r="V379" s="46">
        <f t="shared" si="267"/>
        <v>-15762.625865856731</v>
      </c>
      <c r="W379" s="46">
        <f t="shared" si="267"/>
        <v>-18144.363810288716</v>
      </c>
      <c r="X379" s="46">
        <f t="shared" si="267"/>
        <v>-20522.718559495574</v>
      </c>
      <c r="Y379" s="46">
        <f t="shared" si="267"/>
        <v>-34792.810126636221</v>
      </c>
      <c r="Z379" s="46">
        <f t="shared" si="267"/>
        <v>-34864.527665016118</v>
      </c>
      <c r="AA379" s="46">
        <f t="shared" si="267"/>
        <v>-51268.95782647052</v>
      </c>
      <c r="AB379" s="46">
        <f t="shared" si="267"/>
        <v>-45877.148006276911</v>
      </c>
      <c r="AC379" s="46">
        <f t="shared" si="267"/>
        <v>-37747.895535471762</v>
      </c>
      <c r="AD379" s="46">
        <f t="shared" si="267"/>
        <v>-26760.924874888817</v>
      </c>
      <c r="AE379" s="46">
        <f t="shared" si="267"/>
        <v>-12789.595279929914</v>
      </c>
      <c r="AF379" s="46">
        <f t="shared" si="267"/>
        <v>4299.4944792549668</v>
      </c>
      <c r="AG379" s="46">
        <f t="shared" si="267"/>
        <v>24646.929584599187</v>
      </c>
      <c r="AH379" s="46">
        <f t="shared" si="267"/>
        <v>48400.933081928197</v>
      </c>
      <c r="AI379" s="46">
        <f t="shared" si="267"/>
        <v>75541.485410485315</v>
      </c>
      <c r="AJ379" s="46">
        <f t="shared" si="267"/>
        <v>104761.97439405968</v>
      </c>
      <c r="AK379" s="46">
        <f t="shared" si="267"/>
        <v>136134.97789018473</v>
      </c>
      <c r="AL379" s="46">
        <f t="shared" si="267"/>
        <v>1136.3729191991151</v>
      </c>
      <c r="AM379" s="46">
        <f t="shared" si="267"/>
        <v>31485.903908870343</v>
      </c>
      <c r="AN379" s="46">
        <f t="shared" si="267"/>
        <v>64223.789605422367</v>
      </c>
      <c r="AO379" s="46">
        <f t="shared" si="267"/>
        <v>99435.137280995128</v>
      </c>
      <c r="AP379" s="46">
        <f t="shared" si="267"/>
        <v>137208.546804388</v>
      </c>
      <c r="AQ379" s="46">
        <f t="shared" si="267"/>
        <v>177636.26861392811</v>
      </c>
      <c r="AR379" s="46">
        <f t="shared" si="267"/>
        <v>220814.36922605708</v>
      </c>
      <c r="AS379" s="46">
        <f t="shared" si="267"/>
        <v>266842.90464847325</v>
      </c>
      <c r="AT379" s="46">
        <f t="shared" si="267"/>
        <v>315826.10208493477</v>
      </c>
      <c r="AU379" s="46">
        <f t="shared" si="267"/>
        <v>367872.5503380025</v>
      </c>
      <c r="AV379" s="46">
        <f t="shared" si="267"/>
        <v>423095.3993361335</v>
      </c>
      <c r="AW379" s="46">
        <f t="shared" si="267"/>
        <v>481612.56923266884</v>
      </c>
      <c r="AX379" s="46">
        <f t="shared" si="267"/>
        <v>537946.22561637824</v>
      </c>
      <c r="AY379" s="46">
        <f t="shared" si="267"/>
        <v>597825.24097690824</v>
      </c>
      <c r="AZ379" s="46">
        <f t="shared" si="267"/>
        <v>661383.20364194864</v>
      </c>
      <c r="BA379" s="46">
        <f t="shared" si="267"/>
        <v>728759.41402991</v>
      </c>
      <c r="BB379" s="46">
        <f t="shared" si="267"/>
        <v>800099.14913787029</v>
      </c>
      <c r="BC379" s="46">
        <f t="shared" si="267"/>
        <v>875553.93979323038</v>
      </c>
      <c r="BD379" s="46">
        <f t="shared" si="267"/>
        <v>955281.86129715573</v>
      </c>
      <c r="BE379" s="46">
        <f t="shared" si="267"/>
        <v>1039447.8381190568</v>
      </c>
      <c r="BF379" s="46">
        <f t="shared" si="267"/>
        <v>1127771.2728312935</v>
      </c>
      <c r="BG379" s="46">
        <f t="shared" si="267"/>
        <v>1220365.0187249668</v>
      </c>
      <c r="BH379" s="46">
        <f t="shared" si="267"/>
        <v>1317403.5411942524</v>
      </c>
    </row>
    <row r="380" spans="1:60" ht="14.25" customHeight="1" x14ac:dyDescent="0.3">
      <c r="A380" s="46"/>
      <c r="B380" s="37"/>
      <c r="C380" s="46" t="s">
        <v>182</v>
      </c>
      <c r="D380" s="46">
        <f t="shared" ref="D380:H381" si="268">SUMIF($1:$1,D$238,380:380)</f>
        <v>0</v>
      </c>
      <c r="E380" s="46">
        <f t="shared" si="268"/>
        <v>325000</v>
      </c>
      <c r="F380" s="46">
        <f t="shared" si="268"/>
        <v>0</v>
      </c>
      <c r="G380" s="46">
        <f t="shared" si="268"/>
        <v>0</v>
      </c>
      <c r="H380" s="46">
        <f t="shared" si="268"/>
        <v>0</v>
      </c>
      <c r="I380" s="46"/>
      <c r="J380" s="46"/>
      <c r="K380" s="46"/>
      <c r="L380" s="46"/>
      <c r="M380" s="46">
        <f>E336</f>
        <v>275000</v>
      </c>
      <c r="N380" s="46"/>
      <c r="O380" s="46"/>
      <c r="P380" s="46"/>
      <c r="Q380" s="46"/>
      <c r="R380" s="46"/>
      <c r="S380" s="46"/>
      <c r="T380" s="46"/>
      <c r="U380" s="46">
        <v>50000</v>
      </c>
      <c r="V380" s="46"/>
      <c r="W380" s="46"/>
      <c r="X380" s="46"/>
      <c r="Y380" s="46"/>
      <c r="Z380" s="46"/>
      <c r="AA380" s="46"/>
      <c r="AB380" s="46"/>
      <c r="AC380" s="46"/>
      <c r="AD380" s="46"/>
      <c r="AE380" s="46"/>
      <c r="AF380" s="46"/>
      <c r="AG380" s="46"/>
      <c r="AH380" s="46"/>
      <c r="AI380" s="46"/>
      <c r="AJ380" s="46"/>
      <c r="AK380" s="46"/>
      <c r="AL380" s="46"/>
      <c r="AM380" s="46"/>
      <c r="AN380" s="46"/>
      <c r="AO380" s="46"/>
      <c r="AP380" s="46"/>
      <c r="AQ380" s="46"/>
      <c r="AR380" s="46"/>
      <c r="AS380" s="46"/>
      <c r="AT380" s="46"/>
      <c r="AU380" s="46"/>
      <c r="AV380" s="46"/>
      <c r="AW380" s="46"/>
      <c r="AX380" s="46"/>
      <c r="AY380" s="46"/>
      <c r="AZ380" s="46"/>
      <c r="BA380" s="46"/>
      <c r="BB380" s="46"/>
      <c r="BC380" s="46"/>
      <c r="BD380" s="46"/>
      <c r="BE380" s="46"/>
      <c r="BF380" s="46"/>
      <c r="BG380" s="46"/>
      <c r="BH380" s="46"/>
    </row>
    <row r="381" spans="1:60" ht="14.25" customHeight="1" x14ac:dyDescent="0.3">
      <c r="A381" s="46"/>
      <c r="B381" s="37"/>
      <c r="C381" s="46" t="s">
        <v>185</v>
      </c>
      <c r="D381" s="46">
        <f t="shared" si="268"/>
        <v>0</v>
      </c>
      <c r="E381" s="46">
        <f t="shared" si="268"/>
        <v>-359792.81012663624</v>
      </c>
      <c r="F381" s="46">
        <f t="shared" si="268"/>
        <v>170927.78801682097</v>
      </c>
      <c r="G381" s="46">
        <f t="shared" si="268"/>
        <v>345477.59134248411</v>
      </c>
      <c r="H381" s="46">
        <f t="shared" si="268"/>
        <v>937456.63457671646</v>
      </c>
      <c r="I381" s="46"/>
      <c r="J381" s="46"/>
      <c r="K381" s="46"/>
      <c r="L381" s="46"/>
      <c r="M381" s="46">
        <f>'[2]SA V2'!I360/'[2]SA V2'!$D$2</f>
        <v>-163520.86677993252</v>
      </c>
      <c r="N381" s="46">
        <f>'[2]SA V2'!J360/'[2]SA V2'!$D$2</f>
        <v>-22595.667270853304</v>
      </c>
      <c r="O381" s="46">
        <f>'[2]SA V2'!K360/'[2]SA V2'!$D$2</f>
        <v>7462.6346536588144</v>
      </c>
      <c r="P381" s="46">
        <f>'[2]SA V2'!L360/'[2]SA V2'!$D$2</f>
        <v>-1222.5593968795574</v>
      </c>
      <c r="Q381" s="46">
        <f>'[2]SA V2'!M360/'[2]SA V2'!$D$2</f>
        <v>-563.71561467108552</v>
      </c>
      <c r="R381" s="46">
        <f>'[2]SA V2'!N360/'[2]SA V2'!$D$2</f>
        <v>-46198.549863169486</v>
      </c>
      <c r="S381" s="46">
        <f>'[2]SA V2'!O360/'[2]SA V2'!$D$2</f>
        <v>-60087.553221736496</v>
      </c>
      <c r="T381" s="46">
        <f>'[2]SA V2'!P360/'[2]SA V2'!$D$2</f>
        <v>-6695.3928833221671</v>
      </c>
      <c r="U381" s="46">
        <f>'[2]SA V2'!Q360/'[2]SA V2'!$D$2</f>
        <v>-47340.955488950924</v>
      </c>
      <c r="V381" s="46">
        <f>'[2]SA V2'!R360/'[2]SA V2'!$D$2</f>
        <v>-2381.7379444319836</v>
      </c>
      <c r="W381" s="46">
        <f>'[2]SA V2'!S360/'[2]SA V2'!$D$2</f>
        <v>-2378.3547492068583</v>
      </c>
      <c r="X381" s="46">
        <f>'[2]SA V2'!T360/'[2]SA V2'!$D$2</f>
        <v>-14270.091567140647</v>
      </c>
      <c r="Y381" s="46">
        <f>'[2]SA V2'!U360/'[2]SA V2'!$D$2</f>
        <v>-71.71753837989688</v>
      </c>
      <c r="Z381" s="46">
        <f>'[2]SA V2'!V360/'[2]SA V2'!$D$2</f>
        <v>-16404.430161454398</v>
      </c>
      <c r="AA381" s="46">
        <f>'[2]SA V2'!W360/'[2]SA V2'!$D$2</f>
        <v>5391.8098201936082</v>
      </c>
      <c r="AB381" s="46">
        <f>'[2]SA V2'!X360/'[2]SA V2'!$D$2</f>
        <v>8129.2524708051524</v>
      </c>
      <c r="AC381" s="46">
        <f>'[2]SA V2'!Y360/'[2]SA V2'!$D$2</f>
        <v>10986.970660582945</v>
      </c>
      <c r="AD381" s="46">
        <f>'[2]SA V2'!Z360/'[2]SA V2'!$D$2</f>
        <v>13971.329594958903</v>
      </c>
      <c r="AE381" s="46">
        <f>'[2]SA V2'!AA360/'[2]SA V2'!$D$2</f>
        <v>17089.089759184881</v>
      </c>
      <c r="AF381" s="46">
        <f>'[2]SA V2'!AB360/'[2]SA V2'!$D$2</f>
        <v>20347.435105344222</v>
      </c>
      <c r="AG381" s="46">
        <f>'[2]SA V2'!AC360/'[2]SA V2'!$D$2</f>
        <v>23754.003497329009</v>
      </c>
      <c r="AH381" s="46">
        <f>'[2]SA V2'!AD360/'[2]SA V2'!$D$2</f>
        <v>27140.552328557118</v>
      </c>
      <c r="AI381" s="46">
        <f>'[2]SA V2'!AE360/'[2]SA V2'!$D$2</f>
        <v>29220.488983574374</v>
      </c>
      <c r="AJ381" s="46">
        <f>'[2]SA V2'!AF360/'[2]SA V2'!$D$2</f>
        <v>31373.003496125064</v>
      </c>
      <c r="AK381" s="46">
        <f>'[2]SA V2'!AG360/'[2]SA V2'!$D$2</f>
        <v>-134998.60497098562</v>
      </c>
      <c r="AL381" s="46">
        <f>'[2]SA V2'!AH360/'[2]SA V2'!$D$2</f>
        <v>30349.530989671228</v>
      </c>
      <c r="AM381" s="46">
        <f>'[2]SA V2'!AI360/'[2]SA V2'!$D$2</f>
        <v>32737.885696552028</v>
      </c>
      <c r="AN381" s="46">
        <f>'[2]SA V2'!AJ360/'[2]SA V2'!$D$2</f>
        <v>35211.347675572761</v>
      </c>
      <c r="AO381" s="46">
        <f>'[2]SA V2'!AK360/'[2]SA V2'!$D$2</f>
        <v>37773.409523392882</v>
      </c>
      <c r="AP381" s="46">
        <f>'[2]SA V2'!AL360/'[2]SA V2'!$D$2</f>
        <v>40427.721809540104</v>
      </c>
      <c r="AQ381" s="46">
        <f>'[2]SA V2'!AM360/'[2]SA V2'!$D$2</f>
        <v>43178.100612128954</v>
      </c>
      <c r="AR381" s="46">
        <f>'[2]SA V2'!AN360/'[2]SA V2'!$D$2</f>
        <v>46028.535422416193</v>
      </c>
      <c r="AS381" s="46">
        <f>'[2]SA V2'!AO360/'[2]SA V2'!$D$2</f>
        <v>48983.197436461509</v>
      </c>
      <c r="AT381" s="46">
        <f>'[2]SA V2'!AP360/'[2]SA V2'!$D$2</f>
        <v>52046.448253067712</v>
      </c>
      <c r="AU381" s="46">
        <f>'[2]SA V2'!AQ360/'[2]SA V2'!$D$2</f>
        <v>55222.848998131019</v>
      </c>
      <c r="AV381" s="46">
        <f>'[2]SA V2'!AR360/'[2]SA V2'!$D$2</f>
        <v>58517.16989653535</v>
      </c>
      <c r="AW381" s="46">
        <f>'[2]SA V2'!AS360/'[2]SA V2'!$D$2</f>
        <v>56333.656383709393</v>
      </c>
      <c r="AX381" s="46">
        <f>'[2]SA V2'!AT360/'[2]SA V2'!$D$2</f>
        <v>59879.015360529971</v>
      </c>
      <c r="AY381" s="46">
        <f>'[2]SA V2'!AU360/'[2]SA V2'!$D$2</f>
        <v>63557.962665040381</v>
      </c>
      <c r="AZ381" s="46">
        <f>'[2]SA V2'!AV360/'[2]SA V2'!$D$2</f>
        <v>67376.210387961401</v>
      </c>
      <c r="BA381" s="46">
        <f>'[2]SA V2'!AW360/'[2]SA V2'!$D$2</f>
        <v>71339.735107960296</v>
      </c>
      <c r="BB381" s="46">
        <f>'[2]SA V2'!AX360/'[2]SA V2'!$D$2</f>
        <v>75454.790655360106</v>
      </c>
      <c r="BC381" s="46">
        <f>'[2]SA V2'!AY360/'[2]SA V2'!$D$2</f>
        <v>79727.921503925405</v>
      </c>
      <c r="BD381" s="46">
        <f>'[2]SA V2'!AZ360/'[2]SA V2'!$D$2</f>
        <v>84165.976821901029</v>
      </c>
      <c r="BE381" s="46">
        <f>'[2]SA V2'!BA360/'[2]SA V2'!$D$2</f>
        <v>88323.434712236776</v>
      </c>
      <c r="BF381" s="46">
        <f>'[2]SA V2'!BB360/'[2]SA V2'!$D$2</f>
        <v>92593.745893673389</v>
      </c>
      <c r="BG381" s="46">
        <f>'[2]SA V2'!BC360/'[2]SA V2'!$D$2</f>
        <v>97038.522469285672</v>
      </c>
      <c r="BH381" s="46">
        <f>'[2]SA V2'!BD360/'[2]SA V2'!$D$2</f>
        <v>101665.66261513275</v>
      </c>
    </row>
    <row r="382" spans="1:60" ht="14.25" customHeight="1" x14ac:dyDescent="0.3">
      <c r="A382" s="46"/>
      <c r="B382" s="37"/>
      <c r="C382" s="46" t="s">
        <v>186</v>
      </c>
      <c r="D382" s="63">
        <f>SUM(D379:D381)</f>
        <v>0</v>
      </c>
      <c r="E382" s="63">
        <f t="shared" ref="E382:H382" si="269">SUM(E379:E381)</f>
        <v>-34792.810126636236</v>
      </c>
      <c r="F382" s="63">
        <f t="shared" si="269"/>
        <v>136134.97789018473</v>
      </c>
      <c r="G382" s="63">
        <f t="shared" si="269"/>
        <v>481612.56923266884</v>
      </c>
      <c r="H382" s="63">
        <f t="shared" si="269"/>
        <v>1419069.2038093852</v>
      </c>
      <c r="I382" s="46"/>
      <c r="J382" s="63">
        <f>SUM(J379:J381)</f>
        <v>0</v>
      </c>
      <c r="K382" s="63">
        <f t="shared" ref="K382:BH382" si="270">SUM(K379:K381)</f>
        <v>0</v>
      </c>
      <c r="L382" s="63">
        <f t="shared" si="270"/>
        <v>0</v>
      </c>
      <c r="M382" s="63">
        <f t="shared" si="270"/>
        <v>111479.13322006748</v>
      </c>
      <c r="N382" s="63">
        <f t="shared" si="270"/>
        <v>88883.46594921418</v>
      </c>
      <c r="O382" s="63">
        <f t="shared" si="270"/>
        <v>96346.10060287299</v>
      </c>
      <c r="P382" s="63">
        <f t="shared" si="270"/>
        <v>95123.541205993432</v>
      </c>
      <c r="Q382" s="63">
        <f t="shared" si="270"/>
        <v>94559.82559132234</v>
      </c>
      <c r="R382" s="63">
        <f t="shared" si="270"/>
        <v>48361.275728152854</v>
      </c>
      <c r="S382" s="63">
        <f t="shared" si="270"/>
        <v>-11726.277493583642</v>
      </c>
      <c r="T382" s="63">
        <f t="shared" si="270"/>
        <v>-18421.670376905808</v>
      </c>
      <c r="U382" s="63">
        <f t="shared" si="270"/>
        <v>-15762.625865856731</v>
      </c>
      <c r="V382" s="63">
        <f t="shared" si="270"/>
        <v>-18144.363810288716</v>
      </c>
      <c r="W382" s="63">
        <f t="shared" si="270"/>
        <v>-20522.718559495574</v>
      </c>
      <c r="X382" s="63">
        <f t="shared" si="270"/>
        <v>-34792.810126636221</v>
      </c>
      <c r="Y382" s="63">
        <f t="shared" si="270"/>
        <v>-34864.527665016118</v>
      </c>
      <c r="Z382" s="63">
        <f t="shared" si="270"/>
        <v>-51268.95782647052</v>
      </c>
      <c r="AA382" s="63">
        <f t="shared" si="270"/>
        <v>-45877.148006276911</v>
      </c>
      <c r="AB382" s="63">
        <f t="shared" si="270"/>
        <v>-37747.895535471762</v>
      </c>
      <c r="AC382" s="63">
        <f t="shared" si="270"/>
        <v>-26760.924874888817</v>
      </c>
      <c r="AD382" s="63">
        <f t="shared" si="270"/>
        <v>-12789.595279929914</v>
      </c>
      <c r="AE382" s="63">
        <f t="shared" si="270"/>
        <v>4299.4944792549668</v>
      </c>
      <c r="AF382" s="63">
        <f t="shared" si="270"/>
        <v>24646.929584599187</v>
      </c>
      <c r="AG382" s="63">
        <f t="shared" si="270"/>
        <v>48400.933081928197</v>
      </c>
      <c r="AH382" s="63">
        <f t="shared" si="270"/>
        <v>75541.485410485315</v>
      </c>
      <c r="AI382" s="63">
        <f t="shared" si="270"/>
        <v>104761.97439405968</v>
      </c>
      <c r="AJ382" s="63">
        <f t="shared" si="270"/>
        <v>136134.97789018473</v>
      </c>
      <c r="AK382" s="63">
        <f t="shared" si="270"/>
        <v>1136.3729191991151</v>
      </c>
      <c r="AL382" s="63">
        <f t="shared" si="270"/>
        <v>31485.903908870343</v>
      </c>
      <c r="AM382" s="63">
        <f t="shared" si="270"/>
        <v>64223.789605422367</v>
      </c>
      <c r="AN382" s="63">
        <f t="shared" si="270"/>
        <v>99435.137280995128</v>
      </c>
      <c r="AO382" s="63">
        <f t="shared" si="270"/>
        <v>137208.546804388</v>
      </c>
      <c r="AP382" s="63">
        <f t="shared" si="270"/>
        <v>177636.26861392811</v>
      </c>
      <c r="AQ382" s="63">
        <f t="shared" si="270"/>
        <v>220814.36922605708</v>
      </c>
      <c r="AR382" s="63">
        <f t="shared" si="270"/>
        <v>266842.90464847325</v>
      </c>
      <c r="AS382" s="63">
        <f t="shared" si="270"/>
        <v>315826.10208493477</v>
      </c>
      <c r="AT382" s="63">
        <f t="shared" si="270"/>
        <v>367872.5503380025</v>
      </c>
      <c r="AU382" s="63">
        <f t="shared" si="270"/>
        <v>423095.3993361335</v>
      </c>
      <c r="AV382" s="63">
        <f t="shared" si="270"/>
        <v>481612.56923266884</v>
      </c>
      <c r="AW382" s="63">
        <f t="shared" si="270"/>
        <v>537946.22561637824</v>
      </c>
      <c r="AX382" s="63">
        <f t="shared" si="270"/>
        <v>597825.24097690824</v>
      </c>
      <c r="AY382" s="63">
        <f t="shared" si="270"/>
        <v>661383.20364194864</v>
      </c>
      <c r="AZ382" s="63">
        <f t="shared" si="270"/>
        <v>728759.41402991</v>
      </c>
      <c r="BA382" s="63">
        <f t="shared" si="270"/>
        <v>800099.14913787029</v>
      </c>
      <c r="BB382" s="63">
        <f t="shared" si="270"/>
        <v>875553.93979323038</v>
      </c>
      <c r="BC382" s="63">
        <f t="shared" si="270"/>
        <v>955281.86129715573</v>
      </c>
      <c r="BD382" s="63">
        <f t="shared" si="270"/>
        <v>1039447.8381190568</v>
      </c>
      <c r="BE382" s="63">
        <f t="shared" si="270"/>
        <v>1127771.2728312935</v>
      </c>
      <c r="BF382" s="63">
        <f t="shared" si="270"/>
        <v>1220365.0187249668</v>
      </c>
      <c r="BG382" s="63">
        <f t="shared" si="270"/>
        <v>1317403.5411942524</v>
      </c>
      <c r="BH382" s="63">
        <f t="shared" si="270"/>
        <v>1419069.2038093852</v>
      </c>
    </row>
    <row r="383" spans="1:60" ht="14.25" customHeight="1" x14ac:dyDescent="0.3">
      <c r="A383" s="46"/>
      <c r="B383" s="37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  <c r="AB383" s="46"/>
      <c r="AC383" s="46"/>
      <c r="AD383" s="46"/>
      <c r="AE383" s="46"/>
      <c r="AF383" s="46"/>
      <c r="AG383" s="46"/>
      <c r="AH383" s="46"/>
      <c r="AI383" s="46"/>
      <c r="AJ383" s="46"/>
      <c r="AK383" s="46"/>
      <c r="AL383" s="46"/>
      <c r="AM383" s="46"/>
      <c r="AN383" s="46"/>
      <c r="AO383" s="46"/>
      <c r="AP383" s="46"/>
      <c r="AQ383" s="46"/>
      <c r="AR383" s="46"/>
      <c r="AS383" s="46"/>
      <c r="AT383" s="46"/>
      <c r="AU383" s="46"/>
      <c r="AV383" s="46"/>
      <c r="AW383" s="46"/>
      <c r="AX383" s="46"/>
      <c r="AY383" s="46"/>
      <c r="AZ383" s="46"/>
      <c r="BA383" s="46"/>
      <c r="BB383" s="46"/>
      <c r="BC383" s="46"/>
      <c r="BD383" s="46"/>
      <c r="BE383" s="46"/>
      <c r="BF383" s="46"/>
      <c r="BG383" s="46"/>
      <c r="BH383" s="46"/>
    </row>
    <row r="384" spans="1:60" ht="14.25" customHeight="1" x14ac:dyDescent="0.3">
      <c r="A384" s="46"/>
      <c r="B384" s="37" t="s">
        <v>393</v>
      </c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  <c r="AC384" s="46"/>
      <c r="AD384" s="46"/>
      <c r="AE384" s="46"/>
      <c r="AF384" s="46"/>
      <c r="AG384" s="46"/>
      <c r="AH384" s="46"/>
      <c r="AI384" s="46"/>
      <c r="AJ384" s="46"/>
      <c r="AK384" s="46"/>
      <c r="AL384" s="46"/>
      <c r="AM384" s="46"/>
      <c r="AN384" s="46"/>
      <c r="AO384" s="46"/>
      <c r="AP384" s="46"/>
      <c r="AQ384" s="46"/>
      <c r="AR384" s="46"/>
      <c r="AS384" s="46"/>
      <c r="AT384" s="46"/>
      <c r="AU384" s="46"/>
      <c r="AV384" s="46"/>
      <c r="AW384" s="46"/>
      <c r="AX384" s="46"/>
      <c r="AY384" s="46"/>
      <c r="AZ384" s="46"/>
      <c r="BA384" s="46"/>
      <c r="BB384" s="46"/>
      <c r="BC384" s="46"/>
      <c r="BD384" s="46"/>
      <c r="BE384" s="46"/>
      <c r="BF384" s="46"/>
      <c r="BG384" s="46"/>
      <c r="BH384" s="46"/>
    </row>
    <row r="385" spans="1:60" ht="14.25" customHeight="1" x14ac:dyDescent="0.3">
      <c r="A385" s="46"/>
      <c r="B385" s="37"/>
      <c r="C385" s="46" t="s">
        <v>184</v>
      </c>
      <c r="D385" s="46">
        <v>0</v>
      </c>
      <c r="E385" s="46">
        <f>D388</f>
        <v>488917.80135908432</v>
      </c>
      <c r="F385" s="46">
        <f t="shared" ref="F385:H385" si="271">E388</f>
        <v>92708.174062130041</v>
      </c>
      <c r="G385" s="46">
        <f t="shared" si="271"/>
        <v>681446.72675397818</v>
      </c>
      <c r="H385" s="46">
        <f t="shared" si="271"/>
        <v>2738746.0611939905</v>
      </c>
      <c r="I385" s="46"/>
      <c r="J385" s="46">
        <f>I388</f>
        <v>0</v>
      </c>
      <c r="K385" s="46">
        <f>J388</f>
        <v>-448650.41666666674</v>
      </c>
      <c r="L385" s="46">
        <f t="shared" ref="L385:BH385" si="272">K388</f>
        <v>-485940.41666666674</v>
      </c>
      <c r="M385" s="46">
        <f t="shared" si="272"/>
        <v>488917.80135908432</v>
      </c>
      <c r="N385" s="46">
        <f t="shared" si="272"/>
        <v>206477.986186928</v>
      </c>
      <c r="O385" s="46">
        <f t="shared" si="272"/>
        <v>374285.14052385092</v>
      </c>
      <c r="P385" s="46">
        <f t="shared" si="272"/>
        <v>293675.952785286</v>
      </c>
      <c r="Q385" s="46">
        <f t="shared" si="272"/>
        <v>280033.5309961827</v>
      </c>
      <c r="R385" s="46">
        <f t="shared" si="272"/>
        <v>350350.40298928786</v>
      </c>
      <c r="S385" s="46">
        <f t="shared" si="272"/>
        <v>216088.76473389461</v>
      </c>
      <c r="T385" s="46">
        <f t="shared" si="272"/>
        <v>230715.81911993434</v>
      </c>
      <c r="U385" s="46">
        <f t="shared" si="272"/>
        <v>147078.9613443884</v>
      </c>
      <c r="V385" s="46">
        <f>U388</f>
        <v>69685.612616547034</v>
      </c>
      <c r="W385" s="46">
        <f t="shared" si="272"/>
        <v>8656.4195978600328</v>
      </c>
      <c r="X385" s="46">
        <f t="shared" si="272"/>
        <v>142869.95673630634</v>
      </c>
      <c r="Y385" s="46">
        <f t="shared" si="272"/>
        <v>92708.174062129838</v>
      </c>
      <c r="Z385" s="46">
        <f t="shared" si="272"/>
        <v>105226.77827875791</v>
      </c>
      <c r="AA385" s="46">
        <f t="shared" si="272"/>
        <v>109270.67947410297</v>
      </c>
      <c r="AB385" s="46">
        <f t="shared" si="272"/>
        <v>143201.1168011814</v>
      </c>
      <c r="AC385" s="46">
        <f t="shared" si="272"/>
        <v>188329.67840202269</v>
      </c>
      <c r="AD385" s="46">
        <f t="shared" si="272"/>
        <v>206462.8325090846</v>
      </c>
      <c r="AE385" s="46">
        <f t="shared" si="272"/>
        <v>273397.0569560366</v>
      </c>
      <c r="AF385" s="46">
        <f t="shared" si="272"/>
        <v>350854.15187816834</v>
      </c>
      <c r="AG385" s="46">
        <f t="shared" si="272"/>
        <v>439472.02012234495</v>
      </c>
      <c r="AH385" s="46">
        <f t="shared" si="272"/>
        <v>501548.28091101145</v>
      </c>
      <c r="AI385" s="46">
        <f t="shared" si="272"/>
        <v>609133.00071576901</v>
      </c>
      <c r="AJ385" s="46">
        <f t="shared" si="272"/>
        <v>725567.77147870022</v>
      </c>
      <c r="AK385" s="46">
        <f t="shared" si="272"/>
        <v>681446.72675397794</v>
      </c>
      <c r="AL385" s="46">
        <f t="shared" si="272"/>
        <v>648810.82267697912</v>
      </c>
      <c r="AM385" s="46">
        <f t="shared" si="272"/>
        <v>789528.59334289096</v>
      </c>
      <c r="AN385" s="46">
        <f t="shared" si="272"/>
        <v>939321.4737003746</v>
      </c>
      <c r="AO385" s="46">
        <f t="shared" si="272"/>
        <v>1098749.9473219956</v>
      </c>
      <c r="AP385" s="46">
        <f t="shared" si="272"/>
        <v>1268414.5626446684</v>
      </c>
      <c r="AQ385" s="46">
        <f t="shared" si="272"/>
        <v>1447678.5161024758</v>
      </c>
      <c r="AR385" s="46">
        <f t="shared" si="272"/>
        <v>1636884.6397573231</v>
      </c>
      <c r="AS385" s="46">
        <f t="shared" si="272"/>
        <v>1836610.731621342</v>
      </c>
      <c r="AT385" s="46">
        <f t="shared" si="272"/>
        <v>2047472.5579943343</v>
      </c>
      <c r="AU385" s="46">
        <f t="shared" si="272"/>
        <v>2269709.1886856151</v>
      </c>
      <c r="AV385" s="46">
        <f t="shared" si="272"/>
        <v>2503896.2088990309</v>
      </c>
      <c r="AW385" s="46">
        <f t="shared" si="272"/>
        <v>2738746.0611939905</v>
      </c>
      <c r="AX385" s="46">
        <f t="shared" si="272"/>
        <v>2981375.0114689101</v>
      </c>
      <c r="AY385" s="46">
        <f t="shared" si="272"/>
        <v>3238168.425372581</v>
      </c>
      <c r="AZ385" s="46">
        <f t="shared" si="272"/>
        <v>3509557.8074884573</v>
      </c>
      <c r="BA385" s="46">
        <f t="shared" si="272"/>
        <v>3794006.9292731485</v>
      </c>
      <c r="BB385" s="46">
        <f t="shared" si="272"/>
        <v>4085813.2261740929</v>
      </c>
      <c r="BC385" s="46">
        <f t="shared" si="272"/>
        <v>4385303.1463591848</v>
      </c>
      <c r="BD385" s="46">
        <f t="shared" si="272"/>
        <v>4692818.9518191759</v>
      </c>
      <c r="BE385" s="46">
        <f t="shared" si="272"/>
        <v>5008719.5388778169</v>
      </c>
      <c r="BF385" s="46">
        <f t="shared" si="272"/>
        <v>5332928.6139678275</v>
      </c>
      <c r="BG385" s="46">
        <f t="shared" si="272"/>
        <v>5665774.2461883184</v>
      </c>
      <c r="BH385" s="46">
        <f t="shared" si="272"/>
        <v>6007657.6439619726</v>
      </c>
    </row>
    <row r="386" spans="1:60" ht="14.25" customHeight="1" x14ac:dyDescent="0.3">
      <c r="A386" s="46"/>
      <c r="B386" s="37"/>
      <c r="C386" s="46" t="s">
        <v>182</v>
      </c>
      <c r="D386" s="46">
        <f t="shared" ref="D386:H387" si="273">SUMIF($1:$1,D$238,386:386)</f>
        <v>1204832.6180257511</v>
      </c>
      <c r="E386" s="46">
        <f t="shared" si="273"/>
        <v>1235000</v>
      </c>
      <c r="F386" s="46">
        <f t="shared" si="273"/>
        <v>0</v>
      </c>
      <c r="G386" s="46">
        <f t="shared" si="273"/>
        <v>0</v>
      </c>
      <c r="H386" s="46">
        <f t="shared" si="273"/>
        <v>0</v>
      </c>
      <c r="I386" s="46"/>
      <c r="J386" s="46">
        <f>J365</f>
        <v>0</v>
      </c>
      <c r="K386" s="46">
        <f t="shared" ref="K386:BH386" si="274">K365</f>
        <v>0</v>
      </c>
      <c r="L386" s="46">
        <f t="shared" si="274"/>
        <v>1204832.6180257511</v>
      </c>
      <c r="M386" s="46">
        <f t="shared" si="274"/>
        <v>0</v>
      </c>
      <c r="N386" s="46">
        <f t="shared" si="274"/>
        <v>220000</v>
      </c>
      <c r="O386" s="46">
        <f t="shared" si="274"/>
        <v>200000</v>
      </c>
      <c r="P386" s="46">
        <f t="shared" si="274"/>
        <v>0</v>
      </c>
      <c r="Q386" s="46">
        <f t="shared" si="274"/>
        <v>200000</v>
      </c>
      <c r="R386" s="46">
        <f t="shared" si="274"/>
        <v>0</v>
      </c>
      <c r="S386" s="46">
        <f t="shared" si="274"/>
        <v>105000</v>
      </c>
      <c r="T386" s="46">
        <f t="shared" si="274"/>
        <v>0</v>
      </c>
      <c r="U386" s="46">
        <f t="shared" si="274"/>
        <v>350000</v>
      </c>
      <c r="V386" s="46">
        <f t="shared" si="274"/>
        <v>0</v>
      </c>
      <c r="W386" s="46">
        <f t="shared" si="274"/>
        <v>160000</v>
      </c>
      <c r="X386" s="46">
        <f t="shared" si="274"/>
        <v>0</v>
      </c>
      <c r="Y386" s="46">
        <f t="shared" si="274"/>
        <v>0</v>
      </c>
      <c r="Z386" s="46">
        <f t="shared" si="274"/>
        <v>0</v>
      </c>
      <c r="AA386" s="46">
        <f t="shared" si="274"/>
        <v>0</v>
      </c>
      <c r="AB386" s="46">
        <f t="shared" si="274"/>
        <v>0</v>
      </c>
      <c r="AC386" s="46">
        <f t="shared" si="274"/>
        <v>0</v>
      </c>
      <c r="AD386" s="46">
        <f t="shared" si="274"/>
        <v>0</v>
      </c>
      <c r="AE386" s="46">
        <f t="shared" si="274"/>
        <v>0</v>
      </c>
      <c r="AF386" s="46">
        <f t="shared" si="274"/>
        <v>0</v>
      </c>
      <c r="AG386" s="46">
        <f t="shared" si="274"/>
        <v>0</v>
      </c>
      <c r="AH386" s="46">
        <f t="shared" si="274"/>
        <v>0</v>
      </c>
      <c r="AI386" s="46">
        <f t="shared" si="274"/>
        <v>0</v>
      </c>
      <c r="AJ386" s="46">
        <f t="shared" si="274"/>
        <v>0</v>
      </c>
      <c r="AK386" s="46">
        <f t="shared" si="274"/>
        <v>0</v>
      </c>
      <c r="AL386" s="46">
        <f t="shared" si="274"/>
        <v>0</v>
      </c>
      <c r="AM386" s="46">
        <f t="shared" si="274"/>
        <v>0</v>
      </c>
      <c r="AN386" s="46">
        <f t="shared" si="274"/>
        <v>0</v>
      </c>
      <c r="AO386" s="46">
        <f t="shared" si="274"/>
        <v>0</v>
      </c>
      <c r="AP386" s="46">
        <f t="shared" si="274"/>
        <v>0</v>
      </c>
      <c r="AQ386" s="46">
        <f t="shared" si="274"/>
        <v>0</v>
      </c>
      <c r="AR386" s="46">
        <f t="shared" si="274"/>
        <v>0</v>
      </c>
      <c r="AS386" s="46">
        <f t="shared" si="274"/>
        <v>0</v>
      </c>
      <c r="AT386" s="46">
        <f t="shared" si="274"/>
        <v>0</v>
      </c>
      <c r="AU386" s="46">
        <f t="shared" si="274"/>
        <v>0</v>
      </c>
      <c r="AV386" s="46">
        <f t="shared" si="274"/>
        <v>0</v>
      </c>
      <c r="AW386" s="46">
        <f t="shared" si="274"/>
        <v>0</v>
      </c>
      <c r="AX386" s="46">
        <f t="shared" si="274"/>
        <v>0</v>
      </c>
      <c r="AY386" s="46">
        <f t="shared" si="274"/>
        <v>0</v>
      </c>
      <c r="AZ386" s="46">
        <f t="shared" si="274"/>
        <v>0</v>
      </c>
      <c r="BA386" s="46">
        <f t="shared" si="274"/>
        <v>0</v>
      </c>
      <c r="BB386" s="46">
        <f t="shared" si="274"/>
        <v>0</v>
      </c>
      <c r="BC386" s="46">
        <f t="shared" si="274"/>
        <v>0</v>
      </c>
      <c r="BD386" s="46">
        <f t="shared" si="274"/>
        <v>0</v>
      </c>
      <c r="BE386" s="46">
        <f t="shared" si="274"/>
        <v>0</v>
      </c>
      <c r="BF386" s="46">
        <f t="shared" si="274"/>
        <v>0</v>
      </c>
      <c r="BG386" s="46">
        <f t="shared" si="274"/>
        <v>0</v>
      </c>
      <c r="BH386" s="46">
        <f t="shared" si="274"/>
        <v>0</v>
      </c>
    </row>
    <row r="387" spans="1:60" ht="14.25" customHeight="1" x14ac:dyDescent="0.3">
      <c r="A387" s="46"/>
      <c r="B387" s="37"/>
      <c r="C387" s="46" t="s">
        <v>185</v>
      </c>
      <c r="D387" s="46">
        <f t="shared" si="273"/>
        <v>-715914.81666666677</v>
      </c>
      <c r="E387" s="46">
        <f t="shared" si="273"/>
        <v>-1631209.6272969544</v>
      </c>
      <c r="F387" s="46">
        <f t="shared" si="273"/>
        <v>588738.55269184813</v>
      </c>
      <c r="G387" s="46">
        <f t="shared" si="273"/>
        <v>2057299.3344400122</v>
      </c>
      <c r="H387" s="46">
        <f t="shared" si="273"/>
        <v>3608274.03291807</v>
      </c>
      <c r="I387" s="46"/>
      <c r="J387" s="46">
        <f t="shared" ref="J387:BH387" si="275">J367+J381</f>
        <v>-448650.41666666674</v>
      </c>
      <c r="K387" s="46">
        <f t="shared" si="275"/>
        <v>-37290</v>
      </c>
      <c r="L387" s="46">
        <f t="shared" si="275"/>
        <v>-229974.39999999999</v>
      </c>
      <c r="M387" s="46">
        <f t="shared" si="275"/>
        <v>-282439.81517215632</v>
      </c>
      <c r="N387" s="46">
        <f t="shared" si="275"/>
        <v>-52192.845663077067</v>
      </c>
      <c r="O387" s="46">
        <f t="shared" si="275"/>
        <v>-280609.18773856491</v>
      </c>
      <c r="P387" s="46">
        <f t="shared" si="275"/>
        <v>-13642.421789103319</v>
      </c>
      <c r="Q387" s="46">
        <f t="shared" si="275"/>
        <v>-129683.12800689485</v>
      </c>
      <c r="R387" s="46">
        <f t="shared" si="275"/>
        <v>-134261.63825539325</v>
      </c>
      <c r="S387" s="46">
        <f t="shared" si="275"/>
        <v>-90372.94561396027</v>
      </c>
      <c r="T387" s="46">
        <f t="shared" si="275"/>
        <v>-83636.857775545941</v>
      </c>
      <c r="U387" s="46">
        <f t="shared" si="275"/>
        <v>-427393.3487278414</v>
      </c>
      <c r="V387" s="46">
        <f t="shared" si="275"/>
        <v>-61029.193018687001</v>
      </c>
      <c r="W387" s="46">
        <f t="shared" si="275"/>
        <v>-25786.462861553689</v>
      </c>
      <c r="X387" s="46">
        <f t="shared" si="275"/>
        <v>-50161.782674176495</v>
      </c>
      <c r="Y387" s="46">
        <f t="shared" si="275"/>
        <v>12518.60421662806</v>
      </c>
      <c r="Z387" s="46">
        <f t="shared" si="275"/>
        <v>4043.9011953450645</v>
      </c>
      <c r="AA387" s="46">
        <f t="shared" si="275"/>
        <v>33930.437327078442</v>
      </c>
      <c r="AB387" s="46">
        <f t="shared" si="275"/>
        <v>45128.561600841276</v>
      </c>
      <c r="AC387" s="46">
        <f t="shared" si="275"/>
        <v>18133.154107061924</v>
      </c>
      <c r="AD387" s="46">
        <f t="shared" si="275"/>
        <v>66934.224446952008</v>
      </c>
      <c r="AE387" s="46">
        <f t="shared" si="275"/>
        <v>77457.094922131728</v>
      </c>
      <c r="AF387" s="46">
        <f t="shared" si="275"/>
        <v>88617.868244176585</v>
      </c>
      <c r="AG387" s="46">
        <f t="shared" si="275"/>
        <v>62076.260788666492</v>
      </c>
      <c r="AH387" s="46">
        <f t="shared" si="275"/>
        <v>107584.71980475754</v>
      </c>
      <c r="AI387" s="46">
        <f t="shared" si="275"/>
        <v>116434.77076293126</v>
      </c>
      <c r="AJ387" s="46">
        <f t="shared" si="275"/>
        <v>-44121.044724722233</v>
      </c>
      <c r="AK387" s="46">
        <f t="shared" si="275"/>
        <v>-32635.90407699885</v>
      </c>
      <c r="AL387" s="46">
        <f t="shared" si="275"/>
        <v>140717.77066591178</v>
      </c>
      <c r="AM387" s="46">
        <f t="shared" si="275"/>
        <v>149792.88035748361</v>
      </c>
      <c r="AN387" s="46">
        <f t="shared" si="275"/>
        <v>159428.47362162097</v>
      </c>
      <c r="AO387" s="46">
        <f t="shared" si="275"/>
        <v>169664.61532267285</v>
      </c>
      <c r="AP387" s="46">
        <f t="shared" si="275"/>
        <v>179263.95345780748</v>
      </c>
      <c r="AQ387" s="46">
        <f t="shared" si="275"/>
        <v>189206.12365484727</v>
      </c>
      <c r="AR387" s="46">
        <f t="shared" si="275"/>
        <v>199726.0918640189</v>
      </c>
      <c r="AS387" s="46">
        <f t="shared" si="275"/>
        <v>210861.82637299219</v>
      </c>
      <c r="AT387" s="46">
        <f t="shared" si="275"/>
        <v>222236.63069128079</v>
      </c>
      <c r="AU387" s="46">
        <f t="shared" si="275"/>
        <v>234187.02021341582</v>
      </c>
      <c r="AV387" s="46">
        <f t="shared" si="275"/>
        <v>234849.85229495942</v>
      </c>
      <c r="AW387" s="46">
        <f t="shared" si="275"/>
        <v>242628.9502749198</v>
      </c>
      <c r="AX387" s="46">
        <f t="shared" si="275"/>
        <v>256793.41390367105</v>
      </c>
      <c r="AY387" s="46">
        <f t="shared" si="275"/>
        <v>271389.38211587642</v>
      </c>
      <c r="AZ387" s="46">
        <f t="shared" si="275"/>
        <v>284449.12178469112</v>
      </c>
      <c r="BA387" s="46">
        <f t="shared" si="275"/>
        <v>291806.29690094438</v>
      </c>
      <c r="BB387" s="46">
        <f t="shared" si="275"/>
        <v>299489.92018509179</v>
      </c>
      <c r="BC387" s="46">
        <f t="shared" si="275"/>
        <v>307515.80545999092</v>
      </c>
      <c r="BD387" s="46">
        <f t="shared" si="275"/>
        <v>315900.58705864073</v>
      </c>
      <c r="BE387" s="46">
        <f t="shared" si="275"/>
        <v>324209.0750900103</v>
      </c>
      <c r="BF387" s="46">
        <f t="shared" si="275"/>
        <v>332845.63222049089</v>
      </c>
      <c r="BG387" s="46">
        <f t="shared" si="275"/>
        <v>341883.39777365385</v>
      </c>
      <c r="BH387" s="46">
        <f t="shared" si="275"/>
        <v>339362.45015008905</v>
      </c>
    </row>
    <row r="388" spans="1:60" ht="14.25" customHeight="1" x14ac:dyDescent="0.3">
      <c r="A388" s="46"/>
      <c r="B388" s="37"/>
      <c r="C388" s="46" t="s">
        <v>186</v>
      </c>
      <c r="D388" s="63">
        <f>SUM(D385:D387)</f>
        <v>488917.80135908432</v>
      </c>
      <c r="E388" s="63">
        <f t="shared" ref="E388:H388" si="276">SUM(E385:E387)</f>
        <v>92708.174062130041</v>
      </c>
      <c r="F388" s="63">
        <f t="shared" si="276"/>
        <v>681446.72675397818</v>
      </c>
      <c r="G388" s="63">
        <f t="shared" si="276"/>
        <v>2738746.0611939905</v>
      </c>
      <c r="H388" s="63">
        <f t="shared" si="276"/>
        <v>6347020.094112061</v>
      </c>
      <c r="I388" s="46"/>
      <c r="J388" s="63">
        <f>SUM(J385:J387)</f>
        <v>-448650.41666666674</v>
      </c>
      <c r="K388" s="63">
        <f t="shared" ref="K388:BH388" si="277">SUM(K385:K387)</f>
        <v>-485940.41666666674</v>
      </c>
      <c r="L388" s="63">
        <f t="shared" si="277"/>
        <v>488917.80135908432</v>
      </c>
      <c r="M388" s="63">
        <f t="shared" si="277"/>
        <v>206477.986186928</v>
      </c>
      <c r="N388" s="63">
        <f t="shared" si="277"/>
        <v>374285.14052385092</v>
      </c>
      <c r="O388" s="63">
        <f t="shared" si="277"/>
        <v>293675.952785286</v>
      </c>
      <c r="P388" s="63">
        <f t="shared" si="277"/>
        <v>280033.5309961827</v>
      </c>
      <c r="Q388" s="63">
        <f t="shared" si="277"/>
        <v>350350.40298928786</v>
      </c>
      <c r="R388" s="63">
        <f t="shared" si="277"/>
        <v>216088.76473389461</v>
      </c>
      <c r="S388" s="63">
        <f t="shared" si="277"/>
        <v>230715.81911993434</v>
      </c>
      <c r="T388" s="63">
        <f t="shared" si="277"/>
        <v>147078.9613443884</v>
      </c>
      <c r="U388" s="63">
        <f>SUM(U385:U387)</f>
        <v>69685.612616547034</v>
      </c>
      <c r="V388" s="63">
        <f t="shared" si="277"/>
        <v>8656.4195978600328</v>
      </c>
      <c r="W388" s="63">
        <f t="shared" si="277"/>
        <v>142869.95673630634</v>
      </c>
      <c r="X388" s="63">
        <f t="shared" si="277"/>
        <v>92708.174062129838</v>
      </c>
      <c r="Y388" s="63">
        <f t="shared" si="277"/>
        <v>105226.77827875791</v>
      </c>
      <c r="Z388" s="63">
        <f t="shared" si="277"/>
        <v>109270.67947410297</v>
      </c>
      <c r="AA388" s="63">
        <f t="shared" si="277"/>
        <v>143201.1168011814</v>
      </c>
      <c r="AB388" s="63">
        <f t="shared" si="277"/>
        <v>188329.67840202269</v>
      </c>
      <c r="AC388" s="63">
        <f t="shared" si="277"/>
        <v>206462.8325090846</v>
      </c>
      <c r="AD388" s="63">
        <f t="shared" si="277"/>
        <v>273397.0569560366</v>
      </c>
      <c r="AE388" s="63">
        <f t="shared" si="277"/>
        <v>350854.15187816834</v>
      </c>
      <c r="AF388" s="63">
        <f t="shared" si="277"/>
        <v>439472.02012234495</v>
      </c>
      <c r="AG388" s="63">
        <f t="shared" si="277"/>
        <v>501548.28091101145</v>
      </c>
      <c r="AH388" s="63">
        <f t="shared" si="277"/>
        <v>609133.00071576901</v>
      </c>
      <c r="AI388" s="63">
        <f t="shared" si="277"/>
        <v>725567.77147870022</v>
      </c>
      <c r="AJ388" s="63">
        <f t="shared" si="277"/>
        <v>681446.72675397794</v>
      </c>
      <c r="AK388" s="63">
        <f t="shared" si="277"/>
        <v>648810.82267697912</v>
      </c>
      <c r="AL388" s="63">
        <f t="shared" si="277"/>
        <v>789528.59334289096</v>
      </c>
      <c r="AM388" s="63">
        <f t="shared" si="277"/>
        <v>939321.4737003746</v>
      </c>
      <c r="AN388" s="63">
        <f t="shared" si="277"/>
        <v>1098749.9473219956</v>
      </c>
      <c r="AO388" s="63">
        <f t="shared" si="277"/>
        <v>1268414.5626446684</v>
      </c>
      <c r="AP388" s="63">
        <f t="shared" si="277"/>
        <v>1447678.5161024758</v>
      </c>
      <c r="AQ388" s="63">
        <f t="shared" si="277"/>
        <v>1636884.6397573231</v>
      </c>
      <c r="AR388" s="63">
        <f t="shared" si="277"/>
        <v>1836610.731621342</v>
      </c>
      <c r="AS388" s="63">
        <f t="shared" si="277"/>
        <v>2047472.5579943343</v>
      </c>
      <c r="AT388" s="63">
        <f t="shared" si="277"/>
        <v>2269709.1886856151</v>
      </c>
      <c r="AU388" s="63">
        <f t="shared" si="277"/>
        <v>2503896.2088990309</v>
      </c>
      <c r="AV388" s="63">
        <f t="shared" si="277"/>
        <v>2738746.0611939905</v>
      </c>
      <c r="AW388" s="63">
        <f t="shared" si="277"/>
        <v>2981375.0114689101</v>
      </c>
      <c r="AX388" s="63">
        <f t="shared" si="277"/>
        <v>3238168.425372581</v>
      </c>
      <c r="AY388" s="63">
        <f t="shared" si="277"/>
        <v>3509557.8074884573</v>
      </c>
      <c r="AZ388" s="63">
        <f t="shared" si="277"/>
        <v>3794006.9292731485</v>
      </c>
      <c r="BA388" s="63">
        <f t="shared" si="277"/>
        <v>4085813.2261740929</v>
      </c>
      <c r="BB388" s="63">
        <f t="shared" si="277"/>
        <v>4385303.1463591848</v>
      </c>
      <c r="BC388" s="63">
        <f t="shared" si="277"/>
        <v>4692818.9518191759</v>
      </c>
      <c r="BD388" s="63">
        <f t="shared" si="277"/>
        <v>5008719.5388778169</v>
      </c>
      <c r="BE388" s="63">
        <f t="shared" si="277"/>
        <v>5332928.6139678275</v>
      </c>
      <c r="BF388" s="63">
        <f t="shared" si="277"/>
        <v>5665774.2461883184</v>
      </c>
      <c r="BG388" s="63">
        <f t="shared" si="277"/>
        <v>6007657.6439619726</v>
      </c>
      <c r="BH388" s="63">
        <f t="shared" si="277"/>
        <v>6347020.0941120619</v>
      </c>
    </row>
    <row r="389" spans="1:60" ht="14.25" customHeight="1" x14ac:dyDescent="0.3">
      <c r="A389" s="46"/>
      <c r="B389" s="37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  <c r="AB389" s="46"/>
      <c r="AC389" s="46"/>
      <c r="AD389" s="46"/>
      <c r="AE389" s="46"/>
      <c r="AF389" s="46"/>
      <c r="AG389" s="46"/>
      <c r="AH389" s="46"/>
      <c r="AI389" s="46"/>
      <c r="AJ389" s="46"/>
      <c r="AK389" s="46"/>
      <c r="AL389" s="46"/>
      <c r="AM389" s="46"/>
      <c r="AN389" s="46"/>
      <c r="AO389" s="46"/>
      <c r="AP389" s="46"/>
      <c r="AQ389" s="46"/>
      <c r="AR389" s="46"/>
      <c r="AS389" s="46"/>
      <c r="AT389" s="46"/>
      <c r="AU389" s="46"/>
      <c r="AV389" s="46"/>
      <c r="AW389" s="46"/>
      <c r="AX389" s="46"/>
      <c r="AY389" s="46"/>
      <c r="AZ389" s="46"/>
      <c r="BA389" s="46"/>
      <c r="BB389" s="46"/>
      <c r="BC389" s="46"/>
      <c r="BD389" s="46"/>
      <c r="BE389" s="46"/>
      <c r="BF389" s="46"/>
      <c r="BG389" s="46"/>
      <c r="BH389" s="46"/>
    </row>
    <row r="390" spans="1:60" ht="14.25" customHeight="1" x14ac:dyDescent="0.3">
      <c r="A390" s="46"/>
      <c r="B390" s="37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  <c r="AB390" s="46"/>
      <c r="AC390" s="46"/>
      <c r="AD390" s="46"/>
      <c r="AE390" s="46"/>
      <c r="AF390" s="46"/>
      <c r="AG390" s="46"/>
      <c r="AH390" s="46"/>
      <c r="AI390" s="46"/>
      <c r="AJ390" s="46"/>
      <c r="AK390" s="46"/>
      <c r="AL390" s="46"/>
      <c r="AM390" s="46"/>
      <c r="AN390" s="46"/>
      <c r="AO390" s="46"/>
      <c r="AP390" s="46"/>
      <c r="AQ390" s="46"/>
      <c r="AR390" s="46"/>
      <c r="AS390" s="46"/>
      <c r="AT390" s="46"/>
      <c r="AU390" s="46"/>
      <c r="AV390" s="46"/>
      <c r="AW390" s="46"/>
      <c r="AX390" s="46"/>
      <c r="AY390" s="46"/>
      <c r="AZ390" s="46"/>
      <c r="BA390" s="46"/>
      <c r="BB390" s="46"/>
      <c r="BC390" s="46"/>
      <c r="BD390" s="46"/>
      <c r="BE390" s="46"/>
      <c r="BF390" s="46"/>
      <c r="BG390" s="46"/>
      <c r="BH390" s="46"/>
    </row>
    <row r="391" spans="1:60" ht="14.25" customHeight="1" x14ac:dyDescent="0.3">
      <c r="A391" s="46"/>
      <c r="B391" s="37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  <c r="AB391" s="46"/>
      <c r="AC391" s="46"/>
      <c r="AD391" s="46"/>
      <c r="AE391" s="46"/>
      <c r="AF391" s="46"/>
      <c r="AG391" s="46"/>
      <c r="AH391" s="46"/>
      <c r="AI391" s="46"/>
      <c r="AJ391" s="46"/>
      <c r="AK391" s="46"/>
      <c r="AL391" s="46"/>
      <c r="AM391" s="46"/>
      <c r="AN391" s="46"/>
      <c r="AO391" s="46"/>
      <c r="AP391" s="46"/>
      <c r="AQ391" s="46"/>
      <c r="AR391" s="46"/>
      <c r="AS391" s="46"/>
      <c r="AT391" s="46"/>
      <c r="AU391" s="46"/>
      <c r="AV391" s="46"/>
      <c r="AW391" s="46"/>
      <c r="AX391" s="46"/>
      <c r="AY391" s="46"/>
      <c r="AZ391" s="46"/>
      <c r="BA391" s="46"/>
      <c r="BB391" s="46"/>
      <c r="BC391" s="46"/>
      <c r="BD391" s="46"/>
      <c r="BE391" s="46"/>
      <c r="BF391" s="46"/>
      <c r="BG391" s="46"/>
      <c r="BH391" s="46"/>
    </row>
    <row r="392" spans="1:60" ht="14.25" customHeight="1" x14ac:dyDescent="0.3">
      <c r="A392" s="46"/>
      <c r="B392" s="37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  <c r="AB392" s="46"/>
      <c r="AC392" s="46"/>
      <c r="AD392" s="46"/>
      <c r="AE392" s="46"/>
      <c r="AF392" s="46"/>
      <c r="AG392" s="46"/>
      <c r="AH392" s="46"/>
      <c r="AI392" s="46"/>
      <c r="AJ392" s="46"/>
      <c r="AK392" s="46"/>
      <c r="AL392" s="46"/>
      <c r="AM392" s="46"/>
      <c r="AN392" s="46"/>
      <c r="AO392" s="46"/>
      <c r="AP392" s="46"/>
      <c r="AQ392" s="46"/>
      <c r="AR392" s="46"/>
      <c r="AS392" s="46"/>
      <c r="AT392" s="46"/>
      <c r="AU392" s="46"/>
      <c r="AV392" s="46"/>
      <c r="AW392" s="46"/>
      <c r="AX392" s="46"/>
      <c r="AY392" s="46"/>
      <c r="AZ392" s="46"/>
      <c r="BA392" s="46"/>
      <c r="BB392" s="46"/>
      <c r="BC392" s="46"/>
      <c r="BD392" s="46"/>
      <c r="BE392" s="46"/>
      <c r="BF392" s="46"/>
      <c r="BG392" s="46"/>
      <c r="BH392" s="46"/>
    </row>
    <row r="393" spans="1:60" ht="14.25" customHeight="1" x14ac:dyDescent="0.3">
      <c r="A393" s="46"/>
      <c r="B393" s="37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  <c r="AB393" s="46"/>
      <c r="AC393" s="46"/>
      <c r="AD393" s="46"/>
      <c r="AE393" s="46"/>
      <c r="AF393" s="46"/>
      <c r="AG393" s="46"/>
      <c r="AH393" s="46"/>
      <c r="AI393" s="46"/>
      <c r="AJ393" s="46"/>
      <c r="AK393" s="46"/>
      <c r="AL393" s="46"/>
      <c r="AM393" s="46"/>
      <c r="AN393" s="46"/>
      <c r="AO393" s="46"/>
      <c r="AP393" s="46"/>
      <c r="AQ393" s="46"/>
      <c r="AR393" s="46"/>
      <c r="AS393" s="46"/>
      <c r="AT393" s="46"/>
      <c r="AU393" s="46"/>
      <c r="AV393" s="46"/>
      <c r="AW393" s="46"/>
      <c r="AX393" s="46"/>
      <c r="AY393" s="46"/>
      <c r="AZ393" s="46"/>
      <c r="BA393" s="46"/>
      <c r="BB393" s="46"/>
      <c r="BC393" s="46"/>
      <c r="BD393" s="46"/>
      <c r="BE393" s="46"/>
      <c r="BF393" s="46"/>
      <c r="BG393" s="46"/>
      <c r="BH393" s="46"/>
    </row>
    <row r="394" spans="1:60" ht="14.25" customHeight="1" x14ac:dyDescent="0.3">
      <c r="A394" s="46"/>
      <c r="B394" s="37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  <c r="AB394" s="46"/>
      <c r="AC394" s="46"/>
      <c r="AD394" s="46"/>
      <c r="AE394" s="46"/>
      <c r="AF394" s="46"/>
      <c r="AG394" s="46"/>
      <c r="AH394" s="46"/>
      <c r="AI394" s="46"/>
      <c r="AJ394" s="46"/>
      <c r="AK394" s="46"/>
      <c r="AL394" s="46"/>
      <c r="AM394" s="46"/>
      <c r="AN394" s="46"/>
      <c r="AO394" s="46"/>
      <c r="AP394" s="46"/>
      <c r="AQ394" s="46"/>
      <c r="AR394" s="46"/>
      <c r="AS394" s="46"/>
      <c r="AT394" s="46"/>
      <c r="AU394" s="46"/>
      <c r="AV394" s="46"/>
      <c r="AW394" s="46"/>
      <c r="AX394" s="46"/>
      <c r="AY394" s="46"/>
      <c r="AZ394" s="46"/>
      <c r="BA394" s="46"/>
      <c r="BB394" s="46"/>
      <c r="BC394" s="46"/>
      <c r="BD394" s="46"/>
      <c r="BE394" s="46"/>
      <c r="BF394" s="46"/>
      <c r="BG394" s="46"/>
      <c r="BH394" s="46"/>
    </row>
    <row r="395" spans="1:60" ht="14.25" customHeight="1" x14ac:dyDescent="0.3">
      <c r="A395" s="46"/>
      <c r="B395" s="37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  <c r="AB395" s="46"/>
      <c r="AC395" s="46"/>
      <c r="AD395" s="46"/>
      <c r="AE395" s="46"/>
      <c r="AF395" s="46"/>
      <c r="AG395" s="46"/>
      <c r="AH395" s="46"/>
      <c r="AI395" s="46"/>
      <c r="AJ395" s="46"/>
      <c r="AK395" s="46"/>
      <c r="AL395" s="46"/>
      <c r="AM395" s="46"/>
      <c r="AN395" s="46"/>
      <c r="AO395" s="46"/>
      <c r="AP395" s="46"/>
      <c r="AQ395" s="46"/>
      <c r="AR395" s="46"/>
      <c r="AS395" s="46"/>
      <c r="AT395" s="46"/>
      <c r="AU395" s="46"/>
      <c r="AV395" s="46"/>
      <c r="AW395" s="46"/>
      <c r="AX395" s="46"/>
      <c r="AY395" s="46"/>
      <c r="AZ395" s="46"/>
      <c r="BA395" s="46"/>
      <c r="BB395" s="46"/>
      <c r="BC395" s="46"/>
      <c r="BD395" s="46"/>
      <c r="BE395" s="46"/>
      <c r="BF395" s="46"/>
      <c r="BG395" s="46"/>
      <c r="BH395" s="46"/>
    </row>
    <row r="396" spans="1:60" ht="14.25" customHeight="1" x14ac:dyDescent="0.3">
      <c r="A396" s="46"/>
      <c r="B396" s="37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  <c r="AC396" s="46"/>
      <c r="AD396" s="46"/>
      <c r="AE396" s="46"/>
      <c r="AF396" s="46"/>
      <c r="AG396" s="46"/>
      <c r="AH396" s="46"/>
      <c r="AI396" s="46"/>
      <c r="AJ396" s="46"/>
      <c r="AK396" s="46"/>
      <c r="AL396" s="46"/>
      <c r="AM396" s="46"/>
      <c r="AN396" s="46"/>
      <c r="AO396" s="46"/>
      <c r="AP396" s="46"/>
      <c r="AQ396" s="46"/>
      <c r="AR396" s="46"/>
      <c r="AS396" s="46"/>
      <c r="AT396" s="46"/>
      <c r="AU396" s="46"/>
      <c r="AV396" s="46"/>
      <c r="AW396" s="46"/>
      <c r="AX396" s="46"/>
      <c r="AY396" s="46"/>
      <c r="AZ396" s="46"/>
      <c r="BA396" s="46"/>
      <c r="BB396" s="46"/>
      <c r="BC396" s="46"/>
      <c r="BD396" s="46"/>
      <c r="BE396" s="46"/>
      <c r="BF396" s="46"/>
      <c r="BG396" s="46"/>
      <c r="BH396" s="46"/>
    </row>
    <row r="397" spans="1:60" ht="14.25" customHeight="1" x14ac:dyDescent="0.3">
      <c r="A397" s="46"/>
      <c r="B397" s="37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  <c r="AB397" s="46"/>
      <c r="AC397" s="46"/>
      <c r="AD397" s="46"/>
      <c r="AE397" s="46"/>
      <c r="AF397" s="46"/>
      <c r="AG397" s="46"/>
      <c r="AH397" s="46"/>
      <c r="AI397" s="46"/>
      <c r="AJ397" s="46"/>
      <c r="AK397" s="46"/>
      <c r="AL397" s="46"/>
      <c r="AM397" s="46"/>
      <c r="AN397" s="46"/>
      <c r="AO397" s="46"/>
      <c r="AP397" s="46"/>
      <c r="AQ397" s="46"/>
      <c r="AR397" s="46"/>
      <c r="AS397" s="46"/>
      <c r="AT397" s="46"/>
      <c r="AU397" s="46"/>
      <c r="AV397" s="46"/>
      <c r="AW397" s="46"/>
      <c r="AX397" s="46"/>
      <c r="AY397" s="46"/>
      <c r="AZ397" s="46"/>
      <c r="BA397" s="46"/>
      <c r="BB397" s="46"/>
      <c r="BC397" s="46"/>
      <c r="BD397" s="46"/>
      <c r="BE397" s="46"/>
      <c r="BF397" s="46"/>
      <c r="BG397" s="46"/>
      <c r="BH397" s="46"/>
    </row>
    <row r="398" spans="1:60" ht="14.25" customHeight="1" x14ac:dyDescent="0.3">
      <c r="A398" s="46"/>
      <c r="B398" s="37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  <c r="AB398" s="46"/>
      <c r="AC398" s="46"/>
      <c r="AD398" s="46"/>
      <c r="AE398" s="46"/>
      <c r="AF398" s="46"/>
      <c r="AG398" s="46"/>
      <c r="AH398" s="46"/>
      <c r="AI398" s="46"/>
      <c r="AJ398" s="46"/>
      <c r="AK398" s="46"/>
      <c r="AL398" s="46"/>
      <c r="AM398" s="46"/>
      <c r="AN398" s="46"/>
      <c r="AO398" s="46"/>
      <c r="AP398" s="46"/>
      <c r="AQ398" s="46"/>
      <c r="AR398" s="46"/>
      <c r="AS398" s="46"/>
      <c r="AT398" s="46"/>
      <c r="AU398" s="46"/>
      <c r="AV398" s="46"/>
      <c r="AW398" s="46"/>
      <c r="AX398" s="46"/>
      <c r="AY398" s="46"/>
      <c r="AZ398" s="46"/>
      <c r="BA398" s="46"/>
      <c r="BB398" s="46"/>
      <c r="BC398" s="46"/>
      <c r="BD398" s="46"/>
      <c r="BE398" s="46"/>
      <c r="BF398" s="46"/>
      <c r="BG398" s="46"/>
      <c r="BH398" s="46"/>
    </row>
    <row r="399" spans="1:60" ht="14.25" customHeight="1" x14ac:dyDescent="0.3">
      <c r="A399" s="46"/>
      <c r="B399" s="37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  <c r="AB399" s="46"/>
      <c r="AC399" s="46"/>
      <c r="AD399" s="46"/>
      <c r="AE399" s="46"/>
      <c r="AF399" s="46"/>
      <c r="AG399" s="46"/>
      <c r="AH399" s="46"/>
      <c r="AI399" s="46"/>
      <c r="AJ399" s="46"/>
      <c r="AK399" s="46"/>
      <c r="AL399" s="46"/>
      <c r="AM399" s="46"/>
      <c r="AN399" s="46"/>
      <c r="AO399" s="46"/>
      <c r="AP399" s="46"/>
      <c r="AQ399" s="46"/>
      <c r="AR399" s="46"/>
      <c r="AS399" s="46"/>
      <c r="AT399" s="46"/>
      <c r="AU399" s="46"/>
      <c r="AV399" s="46"/>
      <c r="AW399" s="46"/>
      <c r="AX399" s="46"/>
      <c r="AY399" s="46"/>
      <c r="AZ399" s="46"/>
      <c r="BA399" s="46"/>
      <c r="BB399" s="46"/>
      <c r="BC399" s="46"/>
      <c r="BD399" s="46"/>
      <c r="BE399" s="46"/>
      <c r="BF399" s="46"/>
      <c r="BG399" s="46"/>
      <c r="BH399" s="46"/>
    </row>
    <row r="400" spans="1:60" ht="14.25" customHeight="1" x14ac:dyDescent="0.3">
      <c r="A400" s="46"/>
      <c r="B400" s="37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  <c r="AC400" s="46"/>
      <c r="AD400" s="46"/>
      <c r="AE400" s="46"/>
      <c r="AF400" s="46"/>
      <c r="AG400" s="46"/>
      <c r="AH400" s="46"/>
      <c r="AI400" s="46"/>
      <c r="AJ400" s="46"/>
      <c r="AK400" s="46"/>
      <c r="AL400" s="46"/>
      <c r="AM400" s="46"/>
      <c r="AN400" s="46"/>
      <c r="AO400" s="46"/>
      <c r="AP400" s="46"/>
      <c r="AQ400" s="46"/>
      <c r="AR400" s="46"/>
      <c r="AS400" s="46"/>
      <c r="AT400" s="46"/>
      <c r="AU400" s="46"/>
      <c r="AV400" s="46"/>
      <c r="AW400" s="46"/>
      <c r="AX400" s="46"/>
      <c r="AY400" s="46"/>
      <c r="AZ400" s="46"/>
      <c r="BA400" s="46"/>
      <c r="BB400" s="46"/>
      <c r="BC400" s="46"/>
      <c r="BD400" s="46"/>
      <c r="BE400" s="46"/>
      <c r="BF400" s="46"/>
      <c r="BG400" s="46"/>
      <c r="BH400" s="46"/>
    </row>
    <row r="401" spans="1:60" ht="14.25" customHeight="1" x14ac:dyDescent="0.3">
      <c r="A401" s="46"/>
      <c r="B401" s="37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  <c r="AB401" s="46"/>
      <c r="AC401" s="46"/>
      <c r="AD401" s="46"/>
      <c r="AE401" s="46"/>
      <c r="AF401" s="46"/>
      <c r="AG401" s="46"/>
      <c r="AH401" s="46"/>
      <c r="AI401" s="46"/>
      <c r="AJ401" s="46"/>
      <c r="AK401" s="46"/>
      <c r="AL401" s="46"/>
      <c r="AM401" s="46"/>
      <c r="AN401" s="46"/>
      <c r="AO401" s="46"/>
      <c r="AP401" s="46"/>
      <c r="AQ401" s="46"/>
      <c r="AR401" s="46"/>
      <c r="AS401" s="46"/>
      <c r="AT401" s="46"/>
      <c r="AU401" s="46"/>
      <c r="AV401" s="46"/>
      <c r="AW401" s="46"/>
      <c r="AX401" s="46"/>
      <c r="AY401" s="46"/>
      <c r="AZ401" s="46"/>
      <c r="BA401" s="46"/>
      <c r="BB401" s="46"/>
      <c r="BC401" s="46"/>
      <c r="BD401" s="46"/>
      <c r="BE401" s="46"/>
      <c r="BF401" s="46"/>
      <c r="BG401" s="46"/>
      <c r="BH401" s="46"/>
    </row>
    <row r="402" spans="1:60" ht="14.25" customHeight="1" x14ac:dyDescent="0.3">
      <c r="A402" s="46"/>
      <c r="B402" s="37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  <c r="AB402" s="46"/>
      <c r="AC402" s="46"/>
      <c r="AD402" s="46"/>
      <c r="AE402" s="46"/>
      <c r="AF402" s="46"/>
      <c r="AG402" s="46"/>
      <c r="AH402" s="46"/>
      <c r="AI402" s="46"/>
      <c r="AJ402" s="46"/>
      <c r="AK402" s="46"/>
      <c r="AL402" s="46"/>
      <c r="AM402" s="46"/>
      <c r="AN402" s="46"/>
      <c r="AO402" s="46"/>
      <c r="AP402" s="46"/>
      <c r="AQ402" s="46"/>
      <c r="AR402" s="46"/>
      <c r="AS402" s="46"/>
      <c r="AT402" s="46"/>
      <c r="AU402" s="46"/>
      <c r="AV402" s="46"/>
      <c r="AW402" s="46"/>
      <c r="AX402" s="46"/>
      <c r="AY402" s="46"/>
      <c r="AZ402" s="46"/>
      <c r="BA402" s="46"/>
      <c r="BB402" s="46"/>
      <c r="BC402" s="46"/>
      <c r="BD402" s="46"/>
      <c r="BE402" s="46"/>
      <c r="BF402" s="46"/>
      <c r="BG402" s="46"/>
      <c r="BH402" s="46"/>
    </row>
    <row r="403" spans="1:60" ht="14.25" customHeight="1" x14ac:dyDescent="0.3">
      <c r="A403" s="46"/>
      <c r="B403" s="37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  <c r="AB403" s="46"/>
      <c r="AC403" s="46"/>
      <c r="AD403" s="46"/>
      <c r="AE403" s="46"/>
      <c r="AF403" s="46"/>
      <c r="AG403" s="46"/>
      <c r="AH403" s="46"/>
      <c r="AI403" s="46"/>
      <c r="AJ403" s="46"/>
      <c r="AK403" s="46"/>
      <c r="AL403" s="46"/>
      <c r="AM403" s="46"/>
      <c r="AN403" s="46"/>
      <c r="AO403" s="46"/>
      <c r="AP403" s="46"/>
      <c r="AQ403" s="46"/>
      <c r="AR403" s="46"/>
      <c r="AS403" s="46"/>
      <c r="AT403" s="46"/>
      <c r="AU403" s="46"/>
      <c r="AV403" s="46"/>
      <c r="AW403" s="46"/>
      <c r="AX403" s="46"/>
      <c r="AY403" s="46"/>
      <c r="AZ403" s="46"/>
      <c r="BA403" s="46"/>
      <c r="BB403" s="46"/>
      <c r="BC403" s="46"/>
      <c r="BD403" s="46"/>
      <c r="BE403" s="46"/>
      <c r="BF403" s="46"/>
      <c r="BG403" s="46"/>
      <c r="BH403" s="46"/>
    </row>
    <row r="404" spans="1:60" ht="14.25" customHeight="1" x14ac:dyDescent="0.3">
      <c r="A404" s="46"/>
      <c r="B404" s="37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  <c r="AB404" s="46"/>
      <c r="AC404" s="46"/>
      <c r="AD404" s="46"/>
      <c r="AE404" s="46"/>
      <c r="AF404" s="46"/>
      <c r="AG404" s="46"/>
      <c r="AH404" s="46"/>
      <c r="AI404" s="46"/>
      <c r="AJ404" s="46"/>
      <c r="AK404" s="46"/>
      <c r="AL404" s="46"/>
      <c r="AM404" s="46"/>
      <c r="AN404" s="46"/>
      <c r="AO404" s="46"/>
      <c r="AP404" s="46"/>
      <c r="AQ404" s="46"/>
      <c r="AR404" s="46"/>
      <c r="AS404" s="46"/>
      <c r="AT404" s="46"/>
      <c r="AU404" s="46"/>
      <c r="AV404" s="46"/>
      <c r="AW404" s="46"/>
      <c r="AX404" s="46"/>
      <c r="AY404" s="46"/>
      <c r="AZ404" s="46"/>
      <c r="BA404" s="46"/>
      <c r="BB404" s="46"/>
      <c r="BC404" s="46"/>
      <c r="BD404" s="46"/>
      <c r="BE404" s="46"/>
      <c r="BF404" s="46"/>
      <c r="BG404" s="46"/>
      <c r="BH404" s="46"/>
    </row>
    <row r="405" spans="1:60" ht="14.25" customHeight="1" x14ac:dyDescent="0.3">
      <c r="A405" s="46"/>
      <c r="B405" s="37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  <c r="AD405" s="46"/>
      <c r="AE405" s="46"/>
      <c r="AF405" s="46"/>
      <c r="AG405" s="46"/>
      <c r="AH405" s="46"/>
      <c r="AI405" s="46"/>
      <c r="AJ405" s="46"/>
      <c r="AK405" s="46"/>
      <c r="AL405" s="46"/>
      <c r="AM405" s="46"/>
      <c r="AN405" s="46"/>
      <c r="AO405" s="46"/>
      <c r="AP405" s="46"/>
      <c r="AQ405" s="46"/>
      <c r="AR405" s="46"/>
      <c r="AS405" s="46"/>
      <c r="AT405" s="46"/>
      <c r="AU405" s="46"/>
      <c r="AV405" s="46"/>
      <c r="AW405" s="46"/>
      <c r="AX405" s="46"/>
      <c r="AY405" s="46"/>
      <c r="AZ405" s="46"/>
      <c r="BA405" s="46"/>
      <c r="BB405" s="46"/>
      <c r="BC405" s="46"/>
      <c r="BD405" s="46"/>
      <c r="BE405" s="46"/>
      <c r="BF405" s="46"/>
      <c r="BG405" s="46"/>
      <c r="BH405" s="46"/>
    </row>
    <row r="406" spans="1:60" ht="14.25" customHeight="1" x14ac:dyDescent="0.3">
      <c r="A406" s="46"/>
      <c r="B406" s="37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  <c r="AC406" s="46"/>
      <c r="AD406" s="46"/>
      <c r="AE406" s="46"/>
      <c r="AF406" s="46"/>
      <c r="AG406" s="46"/>
      <c r="AH406" s="46"/>
      <c r="AI406" s="46"/>
      <c r="AJ406" s="46"/>
      <c r="AK406" s="46"/>
      <c r="AL406" s="46"/>
      <c r="AM406" s="46"/>
      <c r="AN406" s="46"/>
      <c r="AO406" s="46"/>
      <c r="AP406" s="46"/>
      <c r="AQ406" s="46"/>
      <c r="AR406" s="46"/>
      <c r="AS406" s="46"/>
      <c r="AT406" s="46"/>
      <c r="AU406" s="46"/>
      <c r="AV406" s="46"/>
      <c r="AW406" s="46"/>
      <c r="AX406" s="46"/>
      <c r="AY406" s="46"/>
      <c r="AZ406" s="46"/>
      <c r="BA406" s="46"/>
      <c r="BB406" s="46"/>
      <c r="BC406" s="46"/>
      <c r="BD406" s="46"/>
      <c r="BE406" s="46"/>
      <c r="BF406" s="46"/>
      <c r="BG406" s="46"/>
      <c r="BH406" s="46"/>
    </row>
    <row r="407" spans="1:60" ht="14.25" customHeight="1" x14ac:dyDescent="0.3">
      <c r="A407" s="46"/>
      <c r="B407" s="37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  <c r="AC407" s="46"/>
      <c r="AD407" s="46"/>
      <c r="AE407" s="46"/>
      <c r="AF407" s="46"/>
      <c r="AG407" s="46"/>
      <c r="AH407" s="46"/>
      <c r="AI407" s="46"/>
      <c r="AJ407" s="46"/>
      <c r="AK407" s="46"/>
      <c r="AL407" s="46"/>
      <c r="AM407" s="46"/>
      <c r="AN407" s="46"/>
      <c r="AO407" s="46"/>
      <c r="AP407" s="46"/>
      <c r="AQ407" s="46"/>
      <c r="AR407" s="46"/>
      <c r="AS407" s="46"/>
      <c r="AT407" s="46"/>
      <c r="AU407" s="46"/>
      <c r="AV407" s="46"/>
      <c r="AW407" s="46"/>
      <c r="AX407" s="46"/>
      <c r="AY407" s="46"/>
      <c r="AZ407" s="46"/>
      <c r="BA407" s="46"/>
      <c r="BB407" s="46"/>
      <c r="BC407" s="46"/>
      <c r="BD407" s="46"/>
      <c r="BE407" s="46"/>
      <c r="BF407" s="46"/>
      <c r="BG407" s="46"/>
      <c r="BH407" s="46"/>
    </row>
    <row r="408" spans="1:60" ht="14.25" customHeight="1" x14ac:dyDescent="0.3">
      <c r="A408" s="46"/>
      <c r="B408" s="37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  <c r="AC408" s="46"/>
      <c r="AD408" s="46"/>
      <c r="AE408" s="46"/>
      <c r="AF408" s="46"/>
      <c r="AG408" s="46"/>
      <c r="AH408" s="46"/>
      <c r="AI408" s="46"/>
      <c r="AJ408" s="46"/>
      <c r="AK408" s="46"/>
      <c r="AL408" s="46"/>
      <c r="AM408" s="46"/>
      <c r="AN408" s="46"/>
      <c r="AO408" s="46"/>
      <c r="AP408" s="46"/>
      <c r="AQ408" s="46"/>
      <c r="AR408" s="46"/>
      <c r="AS408" s="46"/>
      <c r="AT408" s="46"/>
      <c r="AU408" s="46"/>
      <c r="AV408" s="46"/>
      <c r="AW408" s="46"/>
      <c r="AX408" s="46"/>
      <c r="AY408" s="46"/>
      <c r="AZ408" s="46"/>
      <c r="BA408" s="46"/>
      <c r="BB408" s="46"/>
      <c r="BC408" s="46"/>
      <c r="BD408" s="46"/>
      <c r="BE408" s="46"/>
      <c r="BF408" s="46"/>
      <c r="BG408" s="46"/>
      <c r="BH408" s="46"/>
    </row>
    <row r="409" spans="1:60" ht="14.25" customHeight="1" x14ac:dyDescent="0.3">
      <c r="A409" s="46"/>
      <c r="B409" s="37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  <c r="AC409" s="46"/>
      <c r="AD409" s="46"/>
      <c r="AE409" s="46"/>
      <c r="AF409" s="46"/>
      <c r="AG409" s="46"/>
      <c r="AH409" s="46"/>
      <c r="AI409" s="46"/>
      <c r="AJ409" s="46"/>
      <c r="AK409" s="46"/>
      <c r="AL409" s="46"/>
      <c r="AM409" s="46"/>
      <c r="AN409" s="46"/>
      <c r="AO409" s="46"/>
      <c r="AP409" s="46"/>
      <c r="AQ409" s="46"/>
      <c r="AR409" s="46"/>
      <c r="AS409" s="46"/>
      <c r="AT409" s="46"/>
      <c r="AU409" s="46"/>
      <c r="AV409" s="46"/>
      <c r="AW409" s="46"/>
      <c r="AX409" s="46"/>
      <c r="AY409" s="46"/>
      <c r="AZ409" s="46"/>
      <c r="BA409" s="46"/>
      <c r="BB409" s="46"/>
      <c r="BC409" s="46"/>
      <c r="BD409" s="46"/>
      <c r="BE409" s="46"/>
      <c r="BF409" s="46"/>
      <c r="BG409" s="46"/>
      <c r="BH409" s="46"/>
    </row>
    <row r="410" spans="1:60" ht="14.25" customHeight="1" x14ac:dyDescent="0.3">
      <c r="A410" s="46"/>
      <c r="B410" s="37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  <c r="AC410" s="46"/>
      <c r="AD410" s="46"/>
      <c r="AE410" s="46"/>
      <c r="AF410" s="46"/>
      <c r="AG410" s="46"/>
      <c r="AH410" s="46"/>
      <c r="AI410" s="46"/>
      <c r="AJ410" s="46"/>
      <c r="AK410" s="46"/>
      <c r="AL410" s="46"/>
      <c r="AM410" s="46"/>
      <c r="AN410" s="46"/>
      <c r="AO410" s="46"/>
      <c r="AP410" s="46"/>
      <c r="AQ410" s="46"/>
      <c r="AR410" s="46"/>
      <c r="AS410" s="46"/>
      <c r="AT410" s="46"/>
      <c r="AU410" s="46"/>
      <c r="AV410" s="46"/>
      <c r="AW410" s="46"/>
      <c r="AX410" s="46"/>
      <c r="AY410" s="46"/>
      <c r="AZ410" s="46"/>
      <c r="BA410" s="46"/>
      <c r="BB410" s="46"/>
      <c r="BC410" s="46"/>
      <c r="BD410" s="46"/>
      <c r="BE410" s="46"/>
      <c r="BF410" s="46"/>
      <c r="BG410" s="46"/>
      <c r="BH410" s="46"/>
    </row>
    <row r="411" spans="1:60" ht="14.25" customHeight="1" x14ac:dyDescent="0.3">
      <c r="A411" s="46"/>
      <c r="B411" s="37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  <c r="AD411" s="46"/>
      <c r="AE411" s="46"/>
      <c r="AF411" s="46"/>
      <c r="AG411" s="46"/>
      <c r="AH411" s="46"/>
      <c r="AI411" s="46"/>
      <c r="AJ411" s="46"/>
      <c r="AK411" s="46"/>
      <c r="AL411" s="46"/>
      <c r="AM411" s="46"/>
      <c r="AN411" s="46"/>
      <c r="AO411" s="46"/>
      <c r="AP411" s="46"/>
      <c r="AQ411" s="46"/>
      <c r="AR411" s="46"/>
      <c r="AS411" s="46"/>
      <c r="AT411" s="46"/>
      <c r="AU411" s="46"/>
      <c r="AV411" s="46"/>
      <c r="AW411" s="46"/>
      <c r="AX411" s="46"/>
      <c r="AY411" s="46"/>
      <c r="AZ411" s="46"/>
      <c r="BA411" s="46"/>
      <c r="BB411" s="46"/>
      <c r="BC411" s="46"/>
      <c r="BD411" s="46"/>
      <c r="BE411" s="46"/>
      <c r="BF411" s="46"/>
      <c r="BG411" s="46"/>
      <c r="BH411" s="46"/>
    </row>
    <row r="412" spans="1:60" ht="14.25" customHeight="1" x14ac:dyDescent="0.3">
      <c r="A412" s="46"/>
      <c r="B412" s="37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  <c r="AC412" s="46"/>
      <c r="AD412" s="46"/>
      <c r="AE412" s="46"/>
      <c r="AF412" s="46"/>
      <c r="AG412" s="46"/>
      <c r="AH412" s="46"/>
      <c r="AI412" s="46"/>
      <c r="AJ412" s="46"/>
      <c r="AK412" s="46"/>
      <c r="AL412" s="46"/>
      <c r="AM412" s="46"/>
      <c r="AN412" s="46"/>
      <c r="AO412" s="46"/>
      <c r="AP412" s="46"/>
      <c r="AQ412" s="46"/>
      <c r="AR412" s="46"/>
      <c r="AS412" s="46"/>
      <c r="AT412" s="46"/>
      <c r="AU412" s="46"/>
      <c r="AV412" s="46"/>
      <c r="AW412" s="46"/>
      <c r="AX412" s="46"/>
      <c r="AY412" s="46"/>
      <c r="AZ412" s="46"/>
      <c r="BA412" s="46"/>
      <c r="BB412" s="46"/>
      <c r="BC412" s="46"/>
      <c r="BD412" s="46"/>
      <c r="BE412" s="46"/>
      <c r="BF412" s="46"/>
      <c r="BG412" s="46"/>
      <c r="BH412" s="46"/>
    </row>
    <row r="413" spans="1:60" ht="14.25" customHeight="1" x14ac:dyDescent="0.3">
      <c r="A413" s="46"/>
      <c r="B413" s="37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  <c r="AC413" s="46"/>
      <c r="AD413" s="46"/>
      <c r="AE413" s="46"/>
      <c r="AF413" s="46"/>
      <c r="AG413" s="46"/>
      <c r="AH413" s="46"/>
      <c r="AI413" s="46"/>
      <c r="AJ413" s="46"/>
      <c r="AK413" s="46"/>
      <c r="AL413" s="46"/>
      <c r="AM413" s="46"/>
      <c r="AN413" s="46"/>
      <c r="AO413" s="46"/>
      <c r="AP413" s="46"/>
      <c r="AQ413" s="46"/>
      <c r="AR413" s="46"/>
      <c r="AS413" s="46"/>
      <c r="AT413" s="46"/>
      <c r="AU413" s="46"/>
      <c r="AV413" s="46"/>
      <c r="AW413" s="46"/>
      <c r="AX413" s="46"/>
      <c r="AY413" s="46"/>
      <c r="AZ413" s="46"/>
      <c r="BA413" s="46"/>
      <c r="BB413" s="46"/>
      <c r="BC413" s="46"/>
      <c r="BD413" s="46"/>
      <c r="BE413" s="46"/>
      <c r="BF413" s="46"/>
      <c r="BG413" s="46"/>
      <c r="BH413" s="46"/>
    </row>
    <row r="414" spans="1:60" ht="14.25" customHeight="1" x14ac:dyDescent="0.3">
      <c r="A414" s="46"/>
      <c r="B414" s="37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  <c r="AC414" s="46"/>
      <c r="AD414" s="46"/>
      <c r="AE414" s="46"/>
      <c r="AF414" s="46"/>
      <c r="AG414" s="46"/>
      <c r="AH414" s="46"/>
      <c r="AI414" s="46"/>
      <c r="AJ414" s="46"/>
      <c r="AK414" s="46"/>
      <c r="AL414" s="46"/>
      <c r="AM414" s="46"/>
      <c r="AN414" s="46"/>
      <c r="AO414" s="46"/>
      <c r="AP414" s="46"/>
      <c r="AQ414" s="46"/>
      <c r="AR414" s="46"/>
      <c r="AS414" s="46"/>
      <c r="AT414" s="46"/>
      <c r="AU414" s="46"/>
      <c r="AV414" s="46"/>
      <c r="AW414" s="46"/>
      <c r="AX414" s="46"/>
      <c r="AY414" s="46"/>
      <c r="AZ414" s="46"/>
      <c r="BA414" s="46"/>
      <c r="BB414" s="46"/>
      <c r="BC414" s="46"/>
      <c r="BD414" s="46"/>
      <c r="BE414" s="46"/>
      <c r="BF414" s="46"/>
      <c r="BG414" s="46"/>
      <c r="BH414" s="46"/>
    </row>
    <row r="415" spans="1:60" ht="14.25" customHeight="1" x14ac:dyDescent="0.3">
      <c r="A415" s="46"/>
      <c r="B415" s="37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  <c r="AC415" s="46"/>
      <c r="AD415" s="46"/>
      <c r="AE415" s="46"/>
      <c r="AF415" s="46"/>
      <c r="AG415" s="46"/>
      <c r="AH415" s="46"/>
      <c r="AI415" s="46"/>
      <c r="AJ415" s="46"/>
      <c r="AK415" s="46"/>
      <c r="AL415" s="46"/>
      <c r="AM415" s="46"/>
      <c r="AN415" s="46"/>
      <c r="AO415" s="46"/>
      <c r="AP415" s="46"/>
      <c r="AQ415" s="46"/>
      <c r="AR415" s="46"/>
      <c r="AS415" s="46"/>
      <c r="AT415" s="46"/>
      <c r="AU415" s="46"/>
      <c r="AV415" s="46"/>
      <c r="AW415" s="46"/>
      <c r="AX415" s="46"/>
      <c r="AY415" s="46"/>
      <c r="AZ415" s="46"/>
      <c r="BA415" s="46"/>
      <c r="BB415" s="46"/>
      <c r="BC415" s="46"/>
      <c r="BD415" s="46"/>
      <c r="BE415" s="46"/>
      <c r="BF415" s="46"/>
      <c r="BG415" s="46"/>
      <c r="BH415" s="46"/>
    </row>
    <row r="416" spans="1:60" ht="14.25" customHeight="1" x14ac:dyDescent="0.3">
      <c r="A416" s="46"/>
      <c r="B416" s="37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  <c r="AC416" s="46"/>
      <c r="AD416" s="46"/>
      <c r="AE416" s="46"/>
      <c r="AF416" s="46"/>
      <c r="AG416" s="46"/>
      <c r="AH416" s="46"/>
      <c r="AI416" s="46"/>
      <c r="AJ416" s="46"/>
      <c r="AK416" s="46"/>
      <c r="AL416" s="46"/>
      <c r="AM416" s="46"/>
      <c r="AN416" s="46"/>
      <c r="AO416" s="46"/>
      <c r="AP416" s="46"/>
      <c r="AQ416" s="46"/>
      <c r="AR416" s="46"/>
      <c r="AS416" s="46"/>
      <c r="AT416" s="46"/>
      <c r="AU416" s="46"/>
      <c r="AV416" s="46"/>
      <c r="AW416" s="46"/>
      <c r="AX416" s="46"/>
      <c r="AY416" s="46"/>
      <c r="AZ416" s="46"/>
      <c r="BA416" s="46"/>
      <c r="BB416" s="46"/>
      <c r="BC416" s="46"/>
      <c r="BD416" s="46"/>
      <c r="BE416" s="46"/>
      <c r="BF416" s="46"/>
      <c r="BG416" s="46"/>
      <c r="BH416" s="46"/>
    </row>
    <row r="417" spans="1:60" ht="14.25" customHeight="1" x14ac:dyDescent="0.3">
      <c r="A417" s="46"/>
      <c r="B417" s="37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  <c r="AC417" s="46"/>
      <c r="AD417" s="46"/>
      <c r="AE417" s="46"/>
      <c r="AF417" s="46"/>
      <c r="AG417" s="46"/>
      <c r="AH417" s="46"/>
      <c r="AI417" s="46"/>
      <c r="AJ417" s="46"/>
      <c r="AK417" s="46"/>
      <c r="AL417" s="46"/>
      <c r="AM417" s="46"/>
      <c r="AN417" s="46"/>
      <c r="AO417" s="46"/>
      <c r="AP417" s="46"/>
      <c r="AQ417" s="46"/>
      <c r="AR417" s="46"/>
      <c r="AS417" s="46"/>
      <c r="AT417" s="46"/>
      <c r="AU417" s="46"/>
      <c r="AV417" s="46"/>
      <c r="AW417" s="46"/>
      <c r="AX417" s="46"/>
      <c r="AY417" s="46"/>
      <c r="AZ417" s="46"/>
      <c r="BA417" s="46"/>
      <c r="BB417" s="46"/>
      <c r="BC417" s="46"/>
      <c r="BD417" s="46"/>
      <c r="BE417" s="46"/>
      <c r="BF417" s="46"/>
      <c r="BG417" s="46"/>
      <c r="BH417" s="46"/>
    </row>
    <row r="418" spans="1:60" ht="14.25" customHeight="1" x14ac:dyDescent="0.3">
      <c r="A418" s="46"/>
      <c r="B418" s="37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  <c r="AC418" s="46"/>
      <c r="AD418" s="46"/>
      <c r="AE418" s="46"/>
      <c r="AF418" s="46"/>
      <c r="AG418" s="46"/>
      <c r="AH418" s="46"/>
      <c r="AI418" s="46"/>
      <c r="AJ418" s="46"/>
      <c r="AK418" s="46"/>
      <c r="AL418" s="46"/>
      <c r="AM418" s="46"/>
      <c r="AN418" s="46"/>
      <c r="AO418" s="46"/>
      <c r="AP418" s="46"/>
      <c r="AQ418" s="46"/>
      <c r="AR418" s="46"/>
      <c r="AS418" s="46"/>
      <c r="AT418" s="46"/>
      <c r="AU418" s="46"/>
      <c r="AV418" s="46"/>
      <c r="AW418" s="46"/>
      <c r="AX418" s="46"/>
      <c r="AY418" s="46"/>
      <c r="AZ418" s="46"/>
      <c r="BA418" s="46"/>
      <c r="BB418" s="46"/>
      <c r="BC418" s="46"/>
      <c r="BD418" s="46"/>
      <c r="BE418" s="46"/>
      <c r="BF418" s="46"/>
      <c r="BG418" s="46"/>
      <c r="BH418" s="46"/>
    </row>
    <row r="419" spans="1:60" ht="14.25" customHeight="1" x14ac:dyDescent="0.3">
      <c r="A419" s="46"/>
      <c r="B419" s="37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  <c r="AC419" s="46"/>
      <c r="AD419" s="46"/>
      <c r="AE419" s="46"/>
      <c r="AF419" s="46"/>
      <c r="AG419" s="46"/>
      <c r="AH419" s="46"/>
      <c r="AI419" s="46"/>
      <c r="AJ419" s="46"/>
      <c r="AK419" s="46"/>
      <c r="AL419" s="46"/>
      <c r="AM419" s="46"/>
      <c r="AN419" s="46"/>
      <c r="AO419" s="46"/>
      <c r="AP419" s="46"/>
      <c r="AQ419" s="46"/>
      <c r="AR419" s="46"/>
      <c r="AS419" s="46"/>
      <c r="AT419" s="46"/>
      <c r="AU419" s="46"/>
      <c r="AV419" s="46"/>
      <c r="AW419" s="46"/>
      <c r="AX419" s="46"/>
      <c r="AY419" s="46"/>
      <c r="AZ419" s="46"/>
      <c r="BA419" s="46"/>
      <c r="BB419" s="46"/>
      <c r="BC419" s="46"/>
      <c r="BD419" s="46"/>
      <c r="BE419" s="46"/>
      <c r="BF419" s="46"/>
      <c r="BG419" s="46"/>
      <c r="BH419" s="46"/>
    </row>
    <row r="420" spans="1:60" ht="14.25" customHeight="1" x14ac:dyDescent="0.3">
      <c r="A420" s="46"/>
      <c r="B420" s="37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  <c r="AB420" s="46"/>
      <c r="AC420" s="46"/>
      <c r="AD420" s="46"/>
      <c r="AE420" s="46"/>
      <c r="AF420" s="46"/>
      <c r="AG420" s="46"/>
      <c r="AH420" s="46"/>
      <c r="AI420" s="46"/>
      <c r="AJ420" s="46"/>
      <c r="AK420" s="46"/>
      <c r="AL420" s="46"/>
      <c r="AM420" s="46"/>
      <c r="AN420" s="46"/>
      <c r="AO420" s="46"/>
      <c r="AP420" s="46"/>
      <c r="AQ420" s="46"/>
      <c r="AR420" s="46"/>
      <c r="AS420" s="46"/>
      <c r="AT420" s="46"/>
      <c r="AU420" s="46"/>
      <c r="AV420" s="46"/>
      <c r="AW420" s="46"/>
      <c r="AX420" s="46"/>
      <c r="AY420" s="46"/>
      <c r="AZ420" s="46"/>
      <c r="BA420" s="46"/>
      <c r="BB420" s="46"/>
      <c r="BC420" s="46"/>
      <c r="BD420" s="46"/>
      <c r="BE420" s="46"/>
      <c r="BF420" s="46"/>
      <c r="BG420" s="46"/>
      <c r="BH420" s="46"/>
    </row>
    <row r="421" spans="1:60" ht="14.25" customHeight="1" x14ac:dyDescent="0.3">
      <c r="A421" s="46"/>
      <c r="B421" s="37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  <c r="AB421" s="46"/>
      <c r="AC421" s="46"/>
      <c r="AD421" s="46"/>
      <c r="AE421" s="46"/>
      <c r="AF421" s="46"/>
      <c r="AG421" s="46"/>
      <c r="AH421" s="46"/>
      <c r="AI421" s="46"/>
      <c r="AJ421" s="46"/>
      <c r="AK421" s="46"/>
      <c r="AL421" s="46"/>
      <c r="AM421" s="46"/>
      <c r="AN421" s="46"/>
      <c r="AO421" s="46"/>
      <c r="AP421" s="46"/>
      <c r="AQ421" s="46"/>
      <c r="AR421" s="46"/>
      <c r="AS421" s="46"/>
      <c r="AT421" s="46"/>
      <c r="AU421" s="46"/>
      <c r="AV421" s="46"/>
      <c r="AW421" s="46"/>
      <c r="AX421" s="46"/>
      <c r="AY421" s="46"/>
      <c r="AZ421" s="46"/>
      <c r="BA421" s="46"/>
      <c r="BB421" s="46"/>
      <c r="BC421" s="46"/>
      <c r="BD421" s="46"/>
      <c r="BE421" s="46"/>
      <c r="BF421" s="46"/>
      <c r="BG421" s="46"/>
      <c r="BH421" s="46"/>
    </row>
    <row r="422" spans="1:60" ht="14.25" customHeight="1" x14ac:dyDescent="0.3">
      <c r="A422" s="46"/>
      <c r="B422" s="37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  <c r="AB422" s="46"/>
      <c r="AC422" s="46"/>
      <c r="AD422" s="46"/>
      <c r="AE422" s="46"/>
      <c r="AF422" s="46"/>
      <c r="AG422" s="46"/>
      <c r="AH422" s="46"/>
      <c r="AI422" s="46"/>
      <c r="AJ422" s="46"/>
      <c r="AK422" s="46"/>
      <c r="AL422" s="46"/>
      <c r="AM422" s="46"/>
      <c r="AN422" s="46"/>
      <c r="AO422" s="46"/>
      <c r="AP422" s="46"/>
      <c r="AQ422" s="46"/>
      <c r="AR422" s="46"/>
      <c r="AS422" s="46"/>
      <c r="AT422" s="46"/>
      <c r="AU422" s="46"/>
      <c r="AV422" s="46"/>
      <c r="AW422" s="46"/>
      <c r="AX422" s="46"/>
      <c r="AY422" s="46"/>
      <c r="AZ422" s="46"/>
      <c r="BA422" s="46"/>
      <c r="BB422" s="46"/>
      <c r="BC422" s="46"/>
      <c r="BD422" s="46"/>
      <c r="BE422" s="46"/>
      <c r="BF422" s="46"/>
      <c r="BG422" s="46"/>
      <c r="BH422" s="46"/>
    </row>
    <row r="423" spans="1:60" ht="14.25" customHeight="1" x14ac:dyDescent="0.3">
      <c r="A423" s="46"/>
      <c r="B423" s="37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  <c r="AB423" s="46"/>
      <c r="AC423" s="46"/>
      <c r="AD423" s="46"/>
      <c r="AE423" s="46"/>
      <c r="AF423" s="46"/>
      <c r="AG423" s="46"/>
      <c r="AH423" s="46"/>
      <c r="AI423" s="46"/>
      <c r="AJ423" s="46"/>
      <c r="AK423" s="46"/>
      <c r="AL423" s="46"/>
      <c r="AM423" s="46"/>
      <c r="AN423" s="46"/>
      <c r="AO423" s="46"/>
      <c r="AP423" s="46"/>
      <c r="AQ423" s="46"/>
      <c r="AR423" s="46"/>
      <c r="AS423" s="46"/>
      <c r="AT423" s="46"/>
      <c r="AU423" s="46"/>
      <c r="AV423" s="46"/>
      <c r="AW423" s="46"/>
      <c r="AX423" s="46"/>
      <c r="AY423" s="46"/>
      <c r="AZ423" s="46"/>
      <c r="BA423" s="46"/>
      <c r="BB423" s="46"/>
      <c r="BC423" s="46"/>
      <c r="BD423" s="46"/>
      <c r="BE423" s="46"/>
      <c r="BF423" s="46"/>
      <c r="BG423" s="46"/>
      <c r="BH423" s="46"/>
    </row>
    <row r="424" spans="1:60" ht="14.25" customHeight="1" x14ac:dyDescent="0.3">
      <c r="A424" s="46"/>
      <c r="B424" s="37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  <c r="AB424" s="46"/>
      <c r="AC424" s="46"/>
      <c r="AD424" s="46"/>
      <c r="AE424" s="46"/>
      <c r="AF424" s="46"/>
      <c r="AG424" s="46"/>
      <c r="AH424" s="46"/>
      <c r="AI424" s="46"/>
      <c r="AJ424" s="46"/>
      <c r="AK424" s="46"/>
      <c r="AL424" s="46"/>
      <c r="AM424" s="46"/>
      <c r="AN424" s="46"/>
      <c r="AO424" s="46"/>
      <c r="AP424" s="46"/>
      <c r="AQ424" s="46"/>
      <c r="AR424" s="46"/>
      <c r="AS424" s="46"/>
      <c r="AT424" s="46"/>
      <c r="AU424" s="46"/>
      <c r="AV424" s="46"/>
      <c r="AW424" s="46"/>
      <c r="AX424" s="46"/>
      <c r="AY424" s="46"/>
      <c r="AZ424" s="46"/>
      <c r="BA424" s="46"/>
      <c r="BB424" s="46"/>
      <c r="BC424" s="46"/>
      <c r="BD424" s="46"/>
      <c r="BE424" s="46"/>
      <c r="BF424" s="46"/>
      <c r="BG424" s="46"/>
      <c r="BH424" s="46"/>
    </row>
    <row r="425" spans="1:60" ht="14.25" customHeight="1" x14ac:dyDescent="0.3">
      <c r="A425" s="46"/>
      <c r="B425" s="37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  <c r="AB425" s="46"/>
      <c r="AC425" s="46"/>
      <c r="AD425" s="46"/>
      <c r="AE425" s="46"/>
      <c r="AF425" s="46"/>
      <c r="AG425" s="46"/>
      <c r="AH425" s="46"/>
      <c r="AI425" s="46"/>
      <c r="AJ425" s="46"/>
      <c r="AK425" s="46"/>
      <c r="AL425" s="46"/>
      <c r="AM425" s="46"/>
      <c r="AN425" s="46"/>
      <c r="AO425" s="46"/>
      <c r="AP425" s="46"/>
      <c r="AQ425" s="46"/>
      <c r="AR425" s="46"/>
      <c r="AS425" s="46"/>
      <c r="AT425" s="46"/>
      <c r="AU425" s="46"/>
      <c r="AV425" s="46"/>
      <c r="AW425" s="46"/>
      <c r="AX425" s="46"/>
      <c r="AY425" s="46"/>
      <c r="AZ425" s="46"/>
      <c r="BA425" s="46"/>
      <c r="BB425" s="46"/>
      <c r="BC425" s="46"/>
      <c r="BD425" s="46"/>
      <c r="BE425" s="46"/>
      <c r="BF425" s="46"/>
      <c r="BG425" s="46"/>
      <c r="BH425" s="46"/>
    </row>
    <row r="426" spans="1:60" ht="14.25" customHeight="1" x14ac:dyDescent="0.3">
      <c r="A426" s="46"/>
      <c r="B426" s="37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  <c r="AB426" s="46"/>
      <c r="AC426" s="46"/>
      <c r="AD426" s="46"/>
      <c r="AE426" s="46"/>
      <c r="AF426" s="46"/>
      <c r="AG426" s="46"/>
      <c r="AH426" s="46"/>
      <c r="AI426" s="46"/>
      <c r="AJ426" s="46"/>
      <c r="AK426" s="46"/>
      <c r="AL426" s="46"/>
      <c r="AM426" s="46"/>
      <c r="AN426" s="46"/>
      <c r="AO426" s="46"/>
      <c r="AP426" s="46"/>
      <c r="AQ426" s="46"/>
      <c r="AR426" s="46"/>
      <c r="AS426" s="46"/>
      <c r="AT426" s="46"/>
      <c r="AU426" s="46"/>
      <c r="AV426" s="46"/>
      <c r="AW426" s="46"/>
      <c r="AX426" s="46"/>
      <c r="AY426" s="46"/>
      <c r="AZ426" s="46"/>
      <c r="BA426" s="46"/>
      <c r="BB426" s="46"/>
      <c r="BC426" s="46"/>
      <c r="BD426" s="46"/>
      <c r="BE426" s="46"/>
      <c r="BF426" s="46"/>
      <c r="BG426" s="46"/>
      <c r="BH426" s="46"/>
    </row>
    <row r="427" spans="1:60" ht="14.25" customHeight="1" x14ac:dyDescent="0.3">
      <c r="A427" s="46"/>
      <c r="B427" s="37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  <c r="AB427" s="46"/>
      <c r="AC427" s="46"/>
      <c r="AD427" s="46"/>
      <c r="AE427" s="46"/>
      <c r="AF427" s="46"/>
      <c r="AG427" s="46"/>
      <c r="AH427" s="46"/>
      <c r="AI427" s="46"/>
      <c r="AJ427" s="46"/>
      <c r="AK427" s="46"/>
      <c r="AL427" s="46"/>
      <c r="AM427" s="46"/>
      <c r="AN427" s="46"/>
      <c r="AO427" s="46"/>
      <c r="AP427" s="46"/>
      <c r="AQ427" s="46"/>
      <c r="AR427" s="46"/>
      <c r="AS427" s="46"/>
      <c r="AT427" s="46"/>
      <c r="AU427" s="46"/>
      <c r="AV427" s="46"/>
      <c r="AW427" s="46"/>
      <c r="AX427" s="46"/>
      <c r="AY427" s="46"/>
      <c r="AZ427" s="46"/>
      <c r="BA427" s="46"/>
      <c r="BB427" s="46"/>
      <c r="BC427" s="46"/>
      <c r="BD427" s="46"/>
      <c r="BE427" s="46"/>
      <c r="BF427" s="46"/>
      <c r="BG427" s="46"/>
      <c r="BH427" s="46"/>
    </row>
    <row r="428" spans="1:60" ht="14.25" customHeight="1" x14ac:dyDescent="0.3">
      <c r="A428" s="46"/>
      <c r="B428" s="37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  <c r="AB428" s="46"/>
      <c r="AC428" s="46"/>
      <c r="AD428" s="46"/>
      <c r="AE428" s="46"/>
      <c r="AF428" s="46"/>
      <c r="AG428" s="46"/>
      <c r="AH428" s="46"/>
      <c r="AI428" s="46"/>
      <c r="AJ428" s="46"/>
      <c r="AK428" s="46"/>
      <c r="AL428" s="46"/>
      <c r="AM428" s="46"/>
      <c r="AN428" s="46"/>
      <c r="AO428" s="46"/>
      <c r="AP428" s="46"/>
      <c r="AQ428" s="46"/>
      <c r="AR428" s="46"/>
      <c r="AS428" s="46"/>
      <c r="AT428" s="46"/>
      <c r="AU428" s="46"/>
      <c r="AV428" s="46"/>
      <c r="AW428" s="46"/>
      <c r="AX428" s="46"/>
      <c r="AY428" s="46"/>
      <c r="AZ428" s="46"/>
      <c r="BA428" s="46"/>
      <c r="BB428" s="46"/>
      <c r="BC428" s="46"/>
      <c r="BD428" s="46"/>
      <c r="BE428" s="46"/>
      <c r="BF428" s="46"/>
      <c r="BG428" s="46"/>
      <c r="BH428" s="46"/>
    </row>
    <row r="429" spans="1:60" ht="14.25" customHeight="1" x14ac:dyDescent="0.3">
      <c r="A429" s="46"/>
      <c r="B429" s="37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  <c r="AB429" s="46"/>
      <c r="AC429" s="46"/>
      <c r="AD429" s="46"/>
      <c r="AE429" s="46"/>
      <c r="AF429" s="46"/>
      <c r="AG429" s="46"/>
      <c r="AH429" s="46"/>
      <c r="AI429" s="46"/>
      <c r="AJ429" s="46"/>
      <c r="AK429" s="46"/>
      <c r="AL429" s="46"/>
      <c r="AM429" s="46"/>
      <c r="AN429" s="46"/>
      <c r="AO429" s="46"/>
      <c r="AP429" s="46"/>
      <c r="AQ429" s="46"/>
      <c r="AR429" s="46"/>
      <c r="AS429" s="46"/>
      <c r="AT429" s="46"/>
      <c r="AU429" s="46"/>
      <c r="AV429" s="46"/>
      <c r="AW429" s="46"/>
      <c r="AX429" s="46"/>
      <c r="AY429" s="46"/>
      <c r="AZ429" s="46"/>
      <c r="BA429" s="46"/>
      <c r="BB429" s="46"/>
      <c r="BC429" s="46"/>
      <c r="BD429" s="46"/>
      <c r="BE429" s="46"/>
      <c r="BF429" s="46"/>
      <c r="BG429" s="46"/>
      <c r="BH429" s="46"/>
    </row>
    <row r="430" spans="1:60" ht="14.25" customHeight="1" x14ac:dyDescent="0.3">
      <c r="A430" s="46"/>
      <c r="B430" s="37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  <c r="AB430" s="46"/>
      <c r="AC430" s="46"/>
      <c r="AD430" s="46"/>
      <c r="AE430" s="46"/>
      <c r="AF430" s="46"/>
      <c r="AG430" s="46"/>
      <c r="AH430" s="46"/>
      <c r="AI430" s="46"/>
      <c r="AJ430" s="46"/>
      <c r="AK430" s="46"/>
      <c r="AL430" s="46"/>
      <c r="AM430" s="46"/>
      <c r="AN430" s="46"/>
      <c r="AO430" s="46"/>
      <c r="AP430" s="46"/>
      <c r="AQ430" s="46"/>
      <c r="AR430" s="46"/>
      <c r="AS430" s="46"/>
      <c r="AT430" s="46"/>
      <c r="AU430" s="46"/>
      <c r="AV430" s="46"/>
      <c r="AW430" s="46"/>
      <c r="AX430" s="46"/>
      <c r="AY430" s="46"/>
      <c r="AZ430" s="46"/>
      <c r="BA430" s="46"/>
      <c r="BB430" s="46"/>
      <c r="BC430" s="46"/>
      <c r="BD430" s="46"/>
      <c r="BE430" s="46"/>
      <c r="BF430" s="46"/>
      <c r="BG430" s="46"/>
      <c r="BH430" s="46"/>
    </row>
    <row r="431" spans="1:60" ht="14.25" customHeight="1" x14ac:dyDescent="0.3">
      <c r="A431" s="46"/>
      <c r="B431" s="37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  <c r="AB431" s="46"/>
      <c r="AC431" s="46"/>
      <c r="AD431" s="46"/>
      <c r="AE431" s="46"/>
      <c r="AF431" s="46"/>
      <c r="AG431" s="46"/>
      <c r="AH431" s="46"/>
      <c r="AI431" s="46"/>
      <c r="AJ431" s="46"/>
      <c r="AK431" s="46"/>
      <c r="AL431" s="46"/>
      <c r="AM431" s="46"/>
      <c r="AN431" s="46"/>
      <c r="AO431" s="46"/>
      <c r="AP431" s="46"/>
      <c r="AQ431" s="46"/>
      <c r="AR431" s="46"/>
      <c r="AS431" s="46"/>
      <c r="AT431" s="46"/>
      <c r="AU431" s="46"/>
      <c r="AV431" s="46"/>
      <c r="AW431" s="46"/>
      <c r="AX431" s="46"/>
      <c r="AY431" s="46"/>
      <c r="AZ431" s="46"/>
      <c r="BA431" s="46"/>
      <c r="BB431" s="46"/>
      <c r="BC431" s="46"/>
      <c r="BD431" s="46"/>
      <c r="BE431" s="46"/>
      <c r="BF431" s="46"/>
      <c r="BG431" s="46"/>
      <c r="BH431" s="46"/>
    </row>
    <row r="432" spans="1:60" ht="14.25" customHeight="1" x14ac:dyDescent="0.3">
      <c r="A432" s="46"/>
      <c r="B432" s="37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  <c r="AB432" s="46"/>
      <c r="AC432" s="46"/>
      <c r="AD432" s="46"/>
      <c r="AE432" s="46"/>
      <c r="AF432" s="46"/>
      <c r="AG432" s="46"/>
      <c r="AH432" s="46"/>
      <c r="AI432" s="46"/>
      <c r="AJ432" s="46"/>
      <c r="AK432" s="46"/>
      <c r="AL432" s="46"/>
      <c r="AM432" s="46"/>
      <c r="AN432" s="46"/>
      <c r="AO432" s="46"/>
      <c r="AP432" s="46"/>
      <c r="AQ432" s="46"/>
      <c r="AR432" s="46"/>
      <c r="AS432" s="46"/>
      <c r="AT432" s="46"/>
      <c r="AU432" s="46"/>
      <c r="AV432" s="46"/>
      <c r="AW432" s="46"/>
      <c r="AX432" s="46"/>
      <c r="AY432" s="46"/>
      <c r="AZ432" s="46"/>
      <c r="BA432" s="46"/>
      <c r="BB432" s="46"/>
      <c r="BC432" s="46"/>
      <c r="BD432" s="46"/>
      <c r="BE432" s="46"/>
      <c r="BF432" s="46"/>
      <c r="BG432" s="46"/>
      <c r="BH432" s="46"/>
    </row>
    <row r="433" spans="1:60" ht="14.25" customHeight="1" x14ac:dyDescent="0.3">
      <c r="A433" s="46"/>
      <c r="B433" s="37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  <c r="AB433" s="46"/>
      <c r="AC433" s="46"/>
      <c r="AD433" s="46"/>
      <c r="AE433" s="46"/>
      <c r="AF433" s="46"/>
      <c r="AG433" s="46"/>
      <c r="AH433" s="46"/>
      <c r="AI433" s="46"/>
      <c r="AJ433" s="46"/>
      <c r="AK433" s="46"/>
      <c r="AL433" s="46"/>
      <c r="AM433" s="46"/>
      <c r="AN433" s="46"/>
      <c r="AO433" s="46"/>
      <c r="AP433" s="46"/>
      <c r="AQ433" s="46"/>
      <c r="AR433" s="46"/>
      <c r="AS433" s="46"/>
      <c r="AT433" s="46"/>
      <c r="AU433" s="46"/>
      <c r="AV433" s="46"/>
      <c r="AW433" s="46"/>
      <c r="AX433" s="46"/>
      <c r="AY433" s="46"/>
      <c r="AZ433" s="46"/>
      <c r="BA433" s="46"/>
      <c r="BB433" s="46"/>
      <c r="BC433" s="46"/>
      <c r="BD433" s="46"/>
      <c r="BE433" s="46"/>
      <c r="BF433" s="46"/>
      <c r="BG433" s="46"/>
      <c r="BH433" s="46"/>
    </row>
    <row r="434" spans="1:60" ht="14.25" customHeight="1" x14ac:dyDescent="0.3">
      <c r="A434" s="46"/>
      <c r="B434" s="37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  <c r="AB434" s="46"/>
      <c r="AC434" s="46"/>
      <c r="AD434" s="46"/>
      <c r="AE434" s="46"/>
      <c r="AF434" s="46"/>
      <c r="AG434" s="46"/>
      <c r="AH434" s="46"/>
      <c r="AI434" s="46"/>
      <c r="AJ434" s="46"/>
      <c r="AK434" s="46"/>
      <c r="AL434" s="46"/>
      <c r="AM434" s="46"/>
      <c r="AN434" s="46"/>
      <c r="AO434" s="46"/>
      <c r="AP434" s="46"/>
      <c r="AQ434" s="46"/>
      <c r="AR434" s="46"/>
      <c r="AS434" s="46"/>
      <c r="AT434" s="46"/>
      <c r="AU434" s="46"/>
      <c r="AV434" s="46"/>
      <c r="AW434" s="46"/>
      <c r="AX434" s="46"/>
      <c r="AY434" s="46"/>
      <c r="AZ434" s="46"/>
      <c r="BA434" s="46"/>
      <c r="BB434" s="46"/>
      <c r="BC434" s="46"/>
      <c r="BD434" s="46"/>
      <c r="BE434" s="46"/>
      <c r="BF434" s="46"/>
      <c r="BG434" s="46"/>
      <c r="BH434" s="46"/>
    </row>
    <row r="435" spans="1:60" ht="14.25" customHeight="1" x14ac:dyDescent="0.3">
      <c r="A435" s="46"/>
      <c r="B435" s="37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  <c r="AB435" s="46"/>
      <c r="AC435" s="46"/>
      <c r="AD435" s="46"/>
      <c r="AE435" s="46"/>
      <c r="AF435" s="46"/>
      <c r="AG435" s="46"/>
      <c r="AH435" s="46"/>
      <c r="AI435" s="46"/>
      <c r="AJ435" s="46"/>
      <c r="AK435" s="46"/>
      <c r="AL435" s="46"/>
      <c r="AM435" s="46"/>
      <c r="AN435" s="46"/>
      <c r="AO435" s="46"/>
      <c r="AP435" s="46"/>
      <c r="AQ435" s="46"/>
      <c r="AR435" s="46"/>
      <c r="AS435" s="46"/>
      <c r="AT435" s="46"/>
      <c r="AU435" s="46"/>
      <c r="AV435" s="46"/>
      <c r="AW435" s="46"/>
      <c r="AX435" s="46"/>
      <c r="AY435" s="46"/>
      <c r="AZ435" s="46"/>
      <c r="BA435" s="46"/>
      <c r="BB435" s="46"/>
      <c r="BC435" s="46"/>
      <c r="BD435" s="46"/>
      <c r="BE435" s="46"/>
      <c r="BF435" s="46"/>
      <c r="BG435" s="46"/>
      <c r="BH435" s="46"/>
    </row>
    <row r="436" spans="1:60" ht="14.25" customHeight="1" x14ac:dyDescent="0.3">
      <c r="A436" s="46"/>
      <c r="B436" s="37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  <c r="AB436" s="46"/>
      <c r="AC436" s="46"/>
      <c r="AD436" s="46"/>
      <c r="AE436" s="46"/>
      <c r="AF436" s="46"/>
      <c r="AG436" s="46"/>
      <c r="AH436" s="46"/>
      <c r="AI436" s="46"/>
      <c r="AJ436" s="46"/>
      <c r="AK436" s="46"/>
      <c r="AL436" s="46"/>
      <c r="AM436" s="46"/>
      <c r="AN436" s="46"/>
      <c r="AO436" s="46"/>
      <c r="AP436" s="46"/>
      <c r="AQ436" s="46"/>
      <c r="AR436" s="46"/>
      <c r="AS436" s="46"/>
      <c r="AT436" s="46"/>
      <c r="AU436" s="46"/>
      <c r="AV436" s="46"/>
      <c r="AW436" s="46"/>
      <c r="AX436" s="46"/>
      <c r="AY436" s="46"/>
      <c r="AZ436" s="46"/>
      <c r="BA436" s="46"/>
      <c r="BB436" s="46"/>
      <c r="BC436" s="46"/>
      <c r="BD436" s="46"/>
      <c r="BE436" s="46"/>
      <c r="BF436" s="46"/>
      <c r="BG436" s="46"/>
      <c r="BH436" s="46"/>
    </row>
    <row r="437" spans="1:60" ht="14.25" customHeight="1" x14ac:dyDescent="0.3">
      <c r="A437" s="46"/>
      <c r="B437" s="37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  <c r="AB437" s="46"/>
      <c r="AC437" s="46"/>
      <c r="AD437" s="46"/>
      <c r="AE437" s="46"/>
      <c r="AF437" s="46"/>
      <c r="AG437" s="46"/>
      <c r="AH437" s="46"/>
      <c r="AI437" s="46"/>
      <c r="AJ437" s="46"/>
      <c r="AK437" s="46"/>
      <c r="AL437" s="46"/>
      <c r="AM437" s="46"/>
      <c r="AN437" s="46"/>
      <c r="AO437" s="46"/>
      <c r="AP437" s="46"/>
      <c r="AQ437" s="46"/>
      <c r="AR437" s="46"/>
      <c r="AS437" s="46"/>
      <c r="AT437" s="46"/>
      <c r="AU437" s="46"/>
      <c r="AV437" s="46"/>
      <c r="AW437" s="46"/>
      <c r="AX437" s="46"/>
      <c r="AY437" s="46"/>
      <c r="AZ437" s="46"/>
      <c r="BA437" s="46"/>
      <c r="BB437" s="46"/>
      <c r="BC437" s="46"/>
      <c r="BD437" s="46"/>
      <c r="BE437" s="46"/>
      <c r="BF437" s="46"/>
      <c r="BG437" s="46"/>
      <c r="BH437" s="46"/>
    </row>
    <row r="438" spans="1:60" ht="14.25" customHeight="1" x14ac:dyDescent="0.3">
      <c r="A438" s="46"/>
      <c r="B438" s="37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  <c r="AB438" s="46"/>
      <c r="AC438" s="46"/>
      <c r="AD438" s="46"/>
      <c r="AE438" s="46"/>
      <c r="AF438" s="46"/>
      <c r="AG438" s="46"/>
      <c r="AH438" s="46"/>
      <c r="AI438" s="46"/>
      <c r="AJ438" s="46"/>
      <c r="AK438" s="46"/>
      <c r="AL438" s="46"/>
      <c r="AM438" s="46"/>
      <c r="AN438" s="46"/>
      <c r="AO438" s="46"/>
      <c r="AP438" s="46"/>
      <c r="AQ438" s="46"/>
      <c r="AR438" s="46"/>
      <c r="AS438" s="46"/>
      <c r="AT438" s="46"/>
      <c r="AU438" s="46"/>
      <c r="AV438" s="46"/>
      <c r="AW438" s="46"/>
      <c r="AX438" s="46"/>
      <c r="AY438" s="46"/>
      <c r="AZ438" s="46"/>
      <c r="BA438" s="46"/>
      <c r="BB438" s="46"/>
      <c r="BC438" s="46"/>
      <c r="BD438" s="46"/>
      <c r="BE438" s="46"/>
      <c r="BF438" s="46"/>
      <c r="BG438" s="46"/>
      <c r="BH438" s="46"/>
    </row>
    <row r="439" spans="1:60" ht="14.25" customHeight="1" x14ac:dyDescent="0.3">
      <c r="A439" s="46"/>
      <c r="B439" s="37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  <c r="AB439" s="46"/>
      <c r="AC439" s="46"/>
      <c r="AD439" s="46"/>
      <c r="AE439" s="46"/>
      <c r="AF439" s="46"/>
      <c r="AG439" s="46"/>
      <c r="AH439" s="46"/>
      <c r="AI439" s="46"/>
      <c r="AJ439" s="46"/>
      <c r="AK439" s="46"/>
      <c r="AL439" s="46"/>
      <c r="AM439" s="46"/>
      <c r="AN439" s="46"/>
      <c r="AO439" s="46"/>
      <c r="AP439" s="46"/>
      <c r="AQ439" s="46"/>
      <c r="AR439" s="46"/>
      <c r="AS439" s="46"/>
      <c r="AT439" s="46"/>
      <c r="AU439" s="46"/>
      <c r="AV439" s="46"/>
      <c r="AW439" s="46"/>
      <c r="AX439" s="46"/>
      <c r="AY439" s="46"/>
      <c r="AZ439" s="46"/>
      <c r="BA439" s="46"/>
      <c r="BB439" s="46"/>
      <c r="BC439" s="46"/>
      <c r="BD439" s="46"/>
      <c r="BE439" s="46"/>
      <c r="BF439" s="46"/>
      <c r="BG439" s="46"/>
      <c r="BH439" s="46"/>
    </row>
    <row r="440" spans="1:60" ht="14.25" customHeight="1" x14ac:dyDescent="0.3">
      <c r="A440" s="46"/>
      <c r="B440" s="37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  <c r="AB440" s="46"/>
      <c r="AC440" s="46"/>
      <c r="AD440" s="46"/>
      <c r="AE440" s="46"/>
      <c r="AF440" s="46"/>
      <c r="AG440" s="46"/>
      <c r="AH440" s="46"/>
      <c r="AI440" s="46"/>
      <c r="AJ440" s="46"/>
      <c r="AK440" s="46"/>
      <c r="AL440" s="46"/>
      <c r="AM440" s="46"/>
      <c r="AN440" s="46"/>
      <c r="AO440" s="46"/>
      <c r="AP440" s="46"/>
      <c r="AQ440" s="46"/>
      <c r="AR440" s="46"/>
      <c r="AS440" s="46"/>
      <c r="AT440" s="46"/>
      <c r="AU440" s="46"/>
      <c r="AV440" s="46"/>
      <c r="AW440" s="46"/>
      <c r="AX440" s="46"/>
      <c r="AY440" s="46"/>
      <c r="AZ440" s="46"/>
      <c r="BA440" s="46"/>
      <c r="BB440" s="46"/>
      <c r="BC440" s="46"/>
      <c r="BD440" s="46"/>
      <c r="BE440" s="46"/>
      <c r="BF440" s="46"/>
      <c r="BG440" s="46"/>
      <c r="BH440" s="46"/>
    </row>
    <row r="441" spans="1:60" ht="14.25" customHeight="1" x14ac:dyDescent="0.3">
      <c r="A441" s="46"/>
      <c r="B441" s="37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  <c r="AB441" s="46"/>
      <c r="AC441" s="46"/>
      <c r="AD441" s="46"/>
      <c r="AE441" s="46"/>
      <c r="AF441" s="46"/>
      <c r="AG441" s="46"/>
      <c r="AH441" s="46"/>
      <c r="AI441" s="46"/>
      <c r="AJ441" s="46"/>
      <c r="AK441" s="46"/>
      <c r="AL441" s="46"/>
      <c r="AM441" s="46"/>
      <c r="AN441" s="46"/>
      <c r="AO441" s="46"/>
      <c r="AP441" s="46"/>
      <c r="AQ441" s="46"/>
      <c r="AR441" s="46"/>
      <c r="AS441" s="46"/>
      <c r="AT441" s="46"/>
      <c r="AU441" s="46"/>
      <c r="AV441" s="46"/>
      <c r="AW441" s="46"/>
      <c r="AX441" s="46"/>
      <c r="AY441" s="46"/>
      <c r="AZ441" s="46"/>
      <c r="BA441" s="46"/>
      <c r="BB441" s="46"/>
      <c r="BC441" s="46"/>
      <c r="BD441" s="46"/>
      <c r="BE441" s="46"/>
      <c r="BF441" s="46"/>
      <c r="BG441" s="46"/>
      <c r="BH441" s="46"/>
    </row>
    <row r="442" spans="1:60" ht="14.25" customHeight="1" x14ac:dyDescent="0.3">
      <c r="A442" s="46"/>
      <c r="B442" s="37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  <c r="AB442" s="46"/>
      <c r="AC442" s="46"/>
      <c r="AD442" s="46"/>
      <c r="AE442" s="46"/>
      <c r="AF442" s="46"/>
      <c r="AG442" s="46"/>
      <c r="AH442" s="46"/>
      <c r="AI442" s="46"/>
      <c r="AJ442" s="46"/>
      <c r="AK442" s="46"/>
      <c r="AL442" s="46"/>
      <c r="AM442" s="46"/>
      <c r="AN442" s="46"/>
      <c r="AO442" s="46"/>
      <c r="AP442" s="46"/>
      <c r="AQ442" s="46"/>
      <c r="AR442" s="46"/>
      <c r="AS442" s="46"/>
      <c r="AT442" s="46"/>
      <c r="AU442" s="46"/>
      <c r="AV442" s="46"/>
      <c r="AW442" s="46"/>
      <c r="AX442" s="46"/>
      <c r="AY442" s="46"/>
      <c r="AZ442" s="46"/>
      <c r="BA442" s="46"/>
      <c r="BB442" s="46"/>
      <c r="BC442" s="46"/>
      <c r="BD442" s="46"/>
      <c r="BE442" s="46"/>
      <c r="BF442" s="46"/>
      <c r="BG442" s="46"/>
      <c r="BH442" s="46"/>
    </row>
    <row r="443" spans="1:60" ht="14.25" customHeight="1" x14ac:dyDescent="0.3">
      <c r="A443" s="46"/>
      <c r="B443" s="37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  <c r="AC443" s="46"/>
      <c r="AD443" s="46"/>
      <c r="AE443" s="46"/>
      <c r="AF443" s="46"/>
      <c r="AG443" s="46"/>
      <c r="AH443" s="46"/>
      <c r="AI443" s="46"/>
      <c r="AJ443" s="46"/>
      <c r="AK443" s="46"/>
      <c r="AL443" s="46"/>
      <c r="AM443" s="46"/>
      <c r="AN443" s="46"/>
      <c r="AO443" s="46"/>
      <c r="AP443" s="46"/>
      <c r="AQ443" s="46"/>
      <c r="AR443" s="46"/>
      <c r="AS443" s="46"/>
      <c r="AT443" s="46"/>
      <c r="AU443" s="46"/>
      <c r="AV443" s="46"/>
      <c r="AW443" s="46"/>
      <c r="AX443" s="46"/>
      <c r="AY443" s="46"/>
      <c r="AZ443" s="46"/>
      <c r="BA443" s="46"/>
      <c r="BB443" s="46"/>
      <c r="BC443" s="46"/>
      <c r="BD443" s="46"/>
      <c r="BE443" s="46"/>
      <c r="BF443" s="46"/>
      <c r="BG443" s="46"/>
      <c r="BH443" s="46"/>
    </row>
    <row r="444" spans="1:60" ht="14.25" customHeight="1" x14ac:dyDescent="0.3">
      <c r="A444" s="46"/>
      <c r="B444" s="37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  <c r="AB444" s="46"/>
      <c r="AC444" s="46"/>
      <c r="AD444" s="46"/>
      <c r="AE444" s="46"/>
      <c r="AF444" s="46"/>
      <c r="AG444" s="46"/>
      <c r="AH444" s="46"/>
      <c r="AI444" s="46"/>
      <c r="AJ444" s="46"/>
      <c r="AK444" s="46"/>
      <c r="AL444" s="46"/>
      <c r="AM444" s="46"/>
      <c r="AN444" s="46"/>
      <c r="AO444" s="46"/>
      <c r="AP444" s="46"/>
      <c r="AQ444" s="46"/>
      <c r="AR444" s="46"/>
      <c r="AS444" s="46"/>
      <c r="AT444" s="46"/>
      <c r="AU444" s="46"/>
      <c r="AV444" s="46"/>
      <c r="AW444" s="46"/>
      <c r="AX444" s="46"/>
      <c r="AY444" s="46"/>
      <c r="AZ444" s="46"/>
      <c r="BA444" s="46"/>
      <c r="BB444" s="46"/>
      <c r="BC444" s="46"/>
      <c r="BD444" s="46"/>
      <c r="BE444" s="46"/>
      <c r="BF444" s="46"/>
      <c r="BG444" s="46"/>
      <c r="BH444" s="46"/>
    </row>
    <row r="445" spans="1:60" ht="14.25" customHeight="1" x14ac:dyDescent="0.3">
      <c r="A445" s="46"/>
      <c r="B445" s="37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  <c r="AB445" s="46"/>
      <c r="AC445" s="46"/>
      <c r="AD445" s="46"/>
      <c r="AE445" s="46"/>
      <c r="AF445" s="46"/>
      <c r="AG445" s="46"/>
      <c r="AH445" s="46"/>
      <c r="AI445" s="46"/>
      <c r="AJ445" s="46"/>
      <c r="AK445" s="46"/>
      <c r="AL445" s="46"/>
      <c r="AM445" s="46"/>
      <c r="AN445" s="46"/>
      <c r="AO445" s="46"/>
      <c r="AP445" s="46"/>
      <c r="AQ445" s="46"/>
      <c r="AR445" s="46"/>
      <c r="AS445" s="46"/>
      <c r="AT445" s="46"/>
      <c r="AU445" s="46"/>
      <c r="AV445" s="46"/>
      <c r="AW445" s="46"/>
      <c r="AX445" s="46"/>
      <c r="AY445" s="46"/>
      <c r="AZ445" s="46"/>
      <c r="BA445" s="46"/>
      <c r="BB445" s="46"/>
      <c r="BC445" s="46"/>
      <c r="BD445" s="46"/>
      <c r="BE445" s="46"/>
      <c r="BF445" s="46"/>
      <c r="BG445" s="46"/>
      <c r="BH445" s="46"/>
    </row>
    <row r="446" spans="1:60" ht="14.25" customHeight="1" x14ac:dyDescent="0.3">
      <c r="A446" s="46"/>
      <c r="B446" s="37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  <c r="AD446" s="46"/>
      <c r="AE446" s="46"/>
      <c r="AF446" s="46"/>
      <c r="AG446" s="46"/>
      <c r="AH446" s="46"/>
      <c r="AI446" s="46"/>
      <c r="AJ446" s="46"/>
      <c r="AK446" s="46"/>
      <c r="AL446" s="46"/>
      <c r="AM446" s="46"/>
      <c r="AN446" s="46"/>
      <c r="AO446" s="46"/>
      <c r="AP446" s="46"/>
      <c r="AQ446" s="46"/>
      <c r="AR446" s="46"/>
      <c r="AS446" s="46"/>
      <c r="AT446" s="46"/>
      <c r="AU446" s="46"/>
      <c r="AV446" s="46"/>
      <c r="AW446" s="46"/>
      <c r="AX446" s="46"/>
      <c r="AY446" s="46"/>
      <c r="AZ446" s="46"/>
      <c r="BA446" s="46"/>
      <c r="BB446" s="46"/>
      <c r="BC446" s="46"/>
      <c r="BD446" s="46"/>
      <c r="BE446" s="46"/>
      <c r="BF446" s="46"/>
      <c r="BG446" s="46"/>
      <c r="BH446" s="46"/>
    </row>
    <row r="447" spans="1:60" ht="14.25" customHeight="1" x14ac:dyDescent="0.3">
      <c r="A447" s="46"/>
      <c r="B447" s="37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  <c r="AC447" s="46"/>
      <c r="AD447" s="46"/>
      <c r="AE447" s="46"/>
      <c r="AF447" s="46"/>
      <c r="AG447" s="46"/>
      <c r="AH447" s="46"/>
      <c r="AI447" s="46"/>
      <c r="AJ447" s="46"/>
      <c r="AK447" s="46"/>
      <c r="AL447" s="46"/>
      <c r="AM447" s="46"/>
      <c r="AN447" s="46"/>
      <c r="AO447" s="46"/>
      <c r="AP447" s="46"/>
      <c r="AQ447" s="46"/>
      <c r="AR447" s="46"/>
      <c r="AS447" s="46"/>
      <c r="AT447" s="46"/>
      <c r="AU447" s="46"/>
      <c r="AV447" s="46"/>
      <c r="AW447" s="46"/>
      <c r="AX447" s="46"/>
      <c r="AY447" s="46"/>
      <c r="AZ447" s="46"/>
      <c r="BA447" s="46"/>
      <c r="BB447" s="46"/>
      <c r="BC447" s="46"/>
      <c r="BD447" s="46"/>
      <c r="BE447" s="46"/>
      <c r="BF447" s="46"/>
      <c r="BG447" s="46"/>
      <c r="BH447" s="46"/>
    </row>
    <row r="448" spans="1:60" ht="14.25" customHeight="1" x14ac:dyDescent="0.3">
      <c r="A448" s="46"/>
      <c r="B448" s="37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  <c r="AB448" s="46"/>
      <c r="AC448" s="46"/>
      <c r="AD448" s="46"/>
      <c r="AE448" s="46"/>
      <c r="AF448" s="46"/>
      <c r="AG448" s="46"/>
      <c r="AH448" s="46"/>
      <c r="AI448" s="46"/>
      <c r="AJ448" s="46"/>
      <c r="AK448" s="46"/>
      <c r="AL448" s="46"/>
      <c r="AM448" s="46"/>
      <c r="AN448" s="46"/>
      <c r="AO448" s="46"/>
      <c r="AP448" s="46"/>
      <c r="AQ448" s="46"/>
      <c r="AR448" s="46"/>
      <c r="AS448" s="46"/>
      <c r="AT448" s="46"/>
      <c r="AU448" s="46"/>
      <c r="AV448" s="46"/>
      <c r="AW448" s="46"/>
      <c r="AX448" s="46"/>
      <c r="AY448" s="46"/>
      <c r="AZ448" s="46"/>
      <c r="BA448" s="46"/>
      <c r="BB448" s="46"/>
      <c r="BC448" s="46"/>
      <c r="BD448" s="46"/>
      <c r="BE448" s="46"/>
      <c r="BF448" s="46"/>
      <c r="BG448" s="46"/>
      <c r="BH448" s="46"/>
    </row>
    <row r="449" spans="1:60" ht="14.25" customHeight="1" x14ac:dyDescent="0.3">
      <c r="A449" s="46"/>
      <c r="B449" s="37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  <c r="AD449" s="46"/>
      <c r="AE449" s="46"/>
      <c r="AF449" s="46"/>
      <c r="AG449" s="46"/>
      <c r="AH449" s="46"/>
      <c r="AI449" s="46"/>
      <c r="AJ449" s="46"/>
      <c r="AK449" s="46"/>
      <c r="AL449" s="46"/>
      <c r="AM449" s="46"/>
      <c r="AN449" s="46"/>
      <c r="AO449" s="46"/>
      <c r="AP449" s="46"/>
      <c r="AQ449" s="46"/>
      <c r="AR449" s="46"/>
      <c r="AS449" s="46"/>
      <c r="AT449" s="46"/>
      <c r="AU449" s="46"/>
      <c r="AV449" s="46"/>
      <c r="AW449" s="46"/>
      <c r="AX449" s="46"/>
      <c r="AY449" s="46"/>
      <c r="AZ449" s="46"/>
      <c r="BA449" s="46"/>
      <c r="BB449" s="46"/>
      <c r="BC449" s="46"/>
      <c r="BD449" s="46"/>
      <c r="BE449" s="46"/>
      <c r="BF449" s="46"/>
      <c r="BG449" s="46"/>
      <c r="BH449" s="46"/>
    </row>
    <row r="450" spans="1:60" ht="14.25" customHeight="1" x14ac:dyDescent="0.3">
      <c r="A450" s="46"/>
      <c r="B450" s="37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  <c r="AC450" s="46"/>
      <c r="AD450" s="46"/>
      <c r="AE450" s="46"/>
      <c r="AF450" s="46"/>
      <c r="AG450" s="46"/>
      <c r="AH450" s="46"/>
      <c r="AI450" s="46"/>
      <c r="AJ450" s="46"/>
      <c r="AK450" s="46"/>
      <c r="AL450" s="46"/>
      <c r="AM450" s="46"/>
      <c r="AN450" s="46"/>
      <c r="AO450" s="46"/>
      <c r="AP450" s="46"/>
      <c r="AQ450" s="46"/>
      <c r="AR450" s="46"/>
      <c r="AS450" s="46"/>
      <c r="AT450" s="46"/>
      <c r="AU450" s="46"/>
      <c r="AV450" s="46"/>
      <c r="AW450" s="46"/>
      <c r="AX450" s="46"/>
      <c r="AY450" s="46"/>
      <c r="AZ450" s="46"/>
      <c r="BA450" s="46"/>
      <c r="BB450" s="46"/>
      <c r="BC450" s="46"/>
      <c r="BD450" s="46"/>
      <c r="BE450" s="46"/>
      <c r="BF450" s="46"/>
      <c r="BG450" s="46"/>
      <c r="BH450" s="46"/>
    </row>
    <row r="451" spans="1:60" ht="14.25" customHeight="1" x14ac:dyDescent="0.3">
      <c r="A451" s="46"/>
      <c r="B451" s="37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  <c r="AC451" s="46"/>
      <c r="AD451" s="46"/>
      <c r="AE451" s="46"/>
      <c r="AF451" s="46"/>
      <c r="AG451" s="46"/>
      <c r="AH451" s="46"/>
      <c r="AI451" s="46"/>
      <c r="AJ451" s="46"/>
      <c r="AK451" s="46"/>
      <c r="AL451" s="46"/>
      <c r="AM451" s="46"/>
      <c r="AN451" s="46"/>
      <c r="AO451" s="46"/>
      <c r="AP451" s="46"/>
      <c r="AQ451" s="46"/>
      <c r="AR451" s="46"/>
      <c r="AS451" s="46"/>
      <c r="AT451" s="46"/>
      <c r="AU451" s="46"/>
      <c r="AV451" s="46"/>
      <c r="AW451" s="46"/>
      <c r="AX451" s="46"/>
      <c r="AY451" s="46"/>
      <c r="AZ451" s="46"/>
      <c r="BA451" s="46"/>
      <c r="BB451" s="46"/>
      <c r="BC451" s="46"/>
      <c r="BD451" s="46"/>
      <c r="BE451" s="46"/>
      <c r="BF451" s="46"/>
      <c r="BG451" s="46"/>
      <c r="BH451" s="46"/>
    </row>
    <row r="452" spans="1:60" ht="14.25" customHeight="1" x14ac:dyDescent="0.3">
      <c r="A452" s="46"/>
      <c r="B452" s="37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  <c r="AC452" s="46"/>
      <c r="AD452" s="46"/>
      <c r="AE452" s="46"/>
      <c r="AF452" s="46"/>
      <c r="AG452" s="46"/>
      <c r="AH452" s="46"/>
      <c r="AI452" s="46"/>
      <c r="AJ452" s="46"/>
      <c r="AK452" s="46"/>
      <c r="AL452" s="46"/>
      <c r="AM452" s="46"/>
      <c r="AN452" s="46"/>
      <c r="AO452" s="46"/>
      <c r="AP452" s="46"/>
      <c r="AQ452" s="46"/>
      <c r="AR452" s="46"/>
      <c r="AS452" s="46"/>
      <c r="AT452" s="46"/>
      <c r="AU452" s="46"/>
      <c r="AV452" s="46"/>
      <c r="AW452" s="46"/>
      <c r="AX452" s="46"/>
      <c r="AY452" s="46"/>
      <c r="AZ452" s="46"/>
      <c r="BA452" s="46"/>
      <c r="BB452" s="46"/>
      <c r="BC452" s="46"/>
      <c r="BD452" s="46"/>
      <c r="BE452" s="46"/>
      <c r="BF452" s="46"/>
      <c r="BG452" s="46"/>
      <c r="BH452" s="46"/>
    </row>
    <row r="453" spans="1:60" ht="14.25" customHeight="1" x14ac:dyDescent="0.3">
      <c r="A453" s="46"/>
      <c r="B453" s="37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  <c r="AC453" s="46"/>
      <c r="AD453" s="46"/>
      <c r="AE453" s="46"/>
      <c r="AF453" s="46"/>
      <c r="AG453" s="46"/>
      <c r="AH453" s="46"/>
      <c r="AI453" s="46"/>
      <c r="AJ453" s="46"/>
      <c r="AK453" s="46"/>
      <c r="AL453" s="46"/>
      <c r="AM453" s="46"/>
      <c r="AN453" s="46"/>
      <c r="AO453" s="46"/>
      <c r="AP453" s="46"/>
      <c r="AQ453" s="46"/>
      <c r="AR453" s="46"/>
      <c r="AS453" s="46"/>
      <c r="AT453" s="46"/>
      <c r="AU453" s="46"/>
      <c r="AV453" s="46"/>
      <c r="AW453" s="46"/>
      <c r="AX453" s="46"/>
      <c r="AY453" s="46"/>
      <c r="AZ453" s="46"/>
      <c r="BA453" s="46"/>
      <c r="BB453" s="46"/>
      <c r="BC453" s="46"/>
      <c r="BD453" s="46"/>
      <c r="BE453" s="46"/>
      <c r="BF453" s="46"/>
      <c r="BG453" s="46"/>
      <c r="BH453" s="46"/>
    </row>
    <row r="454" spans="1:60" ht="14.25" customHeight="1" x14ac:dyDescent="0.3">
      <c r="A454" s="46"/>
      <c r="B454" s="37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  <c r="AC454" s="46"/>
      <c r="AD454" s="46"/>
      <c r="AE454" s="46"/>
      <c r="AF454" s="46"/>
      <c r="AG454" s="46"/>
      <c r="AH454" s="46"/>
      <c r="AI454" s="46"/>
      <c r="AJ454" s="46"/>
      <c r="AK454" s="46"/>
      <c r="AL454" s="46"/>
      <c r="AM454" s="46"/>
      <c r="AN454" s="46"/>
      <c r="AO454" s="46"/>
      <c r="AP454" s="46"/>
      <c r="AQ454" s="46"/>
      <c r="AR454" s="46"/>
      <c r="AS454" s="46"/>
      <c r="AT454" s="46"/>
      <c r="AU454" s="46"/>
      <c r="AV454" s="46"/>
      <c r="AW454" s="46"/>
      <c r="AX454" s="46"/>
      <c r="AY454" s="46"/>
      <c r="AZ454" s="46"/>
      <c r="BA454" s="46"/>
      <c r="BB454" s="46"/>
      <c r="BC454" s="46"/>
      <c r="BD454" s="46"/>
      <c r="BE454" s="46"/>
      <c r="BF454" s="46"/>
      <c r="BG454" s="46"/>
      <c r="BH454" s="46"/>
    </row>
    <row r="455" spans="1:60" ht="14.25" customHeight="1" x14ac:dyDescent="0.3">
      <c r="A455" s="46"/>
      <c r="B455" s="37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  <c r="AC455" s="46"/>
      <c r="AD455" s="46"/>
      <c r="AE455" s="46"/>
      <c r="AF455" s="46"/>
      <c r="AG455" s="46"/>
      <c r="AH455" s="46"/>
      <c r="AI455" s="46"/>
      <c r="AJ455" s="46"/>
      <c r="AK455" s="46"/>
      <c r="AL455" s="46"/>
      <c r="AM455" s="46"/>
      <c r="AN455" s="46"/>
      <c r="AO455" s="46"/>
      <c r="AP455" s="46"/>
      <c r="AQ455" s="46"/>
      <c r="AR455" s="46"/>
      <c r="AS455" s="46"/>
      <c r="AT455" s="46"/>
      <c r="AU455" s="46"/>
      <c r="AV455" s="46"/>
      <c r="AW455" s="46"/>
      <c r="AX455" s="46"/>
      <c r="AY455" s="46"/>
      <c r="AZ455" s="46"/>
      <c r="BA455" s="46"/>
      <c r="BB455" s="46"/>
      <c r="BC455" s="46"/>
      <c r="BD455" s="46"/>
      <c r="BE455" s="46"/>
      <c r="BF455" s="46"/>
      <c r="BG455" s="46"/>
      <c r="BH455" s="46"/>
    </row>
    <row r="456" spans="1:60" ht="14.25" customHeight="1" x14ac:dyDescent="0.3">
      <c r="A456" s="46"/>
      <c r="B456" s="37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  <c r="AC456" s="46"/>
      <c r="AD456" s="46"/>
      <c r="AE456" s="46"/>
      <c r="AF456" s="46"/>
      <c r="AG456" s="46"/>
      <c r="AH456" s="46"/>
      <c r="AI456" s="46"/>
      <c r="AJ456" s="46"/>
      <c r="AK456" s="46"/>
      <c r="AL456" s="46"/>
      <c r="AM456" s="46"/>
      <c r="AN456" s="46"/>
      <c r="AO456" s="46"/>
      <c r="AP456" s="46"/>
      <c r="AQ456" s="46"/>
      <c r="AR456" s="46"/>
      <c r="AS456" s="46"/>
      <c r="AT456" s="46"/>
      <c r="AU456" s="46"/>
      <c r="AV456" s="46"/>
      <c r="AW456" s="46"/>
      <c r="AX456" s="46"/>
      <c r="AY456" s="46"/>
      <c r="AZ456" s="46"/>
      <c r="BA456" s="46"/>
      <c r="BB456" s="46"/>
      <c r="BC456" s="46"/>
      <c r="BD456" s="46"/>
      <c r="BE456" s="46"/>
      <c r="BF456" s="46"/>
      <c r="BG456" s="46"/>
      <c r="BH456" s="46"/>
    </row>
    <row r="457" spans="1:60" ht="14.25" customHeight="1" x14ac:dyDescent="0.3">
      <c r="A457" s="46"/>
      <c r="B457" s="37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  <c r="AC457" s="46"/>
      <c r="AD457" s="46"/>
      <c r="AE457" s="46"/>
      <c r="AF457" s="46"/>
      <c r="AG457" s="46"/>
      <c r="AH457" s="46"/>
      <c r="AI457" s="46"/>
      <c r="AJ457" s="46"/>
      <c r="AK457" s="46"/>
      <c r="AL457" s="46"/>
      <c r="AM457" s="46"/>
      <c r="AN457" s="46"/>
      <c r="AO457" s="46"/>
      <c r="AP457" s="46"/>
      <c r="AQ457" s="46"/>
      <c r="AR457" s="46"/>
      <c r="AS457" s="46"/>
      <c r="AT457" s="46"/>
      <c r="AU457" s="46"/>
      <c r="AV457" s="46"/>
      <c r="AW457" s="46"/>
      <c r="AX457" s="46"/>
      <c r="AY457" s="46"/>
      <c r="AZ457" s="46"/>
      <c r="BA457" s="46"/>
      <c r="BB457" s="46"/>
      <c r="BC457" s="46"/>
      <c r="BD457" s="46"/>
      <c r="BE457" s="46"/>
      <c r="BF457" s="46"/>
      <c r="BG457" s="46"/>
      <c r="BH457" s="46"/>
    </row>
    <row r="458" spans="1:60" ht="14.25" customHeight="1" x14ac:dyDescent="0.3">
      <c r="A458" s="46"/>
      <c r="B458" s="37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  <c r="AC458" s="46"/>
      <c r="AD458" s="46"/>
      <c r="AE458" s="46"/>
      <c r="AF458" s="46"/>
      <c r="AG458" s="46"/>
      <c r="AH458" s="46"/>
      <c r="AI458" s="46"/>
      <c r="AJ458" s="46"/>
      <c r="AK458" s="46"/>
      <c r="AL458" s="46"/>
      <c r="AM458" s="46"/>
      <c r="AN458" s="46"/>
      <c r="AO458" s="46"/>
      <c r="AP458" s="46"/>
      <c r="AQ458" s="46"/>
      <c r="AR458" s="46"/>
      <c r="AS458" s="46"/>
      <c r="AT458" s="46"/>
      <c r="AU458" s="46"/>
      <c r="AV458" s="46"/>
      <c r="AW458" s="46"/>
      <c r="AX458" s="46"/>
      <c r="AY458" s="46"/>
      <c r="AZ458" s="46"/>
      <c r="BA458" s="46"/>
      <c r="BB458" s="46"/>
      <c r="BC458" s="46"/>
      <c r="BD458" s="46"/>
      <c r="BE458" s="46"/>
      <c r="BF458" s="46"/>
      <c r="BG458" s="46"/>
      <c r="BH458" s="46"/>
    </row>
    <row r="459" spans="1:60" ht="14.25" customHeight="1" x14ac:dyDescent="0.3">
      <c r="A459" s="46"/>
      <c r="B459" s="37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  <c r="AC459" s="46"/>
      <c r="AD459" s="46"/>
      <c r="AE459" s="46"/>
      <c r="AF459" s="46"/>
      <c r="AG459" s="46"/>
      <c r="AH459" s="46"/>
      <c r="AI459" s="46"/>
      <c r="AJ459" s="46"/>
      <c r="AK459" s="46"/>
      <c r="AL459" s="46"/>
      <c r="AM459" s="46"/>
      <c r="AN459" s="46"/>
      <c r="AO459" s="46"/>
      <c r="AP459" s="46"/>
      <c r="AQ459" s="46"/>
      <c r="AR459" s="46"/>
      <c r="AS459" s="46"/>
      <c r="AT459" s="46"/>
      <c r="AU459" s="46"/>
      <c r="AV459" s="46"/>
      <c r="AW459" s="46"/>
      <c r="AX459" s="46"/>
      <c r="AY459" s="46"/>
      <c r="AZ459" s="46"/>
      <c r="BA459" s="46"/>
      <c r="BB459" s="46"/>
      <c r="BC459" s="46"/>
      <c r="BD459" s="46"/>
      <c r="BE459" s="46"/>
      <c r="BF459" s="46"/>
      <c r="BG459" s="46"/>
      <c r="BH459" s="46"/>
    </row>
    <row r="460" spans="1:60" ht="14.25" customHeight="1" x14ac:dyDescent="0.3">
      <c r="A460" s="46"/>
      <c r="B460" s="37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  <c r="AB460" s="46"/>
      <c r="AC460" s="46"/>
      <c r="AD460" s="46"/>
      <c r="AE460" s="46"/>
      <c r="AF460" s="46"/>
      <c r="AG460" s="46"/>
      <c r="AH460" s="46"/>
      <c r="AI460" s="46"/>
      <c r="AJ460" s="46"/>
      <c r="AK460" s="46"/>
      <c r="AL460" s="46"/>
      <c r="AM460" s="46"/>
      <c r="AN460" s="46"/>
      <c r="AO460" s="46"/>
      <c r="AP460" s="46"/>
      <c r="AQ460" s="46"/>
      <c r="AR460" s="46"/>
      <c r="AS460" s="46"/>
      <c r="AT460" s="46"/>
      <c r="AU460" s="46"/>
      <c r="AV460" s="46"/>
      <c r="AW460" s="46"/>
      <c r="AX460" s="46"/>
      <c r="AY460" s="46"/>
      <c r="AZ460" s="46"/>
      <c r="BA460" s="46"/>
      <c r="BB460" s="46"/>
      <c r="BC460" s="46"/>
      <c r="BD460" s="46"/>
      <c r="BE460" s="46"/>
      <c r="BF460" s="46"/>
      <c r="BG460" s="46"/>
      <c r="BH460" s="46"/>
    </row>
    <row r="461" spans="1:60" ht="14.25" customHeight="1" x14ac:dyDescent="0.3">
      <c r="A461" s="46"/>
      <c r="B461" s="37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  <c r="AB461" s="46"/>
      <c r="AC461" s="46"/>
      <c r="AD461" s="46"/>
      <c r="AE461" s="46"/>
      <c r="AF461" s="46"/>
      <c r="AG461" s="46"/>
      <c r="AH461" s="46"/>
      <c r="AI461" s="46"/>
      <c r="AJ461" s="46"/>
      <c r="AK461" s="46"/>
      <c r="AL461" s="46"/>
      <c r="AM461" s="46"/>
      <c r="AN461" s="46"/>
      <c r="AO461" s="46"/>
      <c r="AP461" s="46"/>
      <c r="AQ461" s="46"/>
      <c r="AR461" s="46"/>
      <c r="AS461" s="46"/>
      <c r="AT461" s="46"/>
      <c r="AU461" s="46"/>
      <c r="AV461" s="46"/>
      <c r="AW461" s="46"/>
      <c r="AX461" s="46"/>
      <c r="AY461" s="46"/>
      <c r="AZ461" s="46"/>
      <c r="BA461" s="46"/>
      <c r="BB461" s="46"/>
      <c r="BC461" s="46"/>
      <c r="BD461" s="46"/>
      <c r="BE461" s="46"/>
      <c r="BF461" s="46"/>
      <c r="BG461" s="46"/>
      <c r="BH461" s="46"/>
    </row>
    <row r="462" spans="1:60" ht="14.25" customHeight="1" x14ac:dyDescent="0.3">
      <c r="A462" s="46"/>
      <c r="B462" s="37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  <c r="AB462" s="46"/>
      <c r="AC462" s="46"/>
      <c r="AD462" s="46"/>
      <c r="AE462" s="46"/>
      <c r="AF462" s="46"/>
      <c r="AG462" s="46"/>
      <c r="AH462" s="46"/>
      <c r="AI462" s="46"/>
      <c r="AJ462" s="46"/>
      <c r="AK462" s="46"/>
      <c r="AL462" s="46"/>
      <c r="AM462" s="46"/>
      <c r="AN462" s="46"/>
      <c r="AO462" s="46"/>
      <c r="AP462" s="46"/>
      <c r="AQ462" s="46"/>
      <c r="AR462" s="46"/>
      <c r="AS462" s="46"/>
      <c r="AT462" s="46"/>
      <c r="AU462" s="46"/>
      <c r="AV462" s="46"/>
      <c r="AW462" s="46"/>
      <c r="AX462" s="46"/>
      <c r="AY462" s="46"/>
      <c r="AZ462" s="46"/>
      <c r="BA462" s="46"/>
      <c r="BB462" s="46"/>
      <c r="BC462" s="46"/>
      <c r="BD462" s="46"/>
      <c r="BE462" s="46"/>
      <c r="BF462" s="46"/>
      <c r="BG462" s="46"/>
      <c r="BH462" s="46"/>
    </row>
    <row r="463" spans="1:60" ht="14.25" customHeight="1" x14ac:dyDescent="0.3">
      <c r="A463" s="46"/>
      <c r="B463" s="37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  <c r="AB463" s="46"/>
      <c r="AC463" s="46"/>
      <c r="AD463" s="46"/>
      <c r="AE463" s="46"/>
      <c r="AF463" s="46"/>
      <c r="AG463" s="46"/>
      <c r="AH463" s="46"/>
      <c r="AI463" s="46"/>
      <c r="AJ463" s="46"/>
      <c r="AK463" s="46"/>
      <c r="AL463" s="46"/>
      <c r="AM463" s="46"/>
      <c r="AN463" s="46"/>
      <c r="AO463" s="46"/>
      <c r="AP463" s="46"/>
      <c r="AQ463" s="46"/>
      <c r="AR463" s="46"/>
      <c r="AS463" s="46"/>
      <c r="AT463" s="46"/>
      <c r="AU463" s="46"/>
      <c r="AV463" s="46"/>
      <c r="AW463" s="46"/>
      <c r="AX463" s="46"/>
      <c r="AY463" s="46"/>
      <c r="AZ463" s="46"/>
      <c r="BA463" s="46"/>
      <c r="BB463" s="46"/>
      <c r="BC463" s="46"/>
      <c r="BD463" s="46"/>
      <c r="BE463" s="46"/>
      <c r="BF463" s="46"/>
      <c r="BG463" s="46"/>
      <c r="BH463" s="46"/>
    </row>
    <row r="464" spans="1:60" ht="14.25" customHeight="1" x14ac:dyDescent="0.3">
      <c r="A464" s="46"/>
      <c r="B464" s="37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  <c r="AB464" s="46"/>
      <c r="AC464" s="46"/>
      <c r="AD464" s="46"/>
      <c r="AE464" s="46"/>
      <c r="AF464" s="46"/>
      <c r="AG464" s="46"/>
      <c r="AH464" s="46"/>
      <c r="AI464" s="46"/>
      <c r="AJ464" s="46"/>
      <c r="AK464" s="46"/>
      <c r="AL464" s="46"/>
      <c r="AM464" s="46"/>
      <c r="AN464" s="46"/>
      <c r="AO464" s="46"/>
      <c r="AP464" s="46"/>
      <c r="AQ464" s="46"/>
      <c r="AR464" s="46"/>
      <c r="AS464" s="46"/>
      <c r="AT464" s="46"/>
      <c r="AU464" s="46"/>
      <c r="AV464" s="46"/>
      <c r="AW464" s="46"/>
      <c r="AX464" s="46"/>
      <c r="AY464" s="46"/>
      <c r="AZ464" s="46"/>
      <c r="BA464" s="46"/>
      <c r="BB464" s="46"/>
      <c r="BC464" s="46"/>
      <c r="BD464" s="46"/>
      <c r="BE464" s="46"/>
      <c r="BF464" s="46"/>
      <c r="BG464" s="46"/>
      <c r="BH464" s="46"/>
    </row>
    <row r="465" spans="1:60" ht="14.25" customHeight="1" x14ac:dyDescent="0.3">
      <c r="A465" s="46"/>
      <c r="B465" s="37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  <c r="AB465" s="46"/>
      <c r="AC465" s="46"/>
      <c r="AD465" s="46"/>
      <c r="AE465" s="46"/>
      <c r="AF465" s="46"/>
      <c r="AG465" s="46"/>
      <c r="AH465" s="46"/>
      <c r="AI465" s="46"/>
      <c r="AJ465" s="46"/>
      <c r="AK465" s="46"/>
      <c r="AL465" s="46"/>
      <c r="AM465" s="46"/>
      <c r="AN465" s="46"/>
      <c r="AO465" s="46"/>
      <c r="AP465" s="46"/>
      <c r="AQ465" s="46"/>
      <c r="AR465" s="46"/>
      <c r="AS465" s="46"/>
      <c r="AT465" s="46"/>
      <c r="AU465" s="46"/>
      <c r="AV465" s="46"/>
      <c r="AW465" s="46"/>
      <c r="AX465" s="46"/>
      <c r="AY465" s="46"/>
      <c r="AZ465" s="46"/>
      <c r="BA465" s="46"/>
      <c r="BB465" s="46"/>
      <c r="BC465" s="46"/>
      <c r="BD465" s="46"/>
      <c r="BE465" s="46"/>
      <c r="BF465" s="46"/>
      <c r="BG465" s="46"/>
      <c r="BH465" s="46"/>
    </row>
    <row r="466" spans="1:60" ht="14.25" customHeight="1" x14ac:dyDescent="0.3">
      <c r="A466" s="46"/>
      <c r="B466" s="37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  <c r="AB466" s="46"/>
      <c r="AC466" s="46"/>
      <c r="AD466" s="46"/>
      <c r="AE466" s="46"/>
      <c r="AF466" s="46"/>
      <c r="AG466" s="46"/>
      <c r="AH466" s="46"/>
      <c r="AI466" s="46"/>
      <c r="AJ466" s="46"/>
      <c r="AK466" s="46"/>
      <c r="AL466" s="46"/>
      <c r="AM466" s="46"/>
      <c r="AN466" s="46"/>
      <c r="AO466" s="46"/>
      <c r="AP466" s="46"/>
      <c r="AQ466" s="46"/>
      <c r="AR466" s="46"/>
      <c r="AS466" s="46"/>
      <c r="AT466" s="46"/>
      <c r="AU466" s="46"/>
      <c r="AV466" s="46"/>
      <c r="AW466" s="46"/>
      <c r="AX466" s="46"/>
      <c r="AY466" s="46"/>
      <c r="AZ466" s="46"/>
      <c r="BA466" s="46"/>
      <c r="BB466" s="46"/>
      <c r="BC466" s="46"/>
      <c r="BD466" s="46"/>
      <c r="BE466" s="46"/>
      <c r="BF466" s="46"/>
      <c r="BG466" s="46"/>
      <c r="BH466" s="46"/>
    </row>
    <row r="467" spans="1:60" ht="14.25" customHeight="1" x14ac:dyDescent="0.3">
      <c r="A467" s="46"/>
      <c r="B467" s="37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  <c r="AB467" s="46"/>
      <c r="AC467" s="46"/>
      <c r="AD467" s="46"/>
      <c r="AE467" s="46"/>
      <c r="AF467" s="46"/>
      <c r="AG467" s="46"/>
      <c r="AH467" s="46"/>
      <c r="AI467" s="46"/>
      <c r="AJ467" s="46"/>
      <c r="AK467" s="46"/>
      <c r="AL467" s="46"/>
      <c r="AM467" s="46"/>
      <c r="AN467" s="46"/>
      <c r="AO467" s="46"/>
      <c r="AP467" s="46"/>
      <c r="AQ467" s="46"/>
      <c r="AR467" s="46"/>
      <c r="AS467" s="46"/>
      <c r="AT467" s="46"/>
      <c r="AU467" s="46"/>
      <c r="AV467" s="46"/>
      <c r="AW467" s="46"/>
      <c r="AX467" s="46"/>
      <c r="AY467" s="46"/>
      <c r="AZ467" s="46"/>
      <c r="BA467" s="46"/>
      <c r="BB467" s="46"/>
      <c r="BC467" s="46"/>
      <c r="BD467" s="46"/>
      <c r="BE467" s="46"/>
      <c r="BF467" s="46"/>
      <c r="BG467" s="46"/>
      <c r="BH467" s="46"/>
    </row>
    <row r="468" spans="1:60" ht="14.25" customHeight="1" x14ac:dyDescent="0.3">
      <c r="A468" s="46"/>
      <c r="B468" s="37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  <c r="AB468" s="46"/>
      <c r="AC468" s="46"/>
      <c r="AD468" s="46"/>
      <c r="AE468" s="46"/>
      <c r="AF468" s="46"/>
      <c r="AG468" s="46"/>
      <c r="AH468" s="46"/>
      <c r="AI468" s="46"/>
      <c r="AJ468" s="46"/>
      <c r="AK468" s="46"/>
      <c r="AL468" s="46"/>
      <c r="AM468" s="46"/>
      <c r="AN468" s="46"/>
      <c r="AO468" s="46"/>
      <c r="AP468" s="46"/>
      <c r="AQ468" s="46"/>
      <c r="AR468" s="46"/>
      <c r="AS468" s="46"/>
      <c r="AT468" s="46"/>
      <c r="AU468" s="46"/>
      <c r="AV468" s="46"/>
      <c r="AW468" s="46"/>
      <c r="AX468" s="46"/>
      <c r="AY468" s="46"/>
      <c r="AZ468" s="46"/>
      <c r="BA468" s="46"/>
      <c r="BB468" s="46"/>
      <c r="BC468" s="46"/>
      <c r="BD468" s="46"/>
      <c r="BE468" s="46"/>
      <c r="BF468" s="46"/>
      <c r="BG468" s="46"/>
      <c r="BH468" s="46"/>
    </row>
    <row r="469" spans="1:60" ht="14.25" customHeight="1" x14ac:dyDescent="0.3">
      <c r="A469" s="46"/>
      <c r="B469" s="37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  <c r="AB469" s="46"/>
      <c r="AC469" s="46"/>
      <c r="AD469" s="46"/>
      <c r="AE469" s="46"/>
      <c r="AF469" s="46"/>
      <c r="AG469" s="46"/>
      <c r="AH469" s="46"/>
      <c r="AI469" s="46"/>
      <c r="AJ469" s="46"/>
      <c r="AK469" s="46"/>
      <c r="AL469" s="46"/>
      <c r="AM469" s="46"/>
      <c r="AN469" s="46"/>
      <c r="AO469" s="46"/>
      <c r="AP469" s="46"/>
      <c r="AQ469" s="46"/>
      <c r="AR469" s="46"/>
      <c r="AS469" s="46"/>
      <c r="AT469" s="46"/>
      <c r="AU469" s="46"/>
      <c r="AV469" s="46"/>
      <c r="AW469" s="46"/>
      <c r="AX469" s="46"/>
      <c r="AY469" s="46"/>
      <c r="AZ469" s="46"/>
      <c r="BA469" s="46"/>
      <c r="BB469" s="46"/>
      <c r="BC469" s="46"/>
      <c r="BD469" s="46"/>
      <c r="BE469" s="46"/>
      <c r="BF469" s="46"/>
      <c r="BG469" s="46"/>
      <c r="BH469" s="46"/>
    </row>
    <row r="470" spans="1:60" ht="14.25" customHeight="1" x14ac:dyDescent="0.3">
      <c r="A470" s="46"/>
      <c r="B470" s="37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  <c r="AB470" s="46"/>
      <c r="AC470" s="46"/>
      <c r="AD470" s="46"/>
      <c r="AE470" s="46"/>
      <c r="AF470" s="46"/>
      <c r="AG470" s="46"/>
      <c r="AH470" s="46"/>
      <c r="AI470" s="46"/>
      <c r="AJ470" s="46"/>
      <c r="AK470" s="46"/>
      <c r="AL470" s="46"/>
      <c r="AM470" s="46"/>
      <c r="AN470" s="46"/>
      <c r="AO470" s="46"/>
      <c r="AP470" s="46"/>
      <c r="AQ470" s="46"/>
      <c r="AR470" s="46"/>
      <c r="AS470" s="46"/>
      <c r="AT470" s="46"/>
      <c r="AU470" s="46"/>
      <c r="AV470" s="46"/>
      <c r="AW470" s="46"/>
      <c r="AX470" s="46"/>
      <c r="AY470" s="46"/>
      <c r="AZ470" s="46"/>
      <c r="BA470" s="46"/>
      <c r="BB470" s="46"/>
      <c r="BC470" s="46"/>
      <c r="BD470" s="46"/>
      <c r="BE470" s="46"/>
      <c r="BF470" s="46"/>
      <c r="BG470" s="46"/>
      <c r="BH470" s="46"/>
    </row>
    <row r="471" spans="1:60" ht="14.25" customHeight="1" x14ac:dyDescent="0.3">
      <c r="A471" s="46"/>
      <c r="B471" s="37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  <c r="AB471" s="46"/>
      <c r="AC471" s="46"/>
      <c r="AD471" s="46"/>
      <c r="AE471" s="46"/>
      <c r="AF471" s="46"/>
      <c r="AG471" s="46"/>
      <c r="AH471" s="46"/>
      <c r="AI471" s="46"/>
      <c r="AJ471" s="46"/>
      <c r="AK471" s="46"/>
      <c r="AL471" s="46"/>
      <c r="AM471" s="46"/>
      <c r="AN471" s="46"/>
      <c r="AO471" s="46"/>
      <c r="AP471" s="46"/>
      <c r="AQ471" s="46"/>
      <c r="AR471" s="46"/>
      <c r="AS471" s="46"/>
      <c r="AT471" s="46"/>
      <c r="AU471" s="46"/>
      <c r="AV471" s="46"/>
      <c r="AW471" s="46"/>
      <c r="AX471" s="46"/>
      <c r="AY471" s="46"/>
      <c r="AZ471" s="46"/>
      <c r="BA471" s="46"/>
      <c r="BB471" s="46"/>
      <c r="BC471" s="46"/>
      <c r="BD471" s="46"/>
      <c r="BE471" s="46"/>
      <c r="BF471" s="46"/>
      <c r="BG471" s="46"/>
      <c r="BH471" s="46"/>
    </row>
    <row r="472" spans="1:60" ht="14.25" customHeight="1" x14ac:dyDescent="0.3">
      <c r="A472" s="46"/>
      <c r="B472" s="37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  <c r="AB472" s="46"/>
      <c r="AC472" s="46"/>
      <c r="AD472" s="46"/>
      <c r="AE472" s="46"/>
      <c r="AF472" s="46"/>
      <c r="AG472" s="46"/>
      <c r="AH472" s="46"/>
      <c r="AI472" s="46"/>
      <c r="AJ472" s="46"/>
      <c r="AK472" s="46"/>
      <c r="AL472" s="46"/>
      <c r="AM472" s="46"/>
      <c r="AN472" s="46"/>
      <c r="AO472" s="46"/>
      <c r="AP472" s="46"/>
      <c r="AQ472" s="46"/>
      <c r="AR472" s="46"/>
      <c r="AS472" s="46"/>
      <c r="AT472" s="46"/>
      <c r="AU472" s="46"/>
      <c r="AV472" s="46"/>
      <c r="AW472" s="46"/>
      <c r="AX472" s="46"/>
      <c r="AY472" s="46"/>
      <c r="AZ472" s="46"/>
      <c r="BA472" s="46"/>
      <c r="BB472" s="46"/>
      <c r="BC472" s="46"/>
      <c r="BD472" s="46"/>
      <c r="BE472" s="46"/>
      <c r="BF472" s="46"/>
      <c r="BG472" s="46"/>
      <c r="BH472" s="46"/>
    </row>
    <row r="473" spans="1:60" ht="14.25" customHeight="1" x14ac:dyDescent="0.3">
      <c r="A473" s="46"/>
      <c r="B473" s="37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  <c r="AB473" s="46"/>
      <c r="AC473" s="46"/>
      <c r="AD473" s="46"/>
      <c r="AE473" s="46"/>
      <c r="AF473" s="46"/>
      <c r="AG473" s="46"/>
      <c r="AH473" s="46"/>
      <c r="AI473" s="46"/>
      <c r="AJ473" s="46"/>
      <c r="AK473" s="46"/>
      <c r="AL473" s="46"/>
      <c r="AM473" s="46"/>
      <c r="AN473" s="46"/>
      <c r="AO473" s="46"/>
      <c r="AP473" s="46"/>
      <c r="AQ473" s="46"/>
      <c r="AR473" s="46"/>
      <c r="AS473" s="46"/>
      <c r="AT473" s="46"/>
      <c r="AU473" s="46"/>
      <c r="AV473" s="46"/>
      <c r="AW473" s="46"/>
      <c r="AX473" s="46"/>
      <c r="AY473" s="46"/>
      <c r="AZ473" s="46"/>
      <c r="BA473" s="46"/>
      <c r="BB473" s="46"/>
      <c r="BC473" s="46"/>
      <c r="BD473" s="46"/>
      <c r="BE473" s="46"/>
      <c r="BF473" s="46"/>
      <c r="BG473" s="46"/>
      <c r="BH473" s="46"/>
    </row>
    <row r="474" spans="1:60" ht="14.25" customHeight="1" x14ac:dyDescent="0.3">
      <c r="A474" s="46"/>
      <c r="B474" s="37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  <c r="AB474" s="46"/>
      <c r="AC474" s="46"/>
      <c r="AD474" s="46"/>
      <c r="AE474" s="46"/>
      <c r="AF474" s="46"/>
      <c r="AG474" s="46"/>
      <c r="AH474" s="46"/>
      <c r="AI474" s="46"/>
      <c r="AJ474" s="46"/>
      <c r="AK474" s="46"/>
      <c r="AL474" s="46"/>
      <c r="AM474" s="46"/>
      <c r="AN474" s="46"/>
      <c r="AO474" s="46"/>
      <c r="AP474" s="46"/>
      <c r="AQ474" s="46"/>
      <c r="AR474" s="46"/>
      <c r="AS474" s="46"/>
      <c r="AT474" s="46"/>
      <c r="AU474" s="46"/>
      <c r="AV474" s="46"/>
      <c r="AW474" s="46"/>
      <c r="AX474" s="46"/>
      <c r="AY474" s="46"/>
      <c r="AZ474" s="46"/>
      <c r="BA474" s="46"/>
      <c r="BB474" s="46"/>
      <c r="BC474" s="46"/>
      <c r="BD474" s="46"/>
      <c r="BE474" s="46"/>
      <c r="BF474" s="46"/>
      <c r="BG474" s="46"/>
      <c r="BH474" s="46"/>
    </row>
    <row r="475" spans="1:60" ht="14.25" customHeight="1" x14ac:dyDescent="0.3">
      <c r="A475" s="46"/>
      <c r="B475" s="37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  <c r="AB475" s="46"/>
      <c r="AC475" s="46"/>
      <c r="AD475" s="46"/>
      <c r="AE475" s="46"/>
      <c r="AF475" s="46"/>
      <c r="AG475" s="46"/>
      <c r="AH475" s="46"/>
      <c r="AI475" s="46"/>
      <c r="AJ475" s="46"/>
      <c r="AK475" s="46"/>
      <c r="AL475" s="46"/>
      <c r="AM475" s="46"/>
      <c r="AN475" s="46"/>
      <c r="AO475" s="46"/>
      <c r="AP475" s="46"/>
      <c r="AQ475" s="46"/>
      <c r="AR475" s="46"/>
      <c r="AS475" s="46"/>
      <c r="AT475" s="46"/>
      <c r="AU475" s="46"/>
      <c r="AV475" s="46"/>
      <c r="AW475" s="46"/>
      <c r="AX475" s="46"/>
      <c r="AY475" s="46"/>
      <c r="AZ475" s="46"/>
      <c r="BA475" s="46"/>
      <c r="BB475" s="46"/>
      <c r="BC475" s="46"/>
      <c r="BD475" s="46"/>
      <c r="BE475" s="46"/>
      <c r="BF475" s="46"/>
      <c r="BG475" s="46"/>
      <c r="BH475" s="46"/>
    </row>
    <row r="476" spans="1:60" ht="14.25" customHeight="1" x14ac:dyDescent="0.3">
      <c r="A476" s="46"/>
      <c r="B476" s="37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  <c r="AB476" s="46"/>
      <c r="AC476" s="46"/>
      <c r="AD476" s="46"/>
      <c r="AE476" s="46"/>
      <c r="AF476" s="46"/>
      <c r="AG476" s="46"/>
      <c r="AH476" s="46"/>
      <c r="AI476" s="46"/>
      <c r="AJ476" s="46"/>
      <c r="AK476" s="46"/>
      <c r="AL476" s="46"/>
      <c r="AM476" s="46"/>
      <c r="AN476" s="46"/>
      <c r="AO476" s="46"/>
      <c r="AP476" s="46"/>
      <c r="AQ476" s="46"/>
      <c r="AR476" s="46"/>
      <c r="AS476" s="46"/>
      <c r="AT476" s="46"/>
      <c r="AU476" s="46"/>
      <c r="AV476" s="46"/>
      <c r="AW476" s="46"/>
      <c r="AX476" s="46"/>
      <c r="AY476" s="46"/>
      <c r="AZ476" s="46"/>
      <c r="BA476" s="46"/>
      <c r="BB476" s="46"/>
      <c r="BC476" s="46"/>
      <c r="BD476" s="46"/>
      <c r="BE476" s="46"/>
      <c r="BF476" s="46"/>
      <c r="BG476" s="46"/>
      <c r="BH476" s="46"/>
    </row>
    <row r="477" spans="1:60" ht="14.25" customHeight="1" x14ac:dyDescent="0.3">
      <c r="A477" s="46"/>
      <c r="B477" s="37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  <c r="AB477" s="46"/>
      <c r="AC477" s="46"/>
      <c r="AD477" s="46"/>
      <c r="AE477" s="46"/>
      <c r="AF477" s="46"/>
      <c r="AG477" s="46"/>
      <c r="AH477" s="46"/>
      <c r="AI477" s="46"/>
      <c r="AJ477" s="46"/>
      <c r="AK477" s="46"/>
      <c r="AL477" s="46"/>
      <c r="AM477" s="46"/>
      <c r="AN477" s="46"/>
      <c r="AO477" s="46"/>
      <c r="AP477" s="46"/>
      <c r="AQ477" s="46"/>
      <c r="AR477" s="46"/>
      <c r="AS477" s="46"/>
      <c r="AT477" s="46"/>
      <c r="AU477" s="46"/>
      <c r="AV477" s="46"/>
      <c r="AW477" s="46"/>
      <c r="AX477" s="46"/>
      <c r="AY477" s="46"/>
      <c r="AZ477" s="46"/>
      <c r="BA477" s="46"/>
      <c r="BB477" s="46"/>
      <c r="BC477" s="46"/>
      <c r="BD477" s="46"/>
      <c r="BE477" s="46"/>
      <c r="BF477" s="46"/>
      <c r="BG477" s="46"/>
      <c r="BH477" s="46"/>
    </row>
    <row r="478" spans="1:60" ht="14.25" customHeight="1" x14ac:dyDescent="0.3">
      <c r="A478" s="46"/>
      <c r="B478" s="37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  <c r="AB478" s="46"/>
      <c r="AC478" s="46"/>
      <c r="AD478" s="46"/>
      <c r="AE478" s="46"/>
      <c r="AF478" s="46"/>
      <c r="AG478" s="46"/>
      <c r="AH478" s="46"/>
      <c r="AI478" s="46"/>
      <c r="AJ478" s="46"/>
      <c r="AK478" s="46"/>
      <c r="AL478" s="46"/>
      <c r="AM478" s="46"/>
      <c r="AN478" s="46"/>
      <c r="AO478" s="46"/>
      <c r="AP478" s="46"/>
      <c r="AQ478" s="46"/>
      <c r="AR478" s="46"/>
      <c r="AS478" s="46"/>
      <c r="AT478" s="46"/>
      <c r="AU478" s="46"/>
      <c r="AV478" s="46"/>
      <c r="AW478" s="46"/>
      <c r="AX478" s="46"/>
      <c r="AY478" s="46"/>
      <c r="AZ478" s="46"/>
      <c r="BA478" s="46"/>
      <c r="BB478" s="46"/>
      <c r="BC478" s="46"/>
      <c r="BD478" s="46"/>
      <c r="BE478" s="46"/>
      <c r="BF478" s="46"/>
      <c r="BG478" s="46"/>
      <c r="BH478" s="46"/>
    </row>
    <row r="479" spans="1:60" ht="14.25" customHeight="1" x14ac:dyDescent="0.3">
      <c r="A479" s="46"/>
      <c r="B479" s="37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  <c r="AB479" s="46"/>
      <c r="AC479" s="46"/>
      <c r="AD479" s="46"/>
      <c r="AE479" s="46"/>
      <c r="AF479" s="46"/>
      <c r="AG479" s="46"/>
      <c r="AH479" s="46"/>
      <c r="AI479" s="46"/>
      <c r="AJ479" s="46"/>
      <c r="AK479" s="46"/>
      <c r="AL479" s="46"/>
      <c r="AM479" s="46"/>
      <c r="AN479" s="46"/>
      <c r="AO479" s="46"/>
      <c r="AP479" s="46"/>
      <c r="AQ479" s="46"/>
      <c r="AR479" s="46"/>
      <c r="AS479" s="46"/>
      <c r="AT479" s="46"/>
      <c r="AU479" s="46"/>
      <c r="AV479" s="46"/>
      <c r="AW479" s="46"/>
      <c r="AX479" s="46"/>
      <c r="AY479" s="46"/>
      <c r="AZ479" s="46"/>
      <c r="BA479" s="46"/>
      <c r="BB479" s="46"/>
      <c r="BC479" s="46"/>
      <c r="BD479" s="46"/>
      <c r="BE479" s="46"/>
      <c r="BF479" s="46"/>
      <c r="BG479" s="46"/>
      <c r="BH479" s="46"/>
    </row>
    <row r="480" spans="1:60" ht="14.25" customHeight="1" x14ac:dyDescent="0.3">
      <c r="A480" s="46"/>
      <c r="B480" s="37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  <c r="AB480" s="46"/>
      <c r="AC480" s="46"/>
      <c r="AD480" s="46"/>
      <c r="AE480" s="46"/>
      <c r="AF480" s="46"/>
      <c r="AG480" s="46"/>
      <c r="AH480" s="46"/>
      <c r="AI480" s="46"/>
      <c r="AJ480" s="46"/>
      <c r="AK480" s="46"/>
      <c r="AL480" s="46"/>
      <c r="AM480" s="46"/>
      <c r="AN480" s="46"/>
      <c r="AO480" s="46"/>
      <c r="AP480" s="46"/>
      <c r="AQ480" s="46"/>
      <c r="AR480" s="46"/>
      <c r="AS480" s="46"/>
      <c r="AT480" s="46"/>
      <c r="AU480" s="46"/>
      <c r="AV480" s="46"/>
      <c r="AW480" s="46"/>
      <c r="AX480" s="46"/>
      <c r="AY480" s="46"/>
      <c r="AZ480" s="46"/>
      <c r="BA480" s="46"/>
      <c r="BB480" s="46"/>
      <c r="BC480" s="46"/>
      <c r="BD480" s="46"/>
      <c r="BE480" s="46"/>
      <c r="BF480" s="46"/>
      <c r="BG480" s="46"/>
      <c r="BH480" s="46"/>
    </row>
    <row r="481" spans="1:60" ht="14.25" customHeight="1" x14ac:dyDescent="0.3">
      <c r="A481" s="46"/>
      <c r="B481" s="37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  <c r="AC481" s="46"/>
      <c r="AD481" s="46"/>
      <c r="AE481" s="46"/>
      <c r="AF481" s="46"/>
      <c r="AG481" s="46"/>
      <c r="AH481" s="46"/>
      <c r="AI481" s="46"/>
      <c r="AJ481" s="46"/>
      <c r="AK481" s="46"/>
      <c r="AL481" s="46"/>
      <c r="AM481" s="46"/>
      <c r="AN481" s="46"/>
      <c r="AO481" s="46"/>
      <c r="AP481" s="46"/>
      <c r="AQ481" s="46"/>
      <c r="AR481" s="46"/>
      <c r="AS481" s="46"/>
      <c r="AT481" s="46"/>
      <c r="AU481" s="46"/>
      <c r="AV481" s="46"/>
      <c r="AW481" s="46"/>
      <c r="AX481" s="46"/>
      <c r="AY481" s="46"/>
      <c r="AZ481" s="46"/>
      <c r="BA481" s="46"/>
      <c r="BB481" s="46"/>
      <c r="BC481" s="46"/>
      <c r="BD481" s="46"/>
      <c r="BE481" s="46"/>
      <c r="BF481" s="46"/>
      <c r="BG481" s="46"/>
      <c r="BH481" s="46"/>
    </row>
    <row r="482" spans="1:60" ht="14.25" customHeight="1" x14ac:dyDescent="0.3">
      <c r="A482" s="46"/>
      <c r="B482" s="37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  <c r="AB482" s="46"/>
      <c r="AC482" s="46"/>
      <c r="AD482" s="46"/>
      <c r="AE482" s="46"/>
      <c r="AF482" s="46"/>
      <c r="AG482" s="46"/>
      <c r="AH482" s="46"/>
      <c r="AI482" s="46"/>
      <c r="AJ482" s="46"/>
      <c r="AK482" s="46"/>
      <c r="AL482" s="46"/>
      <c r="AM482" s="46"/>
      <c r="AN482" s="46"/>
      <c r="AO482" s="46"/>
      <c r="AP482" s="46"/>
      <c r="AQ482" s="46"/>
      <c r="AR482" s="46"/>
      <c r="AS482" s="46"/>
      <c r="AT482" s="46"/>
      <c r="AU482" s="46"/>
      <c r="AV482" s="46"/>
      <c r="AW482" s="46"/>
      <c r="AX482" s="46"/>
      <c r="AY482" s="46"/>
      <c r="AZ482" s="46"/>
      <c r="BA482" s="46"/>
      <c r="BB482" s="46"/>
      <c r="BC482" s="46"/>
      <c r="BD482" s="46"/>
      <c r="BE482" s="46"/>
      <c r="BF482" s="46"/>
      <c r="BG482" s="46"/>
      <c r="BH482" s="46"/>
    </row>
    <row r="483" spans="1:60" ht="14.25" customHeight="1" x14ac:dyDescent="0.3">
      <c r="A483" s="46"/>
      <c r="B483" s="37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  <c r="AB483" s="46"/>
      <c r="AC483" s="46"/>
      <c r="AD483" s="46"/>
      <c r="AE483" s="46"/>
      <c r="AF483" s="46"/>
      <c r="AG483" s="46"/>
      <c r="AH483" s="46"/>
      <c r="AI483" s="46"/>
      <c r="AJ483" s="46"/>
      <c r="AK483" s="46"/>
      <c r="AL483" s="46"/>
      <c r="AM483" s="46"/>
      <c r="AN483" s="46"/>
      <c r="AO483" s="46"/>
      <c r="AP483" s="46"/>
      <c r="AQ483" s="46"/>
      <c r="AR483" s="46"/>
      <c r="AS483" s="46"/>
      <c r="AT483" s="46"/>
      <c r="AU483" s="46"/>
      <c r="AV483" s="46"/>
      <c r="AW483" s="46"/>
      <c r="AX483" s="46"/>
      <c r="AY483" s="46"/>
      <c r="AZ483" s="46"/>
      <c r="BA483" s="46"/>
      <c r="BB483" s="46"/>
      <c r="BC483" s="46"/>
      <c r="BD483" s="46"/>
      <c r="BE483" s="46"/>
      <c r="BF483" s="46"/>
      <c r="BG483" s="46"/>
      <c r="BH483" s="46"/>
    </row>
    <row r="484" spans="1:60" ht="14.25" customHeight="1" x14ac:dyDescent="0.3">
      <c r="A484" s="46"/>
      <c r="B484" s="37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  <c r="AC484" s="46"/>
      <c r="AD484" s="46"/>
      <c r="AE484" s="46"/>
      <c r="AF484" s="46"/>
      <c r="AG484" s="46"/>
      <c r="AH484" s="46"/>
      <c r="AI484" s="46"/>
      <c r="AJ484" s="46"/>
      <c r="AK484" s="46"/>
      <c r="AL484" s="46"/>
      <c r="AM484" s="46"/>
      <c r="AN484" s="46"/>
      <c r="AO484" s="46"/>
      <c r="AP484" s="46"/>
      <c r="AQ484" s="46"/>
      <c r="AR484" s="46"/>
      <c r="AS484" s="46"/>
      <c r="AT484" s="46"/>
      <c r="AU484" s="46"/>
      <c r="AV484" s="46"/>
      <c r="AW484" s="46"/>
      <c r="AX484" s="46"/>
      <c r="AY484" s="46"/>
      <c r="AZ484" s="46"/>
      <c r="BA484" s="46"/>
      <c r="BB484" s="46"/>
      <c r="BC484" s="46"/>
      <c r="BD484" s="46"/>
      <c r="BE484" s="46"/>
      <c r="BF484" s="46"/>
      <c r="BG484" s="46"/>
      <c r="BH484" s="46"/>
    </row>
    <row r="485" spans="1:60" ht="14.25" customHeight="1" x14ac:dyDescent="0.3">
      <c r="A485" s="46"/>
      <c r="B485" s="37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  <c r="AB485" s="46"/>
      <c r="AC485" s="46"/>
      <c r="AD485" s="46"/>
      <c r="AE485" s="46"/>
      <c r="AF485" s="46"/>
      <c r="AG485" s="46"/>
      <c r="AH485" s="46"/>
      <c r="AI485" s="46"/>
      <c r="AJ485" s="46"/>
      <c r="AK485" s="46"/>
      <c r="AL485" s="46"/>
      <c r="AM485" s="46"/>
      <c r="AN485" s="46"/>
      <c r="AO485" s="46"/>
      <c r="AP485" s="46"/>
      <c r="AQ485" s="46"/>
      <c r="AR485" s="46"/>
      <c r="AS485" s="46"/>
      <c r="AT485" s="46"/>
      <c r="AU485" s="46"/>
      <c r="AV485" s="46"/>
      <c r="AW485" s="46"/>
      <c r="AX485" s="46"/>
      <c r="AY485" s="46"/>
      <c r="AZ485" s="46"/>
      <c r="BA485" s="46"/>
      <c r="BB485" s="46"/>
      <c r="BC485" s="46"/>
      <c r="BD485" s="46"/>
      <c r="BE485" s="46"/>
      <c r="BF485" s="46"/>
      <c r="BG485" s="46"/>
      <c r="BH485" s="46"/>
    </row>
    <row r="486" spans="1:60" ht="14.25" customHeight="1" x14ac:dyDescent="0.3">
      <c r="A486" s="46"/>
      <c r="B486" s="37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  <c r="AC486" s="46"/>
      <c r="AD486" s="46"/>
      <c r="AE486" s="46"/>
      <c r="AF486" s="46"/>
      <c r="AG486" s="46"/>
      <c r="AH486" s="46"/>
      <c r="AI486" s="46"/>
      <c r="AJ486" s="46"/>
      <c r="AK486" s="46"/>
      <c r="AL486" s="46"/>
      <c r="AM486" s="46"/>
      <c r="AN486" s="46"/>
      <c r="AO486" s="46"/>
      <c r="AP486" s="46"/>
      <c r="AQ486" s="46"/>
      <c r="AR486" s="46"/>
      <c r="AS486" s="46"/>
      <c r="AT486" s="46"/>
      <c r="AU486" s="46"/>
      <c r="AV486" s="46"/>
      <c r="AW486" s="46"/>
      <c r="AX486" s="46"/>
      <c r="AY486" s="46"/>
      <c r="AZ486" s="46"/>
      <c r="BA486" s="46"/>
      <c r="BB486" s="46"/>
      <c r="BC486" s="46"/>
      <c r="BD486" s="46"/>
      <c r="BE486" s="46"/>
      <c r="BF486" s="46"/>
      <c r="BG486" s="46"/>
      <c r="BH486" s="46"/>
    </row>
    <row r="487" spans="1:60" ht="14.25" customHeight="1" x14ac:dyDescent="0.3">
      <c r="A487" s="46"/>
      <c r="B487" s="37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  <c r="AD487" s="46"/>
      <c r="AE487" s="46"/>
      <c r="AF487" s="46"/>
      <c r="AG487" s="46"/>
      <c r="AH487" s="46"/>
      <c r="AI487" s="46"/>
      <c r="AJ487" s="46"/>
      <c r="AK487" s="46"/>
      <c r="AL487" s="46"/>
      <c r="AM487" s="46"/>
      <c r="AN487" s="46"/>
      <c r="AO487" s="46"/>
      <c r="AP487" s="46"/>
      <c r="AQ487" s="46"/>
      <c r="AR487" s="46"/>
      <c r="AS487" s="46"/>
      <c r="AT487" s="46"/>
      <c r="AU487" s="46"/>
      <c r="AV487" s="46"/>
      <c r="AW487" s="46"/>
      <c r="AX487" s="46"/>
      <c r="AY487" s="46"/>
      <c r="AZ487" s="46"/>
      <c r="BA487" s="46"/>
      <c r="BB487" s="46"/>
      <c r="BC487" s="46"/>
      <c r="BD487" s="46"/>
      <c r="BE487" s="46"/>
      <c r="BF487" s="46"/>
      <c r="BG487" s="46"/>
      <c r="BH487" s="46"/>
    </row>
    <row r="488" spans="1:60" ht="14.25" customHeight="1" x14ac:dyDescent="0.3">
      <c r="A488" s="46"/>
      <c r="B488" s="37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  <c r="AB488" s="46"/>
      <c r="AC488" s="46"/>
      <c r="AD488" s="46"/>
      <c r="AE488" s="46"/>
      <c r="AF488" s="46"/>
      <c r="AG488" s="46"/>
      <c r="AH488" s="46"/>
      <c r="AI488" s="46"/>
      <c r="AJ488" s="46"/>
      <c r="AK488" s="46"/>
      <c r="AL488" s="46"/>
      <c r="AM488" s="46"/>
      <c r="AN488" s="46"/>
      <c r="AO488" s="46"/>
      <c r="AP488" s="46"/>
      <c r="AQ488" s="46"/>
      <c r="AR488" s="46"/>
      <c r="AS488" s="46"/>
      <c r="AT488" s="46"/>
      <c r="AU488" s="46"/>
      <c r="AV488" s="46"/>
      <c r="AW488" s="46"/>
      <c r="AX488" s="46"/>
      <c r="AY488" s="46"/>
      <c r="AZ488" s="46"/>
      <c r="BA488" s="46"/>
      <c r="BB488" s="46"/>
      <c r="BC488" s="46"/>
      <c r="BD488" s="46"/>
      <c r="BE488" s="46"/>
      <c r="BF488" s="46"/>
      <c r="BG488" s="46"/>
      <c r="BH488" s="46"/>
    </row>
    <row r="489" spans="1:60" ht="14.25" customHeight="1" x14ac:dyDescent="0.3">
      <c r="A489" s="46"/>
      <c r="B489" s="37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  <c r="AC489" s="46"/>
      <c r="AD489" s="46"/>
      <c r="AE489" s="46"/>
      <c r="AF489" s="46"/>
      <c r="AG489" s="46"/>
      <c r="AH489" s="46"/>
      <c r="AI489" s="46"/>
      <c r="AJ489" s="46"/>
      <c r="AK489" s="46"/>
      <c r="AL489" s="46"/>
      <c r="AM489" s="46"/>
      <c r="AN489" s="46"/>
      <c r="AO489" s="46"/>
      <c r="AP489" s="46"/>
      <c r="AQ489" s="46"/>
      <c r="AR489" s="46"/>
      <c r="AS489" s="46"/>
      <c r="AT489" s="46"/>
      <c r="AU489" s="46"/>
      <c r="AV489" s="46"/>
      <c r="AW489" s="46"/>
      <c r="AX489" s="46"/>
      <c r="AY489" s="46"/>
      <c r="AZ489" s="46"/>
      <c r="BA489" s="46"/>
      <c r="BB489" s="46"/>
      <c r="BC489" s="46"/>
      <c r="BD489" s="46"/>
      <c r="BE489" s="46"/>
      <c r="BF489" s="46"/>
      <c r="BG489" s="46"/>
      <c r="BH489" s="46"/>
    </row>
    <row r="490" spans="1:60" ht="14.25" customHeight="1" x14ac:dyDescent="0.3">
      <c r="A490" s="46"/>
      <c r="B490" s="37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  <c r="AC490" s="46"/>
      <c r="AD490" s="46"/>
      <c r="AE490" s="46"/>
      <c r="AF490" s="46"/>
      <c r="AG490" s="46"/>
      <c r="AH490" s="46"/>
      <c r="AI490" s="46"/>
      <c r="AJ490" s="46"/>
      <c r="AK490" s="46"/>
      <c r="AL490" s="46"/>
      <c r="AM490" s="46"/>
      <c r="AN490" s="46"/>
      <c r="AO490" s="46"/>
      <c r="AP490" s="46"/>
      <c r="AQ490" s="46"/>
      <c r="AR490" s="46"/>
      <c r="AS490" s="46"/>
      <c r="AT490" s="46"/>
      <c r="AU490" s="46"/>
      <c r="AV490" s="46"/>
      <c r="AW490" s="46"/>
      <c r="AX490" s="46"/>
      <c r="AY490" s="46"/>
      <c r="AZ490" s="46"/>
      <c r="BA490" s="46"/>
      <c r="BB490" s="46"/>
      <c r="BC490" s="46"/>
      <c r="BD490" s="46"/>
      <c r="BE490" s="46"/>
      <c r="BF490" s="46"/>
      <c r="BG490" s="46"/>
      <c r="BH490" s="46"/>
    </row>
    <row r="491" spans="1:60" ht="14.25" customHeight="1" x14ac:dyDescent="0.3">
      <c r="A491" s="46"/>
      <c r="B491" s="37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  <c r="AC491" s="46"/>
      <c r="AD491" s="46"/>
      <c r="AE491" s="46"/>
      <c r="AF491" s="46"/>
      <c r="AG491" s="46"/>
      <c r="AH491" s="46"/>
      <c r="AI491" s="46"/>
      <c r="AJ491" s="46"/>
      <c r="AK491" s="46"/>
      <c r="AL491" s="46"/>
      <c r="AM491" s="46"/>
      <c r="AN491" s="46"/>
      <c r="AO491" s="46"/>
      <c r="AP491" s="46"/>
      <c r="AQ491" s="46"/>
      <c r="AR491" s="46"/>
      <c r="AS491" s="46"/>
      <c r="AT491" s="46"/>
      <c r="AU491" s="46"/>
      <c r="AV491" s="46"/>
      <c r="AW491" s="46"/>
      <c r="AX491" s="46"/>
      <c r="AY491" s="46"/>
      <c r="AZ491" s="46"/>
      <c r="BA491" s="46"/>
      <c r="BB491" s="46"/>
      <c r="BC491" s="46"/>
      <c r="BD491" s="46"/>
      <c r="BE491" s="46"/>
      <c r="BF491" s="46"/>
      <c r="BG491" s="46"/>
      <c r="BH491" s="46"/>
    </row>
    <row r="492" spans="1:60" ht="14.25" customHeight="1" x14ac:dyDescent="0.3">
      <c r="A492" s="46"/>
      <c r="B492" s="37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  <c r="AC492" s="46"/>
      <c r="AD492" s="46"/>
      <c r="AE492" s="46"/>
      <c r="AF492" s="46"/>
      <c r="AG492" s="46"/>
      <c r="AH492" s="46"/>
      <c r="AI492" s="46"/>
      <c r="AJ492" s="46"/>
      <c r="AK492" s="46"/>
      <c r="AL492" s="46"/>
      <c r="AM492" s="46"/>
      <c r="AN492" s="46"/>
      <c r="AO492" s="46"/>
      <c r="AP492" s="46"/>
      <c r="AQ492" s="46"/>
      <c r="AR492" s="46"/>
      <c r="AS492" s="46"/>
      <c r="AT492" s="46"/>
      <c r="AU492" s="46"/>
      <c r="AV492" s="46"/>
      <c r="AW492" s="46"/>
      <c r="AX492" s="46"/>
      <c r="AY492" s="46"/>
      <c r="AZ492" s="46"/>
      <c r="BA492" s="46"/>
      <c r="BB492" s="46"/>
      <c r="BC492" s="46"/>
      <c r="BD492" s="46"/>
      <c r="BE492" s="46"/>
      <c r="BF492" s="46"/>
      <c r="BG492" s="46"/>
      <c r="BH492" s="46"/>
    </row>
    <row r="493" spans="1:60" ht="14.25" customHeight="1" x14ac:dyDescent="0.3">
      <c r="A493" s="46"/>
      <c r="B493" s="37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  <c r="AC493" s="46"/>
      <c r="AD493" s="46"/>
      <c r="AE493" s="46"/>
      <c r="AF493" s="46"/>
      <c r="AG493" s="46"/>
      <c r="AH493" s="46"/>
      <c r="AI493" s="46"/>
      <c r="AJ493" s="46"/>
      <c r="AK493" s="46"/>
      <c r="AL493" s="46"/>
      <c r="AM493" s="46"/>
      <c r="AN493" s="46"/>
      <c r="AO493" s="46"/>
      <c r="AP493" s="46"/>
      <c r="AQ493" s="46"/>
      <c r="AR493" s="46"/>
      <c r="AS493" s="46"/>
      <c r="AT493" s="46"/>
      <c r="AU493" s="46"/>
      <c r="AV493" s="46"/>
      <c r="AW493" s="46"/>
      <c r="AX493" s="46"/>
      <c r="AY493" s="46"/>
      <c r="AZ493" s="46"/>
      <c r="BA493" s="46"/>
      <c r="BB493" s="46"/>
      <c r="BC493" s="46"/>
      <c r="BD493" s="46"/>
      <c r="BE493" s="46"/>
      <c r="BF493" s="46"/>
      <c r="BG493" s="46"/>
      <c r="BH493" s="46"/>
    </row>
    <row r="494" spans="1:60" ht="14.25" customHeight="1" x14ac:dyDescent="0.3">
      <c r="A494" s="46"/>
      <c r="B494" s="37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  <c r="AC494" s="46"/>
      <c r="AD494" s="46"/>
      <c r="AE494" s="46"/>
      <c r="AF494" s="46"/>
      <c r="AG494" s="46"/>
      <c r="AH494" s="46"/>
      <c r="AI494" s="46"/>
      <c r="AJ494" s="46"/>
      <c r="AK494" s="46"/>
      <c r="AL494" s="46"/>
      <c r="AM494" s="46"/>
      <c r="AN494" s="46"/>
      <c r="AO494" s="46"/>
      <c r="AP494" s="46"/>
      <c r="AQ494" s="46"/>
      <c r="AR494" s="46"/>
      <c r="AS494" s="46"/>
      <c r="AT494" s="46"/>
      <c r="AU494" s="46"/>
      <c r="AV494" s="46"/>
      <c r="AW494" s="46"/>
      <c r="AX494" s="46"/>
      <c r="AY494" s="46"/>
      <c r="AZ494" s="46"/>
      <c r="BA494" s="46"/>
      <c r="BB494" s="46"/>
      <c r="BC494" s="46"/>
      <c r="BD494" s="46"/>
      <c r="BE494" s="46"/>
      <c r="BF494" s="46"/>
      <c r="BG494" s="46"/>
      <c r="BH494" s="46"/>
    </row>
    <row r="495" spans="1:60" ht="14.25" customHeight="1" x14ac:dyDescent="0.3">
      <c r="A495" s="46"/>
      <c r="B495" s="37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  <c r="AC495" s="46"/>
      <c r="AD495" s="46"/>
      <c r="AE495" s="46"/>
      <c r="AF495" s="46"/>
      <c r="AG495" s="46"/>
      <c r="AH495" s="46"/>
      <c r="AI495" s="46"/>
      <c r="AJ495" s="46"/>
      <c r="AK495" s="46"/>
      <c r="AL495" s="46"/>
      <c r="AM495" s="46"/>
      <c r="AN495" s="46"/>
      <c r="AO495" s="46"/>
      <c r="AP495" s="46"/>
      <c r="AQ495" s="46"/>
      <c r="AR495" s="46"/>
      <c r="AS495" s="46"/>
      <c r="AT495" s="46"/>
      <c r="AU495" s="46"/>
      <c r="AV495" s="46"/>
      <c r="AW495" s="46"/>
      <c r="AX495" s="46"/>
      <c r="AY495" s="46"/>
      <c r="AZ495" s="46"/>
      <c r="BA495" s="46"/>
      <c r="BB495" s="46"/>
      <c r="BC495" s="46"/>
      <c r="BD495" s="46"/>
      <c r="BE495" s="46"/>
      <c r="BF495" s="46"/>
      <c r="BG495" s="46"/>
      <c r="BH495" s="46"/>
    </row>
    <row r="496" spans="1:60" ht="14.25" customHeight="1" x14ac:dyDescent="0.3">
      <c r="A496" s="46"/>
      <c r="B496" s="37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  <c r="AC496" s="46"/>
      <c r="AD496" s="46"/>
      <c r="AE496" s="46"/>
      <c r="AF496" s="46"/>
      <c r="AG496" s="46"/>
      <c r="AH496" s="46"/>
      <c r="AI496" s="46"/>
      <c r="AJ496" s="46"/>
      <c r="AK496" s="46"/>
      <c r="AL496" s="46"/>
      <c r="AM496" s="46"/>
      <c r="AN496" s="46"/>
      <c r="AO496" s="46"/>
      <c r="AP496" s="46"/>
      <c r="AQ496" s="46"/>
      <c r="AR496" s="46"/>
      <c r="AS496" s="46"/>
      <c r="AT496" s="46"/>
      <c r="AU496" s="46"/>
      <c r="AV496" s="46"/>
      <c r="AW496" s="46"/>
      <c r="AX496" s="46"/>
      <c r="AY496" s="46"/>
      <c r="AZ496" s="46"/>
      <c r="BA496" s="46"/>
      <c r="BB496" s="46"/>
      <c r="BC496" s="46"/>
      <c r="BD496" s="46"/>
      <c r="BE496" s="46"/>
      <c r="BF496" s="46"/>
      <c r="BG496" s="46"/>
      <c r="BH496" s="46"/>
    </row>
    <row r="497" spans="1:60" ht="14.25" customHeight="1" x14ac:dyDescent="0.3">
      <c r="A497" s="46"/>
      <c r="B497" s="37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  <c r="AC497" s="46"/>
      <c r="AD497" s="46"/>
      <c r="AE497" s="46"/>
      <c r="AF497" s="46"/>
      <c r="AG497" s="46"/>
      <c r="AH497" s="46"/>
      <c r="AI497" s="46"/>
      <c r="AJ497" s="46"/>
      <c r="AK497" s="46"/>
      <c r="AL497" s="46"/>
      <c r="AM497" s="46"/>
      <c r="AN497" s="46"/>
      <c r="AO497" s="46"/>
      <c r="AP497" s="46"/>
      <c r="AQ497" s="46"/>
      <c r="AR497" s="46"/>
      <c r="AS497" s="46"/>
      <c r="AT497" s="46"/>
      <c r="AU497" s="46"/>
      <c r="AV497" s="46"/>
      <c r="AW497" s="46"/>
      <c r="AX497" s="46"/>
      <c r="AY497" s="46"/>
      <c r="AZ497" s="46"/>
      <c r="BA497" s="46"/>
      <c r="BB497" s="46"/>
      <c r="BC497" s="46"/>
      <c r="BD497" s="46"/>
      <c r="BE497" s="46"/>
      <c r="BF497" s="46"/>
      <c r="BG497" s="46"/>
      <c r="BH497" s="46"/>
    </row>
    <row r="498" spans="1:60" ht="14.25" customHeight="1" x14ac:dyDescent="0.3">
      <c r="A498" s="46"/>
      <c r="B498" s="37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  <c r="AC498" s="46"/>
      <c r="AD498" s="46"/>
      <c r="AE498" s="46"/>
      <c r="AF498" s="46"/>
      <c r="AG498" s="46"/>
      <c r="AH498" s="46"/>
      <c r="AI498" s="46"/>
      <c r="AJ498" s="46"/>
      <c r="AK498" s="46"/>
      <c r="AL498" s="46"/>
      <c r="AM498" s="46"/>
      <c r="AN498" s="46"/>
      <c r="AO498" s="46"/>
      <c r="AP498" s="46"/>
      <c r="AQ498" s="46"/>
      <c r="AR498" s="46"/>
      <c r="AS498" s="46"/>
      <c r="AT498" s="46"/>
      <c r="AU498" s="46"/>
      <c r="AV498" s="46"/>
      <c r="AW498" s="46"/>
      <c r="AX498" s="46"/>
      <c r="AY498" s="46"/>
      <c r="AZ498" s="46"/>
      <c r="BA498" s="46"/>
      <c r="BB498" s="46"/>
      <c r="BC498" s="46"/>
      <c r="BD498" s="46"/>
      <c r="BE498" s="46"/>
      <c r="BF498" s="46"/>
      <c r="BG498" s="46"/>
      <c r="BH498" s="46"/>
    </row>
    <row r="499" spans="1:60" ht="14.25" customHeight="1" x14ac:dyDescent="0.3">
      <c r="A499" s="46"/>
      <c r="B499" s="37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  <c r="AC499" s="46"/>
      <c r="AD499" s="46"/>
      <c r="AE499" s="46"/>
      <c r="AF499" s="46"/>
      <c r="AG499" s="46"/>
      <c r="AH499" s="46"/>
      <c r="AI499" s="46"/>
      <c r="AJ499" s="46"/>
      <c r="AK499" s="46"/>
      <c r="AL499" s="46"/>
      <c r="AM499" s="46"/>
      <c r="AN499" s="46"/>
      <c r="AO499" s="46"/>
      <c r="AP499" s="46"/>
      <c r="AQ499" s="46"/>
      <c r="AR499" s="46"/>
      <c r="AS499" s="46"/>
      <c r="AT499" s="46"/>
      <c r="AU499" s="46"/>
      <c r="AV499" s="46"/>
      <c r="AW499" s="46"/>
      <c r="AX499" s="46"/>
      <c r="AY499" s="46"/>
      <c r="AZ499" s="46"/>
      <c r="BA499" s="46"/>
      <c r="BB499" s="46"/>
      <c r="BC499" s="46"/>
      <c r="BD499" s="46"/>
      <c r="BE499" s="46"/>
      <c r="BF499" s="46"/>
      <c r="BG499" s="46"/>
      <c r="BH499" s="46"/>
    </row>
    <row r="500" spans="1:60" ht="14.25" customHeight="1" x14ac:dyDescent="0.3">
      <c r="A500" s="46"/>
      <c r="B500" s="37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  <c r="AB500" s="46"/>
      <c r="AC500" s="46"/>
      <c r="AD500" s="46"/>
      <c r="AE500" s="46"/>
      <c r="AF500" s="46"/>
      <c r="AG500" s="46"/>
      <c r="AH500" s="46"/>
      <c r="AI500" s="46"/>
      <c r="AJ500" s="46"/>
      <c r="AK500" s="46"/>
      <c r="AL500" s="46"/>
      <c r="AM500" s="46"/>
      <c r="AN500" s="46"/>
      <c r="AO500" s="46"/>
      <c r="AP500" s="46"/>
      <c r="AQ500" s="46"/>
      <c r="AR500" s="46"/>
      <c r="AS500" s="46"/>
      <c r="AT500" s="46"/>
      <c r="AU500" s="46"/>
      <c r="AV500" s="46"/>
      <c r="AW500" s="46"/>
      <c r="AX500" s="46"/>
      <c r="AY500" s="46"/>
      <c r="AZ500" s="46"/>
      <c r="BA500" s="46"/>
      <c r="BB500" s="46"/>
      <c r="BC500" s="46"/>
      <c r="BD500" s="46"/>
      <c r="BE500" s="46"/>
      <c r="BF500" s="46"/>
      <c r="BG500" s="46"/>
      <c r="BH500" s="46"/>
    </row>
    <row r="501" spans="1:60" ht="14.25" customHeight="1" x14ac:dyDescent="0.3">
      <c r="A501" s="46"/>
      <c r="B501" s="37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  <c r="AB501" s="46"/>
      <c r="AC501" s="46"/>
      <c r="AD501" s="46"/>
      <c r="AE501" s="46"/>
      <c r="AF501" s="46"/>
      <c r="AG501" s="46"/>
      <c r="AH501" s="46"/>
      <c r="AI501" s="46"/>
      <c r="AJ501" s="46"/>
      <c r="AK501" s="46"/>
      <c r="AL501" s="46"/>
      <c r="AM501" s="46"/>
      <c r="AN501" s="46"/>
      <c r="AO501" s="46"/>
      <c r="AP501" s="46"/>
      <c r="AQ501" s="46"/>
      <c r="AR501" s="46"/>
      <c r="AS501" s="46"/>
      <c r="AT501" s="46"/>
      <c r="AU501" s="46"/>
      <c r="AV501" s="46"/>
      <c r="AW501" s="46"/>
      <c r="AX501" s="46"/>
      <c r="AY501" s="46"/>
      <c r="AZ501" s="46"/>
      <c r="BA501" s="46"/>
      <c r="BB501" s="46"/>
      <c r="BC501" s="46"/>
      <c r="BD501" s="46"/>
      <c r="BE501" s="46"/>
      <c r="BF501" s="46"/>
      <c r="BG501" s="46"/>
      <c r="BH501" s="46"/>
    </row>
    <row r="502" spans="1:60" ht="14.25" customHeight="1" x14ac:dyDescent="0.3">
      <c r="A502" s="46"/>
      <c r="B502" s="37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  <c r="AB502" s="46"/>
      <c r="AC502" s="46"/>
      <c r="AD502" s="46"/>
      <c r="AE502" s="46"/>
      <c r="AF502" s="46"/>
      <c r="AG502" s="46"/>
      <c r="AH502" s="46"/>
      <c r="AI502" s="46"/>
      <c r="AJ502" s="46"/>
      <c r="AK502" s="46"/>
      <c r="AL502" s="46"/>
      <c r="AM502" s="46"/>
      <c r="AN502" s="46"/>
      <c r="AO502" s="46"/>
      <c r="AP502" s="46"/>
      <c r="AQ502" s="46"/>
      <c r="AR502" s="46"/>
      <c r="AS502" s="46"/>
      <c r="AT502" s="46"/>
      <c r="AU502" s="46"/>
      <c r="AV502" s="46"/>
      <c r="AW502" s="46"/>
      <c r="AX502" s="46"/>
      <c r="AY502" s="46"/>
      <c r="AZ502" s="46"/>
      <c r="BA502" s="46"/>
      <c r="BB502" s="46"/>
      <c r="BC502" s="46"/>
      <c r="BD502" s="46"/>
      <c r="BE502" s="46"/>
      <c r="BF502" s="46"/>
      <c r="BG502" s="46"/>
      <c r="BH502" s="46"/>
    </row>
    <row r="503" spans="1:60" ht="14.25" customHeight="1" x14ac:dyDescent="0.3">
      <c r="A503" s="46"/>
      <c r="B503" s="37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/>
      <c r="AB503" s="46"/>
      <c r="AC503" s="46"/>
      <c r="AD503" s="46"/>
      <c r="AE503" s="46"/>
      <c r="AF503" s="46"/>
      <c r="AG503" s="46"/>
      <c r="AH503" s="46"/>
      <c r="AI503" s="46"/>
      <c r="AJ503" s="46"/>
      <c r="AK503" s="46"/>
      <c r="AL503" s="46"/>
      <c r="AM503" s="46"/>
      <c r="AN503" s="46"/>
      <c r="AO503" s="46"/>
      <c r="AP503" s="46"/>
      <c r="AQ503" s="46"/>
      <c r="AR503" s="46"/>
      <c r="AS503" s="46"/>
      <c r="AT503" s="46"/>
      <c r="AU503" s="46"/>
      <c r="AV503" s="46"/>
      <c r="AW503" s="46"/>
      <c r="AX503" s="46"/>
      <c r="AY503" s="46"/>
      <c r="AZ503" s="46"/>
      <c r="BA503" s="46"/>
      <c r="BB503" s="46"/>
      <c r="BC503" s="46"/>
      <c r="BD503" s="46"/>
      <c r="BE503" s="46"/>
      <c r="BF503" s="46"/>
      <c r="BG503" s="46"/>
      <c r="BH503" s="46"/>
    </row>
    <row r="504" spans="1:60" ht="14.25" customHeight="1" x14ac:dyDescent="0.3">
      <c r="A504" s="46"/>
      <c r="B504" s="37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  <c r="AA504" s="46"/>
      <c r="AB504" s="46"/>
      <c r="AC504" s="46"/>
      <c r="AD504" s="46"/>
      <c r="AE504" s="46"/>
      <c r="AF504" s="46"/>
      <c r="AG504" s="46"/>
      <c r="AH504" s="46"/>
      <c r="AI504" s="46"/>
      <c r="AJ504" s="46"/>
      <c r="AK504" s="46"/>
      <c r="AL504" s="46"/>
      <c r="AM504" s="46"/>
      <c r="AN504" s="46"/>
      <c r="AO504" s="46"/>
      <c r="AP504" s="46"/>
      <c r="AQ504" s="46"/>
      <c r="AR504" s="46"/>
      <c r="AS504" s="46"/>
      <c r="AT504" s="46"/>
      <c r="AU504" s="46"/>
      <c r="AV504" s="46"/>
      <c r="AW504" s="46"/>
      <c r="AX504" s="46"/>
      <c r="AY504" s="46"/>
      <c r="AZ504" s="46"/>
      <c r="BA504" s="46"/>
      <c r="BB504" s="46"/>
      <c r="BC504" s="46"/>
      <c r="BD504" s="46"/>
      <c r="BE504" s="46"/>
      <c r="BF504" s="46"/>
      <c r="BG504" s="46"/>
      <c r="BH504" s="46"/>
    </row>
    <row r="505" spans="1:60" ht="14.25" customHeight="1" x14ac:dyDescent="0.3">
      <c r="A505" s="46"/>
      <c r="B505" s="37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46"/>
      <c r="AB505" s="46"/>
      <c r="AC505" s="46"/>
      <c r="AD505" s="46"/>
      <c r="AE505" s="46"/>
      <c r="AF505" s="46"/>
      <c r="AG505" s="46"/>
      <c r="AH505" s="46"/>
      <c r="AI505" s="46"/>
      <c r="AJ505" s="46"/>
      <c r="AK505" s="46"/>
      <c r="AL505" s="46"/>
      <c r="AM505" s="46"/>
      <c r="AN505" s="46"/>
      <c r="AO505" s="46"/>
      <c r="AP505" s="46"/>
      <c r="AQ505" s="46"/>
      <c r="AR505" s="46"/>
      <c r="AS505" s="46"/>
      <c r="AT505" s="46"/>
      <c r="AU505" s="46"/>
      <c r="AV505" s="46"/>
      <c r="AW505" s="46"/>
      <c r="AX505" s="46"/>
      <c r="AY505" s="46"/>
      <c r="AZ505" s="46"/>
      <c r="BA505" s="46"/>
      <c r="BB505" s="46"/>
      <c r="BC505" s="46"/>
      <c r="BD505" s="46"/>
      <c r="BE505" s="46"/>
      <c r="BF505" s="46"/>
      <c r="BG505" s="46"/>
      <c r="BH505" s="46"/>
    </row>
    <row r="506" spans="1:60" ht="14.25" customHeight="1" x14ac:dyDescent="0.3">
      <c r="A506" s="46"/>
      <c r="B506" s="37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/>
      <c r="AB506" s="46"/>
      <c r="AC506" s="46"/>
      <c r="AD506" s="46"/>
      <c r="AE506" s="46"/>
      <c r="AF506" s="46"/>
      <c r="AG506" s="46"/>
      <c r="AH506" s="46"/>
      <c r="AI506" s="46"/>
      <c r="AJ506" s="46"/>
      <c r="AK506" s="46"/>
      <c r="AL506" s="46"/>
      <c r="AM506" s="46"/>
      <c r="AN506" s="46"/>
      <c r="AO506" s="46"/>
      <c r="AP506" s="46"/>
      <c r="AQ506" s="46"/>
      <c r="AR506" s="46"/>
      <c r="AS506" s="46"/>
      <c r="AT506" s="46"/>
      <c r="AU506" s="46"/>
      <c r="AV506" s="46"/>
      <c r="AW506" s="46"/>
      <c r="AX506" s="46"/>
      <c r="AY506" s="46"/>
      <c r="AZ506" s="46"/>
      <c r="BA506" s="46"/>
      <c r="BB506" s="46"/>
      <c r="BC506" s="46"/>
      <c r="BD506" s="46"/>
      <c r="BE506" s="46"/>
      <c r="BF506" s="46"/>
      <c r="BG506" s="46"/>
      <c r="BH506" s="46"/>
    </row>
    <row r="507" spans="1:60" ht="14.25" customHeight="1" x14ac:dyDescent="0.3">
      <c r="A507" s="46"/>
      <c r="B507" s="37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  <c r="AB507" s="46"/>
      <c r="AC507" s="46"/>
      <c r="AD507" s="46"/>
      <c r="AE507" s="46"/>
      <c r="AF507" s="46"/>
      <c r="AG507" s="46"/>
      <c r="AH507" s="46"/>
      <c r="AI507" s="46"/>
      <c r="AJ507" s="46"/>
      <c r="AK507" s="46"/>
      <c r="AL507" s="46"/>
      <c r="AM507" s="46"/>
      <c r="AN507" s="46"/>
      <c r="AO507" s="46"/>
      <c r="AP507" s="46"/>
      <c r="AQ507" s="46"/>
      <c r="AR507" s="46"/>
      <c r="AS507" s="46"/>
      <c r="AT507" s="46"/>
      <c r="AU507" s="46"/>
      <c r="AV507" s="46"/>
      <c r="AW507" s="46"/>
      <c r="AX507" s="46"/>
      <c r="AY507" s="46"/>
      <c r="AZ507" s="46"/>
      <c r="BA507" s="46"/>
      <c r="BB507" s="46"/>
      <c r="BC507" s="46"/>
      <c r="BD507" s="46"/>
      <c r="BE507" s="46"/>
      <c r="BF507" s="46"/>
      <c r="BG507" s="46"/>
      <c r="BH507" s="46"/>
    </row>
    <row r="508" spans="1:60" ht="14.25" customHeight="1" x14ac:dyDescent="0.3">
      <c r="A508" s="46"/>
      <c r="B508" s="37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  <c r="AA508" s="46"/>
      <c r="AB508" s="46"/>
      <c r="AC508" s="46"/>
      <c r="AD508" s="46"/>
      <c r="AE508" s="46"/>
      <c r="AF508" s="46"/>
      <c r="AG508" s="46"/>
      <c r="AH508" s="46"/>
      <c r="AI508" s="46"/>
      <c r="AJ508" s="46"/>
      <c r="AK508" s="46"/>
      <c r="AL508" s="46"/>
      <c r="AM508" s="46"/>
      <c r="AN508" s="46"/>
      <c r="AO508" s="46"/>
      <c r="AP508" s="46"/>
      <c r="AQ508" s="46"/>
      <c r="AR508" s="46"/>
      <c r="AS508" s="46"/>
      <c r="AT508" s="46"/>
      <c r="AU508" s="46"/>
      <c r="AV508" s="46"/>
      <c r="AW508" s="46"/>
      <c r="AX508" s="46"/>
      <c r="AY508" s="46"/>
      <c r="AZ508" s="46"/>
      <c r="BA508" s="46"/>
      <c r="BB508" s="46"/>
      <c r="BC508" s="46"/>
      <c r="BD508" s="46"/>
      <c r="BE508" s="46"/>
      <c r="BF508" s="46"/>
      <c r="BG508" s="46"/>
      <c r="BH508" s="46"/>
    </row>
    <row r="509" spans="1:60" ht="14.25" customHeight="1" x14ac:dyDescent="0.3">
      <c r="A509" s="46"/>
      <c r="B509" s="37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  <c r="AB509" s="46"/>
      <c r="AC509" s="46"/>
      <c r="AD509" s="46"/>
      <c r="AE509" s="46"/>
      <c r="AF509" s="46"/>
      <c r="AG509" s="46"/>
      <c r="AH509" s="46"/>
      <c r="AI509" s="46"/>
      <c r="AJ509" s="46"/>
      <c r="AK509" s="46"/>
      <c r="AL509" s="46"/>
      <c r="AM509" s="46"/>
      <c r="AN509" s="46"/>
      <c r="AO509" s="46"/>
      <c r="AP509" s="46"/>
      <c r="AQ509" s="46"/>
      <c r="AR509" s="46"/>
      <c r="AS509" s="46"/>
      <c r="AT509" s="46"/>
      <c r="AU509" s="46"/>
      <c r="AV509" s="46"/>
      <c r="AW509" s="46"/>
      <c r="AX509" s="46"/>
      <c r="AY509" s="46"/>
      <c r="AZ509" s="46"/>
      <c r="BA509" s="46"/>
      <c r="BB509" s="46"/>
      <c r="BC509" s="46"/>
      <c r="BD509" s="46"/>
      <c r="BE509" s="46"/>
      <c r="BF509" s="46"/>
      <c r="BG509" s="46"/>
      <c r="BH509" s="46"/>
    </row>
    <row r="510" spans="1:60" ht="14.25" customHeight="1" x14ac:dyDescent="0.3">
      <c r="A510" s="46"/>
      <c r="B510" s="37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  <c r="AB510" s="46"/>
      <c r="AC510" s="46"/>
      <c r="AD510" s="46"/>
      <c r="AE510" s="46"/>
      <c r="AF510" s="46"/>
      <c r="AG510" s="46"/>
      <c r="AH510" s="46"/>
      <c r="AI510" s="46"/>
      <c r="AJ510" s="46"/>
      <c r="AK510" s="46"/>
      <c r="AL510" s="46"/>
      <c r="AM510" s="46"/>
      <c r="AN510" s="46"/>
      <c r="AO510" s="46"/>
      <c r="AP510" s="46"/>
      <c r="AQ510" s="46"/>
      <c r="AR510" s="46"/>
      <c r="AS510" s="46"/>
      <c r="AT510" s="46"/>
      <c r="AU510" s="46"/>
      <c r="AV510" s="46"/>
      <c r="AW510" s="46"/>
      <c r="AX510" s="46"/>
      <c r="AY510" s="46"/>
      <c r="AZ510" s="46"/>
      <c r="BA510" s="46"/>
      <c r="BB510" s="46"/>
      <c r="BC510" s="46"/>
      <c r="BD510" s="46"/>
      <c r="BE510" s="46"/>
      <c r="BF510" s="46"/>
      <c r="BG510" s="46"/>
      <c r="BH510" s="46"/>
    </row>
    <row r="511" spans="1:60" ht="14.25" customHeight="1" x14ac:dyDescent="0.3">
      <c r="A511" s="46"/>
      <c r="B511" s="37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  <c r="AB511" s="46"/>
      <c r="AC511" s="46"/>
      <c r="AD511" s="46"/>
      <c r="AE511" s="46"/>
      <c r="AF511" s="46"/>
      <c r="AG511" s="46"/>
      <c r="AH511" s="46"/>
      <c r="AI511" s="46"/>
      <c r="AJ511" s="46"/>
      <c r="AK511" s="46"/>
      <c r="AL511" s="46"/>
      <c r="AM511" s="46"/>
      <c r="AN511" s="46"/>
      <c r="AO511" s="46"/>
      <c r="AP511" s="46"/>
      <c r="AQ511" s="46"/>
      <c r="AR511" s="46"/>
      <c r="AS511" s="46"/>
      <c r="AT511" s="46"/>
      <c r="AU511" s="46"/>
      <c r="AV511" s="46"/>
      <c r="AW511" s="46"/>
      <c r="AX511" s="46"/>
      <c r="AY511" s="46"/>
      <c r="AZ511" s="46"/>
      <c r="BA511" s="46"/>
      <c r="BB511" s="46"/>
      <c r="BC511" s="46"/>
      <c r="BD511" s="46"/>
      <c r="BE511" s="46"/>
      <c r="BF511" s="46"/>
      <c r="BG511" s="46"/>
      <c r="BH511" s="46"/>
    </row>
    <row r="512" spans="1:60" ht="14.25" customHeight="1" x14ac:dyDescent="0.3">
      <c r="A512" s="46"/>
      <c r="B512" s="37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46"/>
      <c r="AB512" s="46"/>
      <c r="AC512" s="46"/>
      <c r="AD512" s="46"/>
      <c r="AE512" s="46"/>
      <c r="AF512" s="46"/>
      <c r="AG512" s="46"/>
      <c r="AH512" s="46"/>
      <c r="AI512" s="46"/>
      <c r="AJ512" s="46"/>
      <c r="AK512" s="46"/>
      <c r="AL512" s="46"/>
      <c r="AM512" s="46"/>
      <c r="AN512" s="46"/>
      <c r="AO512" s="46"/>
      <c r="AP512" s="46"/>
      <c r="AQ512" s="46"/>
      <c r="AR512" s="46"/>
      <c r="AS512" s="46"/>
      <c r="AT512" s="46"/>
      <c r="AU512" s="46"/>
      <c r="AV512" s="46"/>
      <c r="AW512" s="46"/>
      <c r="AX512" s="46"/>
      <c r="AY512" s="46"/>
      <c r="AZ512" s="46"/>
      <c r="BA512" s="46"/>
      <c r="BB512" s="46"/>
      <c r="BC512" s="46"/>
      <c r="BD512" s="46"/>
      <c r="BE512" s="46"/>
      <c r="BF512" s="46"/>
      <c r="BG512" s="46"/>
      <c r="BH512" s="46"/>
    </row>
    <row r="513" spans="1:60" ht="14.25" customHeight="1" x14ac:dyDescent="0.3">
      <c r="A513" s="46"/>
      <c r="B513" s="37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  <c r="AB513" s="46"/>
      <c r="AC513" s="46"/>
      <c r="AD513" s="46"/>
      <c r="AE513" s="46"/>
      <c r="AF513" s="46"/>
      <c r="AG513" s="46"/>
      <c r="AH513" s="46"/>
      <c r="AI513" s="46"/>
      <c r="AJ513" s="46"/>
      <c r="AK513" s="46"/>
      <c r="AL513" s="46"/>
      <c r="AM513" s="46"/>
      <c r="AN513" s="46"/>
      <c r="AO513" s="46"/>
      <c r="AP513" s="46"/>
      <c r="AQ513" s="46"/>
      <c r="AR513" s="46"/>
      <c r="AS513" s="46"/>
      <c r="AT513" s="46"/>
      <c r="AU513" s="46"/>
      <c r="AV513" s="46"/>
      <c r="AW513" s="46"/>
      <c r="AX513" s="46"/>
      <c r="AY513" s="46"/>
      <c r="AZ513" s="46"/>
      <c r="BA513" s="46"/>
      <c r="BB513" s="46"/>
      <c r="BC513" s="46"/>
      <c r="BD513" s="46"/>
      <c r="BE513" s="46"/>
      <c r="BF513" s="46"/>
      <c r="BG513" s="46"/>
      <c r="BH513" s="46"/>
    </row>
    <row r="514" spans="1:60" ht="14.25" customHeight="1" x14ac:dyDescent="0.3">
      <c r="A514" s="46"/>
      <c r="B514" s="37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  <c r="AB514" s="46"/>
      <c r="AC514" s="46"/>
      <c r="AD514" s="46"/>
      <c r="AE514" s="46"/>
      <c r="AF514" s="46"/>
      <c r="AG514" s="46"/>
      <c r="AH514" s="46"/>
      <c r="AI514" s="46"/>
      <c r="AJ514" s="46"/>
      <c r="AK514" s="46"/>
      <c r="AL514" s="46"/>
      <c r="AM514" s="46"/>
      <c r="AN514" s="46"/>
      <c r="AO514" s="46"/>
      <c r="AP514" s="46"/>
      <c r="AQ514" s="46"/>
      <c r="AR514" s="46"/>
      <c r="AS514" s="46"/>
      <c r="AT514" s="46"/>
      <c r="AU514" s="46"/>
      <c r="AV514" s="46"/>
      <c r="AW514" s="46"/>
      <c r="AX514" s="46"/>
      <c r="AY514" s="46"/>
      <c r="AZ514" s="46"/>
      <c r="BA514" s="46"/>
      <c r="BB514" s="46"/>
      <c r="BC514" s="46"/>
      <c r="BD514" s="46"/>
      <c r="BE514" s="46"/>
      <c r="BF514" s="46"/>
      <c r="BG514" s="46"/>
      <c r="BH514" s="46"/>
    </row>
    <row r="515" spans="1:60" ht="14.25" customHeight="1" x14ac:dyDescent="0.3">
      <c r="A515" s="46"/>
      <c r="B515" s="37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46"/>
      <c r="AB515" s="46"/>
      <c r="AC515" s="46"/>
      <c r="AD515" s="46"/>
      <c r="AE515" s="46"/>
      <c r="AF515" s="46"/>
      <c r="AG515" s="46"/>
      <c r="AH515" s="46"/>
      <c r="AI515" s="46"/>
      <c r="AJ515" s="46"/>
      <c r="AK515" s="46"/>
      <c r="AL515" s="46"/>
      <c r="AM515" s="46"/>
      <c r="AN515" s="46"/>
      <c r="AO515" s="46"/>
      <c r="AP515" s="46"/>
      <c r="AQ515" s="46"/>
      <c r="AR515" s="46"/>
      <c r="AS515" s="46"/>
      <c r="AT515" s="46"/>
      <c r="AU515" s="46"/>
      <c r="AV515" s="46"/>
      <c r="AW515" s="46"/>
      <c r="AX515" s="46"/>
      <c r="AY515" s="46"/>
      <c r="AZ515" s="46"/>
      <c r="BA515" s="46"/>
      <c r="BB515" s="46"/>
      <c r="BC515" s="46"/>
      <c r="BD515" s="46"/>
      <c r="BE515" s="46"/>
      <c r="BF515" s="46"/>
      <c r="BG515" s="46"/>
      <c r="BH515" s="46"/>
    </row>
    <row r="516" spans="1:60" ht="14.25" customHeight="1" x14ac:dyDescent="0.3">
      <c r="A516" s="46"/>
      <c r="B516" s="37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6"/>
      <c r="AB516" s="46"/>
      <c r="AC516" s="46"/>
      <c r="AD516" s="46"/>
      <c r="AE516" s="46"/>
      <c r="AF516" s="46"/>
      <c r="AG516" s="46"/>
      <c r="AH516" s="46"/>
      <c r="AI516" s="46"/>
      <c r="AJ516" s="46"/>
      <c r="AK516" s="46"/>
      <c r="AL516" s="46"/>
      <c r="AM516" s="46"/>
      <c r="AN516" s="46"/>
      <c r="AO516" s="46"/>
      <c r="AP516" s="46"/>
      <c r="AQ516" s="46"/>
      <c r="AR516" s="46"/>
      <c r="AS516" s="46"/>
      <c r="AT516" s="46"/>
      <c r="AU516" s="46"/>
      <c r="AV516" s="46"/>
      <c r="AW516" s="46"/>
      <c r="AX516" s="46"/>
      <c r="AY516" s="46"/>
      <c r="AZ516" s="46"/>
      <c r="BA516" s="46"/>
      <c r="BB516" s="46"/>
      <c r="BC516" s="46"/>
      <c r="BD516" s="46"/>
      <c r="BE516" s="46"/>
      <c r="BF516" s="46"/>
      <c r="BG516" s="46"/>
      <c r="BH516" s="46"/>
    </row>
    <row r="517" spans="1:60" ht="14.25" customHeight="1" x14ac:dyDescent="0.3">
      <c r="A517" s="46"/>
      <c r="B517" s="37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46"/>
      <c r="AB517" s="46"/>
      <c r="AC517" s="46"/>
      <c r="AD517" s="46"/>
      <c r="AE517" s="46"/>
      <c r="AF517" s="46"/>
      <c r="AG517" s="46"/>
      <c r="AH517" s="46"/>
      <c r="AI517" s="46"/>
      <c r="AJ517" s="46"/>
      <c r="AK517" s="46"/>
      <c r="AL517" s="46"/>
      <c r="AM517" s="46"/>
      <c r="AN517" s="46"/>
      <c r="AO517" s="46"/>
      <c r="AP517" s="46"/>
      <c r="AQ517" s="46"/>
      <c r="AR517" s="46"/>
      <c r="AS517" s="46"/>
      <c r="AT517" s="46"/>
      <c r="AU517" s="46"/>
      <c r="AV517" s="46"/>
      <c r="AW517" s="46"/>
      <c r="AX517" s="46"/>
      <c r="AY517" s="46"/>
      <c r="AZ517" s="46"/>
      <c r="BA517" s="46"/>
      <c r="BB517" s="46"/>
      <c r="BC517" s="46"/>
      <c r="BD517" s="46"/>
      <c r="BE517" s="46"/>
      <c r="BF517" s="46"/>
      <c r="BG517" s="46"/>
      <c r="BH517" s="46"/>
    </row>
    <row r="518" spans="1:60" ht="14.25" customHeight="1" x14ac:dyDescent="0.3">
      <c r="A518" s="46"/>
      <c r="B518" s="37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  <c r="AA518" s="46"/>
      <c r="AB518" s="46"/>
      <c r="AC518" s="46"/>
      <c r="AD518" s="46"/>
      <c r="AE518" s="46"/>
      <c r="AF518" s="46"/>
      <c r="AG518" s="46"/>
      <c r="AH518" s="46"/>
      <c r="AI518" s="46"/>
      <c r="AJ518" s="46"/>
      <c r="AK518" s="46"/>
      <c r="AL518" s="46"/>
      <c r="AM518" s="46"/>
      <c r="AN518" s="46"/>
      <c r="AO518" s="46"/>
      <c r="AP518" s="46"/>
      <c r="AQ518" s="46"/>
      <c r="AR518" s="46"/>
      <c r="AS518" s="46"/>
      <c r="AT518" s="46"/>
      <c r="AU518" s="46"/>
      <c r="AV518" s="46"/>
      <c r="AW518" s="46"/>
      <c r="AX518" s="46"/>
      <c r="AY518" s="46"/>
      <c r="AZ518" s="46"/>
      <c r="BA518" s="46"/>
      <c r="BB518" s="46"/>
      <c r="BC518" s="46"/>
      <c r="BD518" s="46"/>
      <c r="BE518" s="46"/>
      <c r="BF518" s="46"/>
      <c r="BG518" s="46"/>
      <c r="BH518" s="46"/>
    </row>
    <row r="519" spans="1:60" ht="14.25" customHeight="1" x14ac:dyDescent="0.3">
      <c r="A519" s="46"/>
      <c r="B519" s="37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  <c r="AC519" s="46"/>
      <c r="AD519" s="46"/>
      <c r="AE519" s="46"/>
      <c r="AF519" s="46"/>
      <c r="AG519" s="46"/>
      <c r="AH519" s="46"/>
      <c r="AI519" s="46"/>
      <c r="AJ519" s="46"/>
      <c r="AK519" s="46"/>
      <c r="AL519" s="46"/>
      <c r="AM519" s="46"/>
      <c r="AN519" s="46"/>
      <c r="AO519" s="46"/>
      <c r="AP519" s="46"/>
      <c r="AQ519" s="46"/>
      <c r="AR519" s="46"/>
      <c r="AS519" s="46"/>
      <c r="AT519" s="46"/>
      <c r="AU519" s="46"/>
      <c r="AV519" s="46"/>
      <c r="AW519" s="46"/>
      <c r="AX519" s="46"/>
      <c r="AY519" s="46"/>
      <c r="AZ519" s="46"/>
      <c r="BA519" s="46"/>
      <c r="BB519" s="46"/>
      <c r="BC519" s="46"/>
      <c r="BD519" s="46"/>
      <c r="BE519" s="46"/>
      <c r="BF519" s="46"/>
      <c r="BG519" s="46"/>
      <c r="BH519" s="46"/>
    </row>
    <row r="520" spans="1:60" ht="14.25" customHeight="1" x14ac:dyDescent="0.3">
      <c r="A520" s="46"/>
      <c r="B520" s="37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  <c r="AB520" s="46"/>
      <c r="AC520" s="46"/>
      <c r="AD520" s="46"/>
      <c r="AE520" s="46"/>
      <c r="AF520" s="46"/>
      <c r="AG520" s="46"/>
      <c r="AH520" s="46"/>
      <c r="AI520" s="46"/>
      <c r="AJ520" s="46"/>
      <c r="AK520" s="46"/>
      <c r="AL520" s="46"/>
      <c r="AM520" s="46"/>
      <c r="AN520" s="46"/>
      <c r="AO520" s="46"/>
      <c r="AP520" s="46"/>
      <c r="AQ520" s="46"/>
      <c r="AR520" s="46"/>
      <c r="AS520" s="46"/>
      <c r="AT520" s="46"/>
      <c r="AU520" s="46"/>
      <c r="AV520" s="46"/>
      <c r="AW520" s="46"/>
      <c r="AX520" s="46"/>
      <c r="AY520" s="46"/>
      <c r="AZ520" s="46"/>
      <c r="BA520" s="46"/>
      <c r="BB520" s="46"/>
      <c r="BC520" s="46"/>
      <c r="BD520" s="46"/>
      <c r="BE520" s="46"/>
      <c r="BF520" s="46"/>
      <c r="BG520" s="46"/>
      <c r="BH520" s="46"/>
    </row>
    <row r="521" spans="1:60" ht="14.25" customHeight="1" x14ac:dyDescent="0.3">
      <c r="A521" s="46"/>
      <c r="B521" s="37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  <c r="AA521" s="46"/>
      <c r="AB521" s="46"/>
      <c r="AC521" s="46"/>
      <c r="AD521" s="46"/>
      <c r="AE521" s="46"/>
      <c r="AF521" s="46"/>
      <c r="AG521" s="46"/>
      <c r="AH521" s="46"/>
      <c r="AI521" s="46"/>
      <c r="AJ521" s="46"/>
      <c r="AK521" s="46"/>
      <c r="AL521" s="46"/>
      <c r="AM521" s="46"/>
      <c r="AN521" s="46"/>
      <c r="AO521" s="46"/>
      <c r="AP521" s="46"/>
      <c r="AQ521" s="46"/>
      <c r="AR521" s="46"/>
      <c r="AS521" s="46"/>
      <c r="AT521" s="46"/>
      <c r="AU521" s="46"/>
      <c r="AV521" s="46"/>
      <c r="AW521" s="46"/>
      <c r="AX521" s="46"/>
      <c r="AY521" s="46"/>
      <c r="AZ521" s="46"/>
      <c r="BA521" s="46"/>
      <c r="BB521" s="46"/>
      <c r="BC521" s="46"/>
      <c r="BD521" s="46"/>
      <c r="BE521" s="46"/>
      <c r="BF521" s="46"/>
      <c r="BG521" s="46"/>
      <c r="BH521" s="46"/>
    </row>
    <row r="522" spans="1:60" ht="14.25" customHeight="1" x14ac:dyDescent="0.3">
      <c r="A522" s="46"/>
      <c r="B522" s="37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  <c r="AC522" s="46"/>
      <c r="AD522" s="46"/>
      <c r="AE522" s="46"/>
      <c r="AF522" s="46"/>
      <c r="AG522" s="46"/>
      <c r="AH522" s="46"/>
      <c r="AI522" s="46"/>
      <c r="AJ522" s="46"/>
      <c r="AK522" s="46"/>
      <c r="AL522" s="46"/>
      <c r="AM522" s="46"/>
      <c r="AN522" s="46"/>
      <c r="AO522" s="46"/>
      <c r="AP522" s="46"/>
      <c r="AQ522" s="46"/>
      <c r="AR522" s="46"/>
      <c r="AS522" s="46"/>
      <c r="AT522" s="46"/>
      <c r="AU522" s="46"/>
      <c r="AV522" s="46"/>
      <c r="AW522" s="46"/>
      <c r="AX522" s="46"/>
      <c r="AY522" s="46"/>
      <c r="AZ522" s="46"/>
      <c r="BA522" s="46"/>
      <c r="BB522" s="46"/>
      <c r="BC522" s="46"/>
      <c r="BD522" s="46"/>
      <c r="BE522" s="46"/>
      <c r="BF522" s="46"/>
      <c r="BG522" s="46"/>
      <c r="BH522" s="46"/>
    </row>
    <row r="523" spans="1:60" ht="14.25" customHeight="1" x14ac:dyDescent="0.3">
      <c r="A523" s="46"/>
      <c r="B523" s="37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  <c r="AB523" s="46"/>
      <c r="AC523" s="46"/>
      <c r="AD523" s="46"/>
      <c r="AE523" s="46"/>
      <c r="AF523" s="46"/>
      <c r="AG523" s="46"/>
      <c r="AH523" s="46"/>
      <c r="AI523" s="46"/>
      <c r="AJ523" s="46"/>
      <c r="AK523" s="46"/>
      <c r="AL523" s="46"/>
      <c r="AM523" s="46"/>
      <c r="AN523" s="46"/>
      <c r="AO523" s="46"/>
      <c r="AP523" s="46"/>
      <c r="AQ523" s="46"/>
      <c r="AR523" s="46"/>
      <c r="AS523" s="46"/>
      <c r="AT523" s="46"/>
      <c r="AU523" s="46"/>
      <c r="AV523" s="46"/>
      <c r="AW523" s="46"/>
      <c r="AX523" s="46"/>
      <c r="AY523" s="46"/>
      <c r="AZ523" s="46"/>
      <c r="BA523" s="46"/>
      <c r="BB523" s="46"/>
      <c r="BC523" s="46"/>
      <c r="BD523" s="46"/>
      <c r="BE523" s="46"/>
      <c r="BF523" s="46"/>
      <c r="BG523" s="46"/>
      <c r="BH523" s="46"/>
    </row>
    <row r="524" spans="1:60" ht="14.25" customHeight="1" x14ac:dyDescent="0.3">
      <c r="A524" s="46"/>
      <c r="B524" s="37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  <c r="AA524" s="46"/>
      <c r="AB524" s="46"/>
      <c r="AC524" s="46"/>
      <c r="AD524" s="46"/>
      <c r="AE524" s="46"/>
      <c r="AF524" s="46"/>
      <c r="AG524" s="46"/>
      <c r="AH524" s="46"/>
      <c r="AI524" s="46"/>
      <c r="AJ524" s="46"/>
      <c r="AK524" s="46"/>
      <c r="AL524" s="46"/>
      <c r="AM524" s="46"/>
      <c r="AN524" s="46"/>
      <c r="AO524" s="46"/>
      <c r="AP524" s="46"/>
      <c r="AQ524" s="46"/>
      <c r="AR524" s="46"/>
      <c r="AS524" s="46"/>
      <c r="AT524" s="46"/>
      <c r="AU524" s="46"/>
      <c r="AV524" s="46"/>
      <c r="AW524" s="46"/>
      <c r="AX524" s="46"/>
      <c r="AY524" s="46"/>
      <c r="AZ524" s="46"/>
      <c r="BA524" s="46"/>
      <c r="BB524" s="46"/>
      <c r="BC524" s="46"/>
      <c r="BD524" s="46"/>
      <c r="BE524" s="46"/>
      <c r="BF524" s="46"/>
      <c r="BG524" s="46"/>
      <c r="BH524" s="46"/>
    </row>
    <row r="525" spans="1:60" ht="14.25" customHeight="1" x14ac:dyDescent="0.3">
      <c r="A525" s="46"/>
      <c r="B525" s="37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  <c r="AC525" s="46"/>
      <c r="AD525" s="46"/>
      <c r="AE525" s="46"/>
      <c r="AF525" s="46"/>
      <c r="AG525" s="46"/>
      <c r="AH525" s="46"/>
      <c r="AI525" s="46"/>
      <c r="AJ525" s="46"/>
      <c r="AK525" s="46"/>
      <c r="AL525" s="46"/>
      <c r="AM525" s="46"/>
      <c r="AN525" s="46"/>
      <c r="AO525" s="46"/>
      <c r="AP525" s="46"/>
      <c r="AQ525" s="46"/>
      <c r="AR525" s="46"/>
      <c r="AS525" s="46"/>
      <c r="AT525" s="46"/>
      <c r="AU525" s="46"/>
      <c r="AV525" s="46"/>
      <c r="AW525" s="46"/>
      <c r="AX525" s="46"/>
      <c r="AY525" s="46"/>
      <c r="AZ525" s="46"/>
      <c r="BA525" s="46"/>
      <c r="BB525" s="46"/>
      <c r="BC525" s="46"/>
      <c r="BD525" s="46"/>
      <c r="BE525" s="46"/>
      <c r="BF525" s="46"/>
      <c r="BG525" s="46"/>
      <c r="BH525" s="46"/>
    </row>
    <row r="526" spans="1:60" ht="14.25" customHeight="1" x14ac:dyDescent="0.3">
      <c r="A526" s="46"/>
      <c r="B526" s="37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  <c r="AB526" s="46"/>
      <c r="AC526" s="46"/>
      <c r="AD526" s="46"/>
      <c r="AE526" s="46"/>
      <c r="AF526" s="46"/>
      <c r="AG526" s="46"/>
      <c r="AH526" s="46"/>
      <c r="AI526" s="46"/>
      <c r="AJ526" s="46"/>
      <c r="AK526" s="46"/>
      <c r="AL526" s="46"/>
      <c r="AM526" s="46"/>
      <c r="AN526" s="46"/>
      <c r="AO526" s="46"/>
      <c r="AP526" s="46"/>
      <c r="AQ526" s="46"/>
      <c r="AR526" s="46"/>
      <c r="AS526" s="46"/>
      <c r="AT526" s="46"/>
      <c r="AU526" s="46"/>
      <c r="AV526" s="46"/>
      <c r="AW526" s="46"/>
      <c r="AX526" s="46"/>
      <c r="AY526" s="46"/>
      <c r="AZ526" s="46"/>
      <c r="BA526" s="46"/>
      <c r="BB526" s="46"/>
      <c r="BC526" s="46"/>
      <c r="BD526" s="46"/>
      <c r="BE526" s="46"/>
      <c r="BF526" s="46"/>
      <c r="BG526" s="46"/>
      <c r="BH526" s="46"/>
    </row>
    <row r="527" spans="1:60" ht="14.25" customHeight="1" x14ac:dyDescent="0.3">
      <c r="A527" s="46"/>
      <c r="B527" s="37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  <c r="AC527" s="46"/>
      <c r="AD527" s="46"/>
      <c r="AE527" s="46"/>
      <c r="AF527" s="46"/>
      <c r="AG527" s="46"/>
      <c r="AH527" s="46"/>
      <c r="AI527" s="46"/>
      <c r="AJ527" s="46"/>
      <c r="AK527" s="46"/>
      <c r="AL527" s="46"/>
      <c r="AM527" s="46"/>
      <c r="AN527" s="46"/>
      <c r="AO527" s="46"/>
      <c r="AP527" s="46"/>
      <c r="AQ527" s="46"/>
      <c r="AR527" s="46"/>
      <c r="AS527" s="46"/>
      <c r="AT527" s="46"/>
      <c r="AU527" s="46"/>
      <c r="AV527" s="46"/>
      <c r="AW527" s="46"/>
      <c r="AX527" s="46"/>
      <c r="AY527" s="46"/>
      <c r="AZ527" s="46"/>
      <c r="BA527" s="46"/>
      <c r="BB527" s="46"/>
      <c r="BC527" s="46"/>
      <c r="BD527" s="46"/>
      <c r="BE527" s="46"/>
      <c r="BF527" s="46"/>
      <c r="BG527" s="46"/>
      <c r="BH527" s="46"/>
    </row>
    <row r="528" spans="1:60" ht="14.25" customHeight="1" x14ac:dyDescent="0.3">
      <c r="A528" s="46"/>
      <c r="B528" s="37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46"/>
      <c r="AB528" s="46"/>
      <c r="AC528" s="46"/>
      <c r="AD528" s="46"/>
      <c r="AE528" s="46"/>
      <c r="AF528" s="46"/>
      <c r="AG528" s="46"/>
      <c r="AH528" s="46"/>
      <c r="AI528" s="46"/>
      <c r="AJ528" s="46"/>
      <c r="AK528" s="46"/>
      <c r="AL528" s="46"/>
      <c r="AM528" s="46"/>
      <c r="AN528" s="46"/>
      <c r="AO528" s="46"/>
      <c r="AP528" s="46"/>
      <c r="AQ528" s="46"/>
      <c r="AR528" s="46"/>
      <c r="AS528" s="46"/>
      <c r="AT528" s="46"/>
      <c r="AU528" s="46"/>
      <c r="AV528" s="46"/>
      <c r="AW528" s="46"/>
      <c r="AX528" s="46"/>
      <c r="AY528" s="46"/>
      <c r="AZ528" s="46"/>
      <c r="BA528" s="46"/>
      <c r="BB528" s="46"/>
      <c r="BC528" s="46"/>
      <c r="BD528" s="46"/>
      <c r="BE528" s="46"/>
      <c r="BF528" s="46"/>
      <c r="BG528" s="46"/>
      <c r="BH528" s="46"/>
    </row>
    <row r="529" spans="1:60" ht="14.25" customHeight="1" x14ac:dyDescent="0.3">
      <c r="A529" s="46"/>
      <c r="B529" s="37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  <c r="AC529" s="46"/>
      <c r="AD529" s="46"/>
      <c r="AE529" s="46"/>
      <c r="AF529" s="46"/>
      <c r="AG529" s="46"/>
      <c r="AH529" s="46"/>
      <c r="AI529" s="46"/>
      <c r="AJ529" s="46"/>
      <c r="AK529" s="46"/>
      <c r="AL529" s="46"/>
      <c r="AM529" s="46"/>
      <c r="AN529" s="46"/>
      <c r="AO529" s="46"/>
      <c r="AP529" s="46"/>
      <c r="AQ529" s="46"/>
      <c r="AR529" s="46"/>
      <c r="AS529" s="46"/>
      <c r="AT529" s="46"/>
      <c r="AU529" s="46"/>
      <c r="AV529" s="46"/>
      <c r="AW529" s="46"/>
      <c r="AX529" s="46"/>
      <c r="AY529" s="46"/>
      <c r="AZ529" s="46"/>
      <c r="BA529" s="46"/>
      <c r="BB529" s="46"/>
      <c r="BC529" s="46"/>
      <c r="BD529" s="46"/>
      <c r="BE529" s="46"/>
      <c r="BF529" s="46"/>
      <c r="BG529" s="46"/>
      <c r="BH529" s="46"/>
    </row>
    <row r="530" spans="1:60" ht="14.25" customHeight="1" x14ac:dyDescent="0.3">
      <c r="A530" s="46"/>
      <c r="B530" s="37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  <c r="AC530" s="46"/>
      <c r="AD530" s="46"/>
      <c r="AE530" s="46"/>
      <c r="AF530" s="46"/>
      <c r="AG530" s="46"/>
      <c r="AH530" s="46"/>
      <c r="AI530" s="46"/>
      <c r="AJ530" s="46"/>
      <c r="AK530" s="46"/>
      <c r="AL530" s="46"/>
      <c r="AM530" s="46"/>
      <c r="AN530" s="46"/>
      <c r="AO530" s="46"/>
      <c r="AP530" s="46"/>
      <c r="AQ530" s="46"/>
      <c r="AR530" s="46"/>
      <c r="AS530" s="46"/>
      <c r="AT530" s="46"/>
      <c r="AU530" s="46"/>
      <c r="AV530" s="46"/>
      <c r="AW530" s="46"/>
      <c r="AX530" s="46"/>
      <c r="AY530" s="46"/>
      <c r="AZ530" s="46"/>
      <c r="BA530" s="46"/>
      <c r="BB530" s="46"/>
      <c r="BC530" s="46"/>
      <c r="BD530" s="46"/>
      <c r="BE530" s="46"/>
      <c r="BF530" s="46"/>
      <c r="BG530" s="46"/>
      <c r="BH530" s="46"/>
    </row>
    <row r="531" spans="1:60" ht="14.25" customHeight="1" x14ac:dyDescent="0.3">
      <c r="A531" s="46"/>
      <c r="B531" s="37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  <c r="AB531" s="46"/>
      <c r="AC531" s="46"/>
      <c r="AD531" s="46"/>
      <c r="AE531" s="46"/>
      <c r="AF531" s="46"/>
      <c r="AG531" s="46"/>
      <c r="AH531" s="46"/>
      <c r="AI531" s="46"/>
      <c r="AJ531" s="46"/>
      <c r="AK531" s="46"/>
      <c r="AL531" s="46"/>
      <c r="AM531" s="46"/>
      <c r="AN531" s="46"/>
      <c r="AO531" s="46"/>
      <c r="AP531" s="46"/>
      <c r="AQ531" s="46"/>
      <c r="AR531" s="46"/>
      <c r="AS531" s="46"/>
      <c r="AT531" s="46"/>
      <c r="AU531" s="46"/>
      <c r="AV531" s="46"/>
      <c r="AW531" s="46"/>
      <c r="AX531" s="46"/>
      <c r="AY531" s="46"/>
      <c r="AZ531" s="46"/>
      <c r="BA531" s="46"/>
      <c r="BB531" s="46"/>
      <c r="BC531" s="46"/>
      <c r="BD531" s="46"/>
      <c r="BE531" s="46"/>
      <c r="BF531" s="46"/>
      <c r="BG531" s="46"/>
      <c r="BH531" s="46"/>
    </row>
    <row r="532" spans="1:60" ht="14.25" customHeight="1" x14ac:dyDescent="0.3">
      <c r="A532" s="46"/>
      <c r="B532" s="37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  <c r="AB532" s="46"/>
      <c r="AC532" s="46"/>
      <c r="AD532" s="46"/>
      <c r="AE532" s="46"/>
      <c r="AF532" s="46"/>
      <c r="AG532" s="46"/>
      <c r="AH532" s="46"/>
      <c r="AI532" s="46"/>
      <c r="AJ532" s="46"/>
      <c r="AK532" s="46"/>
      <c r="AL532" s="46"/>
      <c r="AM532" s="46"/>
      <c r="AN532" s="46"/>
      <c r="AO532" s="46"/>
      <c r="AP532" s="46"/>
      <c r="AQ532" s="46"/>
      <c r="AR532" s="46"/>
      <c r="AS532" s="46"/>
      <c r="AT532" s="46"/>
      <c r="AU532" s="46"/>
      <c r="AV532" s="46"/>
      <c r="AW532" s="46"/>
      <c r="AX532" s="46"/>
      <c r="AY532" s="46"/>
      <c r="AZ532" s="46"/>
      <c r="BA532" s="46"/>
      <c r="BB532" s="46"/>
      <c r="BC532" s="46"/>
      <c r="BD532" s="46"/>
      <c r="BE532" s="46"/>
      <c r="BF532" s="46"/>
      <c r="BG532" s="46"/>
      <c r="BH532" s="46"/>
    </row>
    <row r="533" spans="1:60" ht="14.25" customHeight="1" x14ac:dyDescent="0.3">
      <c r="A533" s="46"/>
      <c r="B533" s="37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  <c r="AB533" s="46"/>
      <c r="AC533" s="46"/>
      <c r="AD533" s="46"/>
      <c r="AE533" s="46"/>
      <c r="AF533" s="46"/>
      <c r="AG533" s="46"/>
      <c r="AH533" s="46"/>
      <c r="AI533" s="46"/>
      <c r="AJ533" s="46"/>
      <c r="AK533" s="46"/>
      <c r="AL533" s="46"/>
      <c r="AM533" s="46"/>
      <c r="AN533" s="46"/>
      <c r="AO533" s="46"/>
      <c r="AP533" s="46"/>
      <c r="AQ533" s="46"/>
      <c r="AR533" s="46"/>
      <c r="AS533" s="46"/>
      <c r="AT533" s="46"/>
      <c r="AU533" s="46"/>
      <c r="AV533" s="46"/>
      <c r="AW533" s="46"/>
      <c r="AX533" s="46"/>
      <c r="AY533" s="46"/>
      <c r="AZ533" s="46"/>
      <c r="BA533" s="46"/>
      <c r="BB533" s="46"/>
      <c r="BC533" s="46"/>
      <c r="BD533" s="46"/>
      <c r="BE533" s="46"/>
      <c r="BF533" s="46"/>
      <c r="BG533" s="46"/>
      <c r="BH533" s="46"/>
    </row>
    <row r="534" spans="1:60" ht="14.25" customHeight="1" x14ac:dyDescent="0.3">
      <c r="A534" s="46"/>
      <c r="B534" s="37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  <c r="AB534" s="46"/>
      <c r="AC534" s="46"/>
      <c r="AD534" s="46"/>
      <c r="AE534" s="46"/>
      <c r="AF534" s="46"/>
      <c r="AG534" s="46"/>
      <c r="AH534" s="46"/>
      <c r="AI534" s="46"/>
      <c r="AJ534" s="46"/>
      <c r="AK534" s="46"/>
      <c r="AL534" s="46"/>
      <c r="AM534" s="46"/>
      <c r="AN534" s="46"/>
      <c r="AO534" s="46"/>
      <c r="AP534" s="46"/>
      <c r="AQ534" s="46"/>
      <c r="AR534" s="46"/>
      <c r="AS534" s="46"/>
      <c r="AT534" s="46"/>
      <c r="AU534" s="46"/>
      <c r="AV534" s="46"/>
      <c r="AW534" s="46"/>
      <c r="AX534" s="46"/>
      <c r="AY534" s="46"/>
      <c r="AZ534" s="46"/>
      <c r="BA534" s="46"/>
      <c r="BB534" s="46"/>
      <c r="BC534" s="46"/>
      <c r="BD534" s="46"/>
      <c r="BE534" s="46"/>
      <c r="BF534" s="46"/>
      <c r="BG534" s="46"/>
      <c r="BH534" s="46"/>
    </row>
    <row r="535" spans="1:60" ht="14.25" customHeight="1" x14ac:dyDescent="0.3">
      <c r="A535" s="46"/>
      <c r="B535" s="37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  <c r="AB535" s="46"/>
      <c r="AC535" s="46"/>
      <c r="AD535" s="46"/>
      <c r="AE535" s="46"/>
      <c r="AF535" s="46"/>
      <c r="AG535" s="46"/>
      <c r="AH535" s="46"/>
      <c r="AI535" s="46"/>
      <c r="AJ535" s="46"/>
      <c r="AK535" s="46"/>
      <c r="AL535" s="46"/>
      <c r="AM535" s="46"/>
      <c r="AN535" s="46"/>
      <c r="AO535" s="46"/>
      <c r="AP535" s="46"/>
      <c r="AQ535" s="46"/>
      <c r="AR535" s="46"/>
      <c r="AS535" s="46"/>
      <c r="AT535" s="46"/>
      <c r="AU535" s="46"/>
      <c r="AV535" s="46"/>
      <c r="AW535" s="46"/>
      <c r="AX535" s="46"/>
      <c r="AY535" s="46"/>
      <c r="AZ535" s="46"/>
      <c r="BA535" s="46"/>
      <c r="BB535" s="46"/>
      <c r="BC535" s="46"/>
      <c r="BD535" s="46"/>
      <c r="BE535" s="46"/>
      <c r="BF535" s="46"/>
      <c r="BG535" s="46"/>
      <c r="BH535" s="46"/>
    </row>
    <row r="536" spans="1:60" ht="14.25" customHeight="1" x14ac:dyDescent="0.3">
      <c r="A536" s="46"/>
      <c r="B536" s="37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  <c r="AB536" s="46"/>
      <c r="AC536" s="46"/>
      <c r="AD536" s="46"/>
      <c r="AE536" s="46"/>
      <c r="AF536" s="46"/>
      <c r="AG536" s="46"/>
      <c r="AH536" s="46"/>
      <c r="AI536" s="46"/>
      <c r="AJ536" s="46"/>
      <c r="AK536" s="46"/>
      <c r="AL536" s="46"/>
      <c r="AM536" s="46"/>
      <c r="AN536" s="46"/>
      <c r="AO536" s="46"/>
      <c r="AP536" s="46"/>
      <c r="AQ536" s="46"/>
      <c r="AR536" s="46"/>
      <c r="AS536" s="46"/>
      <c r="AT536" s="46"/>
      <c r="AU536" s="46"/>
      <c r="AV536" s="46"/>
      <c r="AW536" s="46"/>
      <c r="AX536" s="46"/>
      <c r="AY536" s="46"/>
      <c r="AZ536" s="46"/>
      <c r="BA536" s="46"/>
      <c r="BB536" s="46"/>
      <c r="BC536" s="46"/>
      <c r="BD536" s="46"/>
      <c r="BE536" s="46"/>
      <c r="BF536" s="46"/>
      <c r="BG536" s="46"/>
      <c r="BH536" s="46"/>
    </row>
    <row r="537" spans="1:60" ht="14.25" customHeight="1" x14ac:dyDescent="0.3">
      <c r="A537" s="46"/>
      <c r="B537" s="37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  <c r="AB537" s="46"/>
      <c r="AC537" s="46"/>
      <c r="AD537" s="46"/>
      <c r="AE537" s="46"/>
      <c r="AF537" s="46"/>
      <c r="AG537" s="46"/>
      <c r="AH537" s="46"/>
      <c r="AI537" s="46"/>
      <c r="AJ537" s="46"/>
      <c r="AK537" s="46"/>
      <c r="AL537" s="46"/>
      <c r="AM537" s="46"/>
      <c r="AN537" s="46"/>
      <c r="AO537" s="46"/>
      <c r="AP537" s="46"/>
      <c r="AQ537" s="46"/>
      <c r="AR537" s="46"/>
      <c r="AS537" s="46"/>
      <c r="AT537" s="46"/>
      <c r="AU537" s="46"/>
      <c r="AV537" s="46"/>
      <c r="AW537" s="46"/>
      <c r="AX537" s="46"/>
      <c r="AY537" s="46"/>
      <c r="AZ537" s="46"/>
      <c r="BA537" s="46"/>
      <c r="BB537" s="46"/>
      <c r="BC537" s="46"/>
      <c r="BD537" s="46"/>
      <c r="BE537" s="46"/>
      <c r="BF537" s="46"/>
      <c r="BG537" s="46"/>
      <c r="BH537" s="46"/>
    </row>
    <row r="538" spans="1:60" ht="14.25" customHeight="1" x14ac:dyDescent="0.3">
      <c r="A538" s="46"/>
      <c r="B538" s="37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  <c r="AC538" s="46"/>
      <c r="AD538" s="46"/>
      <c r="AE538" s="46"/>
      <c r="AF538" s="46"/>
      <c r="AG538" s="46"/>
      <c r="AH538" s="46"/>
      <c r="AI538" s="46"/>
      <c r="AJ538" s="46"/>
      <c r="AK538" s="46"/>
      <c r="AL538" s="46"/>
      <c r="AM538" s="46"/>
      <c r="AN538" s="46"/>
      <c r="AO538" s="46"/>
      <c r="AP538" s="46"/>
      <c r="AQ538" s="46"/>
      <c r="AR538" s="46"/>
      <c r="AS538" s="46"/>
      <c r="AT538" s="46"/>
      <c r="AU538" s="46"/>
      <c r="AV538" s="46"/>
      <c r="AW538" s="46"/>
      <c r="AX538" s="46"/>
      <c r="AY538" s="46"/>
      <c r="AZ538" s="46"/>
      <c r="BA538" s="46"/>
      <c r="BB538" s="46"/>
      <c r="BC538" s="46"/>
      <c r="BD538" s="46"/>
      <c r="BE538" s="46"/>
      <c r="BF538" s="46"/>
      <c r="BG538" s="46"/>
      <c r="BH538" s="46"/>
    </row>
    <row r="539" spans="1:60" ht="14.25" customHeight="1" x14ac:dyDescent="0.3">
      <c r="A539" s="46"/>
      <c r="B539" s="37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  <c r="AC539" s="46"/>
      <c r="AD539" s="46"/>
      <c r="AE539" s="46"/>
      <c r="AF539" s="46"/>
      <c r="AG539" s="46"/>
      <c r="AH539" s="46"/>
      <c r="AI539" s="46"/>
      <c r="AJ539" s="46"/>
      <c r="AK539" s="46"/>
      <c r="AL539" s="46"/>
      <c r="AM539" s="46"/>
      <c r="AN539" s="46"/>
      <c r="AO539" s="46"/>
      <c r="AP539" s="46"/>
      <c r="AQ539" s="46"/>
      <c r="AR539" s="46"/>
      <c r="AS539" s="46"/>
      <c r="AT539" s="46"/>
      <c r="AU539" s="46"/>
      <c r="AV539" s="46"/>
      <c r="AW539" s="46"/>
      <c r="AX539" s="46"/>
      <c r="AY539" s="46"/>
      <c r="AZ539" s="46"/>
      <c r="BA539" s="46"/>
      <c r="BB539" s="46"/>
      <c r="BC539" s="46"/>
      <c r="BD539" s="46"/>
      <c r="BE539" s="46"/>
      <c r="BF539" s="46"/>
      <c r="BG539" s="46"/>
      <c r="BH539" s="46"/>
    </row>
    <row r="540" spans="1:60" ht="14.25" customHeight="1" x14ac:dyDescent="0.3">
      <c r="A540" s="46"/>
      <c r="B540" s="37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  <c r="AB540" s="46"/>
      <c r="AC540" s="46"/>
      <c r="AD540" s="46"/>
      <c r="AE540" s="46"/>
      <c r="AF540" s="46"/>
      <c r="AG540" s="46"/>
      <c r="AH540" s="46"/>
      <c r="AI540" s="46"/>
      <c r="AJ540" s="46"/>
      <c r="AK540" s="46"/>
      <c r="AL540" s="46"/>
      <c r="AM540" s="46"/>
      <c r="AN540" s="46"/>
      <c r="AO540" s="46"/>
      <c r="AP540" s="46"/>
      <c r="AQ540" s="46"/>
      <c r="AR540" s="46"/>
      <c r="AS540" s="46"/>
      <c r="AT540" s="46"/>
      <c r="AU540" s="46"/>
      <c r="AV540" s="46"/>
      <c r="AW540" s="46"/>
      <c r="AX540" s="46"/>
      <c r="AY540" s="46"/>
      <c r="AZ540" s="46"/>
      <c r="BA540" s="46"/>
      <c r="BB540" s="46"/>
      <c r="BC540" s="46"/>
      <c r="BD540" s="46"/>
      <c r="BE540" s="46"/>
      <c r="BF540" s="46"/>
      <c r="BG540" s="46"/>
      <c r="BH540" s="46"/>
    </row>
    <row r="541" spans="1:60" ht="14.25" customHeight="1" x14ac:dyDescent="0.3">
      <c r="A541" s="46"/>
      <c r="B541" s="37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/>
      <c r="AB541" s="46"/>
      <c r="AC541" s="46"/>
      <c r="AD541" s="46"/>
      <c r="AE541" s="46"/>
      <c r="AF541" s="46"/>
      <c r="AG541" s="46"/>
      <c r="AH541" s="46"/>
      <c r="AI541" s="46"/>
      <c r="AJ541" s="46"/>
      <c r="AK541" s="46"/>
      <c r="AL541" s="46"/>
      <c r="AM541" s="46"/>
      <c r="AN541" s="46"/>
      <c r="AO541" s="46"/>
      <c r="AP541" s="46"/>
      <c r="AQ541" s="46"/>
      <c r="AR541" s="46"/>
      <c r="AS541" s="46"/>
      <c r="AT541" s="46"/>
      <c r="AU541" s="46"/>
      <c r="AV541" s="46"/>
      <c r="AW541" s="46"/>
      <c r="AX541" s="46"/>
      <c r="AY541" s="46"/>
      <c r="AZ541" s="46"/>
      <c r="BA541" s="46"/>
      <c r="BB541" s="46"/>
      <c r="BC541" s="46"/>
      <c r="BD541" s="46"/>
      <c r="BE541" s="46"/>
      <c r="BF541" s="46"/>
      <c r="BG541" s="46"/>
      <c r="BH541" s="46"/>
    </row>
    <row r="542" spans="1:60" ht="14.25" customHeight="1" x14ac:dyDescent="0.3">
      <c r="A542" s="46"/>
      <c r="B542" s="37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6"/>
      <c r="AB542" s="46"/>
      <c r="AC542" s="46"/>
      <c r="AD542" s="46"/>
      <c r="AE542" s="46"/>
      <c r="AF542" s="46"/>
      <c r="AG542" s="46"/>
      <c r="AH542" s="46"/>
      <c r="AI542" s="46"/>
      <c r="AJ542" s="46"/>
      <c r="AK542" s="46"/>
      <c r="AL542" s="46"/>
      <c r="AM542" s="46"/>
      <c r="AN542" s="46"/>
      <c r="AO542" s="46"/>
      <c r="AP542" s="46"/>
      <c r="AQ542" s="46"/>
      <c r="AR542" s="46"/>
      <c r="AS542" s="46"/>
      <c r="AT542" s="46"/>
      <c r="AU542" s="46"/>
      <c r="AV542" s="46"/>
      <c r="AW542" s="46"/>
      <c r="AX542" s="46"/>
      <c r="AY542" s="46"/>
      <c r="AZ542" s="46"/>
      <c r="BA542" s="46"/>
      <c r="BB542" s="46"/>
      <c r="BC542" s="46"/>
      <c r="BD542" s="46"/>
      <c r="BE542" s="46"/>
      <c r="BF542" s="46"/>
      <c r="BG542" s="46"/>
      <c r="BH542" s="46"/>
    </row>
    <row r="543" spans="1:60" ht="14.25" customHeight="1" x14ac:dyDescent="0.3">
      <c r="A543" s="46"/>
      <c r="B543" s="37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6"/>
      <c r="AB543" s="46"/>
      <c r="AC543" s="46"/>
      <c r="AD543" s="46"/>
      <c r="AE543" s="46"/>
      <c r="AF543" s="46"/>
      <c r="AG543" s="46"/>
      <c r="AH543" s="46"/>
      <c r="AI543" s="46"/>
      <c r="AJ543" s="46"/>
      <c r="AK543" s="46"/>
      <c r="AL543" s="46"/>
      <c r="AM543" s="46"/>
      <c r="AN543" s="46"/>
      <c r="AO543" s="46"/>
      <c r="AP543" s="46"/>
      <c r="AQ543" s="46"/>
      <c r="AR543" s="46"/>
      <c r="AS543" s="46"/>
      <c r="AT543" s="46"/>
      <c r="AU543" s="46"/>
      <c r="AV543" s="46"/>
      <c r="AW543" s="46"/>
      <c r="AX543" s="46"/>
      <c r="AY543" s="46"/>
      <c r="AZ543" s="46"/>
      <c r="BA543" s="46"/>
      <c r="BB543" s="46"/>
      <c r="BC543" s="46"/>
      <c r="BD543" s="46"/>
      <c r="BE543" s="46"/>
      <c r="BF543" s="46"/>
      <c r="BG543" s="46"/>
      <c r="BH543" s="46"/>
    </row>
    <row r="544" spans="1:60" ht="14.25" customHeight="1" x14ac:dyDescent="0.3">
      <c r="A544" s="46"/>
      <c r="B544" s="37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46"/>
      <c r="AB544" s="46"/>
      <c r="AC544" s="46"/>
      <c r="AD544" s="46"/>
      <c r="AE544" s="46"/>
      <c r="AF544" s="46"/>
      <c r="AG544" s="46"/>
      <c r="AH544" s="46"/>
      <c r="AI544" s="46"/>
      <c r="AJ544" s="46"/>
      <c r="AK544" s="46"/>
      <c r="AL544" s="46"/>
      <c r="AM544" s="46"/>
      <c r="AN544" s="46"/>
      <c r="AO544" s="46"/>
      <c r="AP544" s="46"/>
      <c r="AQ544" s="46"/>
      <c r="AR544" s="46"/>
      <c r="AS544" s="46"/>
      <c r="AT544" s="46"/>
      <c r="AU544" s="46"/>
      <c r="AV544" s="46"/>
      <c r="AW544" s="46"/>
      <c r="AX544" s="46"/>
      <c r="AY544" s="46"/>
      <c r="AZ544" s="46"/>
      <c r="BA544" s="46"/>
      <c r="BB544" s="46"/>
      <c r="BC544" s="46"/>
      <c r="BD544" s="46"/>
      <c r="BE544" s="46"/>
      <c r="BF544" s="46"/>
      <c r="BG544" s="46"/>
      <c r="BH544" s="46"/>
    </row>
    <row r="545" spans="1:60" ht="14.25" customHeight="1" x14ac:dyDescent="0.3">
      <c r="A545" s="46"/>
      <c r="B545" s="37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/>
      <c r="AB545" s="46"/>
      <c r="AC545" s="46"/>
      <c r="AD545" s="46"/>
      <c r="AE545" s="46"/>
      <c r="AF545" s="46"/>
      <c r="AG545" s="46"/>
      <c r="AH545" s="46"/>
      <c r="AI545" s="46"/>
      <c r="AJ545" s="46"/>
      <c r="AK545" s="46"/>
      <c r="AL545" s="46"/>
      <c r="AM545" s="46"/>
      <c r="AN545" s="46"/>
      <c r="AO545" s="46"/>
      <c r="AP545" s="46"/>
      <c r="AQ545" s="46"/>
      <c r="AR545" s="46"/>
      <c r="AS545" s="46"/>
      <c r="AT545" s="46"/>
      <c r="AU545" s="46"/>
      <c r="AV545" s="46"/>
      <c r="AW545" s="46"/>
      <c r="AX545" s="46"/>
      <c r="AY545" s="46"/>
      <c r="AZ545" s="46"/>
      <c r="BA545" s="46"/>
      <c r="BB545" s="46"/>
      <c r="BC545" s="46"/>
      <c r="BD545" s="46"/>
      <c r="BE545" s="46"/>
      <c r="BF545" s="46"/>
      <c r="BG545" s="46"/>
      <c r="BH545" s="46"/>
    </row>
    <row r="546" spans="1:60" ht="14.25" customHeight="1" x14ac:dyDescent="0.3">
      <c r="A546" s="46"/>
      <c r="B546" s="37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46"/>
      <c r="AB546" s="46"/>
      <c r="AC546" s="46"/>
      <c r="AD546" s="46"/>
      <c r="AE546" s="46"/>
      <c r="AF546" s="46"/>
      <c r="AG546" s="46"/>
      <c r="AH546" s="46"/>
      <c r="AI546" s="46"/>
      <c r="AJ546" s="46"/>
      <c r="AK546" s="46"/>
      <c r="AL546" s="46"/>
      <c r="AM546" s="46"/>
      <c r="AN546" s="46"/>
      <c r="AO546" s="46"/>
      <c r="AP546" s="46"/>
      <c r="AQ546" s="46"/>
      <c r="AR546" s="46"/>
      <c r="AS546" s="46"/>
      <c r="AT546" s="46"/>
      <c r="AU546" s="46"/>
      <c r="AV546" s="46"/>
      <c r="AW546" s="46"/>
      <c r="AX546" s="46"/>
      <c r="AY546" s="46"/>
      <c r="AZ546" s="46"/>
      <c r="BA546" s="46"/>
      <c r="BB546" s="46"/>
      <c r="BC546" s="46"/>
      <c r="BD546" s="46"/>
      <c r="BE546" s="46"/>
      <c r="BF546" s="46"/>
      <c r="BG546" s="46"/>
      <c r="BH546" s="46"/>
    </row>
    <row r="547" spans="1:60" ht="14.25" customHeight="1" x14ac:dyDescent="0.3">
      <c r="A547" s="46"/>
      <c r="B547" s="37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  <c r="AB547" s="46"/>
      <c r="AC547" s="46"/>
      <c r="AD547" s="46"/>
      <c r="AE547" s="46"/>
      <c r="AF547" s="46"/>
      <c r="AG547" s="46"/>
      <c r="AH547" s="46"/>
      <c r="AI547" s="46"/>
      <c r="AJ547" s="46"/>
      <c r="AK547" s="46"/>
      <c r="AL547" s="46"/>
      <c r="AM547" s="46"/>
      <c r="AN547" s="46"/>
      <c r="AO547" s="46"/>
      <c r="AP547" s="46"/>
      <c r="AQ547" s="46"/>
      <c r="AR547" s="46"/>
      <c r="AS547" s="46"/>
      <c r="AT547" s="46"/>
      <c r="AU547" s="46"/>
      <c r="AV547" s="46"/>
      <c r="AW547" s="46"/>
      <c r="AX547" s="46"/>
      <c r="AY547" s="46"/>
      <c r="AZ547" s="46"/>
      <c r="BA547" s="46"/>
      <c r="BB547" s="46"/>
      <c r="BC547" s="46"/>
      <c r="BD547" s="46"/>
      <c r="BE547" s="46"/>
      <c r="BF547" s="46"/>
      <c r="BG547" s="46"/>
      <c r="BH547" s="46"/>
    </row>
    <row r="548" spans="1:60" ht="14.25" customHeight="1" x14ac:dyDescent="0.3">
      <c r="A548" s="46"/>
      <c r="B548" s="37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6"/>
      <c r="AB548" s="46"/>
      <c r="AC548" s="46"/>
      <c r="AD548" s="46"/>
      <c r="AE548" s="46"/>
      <c r="AF548" s="46"/>
      <c r="AG548" s="46"/>
      <c r="AH548" s="46"/>
      <c r="AI548" s="46"/>
      <c r="AJ548" s="46"/>
      <c r="AK548" s="46"/>
      <c r="AL548" s="46"/>
      <c r="AM548" s="46"/>
      <c r="AN548" s="46"/>
      <c r="AO548" s="46"/>
      <c r="AP548" s="46"/>
      <c r="AQ548" s="46"/>
      <c r="AR548" s="46"/>
      <c r="AS548" s="46"/>
      <c r="AT548" s="46"/>
      <c r="AU548" s="46"/>
      <c r="AV548" s="46"/>
      <c r="AW548" s="46"/>
      <c r="AX548" s="46"/>
      <c r="AY548" s="46"/>
      <c r="AZ548" s="46"/>
      <c r="BA548" s="46"/>
      <c r="BB548" s="46"/>
      <c r="BC548" s="46"/>
      <c r="BD548" s="46"/>
      <c r="BE548" s="46"/>
      <c r="BF548" s="46"/>
      <c r="BG548" s="46"/>
      <c r="BH548" s="46"/>
    </row>
    <row r="549" spans="1:60" ht="14.25" customHeight="1" x14ac:dyDescent="0.3">
      <c r="A549" s="46"/>
      <c r="B549" s="37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  <c r="AB549" s="46"/>
      <c r="AC549" s="46"/>
      <c r="AD549" s="46"/>
      <c r="AE549" s="46"/>
      <c r="AF549" s="46"/>
      <c r="AG549" s="46"/>
      <c r="AH549" s="46"/>
      <c r="AI549" s="46"/>
      <c r="AJ549" s="46"/>
      <c r="AK549" s="46"/>
      <c r="AL549" s="46"/>
      <c r="AM549" s="46"/>
      <c r="AN549" s="46"/>
      <c r="AO549" s="46"/>
      <c r="AP549" s="46"/>
      <c r="AQ549" s="46"/>
      <c r="AR549" s="46"/>
      <c r="AS549" s="46"/>
      <c r="AT549" s="46"/>
      <c r="AU549" s="46"/>
      <c r="AV549" s="46"/>
      <c r="AW549" s="46"/>
      <c r="AX549" s="46"/>
      <c r="AY549" s="46"/>
      <c r="AZ549" s="46"/>
      <c r="BA549" s="46"/>
      <c r="BB549" s="46"/>
      <c r="BC549" s="46"/>
      <c r="BD549" s="46"/>
      <c r="BE549" s="46"/>
      <c r="BF549" s="46"/>
      <c r="BG549" s="46"/>
      <c r="BH549" s="46"/>
    </row>
    <row r="550" spans="1:60" ht="14.25" customHeight="1" x14ac:dyDescent="0.3">
      <c r="A550" s="46"/>
      <c r="B550" s="37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46"/>
      <c r="AB550" s="46"/>
      <c r="AC550" s="46"/>
      <c r="AD550" s="46"/>
      <c r="AE550" s="46"/>
      <c r="AF550" s="46"/>
      <c r="AG550" s="46"/>
      <c r="AH550" s="46"/>
      <c r="AI550" s="46"/>
      <c r="AJ550" s="46"/>
      <c r="AK550" s="46"/>
      <c r="AL550" s="46"/>
      <c r="AM550" s="46"/>
      <c r="AN550" s="46"/>
      <c r="AO550" s="46"/>
      <c r="AP550" s="46"/>
      <c r="AQ550" s="46"/>
      <c r="AR550" s="46"/>
      <c r="AS550" s="46"/>
      <c r="AT550" s="46"/>
      <c r="AU550" s="46"/>
      <c r="AV550" s="46"/>
      <c r="AW550" s="46"/>
      <c r="AX550" s="46"/>
      <c r="AY550" s="46"/>
      <c r="AZ550" s="46"/>
      <c r="BA550" s="46"/>
      <c r="BB550" s="46"/>
      <c r="BC550" s="46"/>
      <c r="BD550" s="46"/>
      <c r="BE550" s="46"/>
      <c r="BF550" s="46"/>
      <c r="BG550" s="46"/>
      <c r="BH550" s="46"/>
    </row>
    <row r="551" spans="1:60" ht="14.25" customHeight="1" x14ac:dyDescent="0.3">
      <c r="A551" s="46"/>
      <c r="B551" s="37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46"/>
      <c r="AB551" s="46"/>
      <c r="AC551" s="46"/>
      <c r="AD551" s="46"/>
      <c r="AE551" s="46"/>
      <c r="AF551" s="46"/>
      <c r="AG551" s="46"/>
      <c r="AH551" s="46"/>
      <c r="AI551" s="46"/>
      <c r="AJ551" s="46"/>
      <c r="AK551" s="46"/>
      <c r="AL551" s="46"/>
      <c r="AM551" s="46"/>
      <c r="AN551" s="46"/>
      <c r="AO551" s="46"/>
      <c r="AP551" s="46"/>
      <c r="AQ551" s="46"/>
      <c r="AR551" s="46"/>
      <c r="AS551" s="46"/>
      <c r="AT551" s="46"/>
      <c r="AU551" s="46"/>
      <c r="AV551" s="46"/>
      <c r="AW551" s="46"/>
      <c r="AX551" s="46"/>
      <c r="AY551" s="46"/>
      <c r="AZ551" s="46"/>
      <c r="BA551" s="46"/>
      <c r="BB551" s="46"/>
      <c r="BC551" s="46"/>
      <c r="BD551" s="46"/>
      <c r="BE551" s="46"/>
      <c r="BF551" s="46"/>
      <c r="BG551" s="46"/>
      <c r="BH551" s="46"/>
    </row>
    <row r="552" spans="1:60" ht="14.25" customHeight="1" x14ac:dyDescent="0.3">
      <c r="A552" s="46"/>
      <c r="B552" s="37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46"/>
      <c r="AB552" s="46"/>
      <c r="AC552" s="46"/>
      <c r="AD552" s="46"/>
      <c r="AE552" s="46"/>
      <c r="AF552" s="46"/>
      <c r="AG552" s="46"/>
      <c r="AH552" s="46"/>
      <c r="AI552" s="46"/>
      <c r="AJ552" s="46"/>
      <c r="AK552" s="46"/>
      <c r="AL552" s="46"/>
      <c r="AM552" s="46"/>
      <c r="AN552" s="46"/>
      <c r="AO552" s="46"/>
      <c r="AP552" s="46"/>
      <c r="AQ552" s="46"/>
      <c r="AR552" s="46"/>
      <c r="AS552" s="46"/>
      <c r="AT552" s="46"/>
      <c r="AU552" s="46"/>
      <c r="AV552" s="46"/>
      <c r="AW552" s="46"/>
      <c r="AX552" s="46"/>
      <c r="AY552" s="46"/>
      <c r="AZ552" s="46"/>
      <c r="BA552" s="46"/>
      <c r="BB552" s="46"/>
      <c r="BC552" s="46"/>
      <c r="BD552" s="46"/>
      <c r="BE552" s="46"/>
      <c r="BF552" s="46"/>
      <c r="BG552" s="46"/>
      <c r="BH552" s="46"/>
    </row>
    <row r="553" spans="1:60" ht="14.25" customHeight="1" x14ac:dyDescent="0.3">
      <c r="A553" s="46"/>
      <c r="B553" s="37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  <c r="AA553" s="46"/>
      <c r="AB553" s="46"/>
      <c r="AC553" s="46"/>
      <c r="AD553" s="46"/>
      <c r="AE553" s="46"/>
      <c r="AF553" s="46"/>
      <c r="AG553" s="46"/>
      <c r="AH553" s="46"/>
      <c r="AI553" s="46"/>
      <c r="AJ553" s="46"/>
      <c r="AK553" s="46"/>
      <c r="AL553" s="46"/>
      <c r="AM553" s="46"/>
      <c r="AN553" s="46"/>
      <c r="AO553" s="46"/>
      <c r="AP553" s="46"/>
      <c r="AQ553" s="46"/>
      <c r="AR553" s="46"/>
      <c r="AS553" s="46"/>
      <c r="AT553" s="46"/>
      <c r="AU553" s="46"/>
      <c r="AV553" s="46"/>
      <c r="AW553" s="46"/>
      <c r="AX553" s="46"/>
      <c r="AY553" s="46"/>
      <c r="AZ553" s="46"/>
      <c r="BA553" s="46"/>
      <c r="BB553" s="46"/>
      <c r="BC553" s="46"/>
      <c r="BD553" s="46"/>
      <c r="BE553" s="46"/>
      <c r="BF553" s="46"/>
      <c r="BG553" s="46"/>
      <c r="BH553" s="46"/>
    </row>
    <row r="554" spans="1:60" ht="14.25" customHeight="1" x14ac:dyDescent="0.3">
      <c r="A554" s="46"/>
      <c r="B554" s="37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  <c r="AB554" s="46"/>
      <c r="AC554" s="46"/>
      <c r="AD554" s="46"/>
      <c r="AE554" s="46"/>
      <c r="AF554" s="46"/>
      <c r="AG554" s="46"/>
      <c r="AH554" s="46"/>
      <c r="AI554" s="46"/>
      <c r="AJ554" s="46"/>
      <c r="AK554" s="46"/>
      <c r="AL554" s="46"/>
      <c r="AM554" s="46"/>
      <c r="AN554" s="46"/>
      <c r="AO554" s="46"/>
      <c r="AP554" s="46"/>
      <c r="AQ554" s="46"/>
      <c r="AR554" s="46"/>
      <c r="AS554" s="46"/>
      <c r="AT554" s="46"/>
      <c r="AU554" s="46"/>
      <c r="AV554" s="46"/>
      <c r="AW554" s="46"/>
      <c r="AX554" s="46"/>
      <c r="AY554" s="46"/>
      <c r="AZ554" s="46"/>
      <c r="BA554" s="46"/>
      <c r="BB554" s="46"/>
      <c r="BC554" s="46"/>
      <c r="BD554" s="46"/>
      <c r="BE554" s="46"/>
      <c r="BF554" s="46"/>
      <c r="BG554" s="46"/>
      <c r="BH554" s="46"/>
    </row>
    <row r="555" spans="1:60" ht="14.25" customHeight="1" x14ac:dyDescent="0.3">
      <c r="A555" s="46"/>
      <c r="B555" s="37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46"/>
      <c r="AB555" s="46"/>
      <c r="AC555" s="46"/>
      <c r="AD555" s="46"/>
      <c r="AE555" s="46"/>
      <c r="AF555" s="46"/>
      <c r="AG555" s="46"/>
      <c r="AH555" s="46"/>
      <c r="AI555" s="46"/>
      <c r="AJ555" s="46"/>
      <c r="AK555" s="46"/>
      <c r="AL555" s="46"/>
      <c r="AM555" s="46"/>
      <c r="AN555" s="46"/>
      <c r="AO555" s="46"/>
      <c r="AP555" s="46"/>
      <c r="AQ555" s="46"/>
      <c r="AR555" s="46"/>
      <c r="AS555" s="46"/>
      <c r="AT555" s="46"/>
      <c r="AU555" s="46"/>
      <c r="AV555" s="46"/>
      <c r="AW555" s="46"/>
      <c r="AX555" s="46"/>
      <c r="AY555" s="46"/>
      <c r="AZ555" s="46"/>
      <c r="BA555" s="46"/>
      <c r="BB555" s="46"/>
      <c r="BC555" s="46"/>
      <c r="BD555" s="46"/>
      <c r="BE555" s="46"/>
      <c r="BF555" s="46"/>
      <c r="BG555" s="46"/>
      <c r="BH555" s="46"/>
    </row>
    <row r="556" spans="1:60" ht="14.25" customHeight="1" x14ac:dyDescent="0.3">
      <c r="A556" s="46"/>
      <c r="B556" s="37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  <c r="AB556" s="46"/>
      <c r="AC556" s="46"/>
      <c r="AD556" s="46"/>
      <c r="AE556" s="46"/>
      <c r="AF556" s="46"/>
      <c r="AG556" s="46"/>
      <c r="AH556" s="46"/>
      <c r="AI556" s="46"/>
      <c r="AJ556" s="46"/>
      <c r="AK556" s="46"/>
      <c r="AL556" s="46"/>
      <c r="AM556" s="46"/>
      <c r="AN556" s="46"/>
      <c r="AO556" s="46"/>
      <c r="AP556" s="46"/>
      <c r="AQ556" s="46"/>
      <c r="AR556" s="46"/>
      <c r="AS556" s="46"/>
      <c r="AT556" s="46"/>
      <c r="AU556" s="46"/>
      <c r="AV556" s="46"/>
      <c r="AW556" s="46"/>
      <c r="AX556" s="46"/>
      <c r="AY556" s="46"/>
      <c r="AZ556" s="46"/>
      <c r="BA556" s="46"/>
      <c r="BB556" s="46"/>
      <c r="BC556" s="46"/>
      <c r="BD556" s="46"/>
      <c r="BE556" s="46"/>
      <c r="BF556" s="46"/>
      <c r="BG556" s="46"/>
      <c r="BH556" s="46"/>
    </row>
    <row r="557" spans="1:60" ht="14.25" customHeight="1" x14ac:dyDescent="0.3">
      <c r="A557" s="46"/>
      <c r="B557" s="37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  <c r="AC557" s="46"/>
      <c r="AD557" s="46"/>
      <c r="AE557" s="46"/>
      <c r="AF557" s="46"/>
      <c r="AG557" s="46"/>
      <c r="AH557" s="46"/>
      <c r="AI557" s="46"/>
      <c r="AJ557" s="46"/>
      <c r="AK557" s="46"/>
      <c r="AL557" s="46"/>
      <c r="AM557" s="46"/>
      <c r="AN557" s="46"/>
      <c r="AO557" s="46"/>
      <c r="AP557" s="46"/>
      <c r="AQ557" s="46"/>
      <c r="AR557" s="46"/>
      <c r="AS557" s="46"/>
      <c r="AT557" s="46"/>
      <c r="AU557" s="46"/>
      <c r="AV557" s="46"/>
      <c r="AW557" s="46"/>
      <c r="AX557" s="46"/>
      <c r="AY557" s="46"/>
      <c r="AZ557" s="46"/>
      <c r="BA557" s="46"/>
      <c r="BB557" s="46"/>
      <c r="BC557" s="46"/>
      <c r="BD557" s="46"/>
      <c r="BE557" s="46"/>
      <c r="BF557" s="46"/>
      <c r="BG557" s="46"/>
      <c r="BH557" s="46"/>
    </row>
    <row r="558" spans="1:60" ht="14.25" customHeight="1" x14ac:dyDescent="0.3">
      <c r="A558" s="46"/>
      <c r="B558" s="37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  <c r="AB558" s="46"/>
      <c r="AC558" s="46"/>
      <c r="AD558" s="46"/>
      <c r="AE558" s="46"/>
      <c r="AF558" s="46"/>
      <c r="AG558" s="46"/>
      <c r="AH558" s="46"/>
      <c r="AI558" s="46"/>
      <c r="AJ558" s="46"/>
      <c r="AK558" s="46"/>
      <c r="AL558" s="46"/>
      <c r="AM558" s="46"/>
      <c r="AN558" s="46"/>
      <c r="AO558" s="46"/>
      <c r="AP558" s="46"/>
      <c r="AQ558" s="46"/>
      <c r="AR558" s="46"/>
      <c r="AS558" s="46"/>
      <c r="AT558" s="46"/>
      <c r="AU558" s="46"/>
      <c r="AV558" s="46"/>
      <c r="AW558" s="46"/>
      <c r="AX558" s="46"/>
      <c r="AY558" s="46"/>
      <c r="AZ558" s="46"/>
      <c r="BA558" s="46"/>
      <c r="BB558" s="46"/>
      <c r="BC558" s="46"/>
      <c r="BD558" s="46"/>
      <c r="BE558" s="46"/>
      <c r="BF558" s="46"/>
      <c r="BG558" s="46"/>
      <c r="BH558" s="46"/>
    </row>
    <row r="559" spans="1:60" ht="14.25" customHeight="1" x14ac:dyDescent="0.3">
      <c r="A559" s="46"/>
      <c r="B559" s="37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  <c r="AB559" s="46"/>
      <c r="AC559" s="46"/>
      <c r="AD559" s="46"/>
      <c r="AE559" s="46"/>
      <c r="AF559" s="46"/>
      <c r="AG559" s="46"/>
      <c r="AH559" s="46"/>
      <c r="AI559" s="46"/>
      <c r="AJ559" s="46"/>
      <c r="AK559" s="46"/>
      <c r="AL559" s="46"/>
      <c r="AM559" s="46"/>
      <c r="AN559" s="46"/>
      <c r="AO559" s="46"/>
      <c r="AP559" s="46"/>
      <c r="AQ559" s="46"/>
      <c r="AR559" s="46"/>
      <c r="AS559" s="46"/>
      <c r="AT559" s="46"/>
      <c r="AU559" s="46"/>
      <c r="AV559" s="46"/>
      <c r="AW559" s="46"/>
      <c r="AX559" s="46"/>
      <c r="AY559" s="46"/>
      <c r="AZ559" s="46"/>
      <c r="BA559" s="46"/>
      <c r="BB559" s="46"/>
      <c r="BC559" s="46"/>
      <c r="BD559" s="46"/>
      <c r="BE559" s="46"/>
      <c r="BF559" s="46"/>
      <c r="BG559" s="46"/>
      <c r="BH559" s="46"/>
    </row>
    <row r="560" spans="1:60" ht="14.25" customHeight="1" x14ac:dyDescent="0.3">
      <c r="A560" s="46"/>
      <c r="B560" s="37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  <c r="AC560" s="46"/>
      <c r="AD560" s="46"/>
      <c r="AE560" s="46"/>
      <c r="AF560" s="46"/>
      <c r="AG560" s="46"/>
      <c r="AH560" s="46"/>
      <c r="AI560" s="46"/>
      <c r="AJ560" s="46"/>
      <c r="AK560" s="46"/>
      <c r="AL560" s="46"/>
      <c r="AM560" s="46"/>
      <c r="AN560" s="46"/>
      <c r="AO560" s="46"/>
      <c r="AP560" s="46"/>
      <c r="AQ560" s="46"/>
      <c r="AR560" s="46"/>
      <c r="AS560" s="46"/>
      <c r="AT560" s="46"/>
      <c r="AU560" s="46"/>
      <c r="AV560" s="46"/>
      <c r="AW560" s="46"/>
      <c r="AX560" s="46"/>
      <c r="AY560" s="46"/>
      <c r="AZ560" s="46"/>
      <c r="BA560" s="46"/>
      <c r="BB560" s="46"/>
      <c r="BC560" s="46"/>
      <c r="BD560" s="46"/>
      <c r="BE560" s="46"/>
      <c r="BF560" s="46"/>
      <c r="BG560" s="46"/>
      <c r="BH560" s="46"/>
    </row>
    <row r="561" spans="1:60" ht="14.25" customHeight="1" x14ac:dyDescent="0.3">
      <c r="A561" s="46"/>
      <c r="B561" s="37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  <c r="AB561" s="46"/>
      <c r="AC561" s="46"/>
      <c r="AD561" s="46"/>
      <c r="AE561" s="46"/>
      <c r="AF561" s="46"/>
      <c r="AG561" s="46"/>
      <c r="AH561" s="46"/>
      <c r="AI561" s="46"/>
      <c r="AJ561" s="46"/>
      <c r="AK561" s="46"/>
      <c r="AL561" s="46"/>
      <c r="AM561" s="46"/>
      <c r="AN561" s="46"/>
      <c r="AO561" s="46"/>
      <c r="AP561" s="46"/>
      <c r="AQ561" s="46"/>
      <c r="AR561" s="46"/>
      <c r="AS561" s="46"/>
      <c r="AT561" s="46"/>
      <c r="AU561" s="46"/>
      <c r="AV561" s="46"/>
      <c r="AW561" s="46"/>
      <c r="AX561" s="46"/>
      <c r="AY561" s="46"/>
      <c r="AZ561" s="46"/>
      <c r="BA561" s="46"/>
      <c r="BB561" s="46"/>
      <c r="BC561" s="46"/>
      <c r="BD561" s="46"/>
      <c r="BE561" s="46"/>
      <c r="BF561" s="46"/>
      <c r="BG561" s="46"/>
      <c r="BH561" s="46"/>
    </row>
    <row r="562" spans="1:60" ht="14.25" customHeight="1" x14ac:dyDescent="0.3">
      <c r="A562" s="46"/>
      <c r="B562" s="37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  <c r="AB562" s="46"/>
      <c r="AC562" s="46"/>
      <c r="AD562" s="46"/>
      <c r="AE562" s="46"/>
      <c r="AF562" s="46"/>
      <c r="AG562" s="46"/>
      <c r="AH562" s="46"/>
      <c r="AI562" s="46"/>
      <c r="AJ562" s="46"/>
      <c r="AK562" s="46"/>
      <c r="AL562" s="46"/>
      <c r="AM562" s="46"/>
      <c r="AN562" s="46"/>
      <c r="AO562" s="46"/>
      <c r="AP562" s="46"/>
      <c r="AQ562" s="46"/>
      <c r="AR562" s="46"/>
      <c r="AS562" s="46"/>
      <c r="AT562" s="46"/>
      <c r="AU562" s="46"/>
      <c r="AV562" s="46"/>
      <c r="AW562" s="46"/>
      <c r="AX562" s="46"/>
      <c r="AY562" s="46"/>
      <c r="AZ562" s="46"/>
      <c r="BA562" s="46"/>
      <c r="BB562" s="46"/>
      <c r="BC562" s="46"/>
      <c r="BD562" s="46"/>
      <c r="BE562" s="46"/>
      <c r="BF562" s="46"/>
      <c r="BG562" s="46"/>
      <c r="BH562" s="46"/>
    </row>
    <row r="563" spans="1:60" ht="14.25" customHeight="1" x14ac:dyDescent="0.3">
      <c r="A563" s="46"/>
      <c r="B563" s="37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  <c r="AC563" s="46"/>
      <c r="AD563" s="46"/>
      <c r="AE563" s="46"/>
      <c r="AF563" s="46"/>
      <c r="AG563" s="46"/>
      <c r="AH563" s="46"/>
      <c r="AI563" s="46"/>
      <c r="AJ563" s="46"/>
      <c r="AK563" s="46"/>
      <c r="AL563" s="46"/>
      <c r="AM563" s="46"/>
      <c r="AN563" s="46"/>
      <c r="AO563" s="46"/>
      <c r="AP563" s="46"/>
      <c r="AQ563" s="46"/>
      <c r="AR563" s="46"/>
      <c r="AS563" s="46"/>
      <c r="AT563" s="46"/>
      <c r="AU563" s="46"/>
      <c r="AV563" s="46"/>
      <c r="AW563" s="46"/>
      <c r="AX563" s="46"/>
      <c r="AY563" s="46"/>
      <c r="AZ563" s="46"/>
      <c r="BA563" s="46"/>
      <c r="BB563" s="46"/>
      <c r="BC563" s="46"/>
      <c r="BD563" s="46"/>
      <c r="BE563" s="46"/>
      <c r="BF563" s="46"/>
      <c r="BG563" s="46"/>
      <c r="BH563" s="46"/>
    </row>
    <row r="564" spans="1:60" ht="14.25" customHeight="1" x14ac:dyDescent="0.3">
      <c r="A564" s="46"/>
      <c r="B564" s="37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  <c r="AB564" s="46"/>
      <c r="AC564" s="46"/>
      <c r="AD564" s="46"/>
      <c r="AE564" s="46"/>
      <c r="AF564" s="46"/>
      <c r="AG564" s="46"/>
      <c r="AH564" s="46"/>
      <c r="AI564" s="46"/>
      <c r="AJ564" s="46"/>
      <c r="AK564" s="46"/>
      <c r="AL564" s="46"/>
      <c r="AM564" s="46"/>
      <c r="AN564" s="46"/>
      <c r="AO564" s="46"/>
      <c r="AP564" s="46"/>
      <c r="AQ564" s="46"/>
      <c r="AR564" s="46"/>
      <c r="AS564" s="46"/>
      <c r="AT564" s="46"/>
      <c r="AU564" s="46"/>
      <c r="AV564" s="46"/>
      <c r="AW564" s="46"/>
      <c r="AX564" s="46"/>
      <c r="AY564" s="46"/>
      <c r="AZ564" s="46"/>
      <c r="BA564" s="46"/>
      <c r="BB564" s="46"/>
      <c r="BC564" s="46"/>
      <c r="BD564" s="46"/>
      <c r="BE564" s="46"/>
      <c r="BF564" s="46"/>
      <c r="BG564" s="46"/>
      <c r="BH564" s="46"/>
    </row>
    <row r="565" spans="1:60" ht="14.25" customHeight="1" x14ac:dyDescent="0.3">
      <c r="A565" s="46"/>
      <c r="B565" s="37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  <c r="AB565" s="46"/>
      <c r="AC565" s="46"/>
      <c r="AD565" s="46"/>
      <c r="AE565" s="46"/>
      <c r="AF565" s="46"/>
      <c r="AG565" s="46"/>
      <c r="AH565" s="46"/>
      <c r="AI565" s="46"/>
      <c r="AJ565" s="46"/>
      <c r="AK565" s="46"/>
      <c r="AL565" s="46"/>
      <c r="AM565" s="46"/>
      <c r="AN565" s="46"/>
      <c r="AO565" s="46"/>
      <c r="AP565" s="46"/>
      <c r="AQ565" s="46"/>
      <c r="AR565" s="46"/>
      <c r="AS565" s="46"/>
      <c r="AT565" s="46"/>
      <c r="AU565" s="46"/>
      <c r="AV565" s="46"/>
      <c r="AW565" s="46"/>
      <c r="AX565" s="46"/>
      <c r="AY565" s="46"/>
      <c r="AZ565" s="46"/>
      <c r="BA565" s="46"/>
      <c r="BB565" s="46"/>
      <c r="BC565" s="46"/>
      <c r="BD565" s="46"/>
      <c r="BE565" s="46"/>
      <c r="BF565" s="46"/>
      <c r="BG565" s="46"/>
      <c r="BH565" s="46"/>
    </row>
    <row r="566" spans="1:60" ht="14.25" customHeight="1" x14ac:dyDescent="0.3">
      <c r="A566" s="46"/>
      <c r="B566" s="37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  <c r="AC566" s="46"/>
      <c r="AD566" s="46"/>
      <c r="AE566" s="46"/>
      <c r="AF566" s="46"/>
      <c r="AG566" s="46"/>
      <c r="AH566" s="46"/>
      <c r="AI566" s="46"/>
      <c r="AJ566" s="46"/>
      <c r="AK566" s="46"/>
      <c r="AL566" s="46"/>
      <c r="AM566" s="46"/>
      <c r="AN566" s="46"/>
      <c r="AO566" s="46"/>
      <c r="AP566" s="46"/>
      <c r="AQ566" s="46"/>
      <c r="AR566" s="46"/>
      <c r="AS566" s="46"/>
      <c r="AT566" s="46"/>
      <c r="AU566" s="46"/>
      <c r="AV566" s="46"/>
      <c r="AW566" s="46"/>
      <c r="AX566" s="46"/>
      <c r="AY566" s="46"/>
      <c r="AZ566" s="46"/>
      <c r="BA566" s="46"/>
      <c r="BB566" s="46"/>
      <c r="BC566" s="46"/>
      <c r="BD566" s="46"/>
      <c r="BE566" s="46"/>
      <c r="BF566" s="46"/>
      <c r="BG566" s="46"/>
      <c r="BH566" s="46"/>
    </row>
    <row r="567" spans="1:60" ht="14.25" customHeight="1" x14ac:dyDescent="0.3">
      <c r="A567" s="46"/>
      <c r="B567" s="37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  <c r="AB567" s="46"/>
      <c r="AC567" s="46"/>
      <c r="AD567" s="46"/>
      <c r="AE567" s="46"/>
      <c r="AF567" s="46"/>
      <c r="AG567" s="46"/>
      <c r="AH567" s="46"/>
      <c r="AI567" s="46"/>
      <c r="AJ567" s="46"/>
      <c r="AK567" s="46"/>
      <c r="AL567" s="46"/>
      <c r="AM567" s="46"/>
      <c r="AN567" s="46"/>
      <c r="AO567" s="46"/>
      <c r="AP567" s="46"/>
      <c r="AQ567" s="46"/>
      <c r="AR567" s="46"/>
      <c r="AS567" s="46"/>
      <c r="AT567" s="46"/>
      <c r="AU567" s="46"/>
      <c r="AV567" s="46"/>
      <c r="AW567" s="46"/>
      <c r="AX567" s="46"/>
      <c r="AY567" s="46"/>
      <c r="AZ567" s="46"/>
      <c r="BA567" s="46"/>
      <c r="BB567" s="46"/>
      <c r="BC567" s="46"/>
      <c r="BD567" s="46"/>
      <c r="BE567" s="46"/>
      <c r="BF567" s="46"/>
      <c r="BG567" s="46"/>
      <c r="BH567" s="46"/>
    </row>
    <row r="568" spans="1:60" ht="14.25" customHeight="1" x14ac:dyDescent="0.3">
      <c r="A568" s="46"/>
      <c r="B568" s="37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  <c r="AB568" s="46"/>
      <c r="AC568" s="46"/>
      <c r="AD568" s="46"/>
      <c r="AE568" s="46"/>
      <c r="AF568" s="46"/>
      <c r="AG568" s="46"/>
      <c r="AH568" s="46"/>
      <c r="AI568" s="46"/>
      <c r="AJ568" s="46"/>
      <c r="AK568" s="46"/>
      <c r="AL568" s="46"/>
      <c r="AM568" s="46"/>
      <c r="AN568" s="46"/>
      <c r="AO568" s="46"/>
      <c r="AP568" s="46"/>
      <c r="AQ568" s="46"/>
      <c r="AR568" s="46"/>
      <c r="AS568" s="46"/>
      <c r="AT568" s="46"/>
      <c r="AU568" s="46"/>
      <c r="AV568" s="46"/>
      <c r="AW568" s="46"/>
      <c r="AX568" s="46"/>
      <c r="AY568" s="46"/>
      <c r="AZ568" s="46"/>
      <c r="BA568" s="46"/>
      <c r="BB568" s="46"/>
      <c r="BC568" s="46"/>
      <c r="BD568" s="46"/>
      <c r="BE568" s="46"/>
      <c r="BF568" s="46"/>
      <c r="BG568" s="46"/>
      <c r="BH568" s="46"/>
    </row>
    <row r="569" spans="1:60" ht="14.25" customHeight="1" x14ac:dyDescent="0.3">
      <c r="A569" s="46"/>
      <c r="B569" s="37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  <c r="AB569" s="46"/>
      <c r="AC569" s="46"/>
      <c r="AD569" s="46"/>
      <c r="AE569" s="46"/>
      <c r="AF569" s="46"/>
      <c r="AG569" s="46"/>
      <c r="AH569" s="46"/>
      <c r="AI569" s="46"/>
      <c r="AJ569" s="46"/>
      <c r="AK569" s="46"/>
      <c r="AL569" s="46"/>
      <c r="AM569" s="46"/>
      <c r="AN569" s="46"/>
      <c r="AO569" s="46"/>
      <c r="AP569" s="46"/>
      <c r="AQ569" s="46"/>
      <c r="AR569" s="46"/>
      <c r="AS569" s="46"/>
      <c r="AT569" s="46"/>
      <c r="AU569" s="46"/>
      <c r="AV569" s="46"/>
      <c r="AW569" s="46"/>
      <c r="AX569" s="46"/>
      <c r="AY569" s="46"/>
      <c r="AZ569" s="46"/>
      <c r="BA569" s="46"/>
      <c r="BB569" s="46"/>
      <c r="BC569" s="46"/>
      <c r="BD569" s="46"/>
      <c r="BE569" s="46"/>
      <c r="BF569" s="46"/>
      <c r="BG569" s="46"/>
      <c r="BH569" s="46"/>
    </row>
    <row r="570" spans="1:60" ht="14.25" customHeight="1" x14ac:dyDescent="0.3">
      <c r="A570" s="46"/>
      <c r="B570" s="37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  <c r="AC570" s="46"/>
      <c r="AD570" s="46"/>
      <c r="AE570" s="46"/>
      <c r="AF570" s="46"/>
      <c r="AG570" s="46"/>
      <c r="AH570" s="46"/>
      <c r="AI570" s="46"/>
      <c r="AJ570" s="46"/>
      <c r="AK570" s="46"/>
      <c r="AL570" s="46"/>
      <c r="AM570" s="46"/>
      <c r="AN570" s="46"/>
      <c r="AO570" s="46"/>
      <c r="AP570" s="46"/>
      <c r="AQ570" s="46"/>
      <c r="AR570" s="46"/>
      <c r="AS570" s="46"/>
      <c r="AT570" s="46"/>
      <c r="AU570" s="46"/>
      <c r="AV570" s="46"/>
      <c r="AW570" s="46"/>
      <c r="AX570" s="46"/>
      <c r="AY570" s="46"/>
      <c r="AZ570" s="46"/>
      <c r="BA570" s="46"/>
      <c r="BB570" s="46"/>
      <c r="BC570" s="46"/>
      <c r="BD570" s="46"/>
      <c r="BE570" s="46"/>
      <c r="BF570" s="46"/>
      <c r="BG570" s="46"/>
      <c r="BH570" s="46"/>
    </row>
    <row r="571" spans="1:60" ht="14.25" customHeight="1" x14ac:dyDescent="0.3">
      <c r="A571" s="46"/>
      <c r="B571" s="37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  <c r="AC571" s="46"/>
      <c r="AD571" s="46"/>
      <c r="AE571" s="46"/>
      <c r="AF571" s="46"/>
      <c r="AG571" s="46"/>
      <c r="AH571" s="46"/>
      <c r="AI571" s="46"/>
      <c r="AJ571" s="46"/>
      <c r="AK571" s="46"/>
      <c r="AL571" s="46"/>
      <c r="AM571" s="46"/>
      <c r="AN571" s="46"/>
      <c r="AO571" s="46"/>
      <c r="AP571" s="46"/>
      <c r="AQ571" s="46"/>
      <c r="AR571" s="46"/>
      <c r="AS571" s="46"/>
      <c r="AT571" s="46"/>
      <c r="AU571" s="46"/>
      <c r="AV571" s="46"/>
      <c r="AW571" s="46"/>
      <c r="AX571" s="46"/>
      <c r="AY571" s="46"/>
      <c r="AZ571" s="46"/>
      <c r="BA571" s="46"/>
      <c r="BB571" s="46"/>
      <c r="BC571" s="46"/>
      <c r="BD571" s="46"/>
      <c r="BE571" s="46"/>
      <c r="BF571" s="46"/>
      <c r="BG571" s="46"/>
      <c r="BH571" s="46"/>
    </row>
    <row r="572" spans="1:60" ht="14.25" customHeight="1" x14ac:dyDescent="0.3">
      <c r="A572" s="46"/>
      <c r="B572" s="37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  <c r="AC572" s="46"/>
      <c r="AD572" s="46"/>
      <c r="AE572" s="46"/>
      <c r="AF572" s="46"/>
      <c r="AG572" s="46"/>
      <c r="AH572" s="46"/>
      <c r="AI572" s="46"/>
      <c r="AJ572" s="46"/>
      <c r="AK572" s="46"/>
      <c r="AL572" s="46"/>
      <c r="AM572" s="46"/>
      <c r="AN572" s="46"/>
      <c r="AO572" s="46"/>
      <c r="AP572" s="46"/>
      <c r="AQ572" s="46"/>
      <c r="AR572" s="46"/>
      <c r="AS572" s="46"/>
      <c r="AT572" s="46"/>
      <c r="AU572" s="46"/>
      <c r="AV572" s="46"/>
      <c r="AW572" s="46"/>
      <c r="AX572" s="46"/>
      <c r="AY572" s="46"/>
      <c r="AZ572" s="46"/>
      <c r="BA572" s="46"/>
      <c r="BB572" s="46"/>
      <c r="BC572" s="46"/>
      <c r="BD572" s="46"/>
      <c r="BE572" s="46"/>
      <c r="BF572" s="46"/>
      <c r="BG572" s="46"/>
      <c r="BH572" s="46"/>
    </row>
    <row r="573" spans="1:60" ht="14.25" customHeight="1" x14ac:dyDescent="0.3">
      <c r="A573" s="46"/>
      <c r="B573" s="37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  <c r="AC573" s="46"/>
      <c r="AD573" s="46"/>
      <c r="AE573" s="46"/>
      <c r="AF573" s="46"/>
      <c r="AG573" s="46"/>
      <c r="AH573" s="46"/>
      <c r="AI573" s="46"/>
      <c r="AJ573" s="46"/>
      <c r="AK573" s="46"/>
      <c r="AL573" s="46"/>
      <c r="AM573" s="46"/>
      <c r="AN573" s="46"/>
      <c r="AO573" s="46"/>
      <c r="AP573" s="46"/>
      <c r="AQ573" s="46"/>
      <c r="AR573" s="46"/>
      <c r="AS573" s="46"/>
      <c r="AT573" s="46"/>
      <c r="AU573" s="46"/>
      <c r="AV573" s="46"/>
      <c r="AW573" s="46"/>
      <c r="AX573" s="46"/>
      <c r="AY573" s="46"/>
      <c r="AZ573" s="46"/>
      <c r="BA573" s="46"/>
      <c r="BB573" s="46"/>
      <c r="BC573" s="46"/>
      <c r="BD573" s="46"/>
      <c r="BE573" s="46"/>
      <c r="BF573" s="46"/>
      <c r="BG573" s="46"/>
      <c r="BH573" s="46"/>
    </row>
    <row r="574" spans="1:60" ht="14.25" customHeight="1" x14ac:dyDescent="0.3">
      <c r="A574" s="46"/>
      <c r="B574" s="37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  <c r="AC574" s="46"/>
      <c r="AD574" s="46"/>
      <c r="AE574" s="46"/>
      <c r="AF574" s="46"/>
      <c r="AG574" s="46"/>
      <c r="AH574" s="46"/>
      <c r="AI574" s="46"/>
      <c r="AJ574" s="46"/>
      <c r="AK574" s="46"/>
      <c r="AL574" s="46"/>
      <c r="AM574" s="46"/>
      <c r="AN574" s="46"/>
      <c r="AO574" s="46"/>
      <c r="AP574" s="46"/>
      <c r="AQ574" s="46"/>
      <c r="AR574" s="46"/>
      <c r="AS574" s="46"/>
      <c r="AT574" s="46"/>
      <c r="AU574" s="46"/>
      <c r="AV574" s="46"/>
      <c r="AW574" s="46"/>
      <c r="AX574" s="46"/>
      <c r="AY574" s="46"/>
      <c r="AZ574" s="46"/>
      <c r="BA574" s="46"/>
      <c r="BB574" s="46"/>
      <c r="BC574" s="46"/>
      <c r="BD574" s="46"/>
      <c r="BE574" s="46"/>
      <c r="BF574" s="46"/>
      <c r="BG574" s="46"/>
      <c r="BH574" s="46"/>
    </row>
    <row r="575" spans="1:60" ht="14.25" customHeight="1" x14ac:dyDescent="0.3">
      <c r="A575" s="46"/>
      <c r="B575" s="37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  <c r="AC575" s="46"/>
      <c r="AD575" s="46"/>
      <c r="AE575" s="46"/>
      <c r="AF575" s="46"/>
      <c r="AG575" s="46"/>
      <c r="AH575" s="46"/>
      <c r="AI575" s="46"/>
      <c r="AJ575" s="46"/>
      <c r="AK575" s="46"/>
      <c r="AL575" s="46"/>
      <c r="AM575" s="46"/>
      <c r="AN575" s="46"/>
      <c r="AO575" s="46"/>
      <c r="AP575" s="46"/>
      <c r="AQ575" s="46"/>
      <c r="AR575" s="46"/>
      <c r="AS575" s="46"/>
      <c r="AT575" s="46"/>
      <c r="AU575" s="46"/>
      <c r="AV575" s="46"/>
      <c r="AW575" s="46"/>
      <c r="AX575" s="46"/>
      <c r="AY575" s="46"/>
      <c r="AZ575" s="46"/>
      <c r="BA575" s="46"/>
      <c r="BB575" s="46"/>
      <c r="BC575" s="46"/>
      <c r="BD575" s="46"/>
      <c r="BE575" s="46"/>
      <c r="BF575" s="46"/>
      <c r="BG575" s="46"/>
      <c r="BH575" s="46"/>
    </row>
    <row r="576" spans="1:60" ht="14.25" customHeight="1" x14ac:dyDescent="0.3">
      <c r="A576" s="46"/>
      <c r="B576" s="37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  <c r="AC576" s="46"/>
      <c r="AD576" s="46"/>
      <c r="AE576" s="46"/>
      <c r="AF576" s="46"/>
      <c r="AG576" s="46"/>
      <c r="AH576" s="46"/>
      <c r="AI576" s="46"/>
      <c r="AJ576" s="46"/>
      <c r="AK576" s="46"/>
      <c r="AL576" s="46"/>
      <c r="AM576" s="46"/>
      <c r="AN576" s="46"/>
      <c r="AO576" s="46"/>
      <c r="AP576" s="46"/>
      <c r="AQ576" s="46"/>
      <c r="AR576" s="46"/>
      <c r="AS576" s="46"/>
      <c r="AT576" s="46"/>
      <c r="AU576" s="46"/>
      <c r="AV576" s="46"/>
      <c r="AW576" s="46"/>
      <c r="AX576" s="46"/>
      <c r="AY576" s="46"/>
      <c r="AZ576" s="46"/>
      <c r="BA576" s="46"/>
      <c r="BB576" s="46"/>
      <c r="BC576" s="46"/>
      <c r="BD576" s="46"/>
      <c r="BE576" s="46"/>
      <c r="BF576" s="46"/>
      <c r="BG576" s="46"/>
      <c r="BH576" s="46"/>
    </row>
    <row r="577" spans="1:60" ht="14.25" customHeight="1" x14ac:dyDescent="0.3">
      <c r="A577" s="46"/>
      <c r="B577" s="37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  <c r="AC577" s="46"/>
      <c r="AD577" s="46"/>
      <c r="AE577" s="46"/>
      <c r="AF577" s="46"/>
      <c r="AG577" s="46"/>
      <c r="AH577" s="46"/>
      <c r="AI577" s="46"/>
      <c r="AJ577" s="46"/>
      <c r="AK577" s="46"/>
      <c r="AL577" s="46"/>
      <c r="AM577" s="46"/>
      <c r="AN577" s="46"/>
      <c r="AO577" s="46"/>
      <c r="AP577" s="46"/>
      <c r="AQ577" s="46"/>
      <c r="AR577" s="46"/>
      <c r="AS577" s="46"/>
      <c r="AT577" s="46"/>
      <c r="AU577" s="46"/>
      <c r="AV577" s="46"/>
      <c r="AW577" s="46"/>
      <c r="AX577" s="46"/>
      <c r="AY577" s="46"/>
      <c r="AZ577" s="46"/>
      <c r="BA577" s="46"/>
      <c r="BB577" s="46"/>
      <c r="BC577" s="46"/>
      <c r="BD577" s="46"/>
      <c r="BE577" s="46"/>
      <c r="BF577" s="46"/>
      <c r="BG577" s="46"/>
      <c r="BH577" s="46"/>
    </row>
    <row r="578" spans="1:60" ht="14.25" customHeight="1" x14ac:dyDescent="0.3">
      <c r="A578" s="46"/>
      <c r="B578" s="37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  <c r="AC578" s="46"/>
      <c r="AD578" s="46"/>
      <c r="AE578" s="46"/>
      <c r="AF578" s="46"/>
      <c r="AG578" s="46"/>
      <c r="AH578" s="46"/>
      <c r="AI578" s="46"/>
      <c r="AJ578" s="46"/>
      <c r="AK578" s="46"/>
      <c r="AL578" s="46"/>
      <c r="AM578" s="46"/>
      <c r="AN578" s="46"/>
      <c r="AO578" s="46"/>
      <c r="AP578" s="46"/>
      <c r="AQ578" s="46"/>
      <c r="AR578" s="46"/>
      <c r="AS578" s="46"/>
      <c r="AT578" s="46"/>
      <c r="AU578" s="46"/>
      <c r="AV578" s="46"/>
      <c r="AW578" s="46"/>
      <c r="AX578" s="46"/>
      <c r="AY578" s="46"/>
      <c r="AZ578" s="46"/>
      <c r="BA578" s="46"/>
      <c r="BB578" s="46"/>
      <c r="BC578" s="46"/>
      <c r="BD578" s="46"/>
      <c r="BE578" s="46"/>
      <c r="BF578" s="46"/>
      <c r="BG578" s="46"/>
      <c r="BH578" s="46"/>
    </row>
    <row r="579" spans="1:60" ht="14.25" customHeight="1" x14ac:dyDescent="0.3">
      <c r="A579" s="46"/>
      <c r="B579" s="37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  <c r="AC579" s="46"/>
      <c r="AD579" s="46"/>
      <c r="AE579" s="46"/>
      <c r="AF579" s="46"/>
      <c r="AG579" s="46"/>
      <c r="AH579" s="46"/>
      <c r="AI579" s="46"/>
      <c r="AJ579" s="46"/>
      <c r="AK579" s="46"/>
      <c r="AL579" s="46"/>
      <c r="AM579" s="46"/>
      <c r="AN579" s="46"/>
      <c r="AO579" s="46"/>
      <c r="AP579" s="46"/>
      <c r="AQ579" s="46"/>
      <c r="AR579" s="46"/>
      <c r="AS579" s="46"/>
      <c r="AT579" s="46"/>
      <c r="AU579" s="46"/>
      <c r="AV579" s="46"/>
      <c r="AW579" s="46"/>
      <c r="AX579" s="46"/>
      <c r="AY579" s="46"/>
      <c r="AZ579" s="46"/>
      <c r="BA579" s="46"/>
      <c r="BB579" s="46"/>
      <c r="BC579" s="46"/>
      <c r="BD579" s="46"/>
      <c r="BE579" s="46"/>
      <c r="BF579" s="46"/>
      <c r="BG579" s="46"/>
      <c r="BH579" s="46"/>
    </row>
    <row r="580" spans="1:60" ht="14.25" customHeight="1" x14ac:dyDescent="0.3">
      <c r="A580" s="46"/>
      <c r="B580" s="37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  <c r="AB580" s="46"/>
      <c r="AC580" s="46"/>
      <c r="AD580" s="46"/>
      <c r="AE580" s="46"/>
      <c r="AF580" s="46"/>
      <c r="AG580" s="46"/>
      <c r="AH580" s="46"/>
      <c r="AI580" s="46"/>
      <c r="AJ580" s="46"/>
      <c r="AK580" s="46"/>
      <c r="AL580" s="46"/>
      <c r="AM580" s="46"/>
      <c r="AN580" s="46"/>
      <c r="AO580" s="46"/>
      <c r="AP580" s="46"/>
      <c r="AQ580" s="46"/>
      <c r="AR580" s="46"/>
      <c r="AS580" s="46"/>
      <c r="AT580" s="46"/>
      <c r="AU580" s="46"/>
      <c r="AV580" s="46"/>
      <c r="AW580" s="46"/>
      <c r="AX580" s="46"/>
      <c r="AY580" s="46"/>
      <c r="AZ580" s="46"/>
      <c r="BA580" s="46"/>
      <c r="BB580" s="46"/>
      <c r="BC580" s="46"/>
      <c r="BD580" s="46"/>
      <c r="BE580" s="46"/>
      <c r="BF580" s="46"/>
      <c r="BG580" s="46"/>
      <c r="BH580" s="46"/>
    </row>
    <row r="581" spans="1:60" ht="14.25" customHeight="1" x14ac:dyDescent="0.3">
      <c r="A581" s="46"/>
      <c r="B581" s="37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  <c r="AB581" s="46"/>
      <c r="AC581" s="46"/>
      <c r="AD581" s="46"/>
      <c r="AE581" s="46"/>
      <c r="AF581" s="46"/>
      <c r="AG581" s="46"/>
      <c r="AH581" s="46"/>
      <c r="AI581" s="46"/>
      <c r="AJ581" s="46"/>
      <c r="AK581" s="46"/>
      <c r="AL581" s="46"/>
      <c r="AM581" s="46"/>
      <c r="AN581" s="46"/>
      <c r="AO581" s="46"/>
      <c r="AP581" s="46"/>
      <c r="AQ581" s="46"/>
      <c r="AR581" s="46"/>
      <c r="AS581" s="46"/>
      <c r="AT581" s="46"/>
      <c r="AU581" s="46"/>
      <c r="AV581" s="46"/>
      <c r="AW581" s="46"/>
      <c r="AX581" s="46"/>
      <c r="AY581" s="46"/>
      <c r="AZ581" s="46"/>
      <c r="BA581" s="46"/>
      <c r="BB581" s="46"/>
      <c r="BC581" s="46"/>
      <c r="BD581" s="46"/>
      <c r="BE581" s="46"/>
      <c r="BF581" s="46"/>
      <c r="BG581" s="46"/>
      <c r="BH581" s="46"/>
    </row>
    <row r="582" spans="1:60" ht="14.25" customHeight="1" x14ac:dyDescent="0.3">
      <c r="A582" s="46"/>
      <c r="B582" s="37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  <c r="AB582" s="46"/>
      <c r="AC582" s="46"/>
      <c r="AD582" s="46"/>
      <c r="AE582" s="46"/>
      <c r="AF582" s="46"/>
      <c r="AG582" s="46"/>
      <c r="AH582" s="46"/>
      <c r="AI582" s="46"/>
      <c r="AJ582" s="46"/>
      <c r="AK582" s="46"/>
      <c r="AL582" s="46"/>
      <c r="AM582" s="46"/>
      <c r="AN582" s="46"/>
      <c r="AO582" s="46"/>
      <c r="AP582" s="46"/>
      <c r="AQ582" s="46"/>
      <c r="AR582" s="46"/>
      <c r="AS582" s="46"/>
      <c r="AT582" s="46"/>
      <c r="AU582" s="46"/>
      <c r="AV582" s="46"/>
      <c r="AW582" s="46"/>
      <c r="AX582" s="46"/>
      <c r="AY582" s="46"/>
      <c r="AZ582" s="46"/>
      <c r="BA582" s="46"/>
      <c r="BB582" s="46"/>
      <c r="BC582" s="46"/>
      <c r="BD582" s="46"/>
      <c r="BE582" s="46"/>
      <c r="BF582" s="46"/>
      <c r="BG582" s="46"/>
      <c r="BH582" s="46"/>
    </row>
    <row r="583" spans="1:60" ht="14.25" customHeight="1" x14ac:dyDescent="0.3">
      <c r="A583" s="46"/>
      <c r="B583" s="37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  <c r="AB583" s="46"/>
      <c r="AC583" s="46"/>
      <c r="AD583" s="46"/>
      <c r="AE583" s="46"/>
      <c r="AF583" s="46"/>
      <c r="AG583" s="46"/>
      <c r="AH583" s="46"/>
      <c r="AI583" s="46"/>
      <c r="AJ583" s="46"/>
      <c r="AK583" s="46"/>
      <c r="AL583" s="46"/>
      <c r="AM583" s="46"/>
      <c r="AN583" s="46"/>
      <c r="AO583" s="46"/>
      <c r="AP583" s="46"/>
      <c r="AQ583" s="46"/>
      <c r="AR583" s="46"/>
      <c r="AS583" s="46"/>
      <c r="AT583" s="46"/>
      <c r="AU583" s="46"/>
      <c r="AV583" s="46"/>
      <c r="AW583" s="46"/>
      <c r="AX583" s="46"/>
      <c r="AY583" s="46"/>
      <c r="AZ583" s="46"/>
      <c r="BA583" s="46"/>
      <c r="BB583" s="46"/>
      <c r="BC583" s="46"/>
      <c r="BD583" s="46"/>
      <c r="BE583" s="46"/>
      <c r="BF583" s="46"/>
      <c r="BG583" s="46"/>
      <c r="BH583" s="46"/>
    </row>
    <row r="584" spans="1:60" ht="14.25" customHeight="1" x14ac:dyDescent="0.3">
      <c r="A584" s="46"/>
      <c r="B584" s="37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  <c r="AB584" s="46"/>
      <c r="AC584" s="46"/>
      <c r="AD584" s="46"/>
      <c r="AE584" s="46"/>
      <c r="AF584" s="46"/>
      <c r="AG584" s="46"/>
      <c r="AH584" s="46"/>
      <c r="AI584" s="46"/>
      <c r="AJ584" s="46"/>
      <c r="AK584" s="46"/>
      <c r="AL584" s="46"/>
      <c r="AM584" s="46"/>
      <c r="AN584" s="46"/>
      <c r="AO584" s="46"/>
      <c r="AP584" s="46"/>
      <c r="AQ584" s="46"/>
      <c r="AR584" s="46"/>
      <c r="AS584" s="46"/>
      <c r="AT584" s="46"/>
      <c r="AU584" s="46"/>
      <c r="AV584" s="46"/>
      <c r="AW584" s="46"/>
      <c r="AX584" s="46"/>
      <c r="AY584" s="46"/>
      <c r="AZ584" s="46"/>
      <c r="BA584" s="46"/>
      <c r="BB584" s="46"/>
      <c r="BC584" s="46"/>
      <c r="BD584" s="46"/>
      <c r="BE584" s="46"/>
      <c r="BF584" s="46"/>
      <c r="BG584" s="46"/>
      <c r="BH584" s="46"/>
    </row>
    <row r="585" spans="1:60" ht="14.25" customHeight="1" x14ac:dyDescent="0.3">
      <c r="A585" s="46"/>
      <c r="B585" s="37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  <c r="AB585" s="46"/>
      <c r="AC585" s="46"/>
      <c r="AD585" s="46"/>
      <c r="AE585" s="46"/>
      <c r="AF585" s="46"/>
      <c r="AG585" s="46"/>
      <c r="AH585" s="46"/>
      <c r="AI585" s="46"/>
      <c r="AJ585" s="46"/>
      <c r="AK585" s="46"/>
      <c r="AL585" s="46"/>
      <c r="AM585" s="46"/>
      <c r="AN585" s="46"/>
      <c r="AO585" s="46"/>
      <c r="AP585" s="46"/>
      <c r="AQ585" s="46"/>
      <c r="AR585" s="46"/>
      <c r="AS585" s="46"/>
      <c r="AT585" s="46"/>
      <c r="AU585" s="46"/>
      <c r="AV585" s="46"/>
      <c r="AW585" s="46"/>
      <c r="AX585" s="46"/>
      <c r="AY585" s="46"/>
      <c r="AZ585" s="46"/>
      <c r="BA585" s="46"/>
      <c r="BB585" s="46"/>
      <c r="BC585" s="46"/>
      <c r="BD585" s="46"/>
      <c r="BE585" s="46"/>
      <c r="BF585" s="46"/>
      <c r="BG585" s="46"/>
      <c r="BH585" s="46"/>
    </row>
    <row r="586" spans="1:60" ht="14.25" customHeight="1" x14ac:dyDescent="0.3">
      <c r="A586" s="46"/>
      <c r="B586" s="37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  <c r="AB586" s="46"/>
      <c r="AC586" s="46"/>
      <c r="AD586" s="46"/>
      <c r="AE586" s="46"/>
      <c r="AF586" s="46"/>
      <c r="AG586" s="46"/>
      <c r="AH586" s="46"/>
      <c r="AI586" s="46"/>
      <c r="AJ586" s="46"/>
      <c r="AK586" s="46"/>
      <c r="AL586" s="46"/>
      <c r="AM586" s="46"/>
      <c r="AN586" s="46"/>
      <c r="AO586" s="46"/>
      <c r="AP586" s="46"/>
      <c r="AQ586" s="46"/>
      <c r="AR586" s="46"/>
      <c r="AS586" s="46"/>
      <c r="AT586" s="46"/>
      <c r="AU586" s="46"/>
      <c r="AV586" s="46"/>
      <c r="AW586" s="46"/>
      <c r="AX586" s="46"/>
      <c r="AY586" s="46"/>
      <c r="AZ586" s="46"/>
      <c r="BA586" s="46"/>
      <c r="BB586" s="46"/>
      <c r="BC586" s="46"/>
      <c r="BD586" s="46"/>
      <c r="BE586" s="46"/>
      <c r="BF586" s="46"/>
      <c r="BG586" s="46"/>
      <c r="BH586" s="46"/>
    </row>
    <row r="587" spans="1:60" ht="14.25" customHeight="1" x14ac:dyDescent="0.3">
      <c r="A587" s="46"/>
      <c r="B587" s="37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  <c r="AB587" s="46"/>
      <c r="AC587" s="46"/>
      <c r="AD587" s="46"/>
      <c r="AE587" s="46"/>
      <c r="AF587" s="46"/>
      <c r="AG587" s="46"/>
      <c r="AH587" s="46"/>
      <c r="AI587" s="46"/>
      <c r="AJ587" s="46"/>
      <c r="AK587" s="46"/>
      <c r="AL587" s="46"/>
      <c r="AM587" s="46"/>
      <c r="AN587" s="46"/>
      <c r="AO587" s="46"/>
      <c r="AP587" s="46"/>
      <c r="AQ587" s="46"/>
      <c r="AR587" s="46"/>
      <c r="AS587" s="46"/>
      <c r="AT587" s="46"/>
      <c r="AU587" s="46"/>
      <c r="AV587" s="46"/>
      <c r="AW587" s="46"/>
      <c r="AX587" s="46"/>
      <c r="AY587" s="46"/>
      <c r="AZ587" s="46"/>
      <c r="BA587" s="46"/>
      <c r="BB587" s="46"/>
      <c r="BC587" s="46"/>
      <c r="BD587" s="46"/>
      <c r="BE587" s="46"/>
      <c r="BF587" s="46"/>
      <c r="BG587" s="46"/>
      <c r="BH587" s="46"/>
    </row>
    <row r="588" spans="1:60" ht="14.25" customHeight="1" x14ac:dyDescent="0.3">
      <c r="A588" s="46"/>
      <c r="B588" s="37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  <c r="AB588" s="46"/>
      <c r="AC588" s="46"/>
      <c r="AD588" s="46"/>
      <c r="AE588" s="46"/>
      <c r="AF588" s="46"/>
      <c r="AG588" s="46"/>
      <c r="AH588" s="46"/>
      <c r="AI588" s="46"/>
      <c r="AJ588" s="46"/>
      <c r="AK588" s="46"/>
      <c r="AL588" s="46"/>
      <c r="AM588" s="46"/>
      <c r="AN588" s="46"/>
      <c r="AO588" s="46"/>
      <c r="AP588" s="46"/>
      <c r="AQ588" s="46"/>
      <c r="AR588" s="46"/>
      <c r="AS588" s="46"/>
      <c r="AT588" s="46"/>
      <c r="AU588" s="46"/>
      <c r="AV588" s="46"/>
      <c r="AW588" s="46"/>
      <c r="AX588" s="46"/>
      <c r="AY588" s="46"/>
      <c r="AZ588" s="46"/>
      <c r="BA588" s="46"/>
      <c r="BB588" s="46"/>
      <c r="BC588" s="46"/>
      <c r="BD588" s="46"/>
      <c r="BE588" s="46"/>
      <c r="BF588" s="46"/>
      <c r="BG588" s="46"/>
      <c r="BH588" s="46"/>
    </row>
    <row r="589" spans="1:60" ht="14.25" customHeight="1" x14ac:dyDescent="0.3">
      <c r="A589" s="46"/>
      <c r="B589" s="37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  <c r="AB589" s="46"/>
      <c r="AC589" s="46"/>
      <c r="AD589" s="46"/>
      <c r="AE589" s="46"/>
      <c r="AF589" s="46"/>
      <c r="AG589" s="46"/>
      <c r="AH589" s="46"/>
      <c r="AI589" s="46"/>
      <c r="AJ589" s="46"/>
      <c r="AK589" s="46"/>
      <c r="AL589" s="46"/>
      <c r="AM589" s="46"/>
      <c r="AN589" s="46"/>
      <c r="AO589" s="46"/>
      <c r="AP589" s="46"/>
      <c r="AQ589" s="46"/>
      <c r="AR589" s="46"/>
      <c r="AS589" s="46"/>
      <c r="AT589" s="46"/>
      <c r="AU589" s="46"/>
      <c r="AV589" s="46"/>
      <c r="AW589" s="46"/>
      <c r="AX589" s="46"/>
      <c r="AY589" s="46"/>
      <c r="AZ589" s="46"/>
      <c r="BA589" s="46"/>
      <c r="BB589" s="46"/>
      <c r="BC589" s="46"/>
      <c r="BD589" s="46"/>
      <c r="BE589" s="46"/>
      <c r="BF589" s="46"/>
      <c r="BG589" s="46"/>
      <c r="BH589" s="46"/>
    </row>
    <row r="590" spans="1:60" ht="14.25" customHeight="1" x14ac:dyDescent="0.3">
      <c r="A590" s="46"/>
      <c r="B590" s="37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  <c r="AB590" s="46"/>
      <c r="AC590" s="46"/>
      <c r="AD590" s="46"/>
      <c r="AE590" s="46"/>
      <c r="AF590" s="46"/>
      <c r="AG590" s="46"/>
      <c r="AH590" s="46"/>
      <c r="AI590" s="46"/>
      <c r="AJ590" s="46"/>
      <c r="AK590" s="46"/>
      <c r="AL590" s="46"/>
      <c r="AM590" s="46"/>
      <c r="AN590" s="46"/>
      <c r="AO590" s="46"/>
      <c r="AP590" s="46"/>
      <c r="AQ590" s="46"/>
      <c r="AR590" s="46"/>
      <c r="AS590" s="46"/>
      <c r="AT590" s="46"/>
      <c r="AU590" s="46"/>
      <c r="AV590" s="46"/>
      <c r="AW590" s="46"/>
      <c r="AX590" s="46"/>
      <c r="AY590" s="46"/>
      <c r="AZ590" s="46"/>
      <c r="BA590" s="46"/>
      <c r="BB590" s="46"/>
      <c r="BC590" s="46"/>
      <c r="BD590" s="46"/>
      <c r="BE590" s="46"/>
      <c r="BF590" s="46"/>
      <c r="BG590" s="46"/>
      <c r="BH590" s="46"/>
    </row>
    <row r="591" spans="1:60" ht="14.25" customHeight="1" x14ac:dyDescent="0.3">
      <c r="A591" s="46"/>
      <c r="B591" s="37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  <c r="AB591" s="46"/>
      <c r="AC591" s="46"/>
      <c r="AD591" s="46"/>
      <c r="AE591" s="46"/>
      <c r="AF591" s="46"/>
      <c r="AG591" s="46"/>
      <c r="AH591" s="46"/>
      <c r="AI591" s="46"/>
      <c r="AJ591" s="46"/>
      <c r="AK591" s="46"/>
      <c r="AL591" s="46"/>
      <c r="AM591" s="46"/>
      <c r="AN591" s="46"/>
      <c r="AO591" s="46"/>
      <c r="AP591" s="46"/>
      <c r="AQ591" s="46"/>
      <c r="AR591" s="46"/>
      <c r="AS591" s="46"/>
      <c r="AT591" s="46"/>
      <c r="AU591" s="46"/>
      <c r="AV591" s="46"/>
      <c r="AW591" s="46"/>
      <c r="AX591" s="46"/>
      <c r="AY591" s="46"/>
      <c r="AZ591" s="46"/>
      <c r="BA591" s="46"/>
      <c r="BB591" s="46"/>
      <c r="BC591" s="46"/>
      <c r="BD591" s="46"/>
      <c r="BE591" s="46"/>
      <c r="BF591" s="46"/>
      <c r="BG591" s="46"/>
      <c r="BH591" s="46"/>
    </row>
    <row r="592" spans="1:60" ht="14.25" customHeight="1" x14ac:dyDescent="0.3">
      <c r="A592" s="46"/>
      <c r="B592" s="37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  <c r="AB592" s="46"/>
      <c r="AC592" s="46"/>
      <c r="AD592" s="46"/>
      <c r="AE592" s="46"/>
      <c r="AF592" s="46"/>
      <c r="AG592" s="46"/>
      <c r="AH592" s="46"/>
      <c r="AI592" s="46"/>
      <c r="AJ592" s="46"/>
      <c r="AK592" s="46"/>
      <c r="AL592" s="46"/>
      <c r="AM592" s="46"/>
      <c r="AN592" s="46"/>
      <c r="AO592" s="46"/>
      <c r="AP592" s="46"/>
      <c r="AQ592" s="46"/>
      <c r="AR592" s="46"/>
      <c r="AS592" s="46"/>
      <c r="AT592" s="46"/>
      <c r="AU592" s="46"/>
      <c r="AV592" s="46"/>
      <c r="AW592" s="46"/>
      <c r="AX592" s="46"/>
      <c r="AY592" s="46"/>
      <c r="AZ592" s="46"/>
      <c r="BA592" s="46"/>
      <c r="BB592" s="46"/>
      <c r="BC592" s="46"/>
      <c r="BD592" s="46"/>
      <c r="BE592" s="46"/>
      <c r="BF592" s="46"/>
      <c r="BG592" s="46"/>
      <c r="BH592" s="46"/>
    </row>
    <row r="593" spans="1:60" ht="14.25" customHeight="1" x14ac:dyDescent="0.3">
      <c r="A593" s="46"/>
      <c r="B593" s="37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  <c r="AB593" s="46"/>
      <c r="AC593" s="46"/>
      <c r="AD593" s="46"/>
      <c r="AE593" s="46"/>
      <c r="AF593" s="46"/>
      <c r="AG593" s="46"/>
      <c r="AH593" s="46"/>
      <c r="AI593" s="46"/>
      <c r="AJ593" s="46"/>
      <c r="AK593" s="46"/>
      <c r="AL593" s="46"/>
      <c r="AM593" s="46"/>
      <c r="AN593" s="46"/>
      <c r="AO593" s="46"/>
      <c r="AP593" s="46"/>
      <c r="AQ593" s="46"/>
      <c r="AR593" s="46"/>
      <c r="AS593" s="46"/>
      <c r="AT593" s="46"/>
      <c r="AU593" s="46"/>
      <c r="AV593" s="46"/>
      <c r="AW593" s="46"/>
      <c r="AX593" s="46"/>
      <c r="AY593" s="46"/>
      <c r="AZ593" s="46"/>
      <c r="BA593" s="46"/>
      <c r="BB593" s="46"/>
      <c r="BC593" s="46"/>
      <c r="BD593" s="46"/>
      <c r="BE593" s="46"/>
      <c r="BF593" s="46"/>
      <c r="BG593" s="46"/>
      <c r="BH593" s="46"/>
    </row>
    <row r="594" spans="1:60" ht="14.25" customHeight="1" x14ac:dyDescent="0.3">
      <c r="A594" s="46"/>
      <c r="B594" s="37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  <c r="AB594" s="46"/>
      <c r="AC594" s="46"/>
      <c r="AD594" s="46"/>
      <c r="AE594" s="46"/>
      <c r="AF594" s="46"/>
      <c r="AG594" s="46"/>
      <c r="AH594" s="46"/>
      <c r="AI594" s="46"/>
      <c r="AJ594" s="46"/>
      <c r="AK594" s="46"/>
      <c r="AL594" s="46"/>
      <c r="AM594" s="46"/>
      <c r="AN594" s="46"/>
      <c r="AO594" s="46"/>
      <c r="AP594" s="46"/>
      <c r="AQ594" s="46"/>
      <c r="AR594" s="46"/>
      <c r="AS594" s="46"/>
      <c r="AT594" s="46"/>
      <c r="AU594" s="46"/>
      <c r="AV594" s="46"/>
      <c r="AW594" s="46"/>
      <c r="AX594" s="46"/>
      <c r="AY594" s="46"/>
      <c r="AZ594" s="46"/>
      <c r="BA594" s="46"/>
      <c r="BB594" s="46"/>
      <c r="BC594" s="46"/>
      <c r="BD594" s="46"/>
      <c r="BE594" s="46"/>
      <c r="BF594" s="46"/>
      <c r="BG594" s="46"/>
      <c r="BH594" s="46"/>
    </row>
    <row r="595" spans="1:60" ht="14.25" customHeight="1" x14ac:dyDescent="0.3">
      <c r="A595" s="46"/>
      <c r="B595" s="37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  <c r="AC595" s="46"/>
      <c r="AD595" s="46"/>
      <c r="AE595" s="46"/>
      <c r="AF595" s="46"/>
      <c r="AG595" s="46"/>
      <c r="AH595" s="46"/>
      <c r="AI595" s="46"/>
      <c r="AJ595" s="46"/>
      <c r="AK595" s="46"/>
      <c r="AL595" s="46"/>
      <c r="AM595" s="46"/>
      <c r="AN595" s="46"/>
      <c r="AO595" s="46"/>
      <c r="AP595" s="46"/>
      <c r="AQ595" s="46"/>
      <c r="AR595" s="46"/>
      <c r="AS595" s="46"/>
      <c r="AT595" s="46"/>
      <c r="AU595" s="46"/>
      <c r="AV595" s="46"/>
      <c r="AW595" s="46"/>
      <c r="AX595" s="46"/>
      <c r="AY595" s="46"/>
      <c r="AZ595" s="46"/>
      <c r="BA595" s="46"/>
      <c r="BB595" s="46"/>
      <c r="BC595" s="46"/>
      <c r="BD595" s="46"/>
      <c r="BE595" s="46"/>
      <c r="BF595" s="46"/>
      <c r="BG595" s="46"/>
      <c r="BH595" s="46"/>
    </row>
    <row r="596" spans="1:60" ht="14.25" customHeight="1" x14ac:dyDescent="0.3">
      <c r="A596" s="46"/>
      <c r="B596" s="37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  <c r="AB596" s="46"/>
      <c r="AC596" s="46"/>
      <c r="AD596" s="46"/>
      <c r="AE596" s="46"/>
      <c r="AF596" s="46"/>
      <c r="AG596" s="46"/>
      <c r="AH596" s="46"/>
      <c r="AI596" s="46"/>
      <c r="AJ596" s="46"/>
      <c r="AK596" s="46"/>
      <c r="AL596" s="46"/>
      <c r="AM596" s="46"/>
      <c r="AN596" s="46"/>
      <c r="AO596" s="46"/>
      <c r="AP596" s="46"/>
      <c r="AQ596" s="46"/>
      <c r="AR596" s="46"/>
      <c r="AS596" s="46"/>
      <c r="AT596" s="46"/>
      <c r="AU596" s="46"/>
      <c r="AV596" s="46"/>
      <c r="AW596" s="46"/>
      <c r="AX596" s="46"/>
      <c r="AY596" s="46"/>
      <c r="AZ596" s="46"/>
      <c r="BA596" s="46"/>
      <c r="BB596" s="46"/>
      <c r="BC596" s="46"/>
      <c r="BD596" s="46"/>
      <c r="BE596" s="46"/>
      <c r="BF596" s="46"/>
      <c r="BG596" s="46"/>
      <c r="BH596" s="46"/>
    </row>
    <row r="597" spans="1:60" ht="14.25" customHeight="1" x14ac:dyDescent="0.3">
      <c r="A597" s="46"/>
      <c r="B597" s="37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  <c r="AB597" s="46"/>
      <c r="AC597" s="46"/>
      <c r="AD597" s="46"/>
      <c r="AE597" s="46"/>
      <c r="AF597" s="46"/>
      <c r="AG597" s="46"/>
      <c r="AH597" s="46"/>
      <c r="AI597" s="46"/>
      <c r="AJ597" s="46"/>
      <c r="AK597" s="46"/>
      <c r="AL597" s="46"/>
      <c r="AM597" s="46"/>
      <c r="AN597" s="46"/>
      <c r="AO597" s="46"/>
      <c r="AP597" s="46"/>
      <c r="AQ597" s="46"/>
      <c r="AR597" s="46"/>
      <c r="AS597" s="46"/>
      <c r="AT597" s="46"/>
      <c r="AU597" s="46"/>
      <c r="AV597" s="46"/>
      <c r="AW597" s="46"/>
      <c r="AX597" s="46"/>
      <c r="AY597" s="46"/>
      <c r="AZ597" s="46"/>
      <c r="BA597" s="46"/>
      <c r="BB597" s="46"/>
      <c r="BC597" s="46"/>
      <c r="BD597" s="46"/>
      <c r="BE597" s="46"/>
      <c r="BF597" s="46"/>
      <c r="BG597" s="46"/>
      <c r="BH597" s="46"/>
    </row>
    <row r="598" spans="1:60" ht="14.25" customHeight="1" x14ac:dyDescent="0.3">
      <c r="A598" s="46"/>
      <c r="B598" s="37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  <c r="AC598" s="46"/>
      <c r="AD598" s="46"/>
      <c r="AE598" s="46"/>
      <c r="AF598" s="46"/>
      <c r="AG598" s="46"/>
      <c r="AH598" s="46"/>
      <c r="AI598" s="46"/>
      <c r="AJ598" s="46"/>
      <c r="AK598" s="46"/>
      <c r="AL598" s="46"/>
      <c r="AM598" s="46"/>
      <c r="AN598" s="46"/>
      <c r="AO598" s="46"/>
      <c r="AP598" s="46"/>
      <c r="AQ598" s="46"/>
      <c r="AR598" s="46"/>
      <c r="AS598" s="46"/>
      <c r="AT598" s="46"/>
      <c r="AU598" s="46"/>
      <c r="AV598" s="46"/>
      <c r="AW598" s="46"/>
      <c r="AX598" s="46"/>
      <c r="AY598" s="46"/>
      <c r="AZ598" s="46"/>
      <c r="BA598" s="46"/>
      <c r="BB598" s="46"/>
      <c r="BC598" s="46"/>
      <c r="BD598" s="46"/>
      <c r="BE598" s="46"/>
      <c r="BF598" s="46"/>
      <c r="BG598" s="46"/>
      <c r="BH598" s="46"/>
    </row>
    <row r="599" spans="1:60" ht="14.25" customHeight="1" x14ac:dyDescent="0.3">
      <c r="A599" s="46"/>
      <c r="B599" s="37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  <c r="AB599" s="46"/>
      <c r="AC599" s="46"/>
      <c r="AD599" s="46"/>
      <c r="AE599" s="46"/>
      <c r="AF599" s="46"/>
      <c r="AG599" s="46"/>
      <c r="AH599" s="46"/>
      <c r="AI599" s="46"/>
      <c r="AJ599" s="46"/>
      <c r="AK599" s="46"/>
      <c r="AL599" s="46"/>
      <c r="AM599" s="46"/>
      <c r="AN599" s="46"/>
      <c r="AO599" s="46"/>
      <c r="AP599" s="46"/>
      <c r="AQ599" s="46"/>
      <c r="AR599" s="46"/>
      <c r="AS599" s="46"/>
      <c r="AT599" s="46"/>
      <c r="AU599" s="46"/>
      <c r="AV599" s="46"/>
      <c r="AW599" s="46"/>
      <c r="AX599" s="46"/>
      <c r="AY599" s="46"/>
      <c r="AZ599" s="46"/>
      <c r="BA599" s="46"/>
      <c r="BB599" s="46"/>
      <c r="BC599" s="46"/>
      <c r="BD599" s="46"/>
      <c r="BE599" s="46"/>
      <c r="BF599" s="46"/>
      <c r="BG599" s="46"/>
      <c r="BH599" s="46"/>
    </row>
    <row r="600" spans="1:60" ht="14.25" customHeight="1" x14ac:dyDescent="0.3">
      <c r="A600" s="46"/>
      <c r="B600" s="37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  <c r="AB600" s="46"/>
      <c r="AC600" s="46"/>
      <c r="AD600" s="46"/>
      <c r="AE600" s="46"/>
      <c r="AF600" s="46"/>
      <c r="AG600" s="46"/>
      <c r="AH600" s="46"/>
      <c r="AI600" s="46"/>
      <c r="AJ600" s="46"/>
      <c r="AK600" s="46"/>
      <c r="AL600" s="46"/>
      <c r="AM600" s="46"/>
      <c r="AN600" s="46"/>
      <c r="AO600" s="46"/>
      <c r="AP600" s="46"/>
      <c r="AQ600" s="46"/>
      <c r="AR600" s="46"/>
      <c r="AS600" s="46"/>
      <c r="AT600" s="46"/>
      <c r="AU600" s="46"/>
      <c r="AV600" s="46"/>
      <c r="AW600" s="46"/>
      <c r="AX600" s="46"/>
      <c r="AY600" s="46"/>
      <c r="AZ600" s="46"/>
      <c r="BA600" s="46"/>
      <c r="BB600" s="46"/>
      <c r="BC600" s="46"/>
      <c r="BD600" s="46"/>
      <c r="BE600" s="46"/>
      <c r="BF600" s="46"/>
      <c r="BG600" s="46"/>
      <c r="BH600" s="46"/>
    </row>
    <row r="601" spans="1:60" ht="14.25" customHeight="1" x14ac:dyDescent="0.3">
      <c r="A601" s="46"/>
      <c r="B601" s="37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  <c r="AC601" s="46"/>
      <c r="AD601" s="46"/>
      <c r="AE601" s="46"/>
      <c r="AF601" s="46"/>
      <c r="AG601" s="46"/>
      <c r="AH601" s="46"/>
      <c r="AI601" s="46"/>
      <c r="AJ601" s="46"/>
      <c r="AK601" s="46"/>
      <c r="AL601" s="46"/>
      <c r="AM601" s="46"/>
      <c r="AN601" s="46"/>
      <c r="AO601" s="46"/>
      <c r="AP601" s="46"/>
      <c r="AQ601" s="46"/>
      <c r="AR601" s="46"/>
      <c r="AS601" s="46"/>
      <c r="AT601" s="46"/>
      <c r="AU601" s="46"/>
      <c r="AV601" s="46"/>
      <c r="AW601" s="46"/>
      <c r="AX601" s="46"/>
      <c r="AY601" s="46"/>
      <c r="AZ601" s="46"/>
      <c r="BA601" s="46"/>
      <c r="BB601" s="46"/>
      <c r="BC601" s="46"/>
      <c r="BD601" s="46"/>
      <c r="BE601" s="46"/>
      <c r="BF601" s="46"/>
      <c r="BG601" s="46"/>
      <c r="BH601" s="46"/>
    </row>
    <row r="602" spans="1:60" ht="14.25" customHeight="1" x14ac:dyDescent="0.3">
      <c r="A602" s="46"/>
      <c r="B602" s="37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  <c r="AB602" s="46"/>
      <c r="AC602" s="46"/>
      <c r="AD602" s="46"/>
      <c r="AE602" s="46"/>
      <c r="AF602" s="46"/>
      <c r="AG602" s="46"/>
      <c r="AH602" s="46"/>
      <c r="AI602" s="46"/>
      <c r="AJ602" s="46"/>
      <c r="AK602" s="46"/>
      <c r="AL602" s="46"/>
      <c r="AM602" s="46"/>
      <c r="AN602" s="46"/>
      <c r="AO602" s="46"/>
      <c r="AP602" s="46"/>
      <c r="AQ602" s="46"/>
      <c r="AR602" s="46"/>
      <c r="AS602" s="46"/>
      <c r="AT602" s="46"/>
      <c r="AU602" s="46"/>
      <c r="AV602" s="46"/>
      <c r="AW602" s="46"/>
      <c r="AX602" s="46"/>
      <c r="AY602" s="46"/>
      <c r="AZ602" s="46"/>
      <c r="BA602" s="46"/>
      <c r="BB602" s="46"/>
      <c r="BC602" s="46"/>
      <c r="BD602" s="46"/>
      <c r="BE602" s="46"/>
      <c r="BF602" s="46"/>
      <c r="BG602" s="46"/>
      <c r="BH602" s="46"/>
    </row>
    <row r="603" spans="1:60" ht="14.25" customHeight="1" x14ac:dyDescent="0.3">
      <c r="A603" s="46"/>
      <c r="B603" s="37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  <c r="AB603" s="46"/>
      <c r="AC603" s="46"/>
      <c r="AD603" s="46"/>
      <c r="AE603" s="46"/>
      <c r="AF603" s="46"/>
      <c r="AG603" s="46"/>
      <c r="AH603" s="46"/>
      <c r="AI603" s="46"/>
      <c r="AJ603" s="46"/>
      <c r="AK603" s="46"/>
      <c r="AL603" s="46"/>
      <c r="AM603" s="46"/>
      <c r="AN603" s="46"/>
      <c r="AO603" s="46"/>
      <c r="AP603" s="46"/>
      <c r="AQ603" s="46"/>
      <c r="AR603" s="46"/>
      <c r="AS603" s="46"/>
      <c r="AT603" s="46"/>
      <c r="AU603" s="46"/>
      <c r="AV603" s="46"/>
      <c r="AW603" s="46"/>
      <c r="AX603" s="46"/>
      <c r="AY603" s="46"/>
      <c r="AZ603" s="46"/>
      <c r="BA603" s="46"/>
      <c r="BB603" s="46"/>
      <c r="BC603" s="46"/>
      <c r="BD603" s="46"/>
      <c r="BE603" s="46"/>
      <c r="BF603" s="46"/>
      <c r="BG603" s="46"/>
      <c r="BH603" s="46"/>
    </row>
    <row r="604" spans="1:60" ht="14.25" customHeight="1" x14ac:dyDescent="0.3">
      <c r="A604" s="46"/>
      <c r="B604" s="37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  <c r="AB604" s="46"/>
      <c r="AC604" s="46"/>
      <c r="AD604" s="46"/>
      <c r="AE604" s="46"/>
      <c r="AF604" s="46"/>
      <c r="AG604" s="46"/>
      <c r="AH604" s="46"/>
      <c r="AI604" s="46"/>
      <c r="AJ604" s="46"/>
      <c r="AK604" s="46"/>
      <c r="AL604" s="46"/>
      <c r="AM604" s="46"/>
      <c r="AN604" s="46"/>
      <c r="AO604" s="46"/>
      <c r="AP604" s="46"/>
      <c r="AQ604" s="46"/>
      <c r="AR604" s="46"/>
      <c r="AS604" s="46"/>
      <c r="AT604" s="46"/>
      <c r="AU604" s="46"/>
      <c r="AV604" s="46"/>
      <c r="AW604" s="46"/>
      <c r="AX604" s="46"/>
      <c r="AY604" s="46"/>
      <c r="AZ604" s="46"/>
      <c r="BA604" s="46"/>
      <c r="BB604" s="46"/>
      <c r="BC604" s="46"/>
      <c r="BD604" s="46"/>
      <c r="BE604" s="46"/>
      <c r="BF604" s="46"/>
      <c r="BG604" s="46"/>
      <c r="BH604" s="46"/>
    </row>
    <row r="605" spans="1:60" ht="14.25" customHeight="1" x14ac:dyDescent="0.3">
      <c r="A605" s="46"/>
      <c r="B605" s="37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  <c r="AB605" s="46"/>
      <c r="AC605" s="46"/>
      <c r="AD605" s="46"/>
      <c r="AE605" s="46"/>
      <c r="AF605" s="46"/>
      <c r="AG605" s="46"/>
      <c r="AH605" s="46"/>
      <c r="AI605" s="46"/>
      <c r="AJ605" s="46"/>
      <c r="AK605" s="46"/>
      <c r="AL605" s="46"/>
      <c r="AM605" s="46"/>
      <c r="AN605" s="46"/>
      <c r="AO605" s="46"/>
      <c r="AP605" s="46"/>
      <c r="AQ605" s="46"/>
      <c r="AR605" s="46"/>
      <c r="AS605" s="46"/>
      <c r="AT605" s="46"/>
      <c r="AU605" s="46"/>
      <c r="AV605" s="46"/>
      <c r="AW605" s="46"/>
      <c r="AX605" s="46"/>
      <c r="AY605" s="46"/>
      <c r="AZ605" s="46"/>
      <c r="BA605" s="46"/>
      <c r="BB605" s="46"/>
      <c r="BC605" s="46"/>
      <c r="BD605" s="46"/>
      <c r="BE605" s="46"/>
      <c r="BF605" s="46"/>
      <c r="BG605" s="46"/>
      <c r="BH605" s="46"/>
    </row>
    <row r="606" spans="1:60" ht="14.25" customHeight="1" x14ac:dyDescent="0.3">
      <c r="A606" s="46"/>
      <c r="B606" s="37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  <c r="AC606" s="46"/>
      <c r="AD606" s="46"/>
      <c r="AE606" s="46"/>
      <c r="AF606" s="46"/>
      <c r="AG606" s="46"/>
      <c r="AH606" s="46"/>
      <c r="AI606" s="46"/>
      <c r="AJ606" s="46"/>
      <c r="AK606" s="46"/>
      <c r="AL606" s="46"/>
      <c r="AM606" s="46"/>
      <c r="AN606" s="46"/>
      <c r="AO606" s="46"/>
      <c r="AP606" s="46"/>
      <c r="AQ606" s="46"/>
      <c r="AR606" s="46"/>
      <c r="AS606" s="46"/>
      <c r="AT606" s="46"/>
      <c r="AU606" s="46"/>
      <c r="AV606" s="46"/>
      <c r="AW606" s="46"/>
      <c r="AX606" s="46"/>
      <c r="AY606" s="46"/>
      <c r="AZ606" s="46"/>
      <c r="BA606" s="46"/>
      <c r="BB606" s="46"/>
      <c r="BC606" s="46"/>
      <c r="BD606" s="46"/>
      <c r="BE606" s="46"/>
      <c r="BF606" s="46"/>
      <c r="BG606" s="46"/>
      <c r="BH606" s="46"/>
    </row>
    <row r="607" spans="1:60" ht="14.25" customHeight="1" x14ac:dyDescent="0.3">
      <c r="A607" s="46"/>
      <c r="B607" s="37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  <c r="AC607" s="46"/>
      <c r="AD607" s="46"/>
      <c r="AE607" s="46"/>
      <c r="AF607" s="46"/>
      <c r="AG607" s="46"/>
      <c r="AH607" s="46"/>
      <c r="AI607" s="46"/>
      <c r="AJ607" s="46"/>
      <c r="AK607" s="46"/>
      <c r="AL607" s="46"/>
      <c r="AM607" s="46"/>
      <c r="AN607" s="46"/>
      <c r="AO607" s="46"/>
      <c r="AP607" s="46"/>
      <c r="AQ607" s="46"/>
      <c r="AR607" s="46"/>
      <c r="AS607" s="46"/>
      <c r="AT607" s="46"/>
      <c r="AU607" s="46"/>
      <c r="AV607" s="46"/>
      <c r="AW607" s="46"/>
      <c r="AX607" s="46"/>
      <c r="AY607" s="46"/>
      <c r="AZ607" s="46"/>
      <c r="BA607" s="46"/>
      <c r="BB607" s="46"/>
      <c r="BC607" s="46"/>
      <c r="BD607" s="46"/>
      <c r="BE607" s="46"/>
      <c r="BF607" s="46"/>
      <c r="BG607" s="46"/>
      <c r="BH607" s="46"/>
    </row>
    <row r="608" spans="1:60" ht="14.25" customHeight="1" x14ac:dyDescent="0.3">
      <c r="A608" s="46"/>
      <c r="B608" s="37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  <c r="AB608" s="46"/>
      <c r="AC608" s="46"/>
      <c r="AD608" s="46"/>
      <c r="AE608" s="46"/>
      <c r="AF608" s="46"/>
      <c r="AG608" s="46"/>
      <c r="AH608" s="46"/>
      <c r="AI608" s="46"/>
      <c r="AJ608" s="46"/>
      <c r="AK608" s="46"/>
      <c r="AL608" s="46"/>
      <c r="AM608" s="46"/>
      <c r="AN608" s="46"/>
      <c r="AO608" s="46"/>
      <c r="AP608" s="46"/>
      <c r="AQ608" s="46"/>
      <c r="AR608" s="46"/>
      <c r="AS608" s="46"/>
      <c r="AT608" s="46"/>
      <c r="AU608" s="46"/>
      <c r="AV608" s="46"/>
      <c r="AW608" s="46"/>
      <c r="AX608" s="46"/>
      <c r="AY608" s="46"/>
      <c r="AZ608" s="46"/>
      <c r="BA608" s="46"/>
      <c r="BB608" s="46"/>
      <c r="BC608" s="46"/>
      <c r="BD608" s="46"/>
      <c r="BE608" s="46"/>
      <c r="BF608" s="46"/>
      <c r="BG608" s="46"/>
      <c r="BH608" s="46"/>
    </row>
    <row r="609" spans="1:60" ht="14.25" customHeight="1" x14ac:dyDescent="0.3">
      <c r="A609" s="46"/>
      <c r="B609" s="37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  <c r="AC609" s="46"/>
      <c r="AD609" s="46"/>
      <c r="AE609" s="46"/>
      <c r="AF609" s="46"/>
      <c r="AG609" s="46"/>
      <c r="AH609" s="46"/>
      <c r="AI609" s="46"/>
      <c r="AJ609" s="46"/>
      <c r="AK609" s="46"/>
      <c r="AL609" s="46"/>
      <c r="AM609" s="46"/>
      <c r="AN609" s="46"/>
      <c r="AO609" s="46"/>
      <c r="AP609" s="46"/>
      <c r="AQ609" s="46"/>
      <c r="AR609" s="46"/>
      <c r="AS609" s="46"/>
      <c r="AT609" s="46"/>
      <c r="AU609" s="46"/>
      <c r="AV609" s="46"/>
      <c r="AW609" s="46"/>
      <c r="AX609" s="46"/>
      <c r="AY609" s="46"/>
      <c r="AZ609" s="46"/>
      <c r="BA609" s="46"/>
      <c r="BB609" s="46"/>
      <c r="BC609" s="46"/>
      <c r="BD609" s="46"/>
      <c r="BE609" s="46"/>
      <c r="BF609" s="46"/>
      <c r="BG609" s="46"/>
      <c r="BH609" s="46"/>
    </row>
    <row r="610" spans="1:60" ht="14.25" customHeight="1" x14ac:dyDescent="0.3">
      <c r="A610" s="46"/>
      <c r="B610" s="37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  <c r="AC610" s="46"/>
      <c r="AD610" s="46"/>
      <c r="AE610" s="46"/>
      <c r="AF610" s="46"/>
      <c r="AG610" s="46"/>
      <c r="AH610" s="46"/>
      <c r="AI610" s="46"/>
      <c r="AJ610" s="46"/>
      <c r="AK610" s="46"/>
      <c r="AL610" s="46"/>
      <c r="AM610" s="46"/>
      <c r="AN610" s="46"/>
      <c r="AO610" s="46"/>
      <c r="AP610" s="46"/>
      <c r="AQ610" s="46"/>
      <c r="AR610" s="46"/>
      <c r="AS610" s="46"/>
      <c r="AT610" s="46"/>
      <c r="AU610" s="46"/>
      <c r="AV610" s="46"/>
      <c r="AW610" s="46"/>
      <c r="AX610" s="46"/>
      <c r="AY610" s="46"/>
      <c r="AZ610" s="46"/>
      <c r="BA610" s="46"/>
      <c r="BB610" s="46"/>
      <c r="BC610" s="46"/>
      <c r="BD610" s="46"/>
      <c r="BE610" s="46"/>
      <c r="BF610" s="46"/>
      <c r="BG610" s="46"/>
      <c r="BH610" s="46"/>
    </row>
    <row r="611" spans="1:60" ht="14.25" customHeight="1" x14ac:dyDescent="0.3">
      <c r="A611" s="46"/>
      <c r="B611" s="37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  <c r="AC611" s="46"/>
      <c r="AD611" s="46"/>
      <c r="AE611" s="46"/>
      <c r="AF611" s="46"/>
      <c r="AG611" s="46"/>
      <c r="AH611" s="46"/>
      <c r="AI611" s="46"/>
      <c r="AJ611" s="46"/>
      <c r="AK611" s="46"/>
      <c r="AL611" s="46"/>
      <c r="AM611" s="46"/>
      <c r="AN611" s="46"/>
      <c r="AO611" s="46"/>
      <c r="AP611" s="46"/>
      <c r="AQ611" s="46"/>
      <c r="AR611" s="46"/>
      <c r="AS611" s="46"/>
      <c r="AT611" s="46"/>
      <c r="AU611" s="46"/>
      <c r="AV611" s="46"/>
      <c r="AW611" s="46"/>
      <c r="AX611" s="46"/>
      <c r="AY611" s="46"/>
      <c r="AZ611" s="46"/>
      <c r="BA611" s="46"/>
      <c r="BB611" s="46"/>
      <c r="BC611" s="46"/>
      <c r="BD611" s="46"/>
      <c r="BE611" s="46"/>
      <c r="BF611" s="46"/>
      <c r="BG611" s="46"/>
      <c r="BH611" s="46"/>
    </row>
    <row r="612" spans="1:60" ht="14.25" customHeight="1" x14ac:dyDescent="0.3">
      <c r="A612" s="46"/>
      <c r="B612" s="37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  <c r="AC612" s="46"/>
      <c r="AD612" s="46"/>
      <c r="AE612" s="46"/>
      <c r="AF612" s="46"/>
      <c r="AG612" s="46"/>
      <c r="AH612" s="46"/>
      <c r="AI612" s="46"/>
      <c r="AJ612" s="46"/>
      <c r="AK612" s="46"/>
      <c r="AL612" s="46"/>
      <c r="AM612" s="46"/>
      <c r="AN612" s="46"/>
      <c r="AO612" s="46"/>
      <c r="AP612" s="46"/>
      <c r="AQ612" s="46"/>
      <c r="AR612" s="46"/>
      <c r="AS612" s="46"/>
      <c r="AT612" s="46"/>
      <c r="AU612" s="46"/>
      <c r="AV612" s="46"/>
      <c r="AW612" s="46"/>
      <c r="AX612" s="46"/>
      <c r="AY612" s="46"/>
      <c r="AZ612" s="46"/>
      <c r="BA612" s="46"/>
      <c r="BB612" s="46"/>
      <c r="BC612" s="46"/>
      <c r="BD612" s="46"/>
      <c r="BE612" s="46"/>
      <c r="BF612" s="46"/>
      <c r="BG612" s="46"/>
      <c r="BH612" s="46"/>
    </row>
    <row r="613" spans="1:60" ht="14.25" customHeight="1" x14ac:dyDescent="0.3">
      <c r="A613" s="46"/>
      <c r="B613" s="37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  <c r="AC613" s="46"/>
      <c r="AD613" s="46"/>
      <c r="AE613" s="46"/>
      <c r="AF613" s="46"/>
      <c r="AG613" s="46"/>
      <c r="AH613" s="46"/>
      <c r="AI613" s="46"/>
      <c r="AJ613" s="46"/>
      <c r="AK613" s="46"/>
      <c r="AL613" s="46"/>
      <c r="AM613" s="46"/>
      <c r="AN613" s="46"/>
      <c r="AO613" s="46"/>
      <c r="AP613" s="46"/>
      <c r="AQ613" s="46"/>
      <c r="AR613" s="46"/>
      <c r="AS613" s="46"/>
      <c r="AT613" s="46"/>
      <c r="AU613" s="46"/>
      <c r="AV613" s="46"/>
      <c r="AW613" s="46"/>
      <c r="AX613" s="46"/>
      <c r="AY613" s="46"/>
      <c r="AZ613" s="46"/>
      <c r="BA613" s="46"/>
      <c r="BB613" s="46"/>
      <c r="BC613" s="46"/>
      <c r="BD613" s="46"/>
      <c r="BE613" s="46"/>
      <c r="BF613" s="46"/>
      <c r="BG613" s="46"/>
      <c r="BH613" s="46"/>
    </row>
    <row r="614" spans="1:60" ht="14.25" customHeight="1" x14ac:dyDescent="0.3">
      <c r="A614" s="46"/>
      <c r="B614" s="37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  <c r="AC614" s="46"/>
      <c r="AD614" s="46"/>
      <c r="AE614" s="46"/>
      <c r="AF614" s="46"/>
      <c r="AG614" s="46"/>
      <c r="AH614" s="46"/>
      <c r="AI614" s="46"/>
      <c r="AJ614" s="46"/>
      <c r="AK614" s="46"/>
      <c r="AL614" s="46"/>
      <c r="AM614" s="46"/>
      <c r="AN614" s="46"/>
      <c r="AO614" s="46"/>
      <c r="AP614" s="46"/>
      <c r="AQ614" s="46"/>
      <c r="AR614" s="46"/>
      <c r="AS614" s="46"/>
      <c r="AT614" s="46"/>
      <c r="AU614" s="46"/>
      <c r="AV614" s="46"/>
      <c r="AW614" s="46"/>
      <c r="AX614" s="46"/>
      <c r="AY614" s="46"/>
      <c r="AZ614" s="46"/>
      <c r="BA614" s="46"/>
      <c r="BB614" s="46"/>
      <c r="BC614" s="46"/>
      <c r="BD614" s="46"/>
      <c r="BE614" s="46"/>
      <c r="BF614" s="46"/>
      <c r="BG614" s="46"/>
      <c r="BH614" s="46"/>
    </row>
    <row r="615" spans="1:60" ht="14.25" customHeight="1" x14ac:dyDescent="0.3">
      <c r="A615" s="46"/>
      <c r="B615" s="37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  <c r="AC615" s="46"/>
      <c r="AD615" s="46"/>
      <c r="AE615" s="46"/>
      <c r="AF615" s="46"/>
      <c r="AG615" s="46"/>
      <c r="AH615" s="46"/>
      <c r="AI615" s="46"/>
      <c r="AJ615" s="46"/>
      <c r="AK615" s="46"/>
      <c r="AL615" s="46"/>
      <c r="AM615" s="46"/>
      <c r="AN615" s="46"/>
      <c r="AO615" s="46"/>
      <c r="AP615" s="46"/>
      <c r="AQ615" s="46"/>
      <c r="AR615" s="46"/>
      <c r="AS615" s="46"/>
      <c r="AT615" s="46"/>
      <c r="AU615" s="46"/>
      <c r="AV615" s="46"/>
      <c r="AW615" s="46"/>
      <c r="AX615" s="46"/>
      <c r="AY615" s="46"/>
      <c r="AZ615" s="46"/>
      <c r="BA615" s="46"/>
      <c r="BB615" s="46"/>
      <c r="BC615" s="46"/>
      <c r="BD615" s="46"/>
      <c r="BE615" s="46"/>
      <c r="BF615" s="46"/>
      <c r="BG615" s="46"/>
      <c r="BH615" s="46"/>
    </row>
    <row r="616" spans="1:60" ht="14.25" customHeight="1" x14ac:dyDescent="0.3">
      <c r="A616" s="46"/>
      <c r="B616" s="37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  <c r="AC616" s="46"/>
      <c r="AD616" s="46"/>
      <c r="AE616" s="46"/>
      <c r="AF616" s="46"/>
      <c r="AG616" s="46"/>
      <c r="AH616" s="46"/>
      <c r="AI616" s="46"/>
      <c r="AJ616" s="46"/>
      <c r="AK616" s="46"/>
      <c r="AL616" s="46"/>
      <c r="AM616" s="46"/>
      <c r="AN616" s="46"/>
      <c r="AO616" s="46"/>
      <c r="AP616" s="46"/>
      <c r="AQ616" s="46"/>
      <c r="AR616" s="46"/>
      <c r="AS616" s="46"/>
      <c r="AT616" s="46"/>
      <c r="AU616" s="46"/>
      <c r="AV616" s="46"/>
      <c r="AW616" s="46"/>
      <c r="AX616" s="46"/>
      <c r="AY616" s="46"/>
      <c r="AZ616" s="46"/>
      <c r="BA616" s="46"/>
      <c r="BB616" s="46"/>
      <c r="BC616" s="46"/>
      <c r="BD616" s="46"/>
      <c r="BE616" s="46"/>
      <c r="BF616" s="46"/>
      <c r="BG616" s="46"/>
      <c r="BH616" s="46"/>
    </row>
    <row r="617" spans="1:60" ht="14.25" customHeight="1" x14ac:dyDescent="0.3">
      <c r="A617" s="46"/>
      <c r="B617" s="37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  <c r="AC617" s="46"/>
      <c r="AD617" s="46"/>
      <c r="AE617" s="46"/>
      <c r="AF617" s="46"/>
      <c r="AG617" s="46"/>
      <c r="AH617" s="46"/>
      <c r="AI617" s="46"/>
      <c r="AJ617" s="46"/>
      <c r="AK617" s="46"/>
      <c r="AL617" s="46"/>
      <c r="AM617" s="46"/>
      <c r="AN617" s="46"/>
      <c r="AO617" s="46"/>
      <c r="AP617" s="46"/>
      <c r="AQ617" s="46"/>
      <c r="AR617" s="46"/>
      <c r="AS617" s="46"/>
      <c r="AT617" s="46"/>
      <c r="AU617" s="46"/>
      <c r="AV617" s="46"/>
      <c r="AW617" s="46"/>
      <c r="AX617" s="46"/>
      <c r="AY617" s="46"/>
      <c r="AZ617" s="46"/>
      <c r="BA617" s="46"/>
      <c r="BB617" s="46"/>
      <c r="BC617" s="46"/>
      <c r="BD617" s="46"/>
      <c r="BE617" s="46"/>
      <c r="BF617" s="46"/>
      <c r="BG617" s="46"/>
      <c r="BH617" s="46"/>
    </row>
    <row r="618" spans="1:60" ht="14.25" customHeight="1" x14ac:dyDescent="0.3">
      <c r="A618" s="46"/>
      <c r="B618" s="37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  <c r="AC618" s="46"/>
      <c r="AD618" s="46"/>
      <c r="AE618" s="46"/>
      <c r="AF618" s="46"/>
      <c r="AG618" s="46"/>
      <c r="AH618" s="46"/>
      <c r="AI618" s="46"/>
      <c r="AJ618" s="46"/>
      <c r="AK618" s="46"/>
      <c r="AL618" s="46"/>
      <c r="AM618" s="46"/>
      <c r="AN618" s="46"/>
      <c r="AO618" s="46"/>
      <c r="AP618" s="46"/>
      <c r="AQ618" s="46"/>
      <c r="AR618" s="46"/>
      <c r="AS618" s="46"/>
      <c r="AT618" s="46"/>
      <c r="AU618" s="46"/>
      <c r="AV618" s="46"/>
      <c r="AW618" s="46"/>
      <c r="AX618" s="46"/>
      <c r="AY618" s="46"/>
      <c r="AZ618" s="46"/>
      <c r="BA618" s="46"/>
      <c r="BB618" s="46"/>
      <c r="BC618" s="46"/>
      <c r="BD618" s="46"/>
      <c r="BE618" s="46"/>
      <c r="BF618" s="46"/>
      <c r="BG618" s="46"/>
      <c r="BH618" s="46"/>
    </row>
    <row r="619" spans="1:60" ht="14.25" customHeight="1" x14ac:dyDescent="0.3">
      <c r="A619" s="46"/>
      <c r="B619" s="37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  <c r="AC619" s="46"/>
      <c r="AD619" s="46"/>
      <c r="AE619" s="46"/>
      <c r="AF619" s="46"/>
      <c r="AG619" s="46"/>
      <c r="AH619" s="46"/>
      <c r="AI619" s="46"/>
      <c r="AJ619" s="46"/>
      <c r="AK619" s="46"/>
      <c r="AL619" s="46"/>
      <c r="AM619" s="46"/>
      <c r="AN619" s="46"/>
      <c r="AO619" s="46"/>
      <c r="AP619" s="46"/>
      <c r="AQ619" s="46"/>
      <c r="AR619" s="46"/>
      <c r="AS619" s="46"/>
      <c r="AT619" s="46"/>
      <c r="AU619" s="46"/>
      <c r="AV619" s="46"/>
      <c r="AW619" s="46"/>
      <c r="AX619" s="46"/>
      <c r="AY619" s="46"/>
      <c r="AZ619" s="46"/>
      <c r="BA619" s="46"/>
      <c r="BB619" s="46"/>
      <c r="BC619" s="46"/>
      <c r="BD619" s="46"/>
      <c r="BE619" s="46"/>
      <c r="BF619" s="46"/>
      <c r="BG619" s="46"/>
      <c r="BH619" s="46"/>
    </row>
    <row r="620" spans="1:60" ht="14.25" customHeight="1" x14ac:dyDescent="0.3">
      <c r="A620" s="46"/>
      <c r="B620" s="37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  <c r="AB620" s="46"/>
      <c r="AC620" s="46"/>
      <c r="AD620" s="46"/>
      <c r="AE620" s="46"/>
      <c r="AF620" s="46"/>
      <c r="AG620" s="46"/>
      <c r="AH620" s="46"/>
      <c r="AI620" s="46"/>
      <c r="AJ620" s="46"/>
      <c r="AK620" s="46"/>
      <c r="AL620" s="46"/>
      <c r="AM620" s="46"/>
      <c r="AN620" s="46"/>
      <c r="AO620" s="46"/>
      <c r="AP620" s="46"/>
      <c r="AQ620" s="46"/>
      <c r="AR620" s="46"/>
      <c r="AS620" s="46"/>
      <c r="AT620" s="46"/>
      <c r="AU620" s="46"/>
      <c r="AV620" s="46"/>
      <c r="AW620" s="46"/>
      <c r="AX620" s="46"/>
      <c r="AY620" s="46"/>
      <c r="AZ620" s="46"/>
      <c r="BA620" s="46"/>
      <c r="BB620" s="46"/>
      <c r="BC620" s="46"/>
      <c r="BD620" s="46"/>
      <c r="BE620" s="46"/>
      <c r="BF620" s="46"/>
      <c r="BG620" s="46"/>
      <c r="BH620" s="46"/>
    </row>
    <row r="621" spans="1:60" ht="14.25" customHeight="1" x14ac:dyDescent="0.3">
      <c r="A621" s="46"/>
      <c r="B621" s="37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  <c r="AB621" s="46"/>
      <c r="AC621" s="46"/>
      <c r="AD621" s="46"/>
      <c r="AE621" s="46"/>
      <c r="AF621" s="46"/>
      <c r="AG621" s="46"/>
      <c r="AH621" s="46"/>
      <c r="AI621" s="46"/>
      <c r="AJ621" s="46"/>
      <c r="AK621" s="46"/>
      <c r="AL621" s="46"/>
      <c r="AM621" s="46"/>
      <c r="AN621" s="46"/>
      <c r="AO621" s="46"/>
      <c r="AP621" s="46"/>
      <c r="AQ621" s="46"/>
      <c r="AR621" s="46"/>
      <c r="AS621" s="46"/>
      <c r="AT621" s="46"/>
      <c r="AU621" s="46"/>
      <c r="AV621" s="46"/>
      <c r="AW621" s="46"/>
      <c r="AX621" s="46"/>
      <c r="AY621" s="46"/>
      <c r="AZ621" s="46"/>
      <c r="BA621" s="46"/>
      <c r="BB621" s="46"/>
      <c r="BC621" s="46"/>
      <c r="BD621" s="46"/>
      <c r="BE621" s="46"/>
      <c r="BF621" s="46"/>
      <c r="BG621" s="46"/>
      <c r="BH621" s="46"/>
    </row>
    <row r="622" spans="1:60" ht="14.25" customHeight="1" x14ac:dyDescent="0.3">
      <c r="A622" s="46"/>
      <c r="B622" s="37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  <c r="AB622" s="46"/>
      <c r="AC622" s="46"/>
      <c r="AD622" s="46"/>
      <c r="AE622" s="46"/>
      <c r="AF622" s="46"/>
      <c r="AG622" s="46"/>
      <c r="AH622" s="46"/>
      <c r="AI622" s="46"/>
      <c r="AJ622" s="46"/>
      <c r="AK622" s="46"/>
      <c r="AL622" s="46"/>
      <c r="AM622" s="46"/>
      <c r="AN622" s="46"/>
      <c r="AO622" s="46"/>
      <c r="AP622" s="46"/>
      <c r="AQ622" s="46"/>
      <c r="AR622" s="46"/>
      <c r="AS622" s="46"/>
      <c r="AT622" s="46"/>
      <c r="AU622" s="46"/>
      <c r="AV622" s="46"/>
      <c r="AW622" s="46"/>
      <c r="AX622" s="46"/>
      <c r="AY622" s="46"/>
      <c r="AZ622" s="46"/>
      <c r="BA622" s="46"/>
      <c r="BB622" s="46"/>
      <c r="BC622" s="46"/>
      <c r="BD622" s="46"/>
      <c r="BE622" s="46"/>
      <c r="BF622" s="46"/>
      <c r="BG622" s="46"/>
      <c r="BH622" s="46"/>
    </row>
    <row r="623" spans="1:60" ht="14.25" customHeight="1" x14ac:dyDescent="0.3">
      <c r="A623" s="46"/>
      <c r="B623" s="37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  <c r="AB623" s="46"/>
      <c r="AC623" s="46"/>
      <c r="AD623" s="46"/>
      <c r="AE623" s="46"/>
      <c r="AF623" s="46"/>
      <c r="AG623" s="46"/>
      <c r="AH623" s="46"/>
      <c r="AI623" s="46"/>
      <c r="AJ623" s="46"/>
      <c r="AK623" s="46"/>
      <c r="AL623" s="46"/>
      <c r="AM623" s="46"/>
      <c r="AN623" s="46"/>
      <c r="AO623" s="46"/>
      <c r="AP623" s="46"/>
      <c r="AQ623" s="46"/>
      <c r="AR623" s="46"/>
      <c r="AS623" s="46"/>
      <c r="AT623" s="46"/>
      <c r="AU623" s="46"/>
      <c r="AV623" s="46"/>
      <c r="AW623" s="46"/>
      <c r="AX623" s="46"/>
      <c r="AY623" s="46"/>
      <c r="AZ623" s="46"/>
      <c r="BA623" s="46"/>
      <c r="BB623" s="46"/>
      <c r="BC623" s="46"/>
      <c r="BD623" s="46"/>
      <c r="BE623" s="46"/>
      <c r="BF623" s="46"/>
      <c r="BG623" s="46"/>
      <c r="BH623" s="46"/>
    </row>
    <row r="624" spans="1:60" ht="14.25" customHeight="1" x14ac:dyDescent="0.3">
      <c r="A624" s="46"/>
      <c r="B624" s="37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  <c r="AB624" s="46"/>
      <c r="AC624" s="46"/>
      <c r="AD624" s="46"/>
      <c r="AE624" s="46"/>
      <c r="AF624" s="46"/>
      <c r="AG624" s="46"/>
      <c r="AH624" s="46"/>
      <c r="AI624" s="46"/>
      <c r="AJ624" s="46"/>
      <c r="AK624" s="46"/>
      <c r="AL624" s="46"/>
      <c r="AM624" s="46"/>
      <c r="AN624" s="46"/>
      <c r="AO624" s="46"/>
      <c r="AP624" s="46"/>
      <c r="AQ624" s="46"/>
      <c r="AR624" s="46"/>
      <c r="AS624" s="46"/>
      <c r="AT624" s="46"/>
      <c r="AU624" s="46"/>
      <c r="AV624" s="46"/>
      <c r="AW624" s="46"/>
      <c r="AX624" s="46"/>
      <c r="AY624" s="46"/>
      <c r="AZ624" s="46"/>
      <c r="BA624" s="46"/>
      <c r="BB624" s="46"/>
      <c r="BC624" s="46"/>
      <c r="BD624" s="46"/>
      <c r="BE624" s="46"/>
      <c r="BF624" s="46"/>
      <c r="BG624" s="46"/>
      <c r="BH624" s="46"/>
    </row>
    <row r="625" spans="1:60" ht="14.25" customHeight="1" x14ac:dyDescent="0.3">
      <c r="A625" s="46"/>
      <c r="B625" s="37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  <c r="AB625" s="46"/>
      <c r="AC625" s="46"/>
      <c r="AD625" s="46"/>
      <c r="AE625" s="46"/>
      <c r="AF625" s="46"/>
      <c r="AG625" s="46"/>
      <c r="AH625" s="46"/>
      <c r="AI625" s="46"/>
      <c r="AJ625" s="46"/>
      <c r="AK625" s="46"/>
      <c r="AL625" s="46"/>
      <c r="AM625" s="46"/>
      <c r="AN625" s="46"/>
      <c r="AO625" s="46"/>
      <c r="AP625" s="46"/>
      <c r="AQ625" s="46"/>
      <c r="AR625" s="46"/>
      <c r="AS625" s="46"/>
      <c r="AT625" s="46"/>
      <c r="AU625" s="46"/>
      <c r="AV625" s="46"/>
      <c r="AW625" s="46"/>
      <c r="AX625" s="46"/>
      <c r="AY625" s="46"/>
      <c r="AZ625" s="46"/>
      <c r="BA625" s="46"/>
      <c r="BB625" s="46"/>
      <c r="BC625" s="46"/>
      <c r="BD625" s="46"/>
      <c r="BE625" s="46"/>
      <c r="BF625" s="46"/>
      <c r="BG625" s="46"/>
      <c r="BH625" s="46"/>
    </row>
    <row r="626" spans="1:60" ht="14.25" customHeight="1" x14ac:dyDescent="0.3">
      <c r="A626" s="46"/>
      <c r="B626" s="37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  <c r="AB626" s="46"/>
      <c r="AC626" s="46"/>
      <c r="AD626" s="46"/>
      <c r="AE626" s="46"/>
      <c r="AF626" s="46"/>
      <c r="AG626" s="46"/>
      <c r="AH626" s="46"/>
      <c r="AI626" s="46"/>
      <c r="AJ626" s="46"/>
      <c r="AK626" s="46"/>
      <c r="AL626" s="46"/>
      <c r="AM626" s="46"/>
      <c r="AN626" s="46"/>
      <c r="AO626" s="46"/>
      <c r="AP626" s="46"/>
      <c r="AQ626" s="46"/>
      <c r="AR626" s="46"/>
      <c r="AS626" s="46"/>
      <c r="AT626" s="46"/>
      <c r="AU626" s="46"/>
      <c r="AV626" s="46"/>
      <c r="AW626" s="46"/>
      <c r="AX626" s="46"/>
      <c r="AY626" s="46"/>
      <c r="AZ626" s="46"/>
      <c r="BA626" s="46"/>
      <c r="BB626" s="46"/>
      <c r="BC626" s="46"/>
      <c r="BD626" s="46"/>
      <c r="BE626" s="46"/>
      <c r="BF626" s="46"/>
      <c r="BG626" s="46"/>
      <c r="BH626" s="46"/>
    </row>
    <row r="627" spans="1:60" ht="14.25" customHeight="1" x14ac:dyDescent="0.3">
      <c r="A627" s="46"/>
      <c r="B627" s="37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  <c r="AB627" s="46"/>
      <c r="AC627" s="46"/>
      <c r="AD627" s="46"/>
      <c r="AE627" s="46"/>
      <c r="AF627" s="46"/>
      <c r="AG627" s="46"/>
      <c r="AH627" s="46"/>
      <c r="AI627" s="46"/>
      <c r="AJ627" s="46"/>
      <c r="AK627" s="46"/>
      <c r="AL627" s="46"/>
      <c r="AM627" s="46"/>
      <c r="AN627" s="46"/>
      <c r="AO627" s="46"/>
      <c r="AP627" s="46"/>
      <c r="AQ627" s="46"/>
      <c r="AR627" s="46"/>
      <c r="AS627" s="46"/>
      <c r="AT627" s="46"/>
      <c r="AU627" s="46"/>
      <c r="AV627" s="46"/>
      <c r="AW627" s="46"/>
      <c r="AX627" s="46"/>
      <c r="AY627" s="46"/>
      <c r="AZ627" s="46"/>
      <c r="BA627" s="46"/>
      <c r="BB627" s="46"/>
      <c r="BC627" s="46"/>
      <c r="BD627" s="46"/>
      <c r="BE627" s="46"/>
      <c r="BF627" s="46"/>
      <c r="BG627" s="46"/>
      <c r="BH627" s="46"/>
    </row>
    <row r="628" spans="1:60" ht="14.25" customHeight="1" x14ac:dyDescent="0.3">
      <c r="A628" s="46"/>
      <c r="B628" s="37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  <c r="AB628" s="46"/>
      <c r="AC628" s="46"/>
      <c r="AD628" s="46"/>
      <c r="AE628" s="46"/>
      <c r="AF628" s="46"/>
      <c r="AG628" s="46"/>
      <c r="AH628" s="46"/>
      <c r="AI628" s="46"/>
      <c r="AJ628" s="46"/>
      <c r="AK628" s="46"/>
      <c r="AL628" s="46"/>
      <c r="AM628" s="46"/>
      <c r="AN628" s="46"/>
      <c r="AO628" s="46"/>
      <c r="AP628" s="46"/>
      <c r="AQ628" s="46"/>
      <c r="AR628" s="46"/>
      <c r="AS628" s="46"/>
      <c r="AT628" s="46"/>
      <c r="AU628" s="46"/>
      <c r="AV628" s="46"/>
      <c r="AW628" s="46"/>
      <c r="AX628" s="46"/>
      <c r="AY628" s="46"/>
      <c r="AZ628" s="46"/>
      <c r="BA628" s="46"/>
      <c r="BB628" s="46"/>
      <c r="BC628" s="46"/>
      <c r="BD628" s="46"/>
      <c r="BE628" s="46"/>
      <c r="BF628" s="46"/>
      <c r="BG628" s="46"/>
      <c r="BH628" s="46"/>
    </row>
    <row r="629" spans="1:60" ht="14.25" customHeight="1" x14ac:dyDescent="0.3">
      <c r="A629" s="46"/>
      <c r="B629" s="37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  <c r="AB629" s="46"/>
      <c r="AC629" s="46"/>
      <c r="AD629" s="46"/>
      <c r="AE629" s="46"/>
      <c r="AF629" s="46"/>
      <c r="AG629" s="46"/>
      <c r="AH629" s="46"/>
      <c r="AI629" s="46"/>
      <c r="AJ629" s="46"/>
      <c r="AK629" s="46"/>
      <c r="AL629" s="46"/>
      <c r="AM629" s="46"/>
      <c r="AN629" s="46"/>
      <c r="AO629" s="46"/>
      <c r="AP629" s="46"/>
      <c r="AQ629" s="46"/>
      <c r="AR629" s="46"/>
      <c r="AS629" s="46"/>
      <c r="AT629" s="46"/>
      <c r="AU629" s="46"/>
      <c r="AV629" s="46"/>
      <c r="AW629" s="46"/>
      <c r="AX629" s="46"/>
      <c r="AY629" s="46"/>
      <c r="AZ629" s="46"/>
      <c r="BA629" s="46"/>
      <c r="BB629" s="46"/>
      <c r="BC629" s="46"/>
      <c r="BD629" s="46"/>
      <c r="BE629" s="46"/>
      <c r="BF629" s="46"/>
      <c r="BG629" s="46"/>
      <c r="BH629" s="46"/>
    </row>
    <row r="630" spans="1:60" ht="14.25" customHeight="1" x14ac:dyDescent="0.3">
      <c r="A630" s="46"/>
      <c r="B630" s="37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  <c r="AB630" s="46"/>
      <c r="AC630" s="46"/>
      <c r="AD630" s="46"/>
      <c r="AE630" s="46"/>
      <c r="AF630" s="46"/>
      <c r="AG630" s="46"/>
      <c r="AH630" s="46"/>
      <c r="AI630" s="46"/>
      <c r="AJ630" s="46"/>
      <c r="AK630" s="46"/>
      <c r="AL630" s="46"/>
      <c r="AM630" s="46"/>
      <c r="AN630" s="46"/>
      <c r="AO630" s="46"/>
      <c r="AP630" s="46"/>
      <c r="AQ630" s="46"/>
      <c r="AR630" s="46"/>
      <c r="AS630" s="46"/>
      <c r="AT630" s="46"/>
      <c r="AU630" s="46"/>
      <c r="AV630" s="46"/>
      <c r="AW630" s="46"/>
      <c r="AX630" s="46"/>
      <c r="AY630" s="46"/>
      <c r="AZ630" s="46"/>
      <c r="BA630" s="46"/>
      <c r="BB630" s="46"/>
      <c r="BC630" s="46"/>
      <c r="BD630" s="46"/>
      <c r="BE630" s="46"/>
      <c r="BF630" s="46"/>
      <c r="BG630" s="46"/>
      <c r="BH630" s="46"/>
    </row>
    <row r="631" spans="1:60" ht="14.25" customHeight="1" x14ac:dyDescent="0.3">
      <c r="A631" s="46"/>
      <c r="B631" s="37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  <c r="AB631" s="46"/>
      <c r="AC631" s="46"/>
      <c r="AD631" s="46"/>
      <c r="AE631" s="46"/>
      <c r="AF631" s="46"/>
      <c r="AG631" s="46"/>
      <c r="AH631" s="46"/>
      <c r="AI631" s="46"/>
      <c r="AJ631" s="46"/>
      <c r="AK631" s="46"/>
      <c r="AL631" s="46"/>
      <c r="AM631" s="46"/>
      <c r="AN631" s="46"/>
      <c r="AO631" s="46"/>
      <c r="AP631" s="46"/>
      <c r="AQ631" s="46"/>
      <c r="AR631" s="46"/>
      <c r="AS631" s="46"/>
      <c r="AT631" s="46"/>
      <c r="AU631" s="46"/>
      <c r="AV631" s="46"/>
      <c r="AW631" s="46"/>
      <c r="AX631" s="46"/>
      <c r="AY631" s="46"/>
      <c r="AZ631" s="46"/>
      <c r="BA631" s="46"/>
      <c r="BB631" s="46"/>
      <c r="BC631" s="46"/>
      <c r="BD631" s="46"/>
      <c r="BE631" s="46"/>
      <c r="BF631" s="46"/>
      <c r="BG631" s="46"/>
      <c r="BH631" s="46"/>
    </row>
    <row r="632" spans="1:60" ht="14.25" customHeight="1" x14ac:dyDescent="0.3">
      <c r="A632" s="46"/>
      <c r="B632" s="37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  <c r="AB632" s="46"/>
      <c r="AC632" s="46"/>
      <c r="AD632" s="46"/>
      <c r="AE632" s="46"/>
      <c r="AF632" s="46"/>
      <c r="AG632" s="46"/>
      <c r="AH632" s="46"/>
      <c r="AI632" s="46"/>
      <c r="AJ632" s="46"/>
      <c r="AK632" s="46"/>
      <c r="AL632" s="46"/>
      <c r="AM632" s="46"/>
      <c r="AN632" s="46"/>
      <c r="AO632" s="46"/>
      <c r="AP632" s="46"/>
      <c r="AQ632" s="46"/>
      <c r="AR632" s="46"/>
      <c r="AS632" s="46"/>
      <c r="AT632" s="46"/>
      <c r="AU632" s="46"/>
      <c r="AV632" s="46"/>
      <c r="AW632" s="46"/>
      <c r="AX632" s="46"/>
      <c r="AY632" s="46"/>
      <c r="AZ632" s="46"/>
      <c r="BA632" s="46"/>
      <c r="BB632" s="46"/>
      <c r="BC632" s="46"/>
      <c r="BD632" s="46"/>
      <c r="BE632" s="46"/>
      <c r="BF632" s="46"/>
      <c r="BG632" s="46"/>
      <c r="BH632" s="46"/>
    </row>
    <row r="633" spans="1:60" ht="14.25" customHeight="1" x14ac:dyDescent="0.3">
      <c r="A633" s="46"/>
      <c r="B633" s="37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  <c r="AC633" s="46"/>
      <c r="AD633" s="46"/>
      <c r="AE633" s="46"/>
      <c r="AF633" s="46"/>
      <c r="AG633" s="46"/>
      <c r="AH633" s="46"/>
      <c r="AI633" s="46"/>
      <c r="AJ633" s="46"/>
      <c r="AK633" s="46"/>
      <c r="AL633" s="46"/>
      <c r="AM633" s="46"/>
      <c r="AN633" s="46"/>
      <c r="AO633" s="46"/>
      <c r="AP633" s="46"/>
      <c r="AQ633" s="46"/>
      <c r="AR633" s="46"/>
      <c r="AS633" s="46"/>
      <c r="AT633" s="46"/>
      <c r="AU633" s="46"/>
      <c r="AV633" s="46"/>
      <c r="AW633" s="46"/>
      <c r="AX633" s="46"/>
      <c r="AY633" s="46"/>
      <c r="AZ633" s="46"/>
      <c r="BA633" s="46"/>
      <c r="BB633" s="46"/>
      <c r="BC633" s="46"/>
      <c r="BD633" s="46"/>
      <c r="BE633" s="46"/>
      <c r="BF633" s="46"/>
      <c r="BG633" s="46"/>
      <c r="BH633" s="46"/>
    </row>
    <row r="634" spans="1:60" ht="14.25" customHeight="1" x14ac:dyDescent="0.3">
      <c r="A634" s="46"/>
      <c r="B634" s="37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  <c r="AB634" s="46"/>
      <c r="AC634" s="46"/>
      <c r="AD634" s="46"/>
      <c r="AE634" s="46"/>
      <c r="AF634" s="46"/>
      <c r="AG634" s="46"/>
      <c r="AH634" s="46"/>
      <c r="AI634" s="46"/>
      <c r="AJ634" s="46"/>
      <c r="AK634" s="46"/>
      <c r="AL634" s="46"/>
      <c r="AM634" s="46"/>
      <c r="AN634" s="46"/>
      <c r="AO634" s="46"/>
      <c r="AP634" s="46"/>
      <c r="AQ634" s="46"/>
      <c r="AR634" s="46"/>
      <c r="AS634" s="46"/>
      <c r="AT634" s="46"/>
      <c r="AU634" s="46"/>
      <c r="AV634" s="46"/>
      <c r="AW634" s="46"/>
      <c r="AX634" s="46"/>
      <c r="AY634" s="46"/>
      <c r="AZ634" s="46"/>
      <c r="BA634" s="46"/>
      <c r="BB634" s="46"/>
      <c r="BC634" s="46"/>
      <c r="BD634" s="46"/>
      <c r="BE634" s="46"/>
      <c r="BF634" s="46"/>
      <c r="BG634" s="46"/>
      <c r="BH634" s="46"/>
    </row>
    <row r="635" spans="1:60" ht="14.25" customHeight="1" x14ac:dyDescent="0.3">
      <c r="A635" s="46"/>
      <c r="B635" s="37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  <c r="AB635" s="46"/>
      <c r="AC635" s="46"/>
      <c r="AD635" s="46"/>
      <c r="AE635" s="46"/>
      <c r="AF635" s="46"/>
      <c r="AG635" s="46"/>
      <c r="AH635" s="46"/>
      <c r="AI635" s="46"/>
      <c r="AJ635" s="46"/>
      <c r="AK635" s="46"/>
      <c r="AL635" s="46"/>
      <c r="AM635" s="46"/>
      <c r="AN635" s="46"/>
      <c r="AO635" s="46"/>
      <c r="AP635" s="46"/>
      <c r="AQ635" s="46"/>
      <c r="AR635" s="46"/>
      <c r="AS635" s="46"/>
      <c r="AT635" s="46"/>
      <c r="AU635" s="46"/>
      <c r="AV635" s="46"/>
      <c r="AW635" s="46"/>
      <c r="AX635" s="46"/>
      <c r="AY635" s="46"/>
      <c r="AZ635" s="46"/>
      <c r="BA635" s="46"/>
      <c r="BB635" s="46"/>
      <c r="BC635" s="46"/>
      <c r="BD635" s="46"/>
      <c r="BE635" s="46"/>
      <c r="BF635" s="46"/>
      <c r="BG635" s="46"/>
      <c r="BH635" s="46"/>
    </row>
    <row r="636" spans="1:60" ht="14.25" customHeight="1" x14ac:dyDescent="0.3">
      <c r="A636" s="46"/>
      <c r="B636" s="37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  <c r="AC636" s="46"/>
      <c r="AD636" s="46"/>
      <c r="AE636" s="46"/>
      <c r="AF636" s="46"/>
      <c r="AG636" s="46"/>
      <c r="AH636" s="46"/>
      <c r="AI636" s="46"/>
      <c r="AJ636" s="46"/>
      <c r="AK636" s="46"/>
      <c r="AL636" s="46"/>
      <c r="AM636" s="46"/>
      <c r="AN636" s="46"/>
      <c r="AO636" s="46"/>
      <c r="AP636" s="46"/>
      <c r="AQ636" s="46"/>
      <c r="AR636" s="46"/>
      <c r="AS636" s="46"/>
      <c r="AT636" s="46"/>
      <c r="AU636" s="46"/>
      <c r="AV636" s="46"/>
      <c r="AW636" s="46"/>
      <c r="AX636" s="46"/>
      <c r="AY636" s="46"/>
      <c r="AZ636" s="46"/>
      <c r="BA636" s="46"/>
      <c r="BB636" s="46"/>
      <c r="BC636" s="46"/>
      <c r="BD636" s="46"/>
      <c r="BE636" s="46"/>
      <c r="BF636" s="46"/>
      <c r="BG636" s="46"/>
      <c r="BH636" s="46"/>
    </row>
    <row r="637" spans="1:60" ht="14.25" customHeight="1" x14ac:dyDescent="0.3">
      <c r="A637" s="46"/>
      <c r="B637" s="37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  <c r="AB637" s="46"/>
      <c r="AC637" s="46"/>
      <c r="AD637" s="46"/>
      <c r="AE637" s="46"/>
      <c r="AF637" s="46"/>
      <c r="AG637" s="46"/>
      <c r="AH637" s="46"/>
      <c r="AI637" s="46"/>
      <c r="AJ637" s="46"/>
      <c r="AK637" s="46"/>
      <c r="AL637" s="46"/>
      <c r="AM637" s="46"/>
      <c r="AN637" s="46"/>
      <c r="AO637" s="46"/>
      <c r="AP637" s="46"/>
      <c r="AQ637" s="46"/>
      <c r="AR637" s="46"/>
      <c r="AS637" s="46"/>
      <c r="AT637" s="46"/>
      <c r="AU637" s="46"/>
      <c r="AV637" s="46"/>
      <c r="AW637" s="46"/>
      <c r="AX637" s="46"/>
      <c r="AY637" s="46"/>
      <c r="AZ637" s="46"/>
      <c r="BA637" s="46"/>
      <c r="BB637" s="46"/>
      <c r="BC637" s="46"/>
      <c r="BD637" s="46"/>
      <c r="BE637" s="46"/>
      <c r="BF637" s="46"/>
      <c r="BG637" s="46"/>
      <c r="BH637" s="46"/>
    </row>
    <row r="638" spans="1:60" ht="14.25" customHeight="1" x14ac:dyDescent="0.3">
      <c r="A638" s="46"/>
      <c r="B638" s="37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  <c r="AB638" s="46"/>
      <c r="AC638" s="46"/>
      <c r="AD638" s="46"/>
      <c r="AE638" s="46"/>
      <c r="AF638" s="46"/>
      <c r="AG638" s="46"/>
      <c r="AH638" s="46"/>
      <c r="AI638" s="46"/>
      <c r="AJ638" s="46"/>
      <c r="AK638" s="46"/>
      <c r="AL638" s="46"/>
      <c r="AM638" s="46"/>
      <c r="AN638" s="46"/>
      <c r="AO638" s="46"/>
      <c r="AP638" s="46"/>
      <c r="AQ638" s="46"/>
      <c r="AR638" s="46"/>
      <c r="AS638" s="46"/>
      <c r="AT638" s="46"/>
      <c r="AU638" s="46"/>
      <c r="AV638" s="46"/>
      <c r="AW638" s="46"/>
      <c r="AX638" s="46"/>
      <c r="AY638" s="46"/>
      <c r="AZ638" s="46"/>
      <c r="BA638" s="46"/>
      <c r="BB638" s="46"/>
      <c r="BC638" s="46"/>
      <c r="BD638" s="46"/>
      <c r="BE638" s="46"/>
      <c r="BF638" s="46"/>
      <c r="BG638" s="46"/>
      <c r="BH638" s="46"/>
    </row>
    <row r="639" spans="1:60" ht="14.25" customHeight="1" x14ac:dyDescent="0.3">
      <c r="A639" s="46"/>
      <c r="B639" s="37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  <c r="AC639" s="46"/>
      <c r="AD639" s="46"/>
      <c r="AE639" s="46"/>
      <c r="AF639" s="46"/>
      <c r="AG639" s="46"/>
      <c r="AH639" s="46"/>
      <c r="AI639" s="46"/>
      <c r="AJ639" s="46"/>
      <c r="AK639" s="46"/>
      <c r="AL639" s="46"/>
      <c r="AM639" s="46"/>
      <c r="AN639" s="46"/>
      <c r="AO639" s="46"/>
      <c r="AP639" s="46"/>
      <c r="AQ639" s="46"/>
      <c r="AR639" s="46"/>
      <c r="AS639" s="46"/>
      <c r="AT639" s="46"/>
      <c r="AU639" s="46"/>
      <c r="AV639" s="46"/>
      <c r="AW639" s="46"/>
      <c r="AX639" s="46"/>
      <c r="AY639" s="46"/>
      <c r="AZ639" s="46"/>
      <c r="BA639" s="46"/>
      <c r="BB639" s="46"/>
      <c r="BC639" s="46"/>
      <c r="BD639" s="46"/>
      <c r="BE639" s="46"/>
      <c r="BF639" s="46"/>
      <c r="BG639" s="46"/>
      <c r="BH639" s="46"/>
    </row>
    <row r="640" spans="1:60" ht="14.25" customHeight="1" x14ac:dyDescent="0.3">
      <c r="A640" s="46"/>
      <c r="B640" s="37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  <c r="AB640" s="46"/>
      <c r="AC640" s="46"/>
      <c r="AD640" s="46"/>
      <c r="AE640" s="46"/>
      <c r="AF640" s="46"/>
      <c r="AG640" s="46"/>
      <c r="AH640" s="46"/>
      <c r="AI640" s="46"/>
      <c r="AJ640" s="46"/>
      <c r="AK640" s="46"/>
      <c r="AL640" s="46"/>
      <c r="AM640" s="46"/>
      <c r="AN640" s="46"/>
      <c r="AO640" s="46"/>
      <c r="AP640" s="46"/>
      <c r="AQ640" s="46"/>
      <c r="AR640" s="46"/>
      <c r="AS640" s="46"/>
      <c r="AT640" s="46"/>
      <c r="AU640" s="46"/>
      <c r="AV640" s="46"/>
      <c r="AW640" s="46"/>
      <c r="AX640" s="46"/>
      <c r="AY640" s="46"/>
      <c r="AZ640" s="46"/>
      <c r="BA640" s="46"/>
      <c r="BB640" s="46"/>
      <c r="BC640" s="46"/>
      <c r="BD640" s="46"/>
      <c r="BE640" s="46"/>
      <c r="BF640" s="46"/>
      <c r="BG640" s="46"/>
      <c r="BH640" s="46"/>
    </row>
    <row r="641" spans="1:60" ht="14.25" customHeight="1" x14ac:dyDescent="0.3">
      <c r="A641" s="46"/>
      <c r="B641" s="37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  <c r="AB641" s="46"/>
      <c r="AC641" s="46"/>
      <c r="AD641" s="46"/>
      <c r="AE641" s="46"/>
      <c r="AF641" s="46"/>
      <c r="AG641" s="46"/>
      <c r="AH641" s="46"/>
      <c r="AI641" s="46"/>
      <c r="AJ641" s="46"/>
      <c r="AK641" s="46"/>
      <c r="AL641" s="46"/>
      <c r="AM641" s="46"/>
      <c r="AN641" s="46"/>
      <c r="AO641" s="46"/>
      <c r="AP641" s="46"/>
      <c r="AQ641" s="46"/>
      <c r="AR641" s="46"/>
      <c r="AS641" s="46"/>
      <c r="AT641" s="46"/>
      <c r="AU641" s="46"/>
      <c r="AV641" s="46"/>
      <c r="AW641" s="46"/>
      <c r="AX641" s="46"/>
      <c r="AY641" s="46"/>
      <c r="AZ641" s="46"/>
      <c r="BA641" s="46"/>
      <c r="BB641" s="46"/>
      <c r="BC641" s="46"/>
      <c r="BD641" s="46"/>
      <c r="BE641" s="46"/>
      <c r="BF641" s="46"/>
      <c r="BG641" s="46"/>
      <c r="BH641" s="46"/>
    </row>
    <row r="642" spans="1:60" ht="14.25" customHeight="1" x14ac:dyDescent="0.3">
      <c r="A642" s="46"/>
      <c r="B642" s="37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  <c r="AB642" s="46"/>
      <c r="AC642" s="46"/>
      <c r="AD642" s="46"/>
      <c r="AE642" s="46"/>
      <c r="AF642" s="46"/>
      <c r="AG642" s="46"/>
      <c r="AH642" s="46"/>
      <c r="AI642" s="46"/>
      <c r="AJ642" s="46"/>
      <c r="AK642" s="46"/>
      <c r="AL642" s="46"/>
      <c r="AM642" s="46"/>
      <c r="AN642" s="46"/>
      <c r="AO642" s="46"/>
      <c r="AP642" s="46"/>
      <c r="AQ642" s="46"/>
      <c r="AR642" s="46"/>
      <c r="AS642" s="46"/>
      <c r="AT642" s="46"/>
      <c r="AU642" s="46"/>
      <c r="AV642" s="46"/>
      <c r="AW642" s="46"/>
      <c r="AX642" s="46"/>
      <c r="AY642" s="46"/>
      <c r="AZ642" s="46"/>
      <c r="BA642" s="46"/>
      <c r="BB642" s="46"/>
      <c r="BC642" s="46"/>
      <c r="BD642" s="46"/>
      <c r="BE642" s="46"/>
      <c r="BF642" s="46"/>
      <c r="BG642" s="46"/>
      <c r="BH642" s="46"/>
    </row>
    <row r="643" spans="1:60" ht="14.25" customHeight="1" x14ac:dyDescent="0.3">
      <c r="A643" s="46"/>
      <c r="B643" s="37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  <c r="AB643" s="46"/>
      <c r="AC643" s="46"/>
      <c r="AD643" s="46"/>
      <c r="AE643" s="46"/>
      <c r="AF643" s="46"/>
      <c r="AG643" s="46"/>
      <c r="AH643" s="46"/>
      <c r="AI643" s="46"/>
      <c r="AJ643" s="46"/>
      <c r="AK643" s="46"/>
      <c r="AL643" s="46"/>
      <c r="AM643" s="46"/>
      <c r="AN643" s="46"/>
      <c r="AO643" s="46"/>
      <c r="AP643" s="46"/>
      <c r="AQ643" s="46"/>
      <c r="AR643" s="46"/>
      <c r="AS643" s="46"/>
      <c r="AT643" s="46"/>
      <c r="AU643" s="46"/>
      <c r="AV643" s="46"/>
      <c r="AW643" s="46"/>
      <c r="AX643" s="46"/>
      <c r="AY643" s="46"/>
      <c r="AZ643" s="46"/>
      <c r="BA643" s="46"/>
      <c r="BB643" s="46"/>
      <c r="BC643" s="46"/>
      <c r="BD643" s="46"/>
      <c r="BE643" s="46"/>
      <c r="BF643" s="46"/>
      <c r="BG643" s="46"/>
      <c r="BH643" s="46"/>
    </row>
    <row r="644" spans="1:60" ht="14.25" customHeight="1" x14ac:dyDescent="0.3">
      <c r="A644" s="46"/>
      <c r="B644" s="37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  <c r="AB644" s="46"/>
      <c r="AC644" s="46"/>
      <c r="AD644" s="46"/>
      <c r="AE644" s="46"/>
      <c r="AF644" s="46"/>
      <c r="AG644" s="46"/>
      <c r="AH644" s="46"/>
      <c r="AI644" s="46"/>
      <c r="AJ644" s="46"/>
      <c r="AK644" s="46"/>
      <c r="AL644" s="46"/>
      <c r="AM644" s="46"/>
      <c r="AN644" s="46"/>
      <c r="AO644" s="46"/>
      <c r="AP644" s="46"/>
      <c r="AQ644" s="46"/>
      <c r="AR644" s="46"/>
      <c r="AS644" s="46"/>
      <c r="AT644" s="46"/>
      <c r="AU644" s="46"/>
      <c r="AV644" s="46"/>
      <c r="AW644" s="46"/>
      <c r="AX644" s="46"/>
      <c r="AY644" s="46"/>
      <c r="AZ644" s="46"/>
      <c r="BA644" s="46"/>
      <c r="BB644" s="46"/>
      <c r="BC644" s="46"/>
      <c r="BD644" s="46"/>
      <c r="BE644" s="46"/>
      <c r="BF644" s="46"/>
      <c r="BG644" s="46"/>
      <c r="BH644" s="46"/>
    </row>
    <row r="645" spans="1:60" ht="14.25" customHeight="1" x14ac:dyDescent="0.3">
      <c r="A645" s="46"/>
      <c r="B645" s="37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  <c r="AB645" s="46"/>
      <c r="AC645" s="46"/>
      <c r="AD645" s="46"/>
      <c r="AE645" s="46"/>
      <c r="AF645" s="46"/>
      <c r="AG645" s="46"/>
      <c r="AH645" s="46"/>
      <c r="AI645" s="46"/>
      <c r="AJ645" s="46"/>
      <c r="AK645" s="46"/>
      <c r="AL645" s="46"/>
      <c r="AM645" s="46"/>
      <c r="AN645" s="46"/>
      <c r="AO645" s="46"/>
      <c r="AP645" s="46"/>
      <c r="AQ645" s="46"/>
      <c r="AR645" s="46"/>
      <c r="AS645" s="46"/>
      <c r="AT645" s="46"/>
      <c r="AU645" s="46"/>
      <c r="AV645" s="46"/>
      <c r="AW645" s="46"/>
      <c r="AX645" s="46"/>
      <c r="AY645" s="46"/>
      <c r="AZ645" s="46"/>
      <c r="BA645" s="46"/>
      <c r="BB645" s="46"/>
      <c r="BC645" s="46"/>
      <c r="BD645" s="46"/>
      <c r="BE645" s="46"/>
      <c r="BF645" s="46"/>
      <c r="BG645" s="46"/>
      <c r="BH645" s="46"/>
    </row>
    <row r="646" spans="1:60" ht="14.25" customHeight="1" x14ac:dyDescent="0.3">
      <c r="A646" s="46"/>
      <c r="B646" s="37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  <c r="AC646" s="46"/>
      <c r="AD646" s="46"/>
      <c r="AE646" s="46"/>
      <c r="AF646" s="46"/>
      <c r="AG646" s="46"/>
      <c r="AH646" s="46"/>
      <c r="AI646" s="46"/>
      <c r="AJ646" s="46"/>
      <c r="AK646" s="46"/>
      <c r="AL646" s="46"/>
      <c r="AM646" s="46"/>
      <c r="AN646" s="46"/>
      <c r="AO646" s="46"/>
      <c r="AP646" s="46"/>
      <c r="AQ646" s="46"/>
      <c r="AR646" s="46"/>
      <c r="AS646" s="46"/>
      <c r="AT646" s="46"/>
      <c r="AU646" s="46"/>
      <c r="AV646" s="46"/>
      <c r="AW646" s="46"/>
      <c r="AX646" s="46"/>
      <c r="AY646" s="46"/>
      <c r="AZ646" s="46"/>
      <c r="BA646" s="46"/>
      <c r="BB646" s="46"/>
      <c r="BC646" s="46"/>
      <c r="BD646" s="46"/>
      <c r="BE646" s="46"/>
      <c r="BF646" s="46"/>
      <c r="BG646" s="46"/>
      <c r="BH646" s="46"/>
    </row>
    <row r="647" spans="1:60" ht="14.25" customHeight="1" x14ac:dyDescent="0.3">
      <c r="A647" s="46"/>
      <c r="B647" s="37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  <c r="AC647" s="46"/>
      <c r="AD647" s="46"/>
      <c r="AE647" s="46"/>
      <c r="AF647" s="46"/>
      <c r="AG647" s="46"/>
      <c r="AH647" s="46"/>
      <c r="AI647" s="46"/>
      <c r="AJ647" s="46"/>
      <c r="AK647" s="46"/>
      <c r="AL647" s="46"/>
      <c r="AM647" s="46"/>
      <c r="AN647" s="46"/>
      <c r="AO647" s="46"/>
      <c r="AP647" s="46"/>
      <c r="AQ647" s="46"/>
      <c r="AR647" s="46"/>
      <c r="AS647" s="46"/>
      <c r="AT647" s="46"/>
      <c r="AU647" s="46"/>
      <c r="AV647" s="46"/>
      <c r="AW647" s="46"/>
      <c r="AX647" s="46"/>
      <c r="AY647" s="46"/>
      <c r="AZ647" s="46"/>
      <c r="BA647" s="46"/>
      <c r="BB647" s="46"/>
      <c r="BC647" s="46"/>
      <c r="BD647" s="46"/>
      <c r="BE647" s="46"/>
      <c r="BF647" s="46"/>
      <c r="BG647" s="46"/>
      <c r="BH647" s="46"/>
    </row>
    <row r="648" spans="1:60" ht="14.25" customHeight="1" x14ac:dyDescent="0.3">
      <c r="A648" s="46"/>
      <c r="B648" s="37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  <c r="AB648" s="46"/>
      <c r="AC648" s="46"/>
      <c r="AD648" s="46"/>
      <c r="AE648" s="46"/>
      <c r="AF648" s="46"/>
      <c r="AG648" s="46"/>
      <c r="AH648" s="46"/>
      <c r="AI648" s="46"/>
      <c r="AJ648" s="46"/>
      <c r="AK648" s="46"/>
      <c r="AL648" s="46"/>
      <c r="AM648" s="46"/>
      <c r="AN648" s="46"/>
      <c r="AO648" s="46"/>
      <c r="AP648" s="46"/>
      <c r="AQ648" s="46"/>
      <c r="AR648" s="46"/>
      <c r="AS648" s="46"/>
      <c r="AT648" s="46"/>
      <c r="AU648" s="46"/>
      <c r="AV648" s="46"/>
      <c r="AW648" s="46"/>
      <c r="AX648" s="46"/>
      <c r="AY648" s="46"/>
      <c r="AZ648" s="46"/>
      <c r="BA648" s="46"/>
      <c r="BB648" s="46"/>
      <c r="BC648" s="46"/>
      <c r="BD648" s="46"/>
      <c r="BE648" s="46"/>
      <c r="BF648" s="46"/>
      <c r="BG648" s="46"/>
      <c r="BH648" s="46"/>
    </row>
    <row r="649" spans="1:60" ht="14.25" customHeight="1" x14ac:dyDescent="0.3">
      <c r="A649" s="46"/>
      <c r="B649" s="37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  <c r="AC649" s="46"/>
      <c r="AD649" s="46"/>
      <c r="AE649" s="46"/>
      <c r="AF649" s="46"/>
      <c r="AG649" s="46"/>
      <c r="AH649" s="46"/>
      <c r="AI649" s="46"/>
      <c r="AJ649" s="46"/>
      <c r="AK649" s="46"/>
      <c r="AL649" s="46"/>
      <c r="AM649" s="46"/>
      <c r="AN649" s="46"/>
      <c r="AO649" s="46"/>
      <c r="AP649" s="46"/>
      <c r="AQ649" s="46"/>
      <c r="AR649" s="46"/>
      <c r="AS649" s="46"/>
      <c r="AT649" s="46"/>
      <c r="AU649" s="46"/>
      <c r="AV649" s="46"/>
      <c r="AW649" s="46"/>
      <c r="AX649" s="46"/>
      <c r="AY649" s="46"/>
      <c r="AZ649" s="46"/>
      <c r="BA649" s="46"/>
      <c r="BB649" s="46"/>
      <c r="BC649" s="46"/>
      <c r="BD649" s="46"/>
      <c r="BE649" s="46"/>
      <c r="BF649" s="46"/>
      <c r="BG649" s="46"/>
      <c r="BH649" s="46"/>
    </row>
    <row r="650" spans="1:60" ht="14.25" customHeight="1" x14ac:dyDescent="0.3">
      <c r="A650" s="46"/>
      <c r="B650" s="37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  <c r="AC650" s="46"/>
      <c r="AD650" s="46"/>
      <c r="AE650" s="46"/>
      <c r="AF650" s="46"/>
      <c r="AG650" s="46"/>
      <c r="AH650" s="46"/>
      <c r="AI650" s="46"/>
      <c r="AJ650" s="46"/>
      <c r="AK650" s="46"/>
      <c r="AL650" s="46"/>
      <c r="AM650" s="46"/>
      <c r="AN650" s="46"/>
      <c r="AO650" s="46"/>
      <c r="AP650" s="46"/>
      <c r="AQ650" s="46"/>
      <c r="AR650" s="46"/>
      <c r="AS650" s="46"/>
      <c r="AT650" s="46"/>
      <c r="AU650" s="46"/>
      <c r="AV650" s="46"/>
      <c r="AW650" s="46"/>
      <c r="AX650" s="46"/>
      <c r="AY650" s="46"/>
      <c r="AZ650" s="46"/>
      <c r="BA650" s="46"/>
      <c r="BB650" s="46"/>
      <c r="BC650" s="46"/>
      <c r="BD650" s="46"/>
      <c r="BE650" s="46"/>
      <c r="BF650" s="46"/>
      <c r="BG650" s="46"/>
      <c r="BH650" s="46"/>
    </row>
    <row r="651" spans="1:60" ht="14.25" customHeight="1" x14ac:dyDescent="0.3">
      <c r="A651" s="46"/>
      <c r="B651" s="37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  <c r="AC651" s="46"/>
      <c r="AD651" s="46"/>
      <c r="AE651" s="46"/>
      <c r="AF651" s="46"/>
      <c r="AG651" s="46"/>
      <c r="AH651" s="46"/>
      <c r="AI651" s="46"/>
      <c r="AJ651" s="46"/>
      <c r="AK651" s="46"/>
      <c r="AL651" s="46"/>
      <c r="AM651" s="46"/>
      <c r="AN651" s="46"/>
      <c r="AO651" s="46"/>
      <c r="AP651" s="46"/>
      <c r="AQ651" s="46"/>
      <c r="AR651" s="46"/>
      <c r="AS651" s="46"/>
      <c r="AT651" s="46"/>
      <c r="AU651" s="46"/>
      <c r="AV651" s="46"/>
      <c r="AW651" s="46"/>
      <c r="AX651" s="46"/>
      <c r="AY651" s="46"/>
      <c r="AZ651" s="46"/>
      <c r="BA651" s="46"/>
      <c r="BB651" s="46"/>
      <c r="BC651" s="46"/>
      <c r="BD651" s="46"/>
      <c r="BE651" s="46"/>
      <c r="BF651" s="46"/>
      <c r="BG651" s="46"/>
      <c r="BH651" s="46"/>
    </row>
    <row r="652" spans="1:60" ht="14.25" customHeight="1" x14ac:dyDescent="0.3">
      <c r="A652" s="46"/>
      <c r="B652" s="37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  <c r="AC652" s="46"/>
      <c r="AD652" s="46"/>
      <c r="AE652" s="46"/>
      <c r="AF652" s="46"/>
      <c r="AG652" s="46"/>
      <c r="AH652" s="46"/>
      <c r="AI652" s="46"/>
      <c r="AJ652" s="46"/>
      <c r="AK652" s="46"/>
      <c r="AL652" s="46"/>
      <c r="AM652" s="46"/>
      <c r="AN652" s="46"/>
      <c r="AO652" s="46"/>
      <c r="AP652" s="46"/>
      <c r="AQ652" s="46"/>
      <c r="AR652" s="46"/>
      <c r="AS652" s="46"/>
      <c r="AT652" s="46"/>
      <c r="AU652" s="46"/>
      <c r="AV652" s="46"/>
      <c r="AW652" s="46"/>
      <c r="AX652" s="46"/>
      <c r="AY652" s="46"/>
      <c r="AZ652" s="46"/>
      <c r="BA652" s="46"/>
      <c r="BB652" s="46"/>
      <c r="BC652" s="46"/>
      <c r="BD652" s="46"/>
      <c r="BE652" s="46"/>
      <c r="BF652" s="46"/>
      <c r="BG652" s="46"/>
      <c r="BH652" s="46"/>
    </row>
    <row r="653" spans="1:60" ht="14.25" customHeight="1" x14ac:dyDescent="0.3">
      <c r="A653" s="46"/>
      <c r="B653" s="37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  <c r="AC653" s="46"/>
      <c r="AD653" s="46"/>
      <c r="AE653" s="46"/>
      <c r="AF653" s="46"/>
      <c r="AG653" s="46"/>
      <c r="AH653" s="46"/>
      <c r="AI653" s="46"/>
      <c r="AJ653" s="46"/>
      <c r="AK653" s="46"/>
      <c r="AL653" s="46"/>
      <c r="AM653" s="46"/>
      <c r="AN653" s="46"/>
      <c r="AO653" s="46"/>
      <c r="AP653" s="46"/>
      <c r="AQ653" s="46"/>
      <c r="AR653" s="46"/>
      <c r="AS653" s="46"/>
      <c r="AT653" s="46"/>
      <c r="AU653" s="46"/>
      <c r="AV653" s="46"/>
      <c r="AW653" s="46"/>
      <c r="AX653" s="46"/>
      <c r="AY653" s="46"/>
      <c r="AZ653" s="46"/>
      <c r="BA653" s="46"/>
      <c r="BB653" s="46"/>
      <c r="BC653" s="46"/>
      <c r="BD653" s="46"/>
      <c r="BE653" s="46"/>
      <c r="BF653" s="46"/>
      <c r="BG653" s="46"/>
      <c r="BH653" s="46"/>
    </row>
    <row r="654" spans="1:60" ht="14.25" customHeight="1" x14ac:dyDescent="0.3">
      <c r="A654" s="46"/>
      <c r="B654" s="37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  <c r="AC654" s="46"/>
      <c r="AD654" s="46"/>
      <c r="AE654" s="46"/>
      <c r="AF654" s="46"/>
      <c r="AG654" s="46"/>
      <c r="AH654" s="46"/>
      <c r="AI654" s="46"/>
      <c r="AJ654" s="46"/>
      <c r="AK654" s="46"/>
      <c r="AL654" s="46"/>
      <c r="AM654" s="46"/>
      <c r="AN654" s="46"/>
      <c r="AO654" s="46"/>
      <c r="AP654" s="46"/>
      <c r="AQ654" s="46"/>
      <c r="AR654" s="46"/>
      <c r="AS654" s="46"/>
      <c r="AT654" s="46"/>
      <c r="AU654" s="46"/>
      <c r="AV654" s="46"/>
      <c r="AW654" s="46"/>
      <c r="AX654" s="46"/>
      <c r="AY654" s="46"/>
      <c r="AZ654" s="46"/>
      <c r="BA654" s="46"/>
      <c r="BB654" s="46"/>
      <c r="BC654" s="46"/>
      <c r="BD654" s="46"/>
      <c r="BE654" s="46"/>
      <c r="BF654" s="46"/>
      <c r="BG654" s="46"/>
      <c r="BH654" s="46"/>
    </row>
    <row r="655" spans="1:60" ht="14.25" customHeight="1" x14ac:dyDescent="0.3">
      <c r="A655" s="46"/>
      <c r="B655" s="37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  <c r="AC655" s="46"/>
      <c r="AD655" s="46"/>
      <c r="AE655" s="46"/>
      <c r="AF655" s="46"/>
      <c r="AG655" s="46"/>
      <c r="AH655" s="46"/>
      <c r="AI655" s="46"/>
      <c r="AJ655" s="46"/>
      <c r="AK655" s="46"/>
      <c r="AL655" s="46"/>
      <c r="AM655" s="46"/>
      <c r="AN655" s="46"/>
      <c r="AO655" s="46"/>
      <c r="AP655" s="46"/>
      <c r="AQ655" s="46"/>
      <c r="AR655" s="46"/>
      <c r="AS655" s="46"/>
      <c r="AT655" s="46"/>
      <c r="AU655" s="46"/>
      <c r="AV655" s="46"/>
      <c r="AW655" s="46"/>
      <c r="AX655" s="46"/>
      <c r="AY655" s="46"/>
      <c r="AZ655" s="46"/>
      <c r="BA655" s="46"/>
      <c r="BB655" s="46"/>
      <c r="BC655" s="46"/>
      <c r="BD655" s="46"/>
      <c r="BE655" s="46"/>
      <c r="BF655" s="46"/>
      <c r="BG655" s="46"/>
      <c r="BH655" s="46"/>
    </row>
    <row r="656" spans="1:60" ht="14.25" customHeight="1" x14ac:dyDescent="0.3">
      <c r="A656" s="46"/>
      <c r="B656" s="37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  <c r="AC656" s="46"/>
      <c r="AD656" s="46"/>
      <c r="AE656" s="46"/>
      <c r="AF656" s="46"/>
      <c r="AG656" s="46"/>
      <c r="AH656" s="46"/>
      <c r="AI656" s="46"/>
      <c r="AJ656" s="46"/>
      <c r="AK656" s="46"/>
      <c r="AL656" s="46"/>
      <c r="AM656" s="46"/>
      <c r="AN656" s="46"/>
      <c r="AO656" s="46"/>
      <c r="AP656" s="46"/>
      <c r="AQ656" s="46"/>
      <c r="AR656" s="46"/>
      <c r="AS656" s="46"/>
      <c r="AT656" s="46"/>
      <c r="AU656" s="46"/>
      <c r="AV656" s="46"/>
      <c r="AW656" s="46"/>
      <c r="AX656" s="46"/>
      <c r="AY656" s="46"/>
      <c r="AZ656" s="46"/>
      <c r="BA656" s="46"/>
      <c r="BB656" s="46"/>
      <c r="BC656" s="46"/>
      <c r="BD656" s="46"/>
      <c r="BE656" s="46"/>
      <c r="BF656" s="46"/>
      <c r="BG656" s="46"/>
      <c r="BH656" s="46"/>
    </row>
    <row r="657" spans="1:60" ht="14.25" customHeight="1" x14ac:dyDescent="0.3">
      <c r="A657" s="46"/>
      <c r="B657" s="37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  <c r="AC657" s="46"/>
      <c r="AD657" s="46"/>
      <c r="AE657" s="46"/>
      <c r="AF657" s="46"/>
      <c r="AG657" s="46"/>
      <c r="AH657" s="46"/>
      <c r="AI657" s="46"/>
      <c r="AJ657" s="46"/>
      <c r="AK657" s="46"/>
      <c r="AL657" s="46"/>
      <c r="AM657" s="46"/>
      <c r="AN657" s="46"/>
      <c r="AO657" s="46"/>
      <c r="AP657" s="46"/>
      <c r="AQ657" s="46"/>
      <c r="AR657" s="46"/>
      <c r="AS657" s="46"/>
      <c r="AT657" s="46"/>
      <c r="AU657" s="46"/>
      <c r="AV657" s="46"/>
      <c r="AW657" s="46"/>
      <c r="AX657" s="46"/>
      <c r="AY657" s="46"/>
      <c r="AZ657" s="46"/>
      <c r="BA657" s="46"/>
      <c r="BB657" s="46"/>
      <c r="BC657" s="46"/>
      <c r="BD657" s="46"/>
      <c r="BE657" s="46"/>
      <c r="BF657" s="46"/>
      <c r="BG657" s="46"/>
      <c r="BH657" s="46"/>
    </row>
    <row r="658" spans="1:60" ht="14.25" customHeight="1" x14ac:dyDescent="0.3">
      <c r="A658" s="46"/>
      <c r="B658" s="37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  <c r="AC658" s="46"/>
      <c r="AD658" s="46"/>
      <c r="AE658" s="46"/>
      <c r="AF658" s="46"/>
      <c r="AG658" s="46"/>
      <c r="AH658" s="46"/>
      <c r="AI658" s="46"/>
      <c r="AJ658" s="46"/>
      <c r="AK658" s="46"/>
      <c r="AL658" s="46"/>
      <c r="AM658" s="46"/>
      <c r="AN658" s="46"/>
      <c r="AO658" s="46"/>
      <c r="AP658" s="46"/>
      <c r="AQ658" s="46"/>
      <c r="AR658" s="46"/>
      <c r="AS658" s="46"/>
      <c r="AT658" s="46"/>
      <c r="AU658" s="46"/>
      <c r="AV658" s="46"/>
      <c r="AW658" s="46"/>
      <c r="AX658" s="46"/>
      <c r="AY658" s="46"/>
      <c r="AZ658" s="46"/>
      <c r="BA658" s="46"/>
      <c r="BB658" s="46"/>
      <c r="BC658" s="46"/>
      <c r="BD658" s="46"/>
      <c r="BE658" s="46"/>
      <c r="BF658" s="46"/>
      <c r="BG658" s="46"/>
      <c r="BH658" s="46"/>
    </row>
    <row r="659" spans="1:60" ht="14.25" customHeight="1" x14ac:dyDescent="0.3">
      <c r="A659" s="46"/>
      <c r="B659" s="37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  <c r="AC659" s="46"/>
      <c r="AD659" s="46"/>
      <c r="AE659" s="46"/>
      <c r="AF659" s="46"/>
      <c r="AG659" s="46"/>
      <c r="AH659" s="46"/>
      <c r="AI659" s="46"/>
      <c r="AJ659" s="46"/>
      <c r="AK659" s="46"/>
      <c r="AL659" s="46"/>
      <c r="AM659" s="46"/>
      <c r="AN659" s="46"/>
      <c r="AO659" s="46"/>
      <c r="AP659" s="46"/>
      <c r="AQ659" s="46"/>
      <c r="AR659" s="46"/>
      <c r="AS659" s="46"/>
      <c r="AT659" s="46"/>
      <c r="AU659" s="46"/>
      <c r="AV659" s="46"/>
      <c r="AW659" s="46"/>
      <c r="AX659" s="46"/>
      <c r="AY659" s="46"/>
      <c r="AZ659" s="46"/>
      <c r="BA659" s="46"/>
      <c r="BB659" s="46"/>
      <c r="BC659" s="46"/>
      <c r="BD659" s="46"/>
      <c r="BE659" s="46"/>
      <c r="BF659" s="46"/>
      <c r="BG659" s="46"/>
      <c r="BH659" s="46"/>
    </row>
    <row r="660" spans="1:60" ht="14.25" customHeight="1" x14ac:dyDescent="0.3">
      <c r="A660" s="46"/>
      <c r="B660" s="37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  <c r="AB660" s="46"/>
      <c r="AC660" s="46"/>
      <c r="AD660" s="46"/>
      <c r="AE660" s="46"/>
      <c r="AF660" s="46"/>
      <c r="AG660" s="46"/>
      <c r="AH660" s="46"/>
      <c r="AI660" s="46"/>
      <c r="AJ660" s="46"/>
      <c r="AK660" s="46"/>
      <c r="AL660" s="46"/>
      <c r="AM660" s="46"/>
      <c r="AN660" s="46"/>
      <c r="AO660" s="46"/>
      <c r="AP660" s="46"/>
      <c r="AQ660" s="46"/>
      <c r="AR660" s="46"/>
      <c r="AS660" s="46"/>
      <c r="AT660" s="46"/>
      <c r="AU660" s="46"/>
      <c r="AV660" s="46"/>
      <c r="AW660" s="46"/>
      <c r="AX660" s="46"/>
      <c r="AY660" s="46"/>
      <c r="AZ660" s="46"/>
      <c r="BA660" s="46"/>
      <c r="BB660" s="46"/>
      <c r="BC660" s="46"/>
      <c r="BD660" s="46"/>
      <c r="BE660" s="46"/>
      <c r="BF660" s="46"/>
      <c r="BG660" s="46"/>
      <c r="BH660" s="46"/>
    </row>
    <row r="661" spans="1:60" ht="14.25" customHeight="1" x14ac:dyDescent="0.3">
      <c r="A661" s="46"/>
      <c r="B661" s="37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  <c r="AB661" s="46"/>
      <c r="AC661" s="46"/>
      <c r="AD661" s="46"/>
      <c r="AE661" s="46"/>
      <c r="AF661" s="46"/>
      <c r="AG661" s="46"/>
      <c r="AH661" s="46"/>
      <c r="AI661" s="46"/>
      <c r="AJ661" s="46"/>
      <c r="AK661" s="46"/>
      <c r="AL661" s="46"/>
      <c r="AM661" s="46"/>
      <c r="AN661" s="46"/>
      <c r="AO661" s="46"/>
      <c r="AP661" s="46"/>
      <c r="AQ661" s="46"/>
      <c r="AR661" s="46"/>
      <c r="AS661" s="46"/>
      <c r="AT661" s="46"/>
      <c r="AU661" s="46"/>
      <c r="AV661" s="46"/>
      <c r="AW661" s="46"/>
      <c r="AX661" s="46"/>
      <c r="AY661" s="46"/>
      <c r="AZ661" s="46"/>
      <c r="BA661" s="46"/>
      <c r="BB661" s="46"/>
      <c r="BC661" s="46"/>
      <c r="BD661" s="46"/>
      <c r="BE661" s="46"/>
      <c r="BF661" s="46"/>
      <c r="BG661" s="46"/>
      <c r="BH661" s="46"/>
    </row>
    <row r="662" spans="1:60" ht="14.25" customHeight="1" x14ac:dyDescent="0.3">
      <c r="A662" s="46"/>
      <c r="B662" s="37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  <c r="AB662" s="46"/>
      <c r="AC662" s="46"/>
      <c r="AD662" s="46"/>
      <c r="AE662" s="46"/>
      <c r="AF662" s="46"/>
      <c r="AG662" s="46"/>
      <c r="AH662" s="46"/>
      <c r="AI662" s="46"/>
      <c r="AJ662" s="46"/>
      <c r="AK662" s="46"/>
      <c r="AL662" s="46"/>
      <c r="AM662" s="46"/>
      <c r="AN662" s="46"/>
      <c r="AO662" s="46"/>
      <c r="AP662" s="46"/>
      <c r="AQ662" s="46"/>
      <c r="AR662" s="46"/>
      <c r="AS662" s="46"/>
      <c r="AT662" s="46"/>
      <c r="AU662" s="46"/>
      <c r="AV662" s="46"/>
      <c r="AW662" s="46"/>
      <c r="AX662" s="46"/>
      <c r="AY662" s="46"/>
      <c r="AZ662" s="46"/>
      <c r="BA662" s="46"/>
      <c r="BB662" s="46"/>
      <c r="BC662" s="46"/>
      <c r="BD662" s="46"/>
      <c r="BE662" s="46"/>
      <c r="BF662" s="46"/>
      <c r="BG662" s="46"/>
      <c r="BH662" s="46"/>
    </row>
    <row r="663" spans="1:60" ht="14.25" customHeight="1" x14ac:dyDescent="0.3">
      <c r="A663" s="46"/>
      <c r="B663" s="37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  <c r="AB663" s="46"/>
      <c r="AC663" s="46"/>
      <c r="AD663" s="46"/>
      <c r="AE663" s="46"/>
      <c r="AF663" s="46"/>
      <c r="AG663" s="46"/>
      <c r="AH663" s="46"/>
      <c r="AI663" s="46"/>
      <c r="AJ663" s="46"/>
      <c r="AK663" s="46"/>
      <c r="AL663" s="46"/>
      <c r="AM663" s="46"/>
      <c r="AN663" s="46"/>
      <c r="AO663" s="46"/>
      <c r="AP663" s="46"/>
      <c r="AQ663" s="46"/>
      <c r="AR663" s="46"/>
      <c r="AS663" s="46"/>
      <c r="AT663" s="46"/>
      <c r="AU663" s="46"/>
      <c r="AV663" s="46"/>
      <c r="AW663" s="46"/>
      <c r="AX663" s="46"/>
      <c r="AY663" s="46"/>
      <c r="AZ663" s="46"/>
      <c r="BA663" s="46"/>
      <c r="BB663" s="46"/>
      <c r="BC663" s="46"/>
      <c r="BD663" s="46"/>
      <c r="BE663" s="46"/>
      <c r="BF663" s="46"/>
      <c r="BG663" s="46"/>
      <c r="BH663" s="46"/>
    </row>
    <row r="664" spans="1:60" ht="14.25" customHeight="1" x14ac:dyDescent="0.3">
      <c r="A664" s="46"/>
      <c r="B664" s="37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  <c r="AC664" s="46"/>
      <c r="AD664" s="46"/>
      <c r="AE664" s="46"/>
      <c r="AF664" s="46"/>
      <c r="AG664" s="46"/>
      <c r="AH664" s="46"/>
      <c r="AI664" s="46"/>
      <c r="AJ664" s="46"/>
      <c r="AK664" s="46"/>
      <c r="AL664" s="46"/>
      <c r="AM664" s="46"/>
      <c r="AN664" s="46"/>
      <c r="AO664" s="46"/>
      <c r="AP664" s="46"/>
      <c r="AQ664" s="46"/>
      <c r="AR664" s="46"/>
      <c r="AS664" s="46"/>
      <c r="AT664" s="46"/>
      <c r="AU664" s="46"/>
      <c r="AV664" s="46"/>
      <c r="AW664" s="46"/>
      <c r="AX664" s="46"/>
      <c r="AY664" s="46"/>
      <c r="AZ664" s="46"/>
      <c r="BA664" s="46"/>
      <c r="BB664" s="46"/>
      <c r="BC664" s="46"/>
      <c r="BD664" s="46"/>
      <c r="BE664" s="46"/>
      <c r="BF664" s="46"/>
      <c r="BG664" s="46"/>
      <c r="BH664" s="46"/>
    </row>
    <row r="665" spans="1:60" ht="14.25" customHeight="1" x14ac:dyDescent="0.3">
      <c r="A665" s="46"/>
      <c r="B665" s="37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  <c r="AB665" s="46"/>
      <c r="AC665" s="46"/>
      <c r="AD665" s="46"/>
      <c r="AE665" s="46"/>
      <c r="AF665" s="46"/>
      <c r="AG665" s="46"/>
      <c r="AH665" s="46"/>
      <c r="AI665" s="46"/>
      <c r="AJ665" s="46"/>
      <c r="AK665" s="46"/>
      <c r="AL665" s="46"/>
      <c r="AM665" s="46"/>
      <c r="AN665" s="46"/>
      <c r="AO665" s="46"/>
      <c r="AP665" s="46"/>
      <c r="AQ665" s="46"/>
      <c r="AR665" s="46"/>
      <c r="AS665" s="46"/>
      <c r="AT665" s="46"/>
      <c r="AU665" s="46"/>
      <c r="AV665" s="46"/>
      <c r="AW665" s="46"/>
      <c r="AX665" s="46"/>
      <c r="AY665" s="46"/>
      <c r="AZ665" s="46"/>
      <c r="BA665" s="46"/>
      <c r="BB665" s="46"/>
      <c r="BC665" s="46"/>
      <c r="BD665" s="46"/>
      <c r="BE665" s="46"/>
      <c r="BF665" s="46"/>
      <c r="BG665" s="46"/>
      <c r="BH665" s="46"/>
    </row>
    <row r="666" spans="1:60" ht="14.25" customHeight="1" x14ac:dyDescent="0.3">
      <c r="A666" s="46"/>
      <c r="B666" s="37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  <c r="AB666" s="46"/>
      <c r="AC666" s="46"/>
      <c r="AD666" s="46"/>
      <c r="AE666" s="46"/>
      <c r="AF666" s="46"/>
      <c r="AG666" s="46"/>
      <c r="AH666" s="46"/>
      <c r="AI666" s="46"/>
      <c r="AJ666" s="46"/>
      <c r="AK666" s="46"/>
      <c r="AL666" s="46"/>
      <c r="AM666" s="46"/>
      <c r="AN666" s="46"/>
      <c r="AO666" s="46"/>
      <c r="AP666" s="46"/>
      <c r="AQ666" s="46"/>
      <c r="AR666" s="46"/>
      <c r="AS666" s="46"/>
      <c r="AT666" s="46"/>
      <c r="AU666" s="46"/>
      <c r="AV666" s="46"/>
      <c r="AW666" s="46"/>
      <c r="AX666" s="46"/>
      <c r="AY666" s="46"/>
      <c r="AZ666" s="46"/>
      <c r="BA666" s="46"/>
      <c r="BB666" s="46"/>
      <c r="BC666" s="46"/>
      <c r="BD666" s="46"/>
      <c r="BE666" s="46"/>
      <c r="BF666" s="46"/>
      <c r="BG666" s="46"/>
      <c r="BH666" s="46"/>
    </row>
    <row r="667" spans="1:60" ht="14.25" customHeight="1" x14ac:dyDescent="0.3">
      <c r="A667" s="46"/>
      <c r="B667" s="37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  <c r="AB667" s="46"/>
      <c r="AC667" s="46"/>
      <c r="AD667" s="46"/>
      <c r="AE667" s="46"/>
      <c r="AF667" s="46"/>
      <c r="AG667" s="46"/>
      <c r="AH667" s="46"/>
      <c r="AI667" s="46"/>
      <c r="AJ667" s="46"/>
      <c r="AK667" s="46"/>
      <c r="AL667" s="46"/>
      <c r="AM667" s="46"/>
      <c r="AN667" s="46"/>
      <c r="AO667" s="46"/>
      <c r="AP667" s="46"/>
      <c r="AQ667" s="46"/>
      <c r="AR667" s="46"/>
      <c r="AS667" s="46"/>
      <c r="AT667" s="46"/>
      <c r="AU667" s="46"/>
      <c r="AV667" s="46"/>
      <c r="AW667" s="46"/>
      <c r="AX667" s="46"/>
      <c r="AY667" s="46"/>
      <c r="AZ667" s="46"/>
      <c r="BA667" s="46"/>
      <c r="BB667" s="46"/>
      <c r="BC667" s="46"/>
      <c r="BD667" s="46"/>
      <c r="BE667" s="46"/>
      <c r="BF667" s="46"/>
      <c r="BG667" s="46"/>
      <c r="BH667" s="46"/>
    </row>
    <row r="668" spans="1:60" ht="14.25" customHeight="1" x14ac:dyDescent="0.3">
      <c r="A668" s="46"/>
      <c r="B668" s="37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  <c r="AB668" s="46"/>
      <c r="AC668" s="46"/>
      <c r="AD668" s="46"/>
      <c r="AE668" s="46"/>
      <c r="AF668" s="46"/>
      <c r="AG668" s="46"/>
      <c r="AH668" s="46"/>
      <c r="AI668" s="46"/>
      <c r="AJ668" s="46"/>
      <c r="AK668" s="46"/>
      <c r="AL668" s="46"/>
      <c r="AM668" s="46"/>
      <c r="AN668" s="46"/>
      <c r="AO668" s="46"/>
      <c r="AP668" s="46"/>
      <c r="AQ668" s="46"/>
      <c r="AR668" s="46"/>
      <c r="AS668" s="46"/>
      <c r="AT668" s="46"/>
      <c r="AU668" s="46"/>
      <c r="AV668" s="46"/>
      <c r="AW668" s="46"/>
      <c r="AX668" s="46"/>
      <c r="AY668" s="46"/>
      <c r="AZ668" s="46"/>
      <c r="BA668" s="46"/>
      <c r="BB668" s="46"/>
      <c r="BC668" s="46"/>
      <c r="BD668" s="46"/>
      <c r="BE668" s="46"/>
      <c r="BF668" s="46"/>
      <c r="BG668" s="46"/>
      <c r="BH668" s="46"/>
    </row>
    <row r="669" spans="1:60" ht="14.25" customHeight="1" x14ac:dyDescent="0.3">
      <c r="A669" s="46"/>
      <c r="B669" s="37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  <c r="AB669" s="46"/>
      <c r="AC669" s="46"/>
      <c r="AD669" s="46"/>
      <c r="AE669" s="46"/>
      <c r="AF669" s="46"/>
      <c r="AG669" s="46"/>
      <c r="AH669" s="46"/>
      <c r="AI669" s="46"/>
      <c r="AJ669" s="46"/>
      <c r="AK669" s="46"/>
      <c r="AL669" s="46"/>
      <c r="AM669" s="46"/>
      <c r="AN669" s="46"/>
      <c r="AO669" s="46"/>
      <c r="AP669" s="46"/>
      <c r="AQ669" s="46"/>
      <c r="AR669" s="46"/>
      <c r="AS669" s="46"/>
      <c r="AT669" s="46"/>
      <c r="AU669" s="46"/>
      <c r="AV669" s="46"/>
      <c r="AW669" s="46"/>
      <c r="AX669" s="46"/>
      <c r="AY669" s="46"/>
      <c r="AZ669" s="46"/>
      <c r="BA669" s="46"/>
      <c r="BB669" s="46"/>
      <c r="BC669" s="46"/>
      <c r="BD669" s="46"/>
      <c r="BE669" s="46"/>
      <c r="BF669" s="46"/>
      <c r="BG669" s="46"/>
      <c r="BH669" s="46"/>
    </row>
    <row r="670" spans="1:60" ht="14.25" customHeight="1" x14ac:dyDescent="0.3">
      <c r="A670" s="46"/>
      <c r="B670" s="37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  <c r="AB670" s="46"/>
      <c r="AC670" s="46"/>
      <c r="AD670" s="46"/>
      <c r="AE670" s="46"/>
      <c r="AF670" s="46"/>
      <c r="AG670" s="46"/>
      <c r="AH670" s="46"/>
      <c r="AI670" s="46"/>
      <c r="AJ670" s="46"/>
      <c r="AK670" s="46"/>
      <c r="AL670" s="46"/>
      <c r="AM670" s="46"/>
      <c r="AN670" s="46"/>
      <c r="AO670" s="46"/>
      <c r="AP670" s="46"/>
      <c r="AQ670" s="46"/>
      <c r="AR670" s="46"/>
      <c r="AS670" s="46"/>
      <c r="AT670" s="46"/>
      <c r="AU670" s="46"/>
      <c r="AV670" s="46"/>
      <c r="AW670" s="46"/>
      <c r="AX670" s="46"/>
      <c r="AY670" s="46"/>
      <c r="AZ670" s="46"/>
      <c r="BA670" s="46"/>
      <c r="BB670" s="46"/>
      <c r="BC670" s="46"/>
      <c r="BD670" s="46"/>
      <c r="BE670" s="46"/>
      <c r="BF670" s="46"/>
      <c r="BG670" s="46"/>
      <c r="BH670" s="46"/>
    </row>
    <row r="671" spans="1:60" ht="14.25" customHeight="1" x14ac:dyDescent="0.3">
      <c r="A671" s="46"/>
      <c r="B671" s="37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  <c r="AC671" s="46"/>
      <c r="AD671" s="46"/>
      <c r="AE671" s="46"/>
      <c r="AF671" s="46"/>
      <c r="AG671" s="46"/>
      <c r="AH671" s="46"/>
      <c r="AI671" s="46"/>
      <c r="AJ671" s="46"/>
      <c r="AK671" s="46"/>
      <c r="AL671" s="46"/>
      <c r="AM671" s="46"/>
      <c r="AN671" s="46"/>
      <c r="AO671" s="46"/>
      <c r="AP671" s="46"/>
      <c r="AQ671" s="46"/>
      <c r="AR671" s="46"/>
      <c r="AS671" s="46"/>
      <c r="AT671" s="46"/>
      <c r="AU671" s="46"/>
      <c r="AV671" s="46"/>
      <c r="AW671" s="46"/>
      <c r="AX671" s="46"/>
      <c r="AY671" s="46"/>
      <c r="AZ671" s="46"/>
      <c r="BA671" s="46"/>
      <c r="BB671" s="46"/>
      <c r="BC671" s="46"/>
      <c r="BD671" s="46"/>
      <c r="BE671" s="46"/>
      <c r="BF671" s="46"/>
      <c r="BG671" s="46"/>
      <c r="BH671" s="46"/>
    </row>
    <row r="672" spans="1:60" ht="14.25" customHeight="1" x14ac:dyDescent="0.3">
      <c r="A672" s="46"/>
      <c r="B672" s="37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  <c r="AB672" s="46"/>
      <c r="AC672" s="46"/>
      <c r="AD672" s="46"/>
      <c r="AE672" s="46"/>
      <c r="AF672" s="46"/>
      <c r="AG672" s="46"/>
      <c r="AH672" s="46"/>
      <c r="AI672" s="46"/>
      <c r="AJ672" s="46"/>
      <c r="AK672" s="46"/>
      <c r="AL672" s="46"/>
      <c r="AM672" s="46"/>
      <c r="AN672" s="46"/>
      <c r="AO672" s="46"/>
      <c r="AP672" s="46"/>
      <c r="AQ672" s="46"/>
      <c r="AR672" s="46"/>
      <c r="AS672" s="46"/>
      <c r="AT672" s="46"/>
      <c r="AU672" s="46"/>
      <c r="AV672" s="46"/>
      <c r="AW672" s="46"/>
      <c r="AX672" s="46"/>
      <c r="AY672" s="46"/>
      <c r="AZ672" s="46"/>
      <c r="BA672" s="46"/>
      <c r="BB672" s="46"/>
      <c r="BC672" s="46"/>
      <c r="BD672" s="46"/>
      <c r="BE672" s="46"/>
      <c r="BF672" s="46"/>
      <c r="BG672" s="46"/>
      <c r="BH672" s="46"/>
    </row>
    <row r="673" spans="1:60" ht="14.25" customHeight="1" x14ac:dyDescent="0.3">
      <c r="A673" s="46"/>
      <c r="B673" s="37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  <c r="AC673" s="46"/>
      <c r="AD673" s="46"/>
      <c r="AE673" s="46"/>
      <c r="AF673" s="46"/>
      <c r="AG673" s="46"/>
      <c r="AH673" s="46"/>
      <c r="AI673" s="46"/>
      <c r="AJ673" s="46"/>
      <c r="AK673" s="46"/>
      <c r="AL673" s="46"/>
      <c r="AM673" s="46"/>
      <c r="AN673" s="46"/>
      <c r="AO673" s="46"/>
      <c r="AP673" s="46"/>
      <c r="AQ673" s="46"/>
      <c r="AR673" s="46"/>
      <c r="AS673" s="46"/>
      <c r="AT673" s="46"/>
      <c r="AU673" s="46"/>
      <c r="AV673" s="46"/>
      <c r="AW673" s="46"/>
      <c r="AX673" s="46"/>
      <c r="AY673" s="46"/>
      <c r="AZ673" s="46"/>
      <c r="BA673" s="46"/>
      <c r="BB673" s="46"/>
      <c r="BC673" s="46"/>
      <c r="BD673" s="46"/>
      <c r="BE673" s="46"/>
      <c r="BF673" s="46"/>
      <c r="BG673" s="46"/>
      <c r="BH673" s="46"/>
    </row>
    <row r="674" spans="1:60" ht="14.25" customHeight="1" x14ac:dyDescent="0.3">
      <c r="A674" s="46"/>
      <c r="B674" s="37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  <c r="AC674" s="46"/>
      <c r="AD674" s="46"/>
      <c r="AE674" s="46"/>
      <c r="AF674" s="46"/>
      <c r="AG674" s="46"/>
      <c r="AH674" s="46"/>
      <c r="AI674" s="46"/>
      <c r="AJ674" s="46"/>
      <c r="AK674" s="46"/>
      <c r="AL674" s="46"/>
      <c r="AM674" s="46"/>
      <c r="AN674" s="46"/>
      <c r="AO674" s="46"/>
      <c r="AP674" s="46"/>
      <c r="AQ674" s="46"/>
      <c r="AR674" s="46"/>
      <c r="AS674" s="46"/>
      <c r="AT674" s="46"/>
      <c r="AU674" s="46"/>
      <c r="AV674" s="46"/>
      <c r="AW674" s="46"/>
      <c r="AX674" s="46"/>
      <c r="AY674" s="46"/>
      <c r="AZ674" s="46"/>
      <c r="BA674" s="46"/>
      <c r="BB674" s="46"/>
      <c r="BC674" s="46"/>
      <c r="BD674" s="46"/>
      <c r="BE674" s="46"/>
      <c r="BF674" s="46"/>
      <c r="BG674" s="46"/>
      <c r="BH674" s="46"/>
    </row>
    <row r="675" spans="1:60" ht="14.25" customHeight="1" x14ac:dyDescent="0.3">
      <c r="A675" s="46"/>
      <c r="B675" s="37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  <c r="AB675" s="46"/>
      <c r="AC675" s="46"/>
      <c r="AD675" s="46"/>
      <c r="AE675" s="46"/>
      <c r="AF675" s="46"/>
      <c r="AG675" s="46"/>
      <c r="AH675" s="46"/>
      <c r="AI675" s="46"/>
      <c r="AJ675" s="46"/>
      <c r="AK675" s="46"/>
      <c r="AL675" s="46"/>
      <c r="AM675" s="46"/>
      <c r="AN675" s="46"/>
      <c r="AO675" s="46"/>
      <c r="AP675" s="46"/>
      <c r="AQ675" s="46"/>
      <c r="AR675" s="46"/>
      <c r="AS675" s="46"/>
      <c r="AT675" s="46"/>
      <c r="AU675" s="46"/>
      <c r="AV675" s="46"/>
      <c r="AW675" s="46"/>
      <c r="AX675" s="46"/>
      <c r="AY675" s="46"/>
      <c r="AZ675" s="46"/>
      <c r="BA675" s="46"/>
      <c r="BB675" s="46"/>
      <c r="BC675" s="46"/>
      <c r="BD675" s="46"/>
      <c r="BE675" s="46"/>
      <c r="BF675" s="46"/>
      <c r="BG675" s="46"/>
      <c r="BH675" s="46"/>
    </row>
    <row r="676" spans="1:60" ht="14.25" customHeight="1" x14ac:dyDescent="0.3">
      <c r="A676" s="46"/>
      <c r="B676" s="37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  <c r="AB676" s="46"/>
      <c r="AC676" s="46"/>
      <c r="AD676" s="46"/>
      <c r="AE676" s="46"/>
      <c r="AF676" s="46"/>
      <c r="AG676" s="46"/>
      <c r="AH676" s="46"/>
      <c r="AI676" s="46"/>
      <c r="AJ676" s="46"/>
      <c r="AK676" s="46"/>
      <c r="AL676" s="46"/>
      <c r="AM676" s="46"/>
      <c r="AN676" s="46"/>
      <c r="AO676" s="46"/>
      <c r="AP676" s="46"/>
      <c r="AQ676" s="46"/>
      <c r="AR676" s="46"/>
      <c r="AS676" s="46"/>
      <c r="AT676" s="46"/>
      <c r="AU676" s="46"/>
      <c r="AV676" s="46"/>
      <c r="AW676" s="46"/>
      <c r="AX676" s="46"/>
      <c r="AY676" s="46"/>
      <c r="AZ676" s="46"/>
      <c r="BA676" s="46"/>
      <c r="BB676" s="46"/>
      <c r="BC676" s="46"/>
      <c r="BD676" s="46"/>
      <c r="BE676" s="46"/>
      <c r="BF676" s="46"/>
      <c r="BG676" s="46"/>
      <c r="BH676" s="46"/>
    </row>
    <row r="677" spans="1:60" ht="14.25" customHeight="1" x14ac:dyDescent="0.3">
      <c r="A677" s="46"/>
      <c r="B677" s="37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  <c r="AC677" s="46"/>
      <c r="AD677" s="46"/>
      <c r="AE677" s="46"/>
      <c r="AF677" s="46"/>
      <c r="AG677" s="46"/>
      <c r="AH677" s="46"/>
      <c r="AI677" s="46"/>
      <c r="AJ677" s="46"/>
      <c r="AK677" s="46"/>
      <c r="AL677" s="46"/>
      <c r="AM677" s="46"/>
      <c r="AN677" s="46"/>
      <c r="AO677" s="46"/>
      <c r="AP677" s="46"/>
      <c r="AQ677" s="46"/>
      <c r="AR677" s="46"/>
      <c r="AS677" s="46"/>
      <c r="AT677" s="46"/>
      <c r="AU677" s="46"/>
      <c r="AV677" s="46"/>
      <c r="AW677" s="46"/>
      <c r="AX677" s="46"/>
      <c r="AY677" s="46"/>
      <c r="AZ677" s="46"/>
      <c r="BA677" s="46"/>
      <c r="BB677" s="46"/>
      <c r="BC677" s="46"/>
      <c r="BD677" s="46"/>
      <c r="BE677" s="46"/>
      <c r="BF677" s="46"/>
      <c r="BG677" s="46"/>
      <c r="BH677" s="46"/>
    </row>
    <row r="678" spans="1:60" ht="14.25" customHeight="1" x14ac:dyDescent="0.3">
      <c r="A678" s="46"/>
      <c r="B678" s="37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  <c r="AB678" s="46"/>
      <c r="AC678" s="46"/>
      <c r="AD678" s="46"/>
      <c r="AE678" s="46"/>
      <c r="AF678" s="46"/>
      <c r="AG678" s="46"/>
      <c r="AH678" s="46"/>
      <c r="AI678" s="46"/>
      <c r="AJ678" s="46"/>
      <c r="AK678" s="46"/>
      <c r="AL678" s="46"/>
      <c r="AM678" s="46"/>
      <c r="AN678" s="46"/>
      <c r="AO678" s="46"/>
      <c r="AP678" s="46"/>
      <c r="AQ678" s="46"/>
      <c r="AR678" s="46"/>
      <c r="AS678" s="46"/>
      <c r="AT678" s="46"/>
      <c r="AU678" s="46"/>
      <c r="AV678" s="46"/>
      <c r="AW678" s="46"/>
      <c r="AX678" s="46"/>
      <c r="AY678" s="46"/>
      <c r="AZ678" s="46"/>
      <c r="BA678" s="46"/>
      <c r="BB678" s="46"/>
      <c r="BC678" s="46"/>
      <c r="BD678" s="46"/>
      <c r="BE678" s="46"/>
      <c r="BF678" s="46"/>
      <c r="BG678" s="46"/>
      <c r="BH678" s="46"/>
    </row>
    <row r="679" spans="1:60" ht="14.25" customHeight="1" x14ac:dyDescent="0.3">
      <c r="A679" s="46"/>
      <c r="B679" s="37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  <c r="AB679" s="46"/>
      <c r="AC679" s="46"/>
      <c r="AD679" s="46"/>
      <c r="AE679" s="46"/>
      <c r="AF679" s="46"/>
      <c r="AG679" s="46"/>
      <c r="AH679" s="46"/>
      <c r="AI679" s="46"/>
      <c r="AJ679" s="46"/>
      <c r="AK679" s="46"/>
      <c r="AL679" s="46"/>
      <c r="AM679" s="46"/>
      <c r="AN679" s="46"/>
      <c r="AO679" s="46"/>
      <c r="AP679" s="46"/>
      <c r="AQ679" s="46"/>
      <c r="AR679" s="46"/>
      <c r="AS679" s="46"/>
      <c r="AT679" s="46"/>
      <c r="AU679" s="46"/>
      <c r="AV679" s="46"/>
      <c r="AW679" s="46"/>
      <c r="AX679" s="46"/>
      <c r="AY679" s="46"/>
      <c r="AZ679" s="46"/>
      <c r="BA679" s="46"/>
      <c r="BB679" s="46"/>
      <c r="BC679" s="46"/>
      <c r="BD679" s="46"/>
      <c r="BE679" s="46"/>
      <c r="BF679" s="46"/>
      <c r="BG679" s="46"/>
      <c r="BH679" s="46"/>
    </row>
    <row r="680" spans="1:60" ht="14.25" customHeight="1" x14ac:dyDescent="0.3">
      <c r="A680" s="46"/>
      <c r="B680" s="37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  <c r="AB680" s="46"/>
      <c r="AC680" s="46"/>
      <c r="AD680" s="46"/>
      <c r="AE680" s="46"/>
      <c r="AF680" s="46"/>
      <c r="AG680" s="46"/>
      <c r="AH680" s="46"/>
      <c r="AI680" s="46"/>
      <c r="AJ680" s="46"/>
      <c r="AK680" s="46"/>
      <c r="AL680" s="46"/>
      <c r="AM680" s="46"/>
      <c r="AN680" s="46"/>
      <c r="AO680" s="46"/>
      <c r="AP680" s="46"/>
      <c r="AQ680" s="46"/>
      <c r="AR680" s="46"/>
      <c r="AS680" s="46"/>
      <c r="AT680" s="46"/>
      <c r="AU680" s="46"/>
      <c r="AV680" s="46"/>
      <c r="AW680" s="46"/>
      <c r="AX680" s="46"/>
      <c r="AY680" s="46"/>
      <c r="AZ680" s="46"/>
      <c r="BA680" s="46"/>
      <c r="BB680" s="46"/>
      <c r="BC680" s="46"/>
      <c r="BD680" s="46"/>
      <c r="BE680" s="46"/>
      <c r="BF680" s="46"/>
      <c r="BG680" s="46"/>
      <c r="BH680" s="46"/>
    </row>
    <row r="681" spans="1:60" ht="14.25" customHeight="1" x14ac:dyDescent="0.3">
      <c r="A681" s="46"/>
      <c r="B681" s="37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  <c r="AB681" s="46"/>
      <c r="AC681" s="46"/>
      <c r="AD681" s="46"/>
      <c r="AE681" s="46"/>
      <c r="AF681" s="46"/>
      <c r="AG681" s="46"/>
      <c r="AH681" s="46"/>
      <c r="AI681" s="46"/>
      <c r="AJ681" s="46"/>
      <c r="AK681" s="46"/>
      <c r="AL681" s="46"/>
      <c r="AM681" s="46"/>
      <c r="AN681" s="46"/>
      <c r="AO681" s="46"/>
      <c r="AP681" s="46"/>
      <c r="AQ681" s="46"/>
      <c r="AR681" s="46"/>
      <c r="AS681" s="46"/>
      <c r="AT681" s="46"/>
      <c r="AU681" s="46"/>
      <c r="AV681" s="46"/>
      <c r="AW681" s="46"/>
      <c r="AX681" s="46"/>
      <c r="AY681" s="46"/>
      <c r="AZ681" s="46"/>
      <c r="BA681" s="46"/>
      <c r="BB681" s="46"/>
      <c r="BC681" s="46"/>
      <c r="BD681" s="46"/>
      <c r="BE681" s="46"/>
      <c r="BF681" s="46"/>
      <c r="BG681" s="46"/>
      <c r="BH681" s="46"/>
    </row>
    <row r="682" spans="1:60" ht="14.25" customHeight="1" x14ac:dyDescent="0.3">
      <c r="A682" s="46"/>
      <c r="B682" s="37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  <c r="AB682" s="46"/>
      <c r="AC682" s="46"/>
      <c r="AD682" s="46"/>
      <c r="AE682" s="46"/>
      <c r="AF682" s="46"/>
      <c r="AG682" s="46"/>
      <c r="AH682" s="46"/>
      <c r="AI682" s="46"/>
      <c r="AJ682" s="46"/>
      <c r="AK682" s="46"/>
      <c r="AL682" s="46"/>
      <c r="AM682" s="46"/>
      <c r="AN682" s="46"/>
      <c r="AO682" s="46"/>
      <c r="AP682" s="46"/>
      <c r="AQ682" s="46"/>
      <c r="AR682" s="46"/>
      <c r="AS682" s="46"/>
      <c r="AT682" s="46"/>
      <c r="AU682" s="46"/>
      <c r="AV682" s="46"/>
      <c r="AW682" s="46"/>
      <c r="AX682" s="46"/>
      <c r="AY682" s="46"/>
      <c r="AZ682" s="46"/>
      <c r="BA682" s="46"/>
      <c r="BB682" s="46"/>
      <c r="BC682" s="46"/>
      <c r="BD682" s="46"/>
      <c r="BE682" s="46"/>
      <c r="BF682" s="46"/>
      <c r="BG682" s="46"/>
      <c r="BH682" s="46"/>
    </row>
    <row r="683" spans="1:60" ht="14.25" customHeight="1" x14ac:dyDescent="0.3">
      <c r="A683" s="46"/>
      <c r="B683" s="37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  <c r="AB683" s="46"/>
      <c r="AC683" s="46"/>
      <c r="AD683" s="46"/>
      <c r="AE683" s="46"/>
      <c r="AF683" s="46"/>
      <c r="AG683" s="46"/>
      <c r="AH683" s="46"/>
      <c r="AI683" s="46"/>
      <c r="AJ683" s="46"/>
      <c r="AK683" s="46"/>
      <c r="AL683" s="46"/>
      <c r="AM683" s="46"/>
      <c r="AN683" s="46"/>
      <c r="AO683" s="46"/>
      <c r="AP683" s="46"/>
      <c r="AQ683" s="46"/>
      <c r="AR683" s="46"/>
      <c r="AS683" s="46"/>
      <c r="AT683" s="46"/>
      <c r="AU683" s="46"/>
      <c r="AV683" s="46"/>
      <c r="AW683" s="46"/>
      <c r="AX683" s="46"/>
      <c r="AY683" s="46"/>
      <c r="AZ683" s="46"/>
      <c r="BA683" s="46"/>
      <c r="BB683" s="46"/>
      <c r="BC683" s="46"/>
      <c r="BD683" s="46"/>
      <c r="BE683" s="46"/>
      <c r="BF683" s="46"/>
      <c r="BG683" s="46"/>
      <c r="BH683" s="46"/>
    </row>
    <row r="684" spans="1:60" ht="14.25" customHeight="1" x14ac:dyDescent="0.3">
      <c r="A684" s="46"/>
      <c r="B684" s="37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  <c r="AB684" s="46"/>
      <c r="AC684" s="46"/>
      <c r="AD684" s="46"/>
      <c r="AE684" s="46"/>
      <c r="AF684" s="46"/>
      <c r="AG684" s="46"/>
      <c r="AH684" s="46"/>
      <c r="AI684" s="46"/>
      <c r="AJ684" s="46"/>
      <c r="AK684" s="46"/>
      <c r="AL684" s="46"/>
      <c r="AM684" s="46"/>
      <c r="AN684" s="46"/>
      <c r="AO684" s="46"/>
      <c r="AP684" s="46"/>
      <c r="AQ684" s="46"/>
      <c r="AR684" s="46"/>
      <c r="AS684" s="46"/>
      <c r="AT684" s="46"/>
      <c r="AU684" s="46"/>
      <c r="AV684" s="46"/>
      <c r="AW684" s="46"/>
      <c r="AX684" s="46"/>
      <c r="AY684" s="46"/>
      <c r="AZ684" s="46"/>
      <c r="BA684" s="46"/>
      <c r="BB684" s="46"/>
      <c r="BC684" s="46"/>
      <c r="BD684" s="46"/>
      <c r="BE684" s="46"/>
      <c r="BF684" s="46"/>
      <c r="BG684" s="46"/>
      <c r="BH684" s="46"/>
    </row>
    <row r="685" spans="1:60" ht="14.25" customHeight="1" x14ac:dyDescent="0.3">
      <c r="A685" s="46"/>
      <c r="B685" s="37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  <c r="AB685" s="46"/>
      <c r="AC685" s="46"/>
      <c r="AD685" s="46"/>
      <c r="AE685" s="46"/>
      <c r="AF685" s="46"/>
      <c r="AG685" s="46"/>
      <c r="AH685" s="46"/>
      <c r="AI685" s="46"/>
      <c r="AJ685" s="46"/>
      <c r="AK685" s="46"/>
      <c r="AL685" s="46"/>
      <c r="AM685" s="46"/>
      <c r="AN685" s="46"/>
      <c r="AO685" s="46"/>
      <c r="AP685" s="46"/>
      <c r="AQ685" s="46"/>
      <c r="AR685" s="46"/>
      <c r="AS685" s="46"/>
      <c r="AT685" s="46"/>
      <c r="AU685" s="46"/>
      <c r="AV685" s="46"/>
      <c r="AW685" s="46"/>
      <c r="AX685" s="46"/>
      <c r="AY685" s="46"/>
      <c r="AZ685" s="46"/>
      <c r="BA685" s="46"/>
      <c r="BB685" s="46"/>
      <c r="BC685" s="46"/>
      <c r="BD685" s="46"/>
      <c r="BE685" s="46"/>
      <c r="BF685" s="46"/>
      <c r="BG685" s="46"/>
      <c r="BH685" s="46"/>
    </row>
    <row r="686" spans="1:60" ht="14.25" customHeight="1" x14ac:dyDescent="0.3">
      <c r="A686" s="46"/>
      <c r="B686" s="37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  <c r="AC686" s="46"/>
      <c r="AD686" s="46"/>
      <c r="AE686" s="46"/>
      <c r="AF686" s="46"/>
      <c r="AG686" s="46"/>
      <c r="AH686" s="46"/>
      <c r="AI686" s="46"/>
      <c r="AJ686" s="46"/>
      <c r="AK686" s="46"/>
      <c r="AL686" s="46"/>
      <c r="AM686" s="46"/>
      <c r="AN686" s="46"/>
      <c r="AO686" s="46"/>
      <c r="AP686" s="46"/>
      <c r="AQ686" s="46"/>
      <c r="AR686" s="46"/>
      <c r="AS686" s="46"/>
      <c r="AT686" s="46"/>
      <c r="AU686" s="46"/>
      <c r="AV686" s="46"/>
      <c r="AW686" s="46"/>
      <c r="AX686" s="46"/>
      <c r="AY686" s="46"/>
      <c r="AZ686" s="46"/>
      <c r="BA686" s="46"/>
      <c r="BB686" s="46"/>
      <c r="BC686" s="46"/>
      <c r="BD686" s="46"/>
      <c r="BE686" s="46"/>
      <c r="BF686" s="46"/>
      <c r="BG686" s="46"/>
      <c r="BH686" s="46"/>
    </row>
    <row r="687" spans="1:60" ht="14.25" customHeight="1" x14ac:dyDescent="0.3">
      <c r="A687" s="46"/>
      <c r="B687" s="37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  <c r="AC687" s="46"/>
      <c r="AD687" s="46"/>
      <c r="AE687" s="46"/>
      <c r="AF687" s="46"/>
      <c r="AG687" s="46"/>
      <c r="AH687" s="46"/>
      <c r="AI687" s="46"/>
      <c r="AJ687" s="46"/>
      <c r="AK687" s="46"/>
      <c r="AL687" s="46"/>
      <c r="AM687" s="46"/>
      <c r="AN687" s="46"/>
      <c r="AO687" s="46"/>
      <c r="AP687" s="46"/>
      <c r="AQ687" s="46"/>
      <c r="AR687" s="46"/>
      <c r="AS687" s="46"/>
      <c r="AT687" s="46"/>
      <c r="AU687" s="46"/>
      <c r="AV687" s="46"/>
      <c r="AW687" s="46"/>
      <c r="AX687" s="46"/>
      <c r="AY687" s="46"/>
      <c r="AZ687" s="46"/>
      <c r="BA687" s="46"/>
      <c r="BB687" s="46"/>
      <c r="BC687" s="46"/>
      <c r="BD687" s="46"/>
      <c r="BE687" s="46"/>
      <c r="BF687" s="46"/>
      <c r="BG687" s="46"/>
      <c r="BH687" s="46"/>
    </row>
    <row r="688" spans="1:60" ht="14.25" customHeight="1" x14ac:dyDescent="0.3">
      <c r="A688" s="46"/>
      <c r="B688" s="37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  <c r="AB688" s="46"/>
      <c r="AC688" s="46"/>
      <c r="AD688" s="46"/>
      <c r="AE688" s="46"/>
      <c r="AF688" s="46"/>
      <c r="AG688" s="46"/>
      <c r="AH688" s="46"/>
      <c r="AI688" s="46"/>
      <c r="AJ688" s="46"/>
      <c r="AK688" s="46"/>
      <c r="AL688" s="46"/>
      <c r="AM688" s="46"/>
      <c r="AN688" s="46"/>
      <c r="AO688" s="46"/>
      <c r="AP688" s="46"/>
      <c r="AQ688" s="46"/>
      <c r="AR688" s="46"/>
      <c r="AS688" s="46"/>
      <c r="AT688" s="46"/>
      <c r="AU688" s="46"/>
      <c r="AV688" s="46"/>
      <c r="AW688" s="46"/>
      <c r="AX688" s="46"/>
      <c r="AY688" s="46"/>
      <c r="AZ688" s="46"/>
      <c r="BA688" s="46"/>
      <c r="BB688" s="46"/>
      <c r="BC688" s="46"/>
      <c r="BD688" s="46"/>
      <c r="BE688" s="46"/>
      <c r="BF688" s="46"/>
      <c r="BG688" s="46"/>
      <c r="BH688" s="46"/>
    </row>
    <row r="689" spans="1:60" ht="14.25" customHeight="1" x14ac:dyDescent="0.3">
      <c r="A689" s="46"/>
      <c r="B689" s="37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  <c r="AC689" s="46"/>
      <c r="AD689" s="46"/>
      <c r="AE689" s="46"/>
      <c r="AF689" s="46"/>
      <c r="AG689" s="46"/>
      <c r="AH689" s="46"/>
      <c r="AI689" s="46"/>
      <c r="AJ689" s="46"/>
      <c r="AK689" s="46"/>
      <c r="AL689" s="46"/>
      <c r="AM689" s="46"/>
      <c r="AN689" s="46"/>
      <c r="AO689" s="46"/>
      <c r="AP689" s="46"/>
      <c r="AQ689" s="46"/>
      <c r="AR689" s="46"/>
      <c r="AS689" s="46"/>
      <c r="AT689" s="46"/>
      <c r="AU689" s="46"/>
      <c r="AV689" s="46"/>
      <c r="AW689" s="46"/>
      <c r="AX689" s="46"/>
      <c r="AY689" s="46"/>
      <c r="AZ689" s="46"/>
      <c r="BA689" s="46"/>
      <c r="BB689" s="46"/>
      <c r="BC689" s="46"/>
      <c r="BD689" s="46"/>
      <c r="BE689" s="46"/>
      <c r="BF689" s="46"/>
      <c r="BG689" s="46"/>
      <c r="BH689" s="46"/>
    </row>
    <row r="690" spans="1:60" ht="14.25" customHeight="1" x14ac:dyDescent="0.3">
      <c r="A690" s="46"/>
      <c r="B690" s="37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  <c r="AC690" s="46"/>
      <c r="AD690" s="46"/>
      <c r="AE690" s="46"/>
      <c r="AF690" s="46"/>
      <c r="AG690" s="46"/>
      <c r="AH690" s="46"/>
      <c r="AI690" s="46"/>
      <c r="AJ690" s="46"/>
      <c r="AK690" s="46"/>
      <c r="AL690" s="46"/>
      <c r="AM690" s="46"/>
      <c r="AN690" s="46"/>
      <c r="AO690" s="46"/>
      <c r="AP690" s="46"/>
      <c r="AQ690" s="46"/>
      <c r="AR690" s="46"/>
      <c r="AS690" s="46"/>
      <c r="AT690" s="46"/>
      <c r="AU690" s="46"/>
      <c r="AV690" s="46"/>
      <c r="AW690" s="46"/>
      <c r="AX690" s="46"/>
      <c r="AY690" s="46"/>
      <c r="AZ690" s="46"/>
      <c r="BA690" s="46"/>
      <c r="BB690" s="46"/>
      <c r="BC690" s="46"/>
      <c r="BD690" s="46"/>
      <c r="BE690" s="46"/>
      <c r="BF690" s="46"/>
      <c r="BG690" s="46"/>
      <c r="BH690" s="46"/>
    </row>
    <row r="691" spans="1:60" ht="14.25" customHeight="1" x14ac:dyDescent="0.3">
      <c r="A691" s="46"/>
      <c r="B691" s="37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  <c r="AC691" s="46"/>
      <c r="AD691" s="46"/>
      <c r="AE691" s="46"/>
      <c r="AF691" s="46"/>
      <c r="AG691" s="46"/>
      <c r="AH691" s="46"/>
      <c r="AI691" s="46"/>
      <c r="AJ691" s="46"/>
      <c r="AK691" s="46"/>
      <c r="AL691" s="46"/>
      <c r="AM691" s="46"/>
      <c r="AN691" s="46"/>
      <c r="AO691" s="46"/>
      <c r="AP691" s="46"/>
      <c r="AQ691" s="46"/>
      <c r="AR691" s="46"/>
      <c r="AS691" s="46"/>
      <c r="AT691" s="46"/>
      <c r="AU691" s="46"/>
      <c r="AV691" s="46"/>
      <c r="AW691" s="46"/>
      <c r="AX691" s="46"/>
      <c r="AY691" s="46"/>
      <c r="AZ691" s="46"/>
      <c r="BA691" s="46"/>
      <c r="BB691" s="46"/>
      <c r="BC691" s="46"/>
      <c r="BD691" s="46"/>
      <c r="BE691" s="46"/>
      <c r="BF691" s="46"/>
      <c r="BG691" s="46"/>
      <c r="BH691" s="46"/>
    </row>
    <row r="692" spans="1:60" ht="14.25" customHeight="1" x14ac:dyDescent="0.3">
      <c r="A692" s="46"/>
      <c r="B692" s="37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  <c r="AC692" s="46"/>
      <c r="AD692" s="46"/>
      <c r="AE692" s="46"/>
      <c r="AF692" s="46"/>
      <c r="AG692" s="46"/>
      <c r="AH692" s="46"/>
      <c r="AI692" s="46"/>
      <c r="AJ692" s="46"/>
      <c r="AK692" s="46"/>
      <c r="AL692" s="46"/>
      <c r="AM692" s="46"/>
      <c r="AN692" s="46"/>
      <c r="AO692" s="46"/>
      <c r="AP692" s="46"/>
      <c r="AQ692" s="46"/>
      <c r="AR692" s="46"/>
      <c r="AS692" s="46"/>
      <c r="AT692" s="46"/>
      <c r="AU692" s="46"/>
      <c r="AV692" s="46"/>
      <c r="AW692" s="46"/>
      <c r="AX692" s="46"/>
      <c r="AY692" s="46"/>
      <c r="AZ692" s="46"/>
      <c r="BA692" s="46"/>
      <c r="BB692" s="46"/>
      <c r="BC692" s="46"/>
      <c r="BD692" s="46"/>
      <c r="BE692" s="46"/>
      <c r="BF692" s="46"/>
      <c r="BG692" s="46"/>
      <c r="BH692" s="46"/>
    </row>
    <row r="693" spans="1:60" ht="14.25" customHeight="1" x14ac:dyDescent="0.3">
      <c r="A693" s="46"/>
      <c r="B693" s="37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  <c r="AC693" s="46"/>
      <c r="AD693" s="46"/>
      <c r="AE693" s="46"/>
      <c r="AF693" s="46"/>
      <c r="AG693" s="46"/>
      <c r="AH693" s="46"/>
      <c r="AI693" s="46"/>
      <c r="AJ693" s="46"/>
      <c r="AK693" s="46"/>
      <c r="AL693" s="46"/>
      <c r="AM693" s="46"/>
      <c r="AN693" s="46"/>
      <c r="AO693" s="46"/>
      <c r="AP693" s="46"/>
      <c r="AQ693" s="46"/>
      <c r="AR693" s="46"/>
      <c r="AS693" s="46"/>
      <c r="AT693" s="46"/>
      <c r="AU693" s="46"/>
      <c r="AV693" s="46"/>
      <c r="AW693" s="46"/>
      <c r="AX693" s="46"/>
      <c r="AY693" s="46"/>
      <c r="AZ693" s="46"/>
      <c r="BA693" s="46"/>
      <c r="BB693" s="46"/>
      <c r="BC693" s="46"/>
      <c r="BD693" s="46"/>
      <c r="BE693" s="46"/>
      <c r="BF693" s="46"/>
      <c r="BG693" s="46"/>
      <c r="BH693" s="46"/>
    </row>
    <row r="694" spans="1:60" ht="14.25" customHeight="1" x14ac:dyDescent="0.3">
      <c r="A694" s="46"/>
      <c r="B694" s="37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  <c r="AC694" s="46"/>
      <c r="AD694" s="46"/>
      <c r="AE694" s="46"/>
      <c r="AF694" s="46"/>
      <c r="AG694" s="46"/>
      <c r="AH694" s="46"/>
      <c r="AI694" s="46"/>
      <c r="AJ694" s="46"/>
      <c r="AK694" s="46"/>
      <c r="AL694" s="46"/>
      <c r="AM694" s="46"/>
      <c r="AN694" s="46"/>
      <c r="AO694" s="46"/>
      <c r="AP694" s="46"/>
      <c r="AQ694" s="46"/>
      <c r="AR694" s="46"/>
      <c r="AS694" s="46"/>
      <c r="AT694" s="46"/>
      <c r="AU694" s="46"/>
      <c r="AV694" s="46"/>
      <c r="AW694" s="46"/>
      <c r="AX694" s="46"/>
      <c r="AY694" s="46"/>
      <c r="AZ694" s="46"/>
      <c r="BA694" s="46"/>
      <c r="BB694" s="46"/>
      <c r="BC694" s="46"/>
      <c r="BD694" s="46"/>
      <c r="BE694" s="46"/>
      <c r="BF694" s="46"/>
      <c r="BG694" s="46"/>
      <c r="BH694" s="46"/>
    </row>
    <row r="695" spans="1:60" ht="14.25" customHeight="1" x14ac:dyDescent="0.3">
      <c r="A695" s="46"/>
      <c r="B695" s="37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  <c r="AC695" s="46"/>
      <c r="AD695" s="46"/>
      <c r="AE695" s="46"/>
      <c r="AF695" s="46"/>
      <c r="AG695" s="46"/>
      <c r="AH695" s="46"/>
      <c r="AI695" s="46"/>
      <c r="AJ695" s="46"/>
      <c r="AK695" s="46"/>
      <c r="AL695" s="46"/>
      <c r="AM695" s="46"/>
      <c r="AN695" s="46"/>
      <c r="AO695" s="46"/>
      <c r="AP695" s="46"/>
      <c r="AQ695" s="46"/>
      <c r="AR695" s="46"/>
      <c r="AS695" s="46"/>
      <c r="AT695" s="46"/>
      <c r="AU695" s="46"/>
      <c r="AV695" s="46"/>
      <c r="AW695" s="46"/>
      <c r="AX695" s="46"/>
      <c r="AY695" s="46"/>
      <c r="AZ695" s="46"/>
      <c r="BA695" s="46"/>
      <c r="BB695" s="46"/>
      <c r="BC695" s="46"/>
      <c r="BD695" s="46"/>
      <c r="BE695" s="46"/>
      <c r="BF695" s="46"/>
      <c r="BG695" s="46"/>
      <c r="BH695" s="46"/>
    </row>
    <row r="696" spans="1:60" ht="14.25" customHeight="1" x14ac:dyDescent="0.3">
      <c r="A696" s="46"/>
      <c r="B696" s="37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  <c r="AC696" s="46"/>
      <c r="AD696" s="46"/>
      <c r="AE696" s="46"/>
      <c r="AF696" s="46"/>
      <c r="AG696" s="46"/>
      <c r="AH696" s="46"/>
      <c r="AI696" s="46"/>
      <c r="AJ696" s="46"/>
      <c r="AK696" s="46"/>
      <c r="AL696" s="46"/>
      <c r="AM696" s="46"/>
      <c r="AN696" s="46"/>
      <c r="AO696" s="46"/>
      <c r="AP696" s="46"/>
      <c r="AQ696" s="46"/>
      <c r="AR696" s="46"/>
      <c r="AS696" s="46"/>
      <c r="AT696" s="46"/>
      <c r="AU696" s="46"/>
      <c r="AV696" s="46"/>
      <c r="AW696" s="46"/>
      <c r="AX696" s="46"/>
      <c r="AY696" s="46"/>
      <c r="AZ696" s="46"/>
      <c r="BA696" s="46"/>
      <c r="BB696" s="46"/>
      <c r="BC696" s="46"/>
      <c r="BD696" s="46"/>
      <c r="BE696" s="46"/>
      <c r="BF696" s="46"/>
      <c r="BG696" s="46"/>
      <c r="BH696" s="46"/>
    </row>
    <row r="697" spans="1:60" ht="14.25" customHeight="1" x14ac:dyDescent="0.3">
      <c r="A697" s="46"/>
      <c r="B697" s="37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  <c r="AC697" s="46"/>
      <c r="AD697" s="46"/>
      <c r="AE697" s="46"/>
      <c r="AF697" s="46"/>
      <c r="AG697" s="46"/>
      <c r="AH697" s="46"/>
      <c r="AI697" s="46"/>
      <c r="AJ697" s="46"/>
      <c r="AK697" s="46"/>
      <c r="AL697" s="46"/>
      <c r="AM697" s="46"/>
      <c r="AN697" s="46"/>
      <c r="AO697" s="46"/>
      <c r="AP697" s="46"/>
      <c r="AQ697" s="46"/>
      <c r="AR697" s="46"/>
      <c r="AS697" s="46"/>
      <c r="AT697" s="46"/>
      <c r="AU697" s="46"/>
      <c r="AV697" s="46"/>
      <c r="AW697" s="46"/>
      <c r="AX697" s="46"/>
      <c r="AY697" s="46"/>
      <c r="AZ697" s="46"/>
      <c r="BA697" s="46"/>
      <c r="BB697" s="46"/>
      <c r="BC697" s="46"/>
      <c r="BD697" s="46"/>
      <c r="BE697" s="46"/>
      <c r="BF697" s="46"/>
      <c r="BG697" s="46"/>
      <c r="BH697" s="46"/>
    </row>
    <row r="698" spans="1:60" ht="14.25" customHeight="1" x14ac:dyDescent="0.3">
      <c r="A698" s="46"/>
      <c r="B698" s="37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  <c r="AC698" s="46"/>
      <c r="AD698" s="46"/>
      <c r="AE698" s="46"/>
      <c r="AF698" s="46"/>
      <c r="AG698" s="46"/>
      <c r="AH698" s="46"/>
      <c r="AI698" s="46"/>
      <c r="AJ698" s="46"/>
      <c r="AK698" s="46"/>
      <c r="AL698" s="46"/>
      <c r="AM698" s="46"/>
      <c r="AN698" s="46"/>
      <c r="AO698" s="46"/>
      <c r="AP698" s="46"/>
      <c r="AQ698" s="46"/>
      <c r="AR698" s="46"/>
      <c r="AS698" s="46"/>
      <c r="AT698" s="46"/>
      <c r="AU698" s="46"/>
      <c r="AV698" s="46"/>
      <c r="AW698" s="46"/>
      <c r="AX698" s="46"/>
      <c r="AY698" s="46"/>
      <c r="AZ698" s="46"/>
      <c r="BA698" s="46"/>
      <c r="BB698" s="46"/>
      <c r="BC698" s="46"/>
      <c r="BD698" s="46"/>
      <c r="BE698" s="46"/>
      <c r="BF698" s="46"/>
      <c r="BG698" s="46"/>
      <c r="BH698" s="46"/>
    </row>
    <row r="699" spans="1:60" ht="14.25" customHeight="1" x14ac:dyDescent="0.3">
      <c r="A699" s="46"/>
      <c r="B699" s="37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  <c r="AC699" s="46"/>
      <c r="AD699" s="46"/>
      <c r="AE699" s="46"/>
      <c r="AF699" s="46"/>
      <c r="AG699" s="46"/>
      <c r="AH699" s="46"/>
      <c r="AI699" s="46"/>
      <c r="AJ699" s="46"/>
      <c r="AK699" s="46"/>
      <c r="AL699" s="46"/>
      <c r="AM699" s="46"/>
      <c r="AN699" s="46"/>
      <c r="AO699" s="46"/>
      <c r="AP699" s="46"/>
      <c r="AQ699" s="46"/>
      <c r="AR699" s="46"/>
      <c r="AS699" s="46"/>
      <c r="AT699" s="46"/>
      <c r="AU699" s="46"/>
      <c r="AV699" s="46"/>
      <c r="AW699" s="46"/>
      <c r="AX699" s="46"/>
      <c r="AY699" s="46"/>
      <c r="AZ699" s="46"/>
      <c r="BA699" s="46"/>
      <c r="BB699" s="46"/>
      <c r="BC699" s="46"/>
      <c r="BD699" s="46"/>
      <c r="BE699" s="46"/>
      <c r="BF699" s="46"/>
      <c r="BG699" s="46"/>
      <c r="BH699" s="46"/>
    </row>
    <row r="700" spans="1:60" ht="14.25" customHeight="1" x14ac:dyDescent="0.3">
      <c r="A700" s="46"/>
      <c r="B700" s="37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  <c r="AB700" s="46"/>
      <c r="AC700" s="46"/>
      <c r="AD700" s="46"/>
      <c r="AE700" s="46"/>
      <c r="AF700" s="46"/>
      <c r="AG700" s="46"/>
      <c r="AH700" s="46"/>
      <c r="AI700" s="46"/>
      <c r="AJ700" s="46"/>
      <c r="AK700" s="46"/>
      <c r="AL700" s="46"/>
      <c r="AM700" s="46"/>
      <c r="AN700" s="46"/>
      <c r="AO700" s="46"/>
      <c r="AP700" s="46"/>
      <c r="AQ700" s="46"/>
      <c r="AR700" s="46"/>
      <c r="AS700" s="46"/>
      <c r="AT700" s="46"/>
      <c r="AU700" s="46"/>
      <c r="AV700" s="46"/>
      <c r="AW700" s="46"/>
      <c r="AX700" s="46"/>
      <c r="AY700" s="46"/>
      <c r="AZ700" s="46"/>
      <c r="BA700" s="46"/>
      <c r="BB700" s="46"/>
      <c r="BC700" s="46"/>
      <c r="BD700" s="46"/>
      <c r="BE700" s="46"/>
      <c r="BF700" s="46"/>
      <c r="BG700" s="46"/>
      <c r="BH700" s="46"/>
    </row>
    <row r="701" spans="1:60" ht="14.25" customHeight="1" x14ac:dyDescent="0.3">
      <c r="A701" s="46"/>
      <c r="B701" s="37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  <c r="AB701" s="46"/>
      <c r="AC701" s="46"/>
      <c r="AD701" s="46"/>
      <c r="AE701" s="46"/>
      <c r="AF701" s="46"/>
      <c r="AG701" s="46"/>
      <c r="AH701" s="46"/>
      <c r="AI701" s="46"/>
      <c r="AJ701" s="46"/>
      <c r="AK701" s="46"/>
      <c r="AL701" s="46"/>
      <c r="AM701" s="46"/>
      <c r="AN701" s="46"/>
      <c r="AO701" s="46"/>
      <c r="AP701" s="46"/>
      <c r="AQ701" s="46"/>
      <c r="AR701" s="46"/>
      <c r="AS701" s="46"/>
      <c r="AT701" s="46"/>
      <c r="AU701" s="46"/>
      <c r="AV701" s="46"/>
      <c r="AW701" s="46"/>
      <c r="AX701" s="46"/>
      <c r="AY701" s="46"/>
      <c r="AZ701" s="46"/>
      <c r="BA701" s="46"/>
      <c r="BB701" s="46"/>
      <c r="BC701" s="46"/>
      <c r="BD701" s="46"/>
      <c r="BE701" s="46"/>
      <c r="BF701" s="46"/>
      <c r="BG701" s="46"/>
      <c r="BH701" s="46"/>
    </row>
    <row r="702" spans="1:60" ht="14.25" customHeight="1" x14ac:dyDescent="0.3">
      <c r="A702" s="46"/>
      <c r="B702" s="37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  <c r="AB702" s="46"/>
      <c r="AC702" s="46"/>
      <c r="AD702" s="46"/>
      <c r="AE702" s="46"/>
      <c r="AF702" s="46"/>
      <c r="AG702" s="46"/>
      <c r="AH702" s="46"/>
      <c r="AI702" s="46"/>
      <c r="AJ702" s="46"/>
      <c r="AK702" s="46"/>
      <c r="AL702" s="46"/>
      <c r="AM702" s="46"/>
      <c r="AN702" s="46"/>
      <c r="AO702" s="46"/>
      <c r="AP702" s="46"/>
      <c r="AQ702" s="46"/>
      <c r="AR702" s="46"/>
      <c r="AS702" s="46"/>
      <c r="AT702" s="46"/>
      <c r="AU702" s="46"/>
      <c r="AV702" s="46"/>
      <c r="AW702" s="46"/>
      <c r="AX702" s="46"/>
      <c r="AY702" s="46"/>
      <c r="AZ702" s="46"/>
      <c r="BA702" s="46"/>
      <c r="BB702" s="46"/>
      <c r="BC702" s="46"/>
      <c r="BD702" s="46"/>
      <c r="BE702" s="46"/>
      <c r="BF702" s="46"/>
      <c r="BG702" s="46"/>
      <c r="BH702" s="46"/>
    </row>
    <row r="703" spans="1:60" ht="14.25" customHeight="1" x14ac:dyDescent="0.3">
      <c r="A703" s="46"/>
      <c r="B703" s="37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  <c r="AB703" s="46"/>
      <c r="AC703" s="46"/>
      <c r="AD703" s="46"/>
      <c r="AE703" s="46"/>
      <c r="AF703" s="46"/>
      <c r="AG703" s="46"/>
      <c r="AH703" s="46"/>
      <c r="AI703" s="46"/>
      <c r="AJ703" s="46"/>
      <c r="AK703" s="46"/>
      <c r="AL703" s="46"/>
      <c r="AM703" s="46"/>
      <c r="AN703" s="46"/>
      <c r="AO703" s="46"/>
      <c r="AP703" s="46"/>
      <c r="AQ703" s="46"/>
      <c r="AR703" s="46"/>
      <c r="AS703" s="46"/>
      <c r="AT703" s="46"/>
      <c r="AU703" s="46"/>
      <c r="AV703" s="46"/>
      <c r="AW703" s="46"/>
      <c r="AX703" s="46"/>
      <c r="AY703" s="46"/>
      <c r="AZ703" s="46"/>
      <c r="BA703" s="46"/>
      <c r="BB703" s="46"/>
      <c r="BC703" s="46"/>
      <c r="BD703" s="46"/>
      <c r="BE703" s="46"/>
      <c r="BF703" s="46"/>
      <c r="BG703" s="46"/>
      <c r="BH703" s="46"/>
    </row>
    <row r="704" spans="1:60" ht="14.25" customHeight="1" x14ac:dyDescent="0.3">
      <c r="A704" s="46"/>
      <c r="B704" s="37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  <c r="AB704" s="46"/>
      <c r="AC704" s="46"/>
      <c r="AD704" s="46"/>
      <c r="AE704" s="46"/>
      <c r="AF704" s="46"/>
      <c r="AG704" s="46"/>
      <c r="AH704" s="46"/>
      <c r="AI704" s="46"/>
      <c r="AJ704" s="46"/>
      <c r="AK704" s="46"/>
      <c r="AL704" s="46"/>
      <c r="AM704" s="46"/>
      <c r="AN704" s="46"/>
      <c r="AO704" s="46"/>
      <c r="AP704" s="46"/>
      <c r="AQ704" s="46"/>
      <c r="AR704" s="46"/>
      <c r="AS704" s="46"/>
      <c r="AT704" s="46"/>
      <c r="AU704" s="46"/>
      <c r="AV704" s="46"/>
      <c r="AW704" s="46"/>
      <c r="AX704" s="46"/>
      <c r="AY704" s="46"/>
      <c r="AZ704" s="46"/>
      <c r="BA704" s="46"/>
      <c r="BB704" s="46"/>
      <c r="BC704" s="46"/>
      <c r="BD704" s="46"/>
      <c r="BE704" s="46"/>
      <c r="BF704" s="46"/>
      <c r="BG704" s="46"/>
      <c r="BH704" s="46"/>
    </row>
    <row r="705" spans="1:60" ht="14.25" customHeight="1" x14ac:dyDescent="0.3">
      <c r="A705" s="46"/>
      <c r="B705" s="37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  <c r="AB705" s="46"/>
      <c r="AC705" s="46"/>
      <c r="AD705" s="46"/>
      <c r="AE705" s="46"/>
      <c r="AF705" s="46"/>
      <c r="AG705" s="46"/>
      <c r="AH705" s="46"/>
      <c r="AI705" s="46"/>
      <c r="AJ705" s="46"/>
      <c r="AK705" s="46"/>
      <c r="AL705" s="46"/>
      <c r="AM705" s="46"/>
      <c r="AN705" s="46"/>
      <c r="AO705" s="46"/>
      <c r="AP705" s="46"/>
      <c r="AQ705" s="46"/>
      <c r="AR705" s="46"/>
      <c r="AS705" s="46"/>
      <c r="AT705" s="46"/>
      <c r="AU705" s="46"/>
      <c r="AV705" s="46"/>
      <c r="AW705" s="46"/>
      <c r="AX705" s="46"/>
      <c r="AY705" s="46"/>
      <c r="AZ705" s="46"/>
      <c r="BA705" s="46"/>
      <c r="BB705" s="46"/>
      <c r="BC705" s="46"/>
      <c r="BD705" s="46"/>
      <c r="BE705" s="46"/>
      <c r="BF705" s="46"/>
      <c r="BG705" s="46"/>
      <c r="BH705" s="46"/>
    </row>
    <row r="706" spans="1:60" ht="14.25" customHeight="1" x14ac:dyDescent="0.3">
      <c r="A706" s="46"/>
      <c r="B706" s="37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  <c r="AB706" s="46"/>
      <c r="AC706" s="46"/>
      <c r="AD706" s="46"/>
      <c r="AE706" s="46"/>
      <c r="AF706" s="46"/>
      <c r="AG706" s="46"/>
      <c r="AH706" s="46"/>
      <c r="AI706" s="46"/>
      <c r="AJ706" s="46"/>
      <c r="AK706" s="46"/>
      <c r="AL706" s="46"/>
      <c r="AM706" s="46"/>
      <c r="AN706" s="46"/>
      <c r="AO706" s="46"/>
      <c r="AP706" s="46"/>
      <c r="AQ706" s="46"/>
      <c r="AR706" s="46"/>
      <c r="AS706" s="46"/>
      <c r="AT706" s="46"/>
      <c r="AU706" s="46"/>
      <c r="AV706" s="46"/>
      <c r="AW706" s="46"/>
      <c r="AX706" s="46"/>
      <c r="AY706" s="46"/>
      <c r="AZ706" s="46"/>
      <c r="BA706" s="46"/>
      <c r="BB706" s="46"/>
      <c r="BC706" s="46"/>
      <c r="BD706" s="46"/>
      <c r="BE706" s="46"/>
      <c r="BF706" s="46"/>
      <c r="BG706" s="46"/>
      <c r="BH706" s="46"/>
    </row>
    <row r="707" spans="1:60" ht="14.25" customHeight="1" x14ac:dyDescent="0.3">
      <c r="A707" s="46"/>
      <c r="B707" s="37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  <c r="AB707" s="46"/>
      <c r="AC707" s="46"/>
      <c r="AD707" s="46"/>
      <c r="AE707" s="46"/>
      <c r="AF707" s="46"/>
      <c r="AG707" s="46"/>
      <c r="AH707" s="46"/>
      <c r="AI707" s="46"/>
      <c r="AJ707" s="46"/>
      <c r="AK707" s="46"/>
      <c r="AL707" s="46"/>
      <c r="AM707" s="46"/>
      <c r="AN707" s="46"/>
      <c r="AO707" s="46"/>
      <c r="AP707" s="46"/>
      <c r="AQ707" s="46"/>
      <c r="AR707" s="46"/>
      <c r="AS707" s="46"/>
      <c r="AT707" s="46"/>
      <c r="AU707" s="46"/>
      <c r="AV707" s="46"/>
      <c r="AW707" s="46"/>
      <c r="AX707" s="46"/>
      <c r="AY707" s="46"/>
      <c r="AZ707" s="46"/>
      <c r="BA707" s="46"/>
      <c r="BB707" s="46"/>
      <c r="BC707" s="46"/>
      <c r="BD707" s="46"/>
      <c r="BE707" s="46"/>
      <c r="BF707" s="46"/>
      <c r="BG707" s="46"/>
      <c r="BH707" s="46"/>
    </row>
    <row r="708" spans="1:60" ht="14.25" customHeight="1" x14ac:dyDescent="0.3">
      <c r="A708" s="46"/>
      <c r="B708" s="37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  <c r="AB708" s="46"/>
      <c r="AC708" s="46"/>
      <c r="AD708" s="46"/>
      <c r="AE708" s="46"/>
      <c r="AF708" s="46"/>
      <c r="AG708" s="46"/>
      <c r="AH708" s="46"/>
      <c r="AI708" s="46"/>
      <c r="AJ708" s="46"/>
      <c r="AK708" s="46"/>
      <c r="AL708" s="46"/>
      <c r="AM708" s="46"/>
      <c r="AN708" s="46"/>
      <c r="AO708" s="46"/>
      <c r="AP708" s="46"/>
      <c r="AQ708" s="46"/>
      <c r="AR708" s="46"/>
      <c r="AS708" s="46"/>
      <c r="AT708" s="46"/>
      <c r="AU708" s="46"/>
      <c r="AV708" s="46"/>
      <c r="AW708" s="46"/>
      <c r="AX708" s="46"/>
      <c r="AY708" s="46"/>
      <c r="AZ708" s="46"/>
      <c r="BA708" s="46"/>
      <c r="BB708" s="46"/>
      <c r="BC708" s="46"/>
      <c r="BD708" s="46"/>
      <c r="BE708" s="46"/>
      <c r="BF708" s="46"/>
      <c r="BG708" s="46"/>
      <c r="BH708" s="46"/>
    </row>
    <row r="709" spans="1:60" ht="14.25" customHeight="1" x14ac:dyDescent="0.3">
      <c r="A709" s="46"/>
      <c r="B709" s="37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  <c r="AC709" s="46"/>
      <c r="AD709" s="46"/>
      <c r="AE709" s="46"/>
      <c r="AF709" s="46"/>
      <c r="AG709" s="46"/>
      <c r="AH709" s="46"/>
      <c r="AI709" s="46"/>
      <c r="AJ709" s="46"/>
      <c r="AK709" s="46"/>
      <c r="AL709" s="46"/>
      <c r="AM709" s="46"/>
      <c r="AN709" s="46"/>
      <c r="AO709" s="46"/>
      <c r="AP709" s="46"/>
      <c r="AQ709" s="46"/>
      <c r="AR709" s="46"/>
      <c r="AS709" s="46"/>
      <c r="AT709" s="46"/>
      <c r="AU709" s="46"/>
      <c r="AV709" s="46"/>
      <c r="AW709" s="46"/>
      <c r="AX709" s="46"/>
      <c r="AY709" s="46"/>
      <c r="AZ709" s="46"/>
      <c r="BA709" s="46"/>
      <c r="BB709" s="46"/>
      <c r="BC709" s="46"/>
      <c r="BD709" s="46"/>
      <c r="BE709" s="46"/>
      <c r="BF709" s="46"/>
      <c r="BG709" s="46"/>
      <c r="BH709" s="46"/>
    </row>
    <row r="710" spans="1:60" ht="14.25" customHeight="1" x14ac:dyDescent="0.3">
      <c r="A710" s="46"/>
      <c r="B710" s="37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  <c r="AB710" s="46"/>
      <c r="AC710" s="46"/>
      <c r="AD710" s="46"/>
      <c r="AE710" s="46"/>
      <c r="AF710" s="46"/>
      <c r="AG710" s="46"/>
      <c r="AH710" s="46"/>
      <c r="AI710" s="46"/>
      <c r="AJ710" s="46"/>
      <c r="AK710" s="46"/>
      <c r="AL710" s="46"/>
      <c r="AM710" s="46"/>
      <c r="AN710" s="46"/>
      <c r="AO710" s="46"/>
      <c r="AP710" s="46"/>
      <c r="AQ710" s="46"/>
      <c r="AR710" s="46"/>
      <c r="AS710" s="46"/>
      <c r="AT710" s="46"/>
      <c r="AU710" s="46"/>
      <c r="AV710" s="46"/>
      <c r="AW710" s="46"/>
      <c r="AX710" s="46"/>
      <c r="AY710" s="46"/>
      <c r="AZ710" s="46"/>
      <c r="BA710" s="46"/>
      <c r="BB710" s="46"/>
      <c r="BC710" s="46"/>
      <c r="BD710" s="46"/>
      <c r="BE710" s="46"/>
      <c r="BF710" s="46"/>
      <c r="BG710" s="46"/>
      <c r="BH710" s="46"/>
    </row>
    <row r="711" spans="1:60" ht="14.25" customHeight="1" x14ac:dyDescent="0.3">
      <c r="A711" s="46"/>
      <c r="B711" s="37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  <c r="AB711" s="46"/>
      <c r="AC711" s="46"/>
      <c r="AD711" s="46"/>
      <c r="AE711" s="46"/>
      <c r="AF711" s="46"/>
      <c r="AG711" s="46"/>
      <c r="AH711" s="46"/>
      <c r="AI711" s="46"/>
      <c r="AJ711" s="46"/>
      <c r="AK711" s="46"/>
      <c r="AL711" s="46"/>
      <c r="AM711" s="46"/>
      <c r="AN711" s="46"/>
      <c r="AO711" s="46"/>
      <c r="AP711" s="46"/>
      <c r="AQ711" s="46"/>
      <c r="AR711" s="46"/>
      <c r="AS711" s="46"/>
      <c r="AT711" s="46"/>
      <c r="AU711" s="46"/>
      <c r="AV711" s="46"/>
      <c r="AW711" s="46"/>
      <c r="AX711" s="46"/>
      <c r="AY711" s="46"/>
      <c r="AZ711" s="46"/>
      <c r="BA711" s="46"/>
      <c r="BB711" s="46"/>
      <c r="BC711" s="46"/>
      <c r="BD711" s="46"/>
      <c r="BE711" s="46"/>
      <c r="BF711" s="46"/>
      <c r="BG711" s="46"/>
      <c r="BH711" s="46"/>
    </row>
    <row r="712" spans="1:60" ht="14.25" customHeight="1" x14ac:dyDescent="0.3">
      <c r="A712" s="46"/>
      <c r="B712" s="37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  <c r="AC712" s="46"/>
      <c r="AD712" s="46"/>
      <c r="AE712" s="46"/>
      <c r="AF712" s="46"/>
      <c r="AG712" s="46"/>
      <c r="AH712" s="46"/>
      <c r="AI712" s="46"/>
      <c r="AJ712" s="46"/>
      <c r="AK712" s="46"/>
      <c r="AL712" s="46"/>
      <c r="AM712" s="46"/>
      <c r="AN712" s="46"/>
      <c r="AO712" s="46"/>
      <c r="AP712" s="46"/>
      <c r="AQ712" s="46"/>
      <c r="AR712" s="46"/>
      <c r="AS712" s="46"/>
      <c r="AT712" s="46"/>
      <c r="AU712" s="46"/>
      <c r="AV712" s="46"/>
      <c r="AW712" s="46"/>
      <c r="AX712" s="46"/>
      <c r="AY712" s="46"/>
      <c r="AZ712" s="46"/>
      <c r="BA712" s="46"/>
      <c r="BB712" s="46"/>
      <c r="BC712" s="46"/>
      <c r="BD712" s="46"/>
      <c r="BE712" s="46"/>
      <c r="BF712" s="46"/>
      <c r="BG712" s="46"/>
      <c r="BH712" s="46"/>
    </row>
    <row r="713" spans="1:60" ht="14.25" customHeight="1" x14ac:dyDescent="0.3">
      <c r="A713" s="46"/>
      <c r="B713" s="37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  <c r="AB713" s="46"/>
      <c r="AC713" s="46"/>
      <c r="AD713" s="46"/>
      <c r="AE713" s="46"/>
      <c r="AF713" s="46"/>
      <c r="AG713" s="46"/>
      <c r="AH713" s="46"/>
      <c r="AI713" s="46"/>
      <c r="AJ713" s="46"/>
      <c r="AK713" s="46"/>
      <c r="AL713" s="46"/>
      <c r="AM713" s="46"/>
      <c r="AN713" s="46"/>
      <c r="AO713" s="46"/>
      <c r="AP713" s="46"/>
      <c r="AQ713" s="46"/>
      <c r="AR713" s="46"/>
      <c r="AS713" s="46"/>
      <c r="AT713" s="46"/>
      <c r="AU713" s="46"/>
      <c r="AV713" s="46"/>
      <c r="AW713" s="46"/>
      <c r="AX713" s="46"/>
      <c r="AY713" s="46"/>
      <c r="AZ713" s="46"/>
      <c r="BA713" s="46"/>
      <c r="BB713" s="46"/>
      <c r="BC713" s="46"/>
      <c r="BD713" s="46"/>
      <c r="BE713" s="46"/>
      <c r="BF713" s="46"/>
      <c r="BG713" s="46"/>
      <c r="BH713" s="46"/>
    </row>
    <row r="714" spans="1:60" ht="14.25" customHeight="1" x14ac:dyDescent="0.3">
      <c r="A714" s="46"/>
      <c r="B714" s="37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  <c r="AB714" s="46"/>
      <c r="AC714" s="46"/>
      <c r="AD714" s="46"/>
      <c r="AE714" s="46"/>
      <c r="AF714" s="46"/>
      <c r="AG714" s="46"/>
      <c r="AH714" s="46"/>
      <c r="AI714" s="46"/>
      <c r="AJ714" s="46"/>
      <c r="AK714" s="46"/>
      <c r="AL714" s="46"/>
      <c r="AM714" s="46"/>
      <c r="AN714" s="46"/>
      <c r="AO714" s="46"/>
      <c r="AP714" s="46"/>
      <c r="AQ714" s="46"/>
      <c r="AR714" s="46"/>
      <c r="AS714" s="46"/>
      <c r="AT714" s="46"/>
      <c r="AU714" s="46"/>
      <c r="AV714" s="46"/>
      <c r="AW714" s="46"/>
      <c r="AX714" s="46"/>
      <c r="AY714" s="46"/>
      <c r="AZ714" s="46"/>
      <c r="BA714" s="46"/>
      <c r="BB714" s="46"/>
      <c r="BC714" s="46"/>
      <c r="BD714" s="46"/>
      <c r="BE714" s="46"/>
      <c r="BF714" s="46"/>
      <c r="BG714" s="46"/>
      <c r="BH714" s="46"/>
    </row>
    <row r="715" spans="1:60" ht="14.25" customHeight="1" x14ac:dyDescent="0.3">
      <c r="A715" s="46"/>
      <c r="B715" s="37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  <c r="AC715" s="46"/>
      <c r="AD715" s="46"/>
      <c r="AE715" s="46"/>
      <c r="AF715" s="46"/>
      <c r="AG715" s="46"/>
      <c r="AH715" s="46"/>
      <c r="AI715" s="46"/>
      <c r="AJ715" s="46"/>
      <c r="AK715" s="46"/>
      <c r="AL715" s="46"/>
      <c r="AM715" s="46"/>
      <c r="AN715" s="46"/>
      <c r="AO715" s="46"/>
      <c r="AP715" s="46"/>
      <c r="AQ715" s="46"/>
      <c r="AR715" s="46"/>
      <c r="AS715" s="46"/>
      <c r="AT715" s="46"/>
      <c r="AU715" s="46"/>
      <c r="AV715" s="46"/>
      <c r="AW715" s="46"/>
      <c r="AX715" s="46"/>
      <c r="AY715" s="46"/>
      <c r="AZ715" s="46"/>
      <c r="BA715" s="46"/>
      <c r="BB715" s="46"/>
      <c r="BC715" s="46"/>
      <c r="BD715" s="46"/>
      <c r="BE715" s="46"/>
      <c r="BF715" s="46"/>
      <c r="BG715" s="46"/>
      <c r="BH715" s="46"/>
    </row>
    <row r="716" spans="1:60" ht="14.25" customHeight="1" x14ac:dyDescent="0.3">
      <c r="A716" s="46"/>
      <c r="B716" s="37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  <c r="AB716" s="46"/>
      <c r="AC716" s="46"/>
      <c r="AD716" s="46"/>
      <c r="AE716" s="46"/>
      <c r="AF716" s="46"/>
      <c r="AG716" s="46"/>
      <c r="AH716" s="46"/>
      <c r="AI716" s="46"/>
      <c r="AJ716" s="46"/>
      <c r="AK716" s="46"/>
      <c r="AL716" s="46"/>
      <c r="AM716" s="46"/>
      <c r="AN716" s="46"/>
      <c r="AO716" s="46"/>
      <c r="AP716" s="46"/>
      <c r="AQ716" s="46"/>
      <c r="AR716" s="46"/>
      <c r="AS716" s="46"/>
      <c r="AT716" s="46"/>
      <c r="AU716" s="46"/>
      <c r="AV716" s="46"/>
      <c r="AW716" s="46"/>
      <c r="AX716" s="46"/>
      <c r="AY716" s="46"/>
      <c r="AZ716" s="46"/>
      <c r="BA716" s="46"/>
      <c r="BB716" s="46"/>
      <c r="BC716" s="46"/>
      <c r="BD716" s="46"/>
      <c r="BE716" s="46"/>
      <c r="BF716" s="46"/>
      <c r="BG716" s="46"/>
      <c r="BH716" s="46"/>
    </row>
    <row r="717" spans="1:60" ht="14.25" customHeight="1" x14ac:dyDescent="0.3">
      <c r="A717" s="46"/>
      <c r="B717" s="37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  <c r="AB717" s="46"/>
      <c r="AC717" s="46"/>
      <c r="AD717" s="46"/>
      <c r="AE717" s="46"/>
      <c r="AF717" s="46"/>
      <c r="AG717" s="46"/>
      <c r="AH717" s="46"/>
      <c r="AI717" s="46"/>
      <c r="AJ717" s="46"/>
      <c r="AK717" s="46"/>
      <c r="AL717" s="46"/>
      <c r="AM717" s="46"/>
      <c r="AN717" s="46"/>
      <c r="AO717" s="46"/>
      <c r="AP717" s="46"/>
      <c r="AQ717" s="46"/>
      <c r="AR717" s="46"/>
      <c r="AS717" s="46"/>
      <c r="AT717" s="46"/>
      <c r="AU717" s="46"/>
      <c r="AV717" s="46"/>
      <c r="AW717" s="46"/>
      <c r="AX717" s="46"/>
      <c r="AY717" s="46"/>
      <c r="AZ717" s="46"/>
      <c r="BA717" s="46"/>
      <c r="BB717" s="46"/>
      <c r="BC717" s="46"/>
      <c r="BD717" s="46"/>
      <c r="BE717" s="46"/>
      <c r="BF717" s="46"/>
      <c r="BG717" s="46"/>
      <c r="BH717" s="46"/>
    </row>
    <row r="718" spans="1:60" ht="14.25" customHeight="1" x14ac:dyDescent="0.3">
      <c r="A718" s="46"/>
      <c r="B718" s="37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  <c r="AB718" s="46"/>
      <c r="AC718" s="46"/>
      <c r="AD718" s="46"/>
      <c r="AE718" s="46"/>
      <c r="AF718" s="46"/>
      <c r="AG718" s="46"/>
      <c r="AH718" s="46"/>
      <c r="AI718" s="46"/>
      <c r="AJ718" s="46"/>
      <c r="AK718" s="46"/>
      <c r="AL718" s="46"/>
      <c r="AM718" s="46"/>
      <c r="AN718" s="46"/>
      <c r="AO718" s="46"/>
      <c r="AP718" s="46"/>
      <c r="AQ718" s="46"/>
      <c r="AR718" s="46"/>
      <c r="AS718" s="46"/>
      <c r="AT718" s="46"/>
      <c r="AU718" s="46"/>
      <c r="AV718" s="46"/>
      <c r="AW718" s="46"/>
      <c r="AX718" s="46"/>
      <c r="AY718" s="46"/>
      <c r="AZ718" s="46"/>
      <c r="BA718" s="46"/>
      <c r="BB718" s="46"/>
      <c r="BC718" s="46"/>
      <c r="BD718" s="46"/>
      <c r="BE718" s="46"/>
      <c r="BF718" s="46"/>
      <c r="BG718" s="46"/>
      <c r="BH718" s="46"/>
    </row>
    <row r="719" spans="1:60" ht="14.25" customHeight="1" x14ac:dyDescent="0.3">
      <c r="A719" s="46"/>
      <c r="B719" s="37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  <c r="AB719" s="46"/>
      <c r="AC719" s="46"/>
      <c r="AD719" s="46"/>
      <c r="AE719" s="46"/>
      <c r="AF719" s="46"/>
      <c r="AG719" s="46"/>
      <c r="AH719" s="46"/>
      <c r="AI719" s="46"/>
      <c r="AJ719" s="46"/>
      <c r="AK719" s="46"/>
      <c r="AL719" s="46"/>
      <c r="AM719" s="46"/>
      <c r="AN719" s="46"/>
      <c r="AO719" s="46"/>
      <c r="AP719" s="46"/>
      <c r="AQ719" s="46"/>
      <c r="AR719" s="46"/>
      <c r="AS719" s="46"/>
      <c r="AT719" s="46"/>
      <c r="AU719" s="46"/>
      <c r="AV719" s="46"/>
      <c r="AW719" s="46"/>
      <c r="AX719" s="46"/>
      <c r="AY719" s="46"/>
      <c r="AZ719" s="46"/>
      <c r="BA719" s="46"/>
      <c r="BB719" s="46"/>
      <c r="BC719" s="46"/>
      <c r="BD719" s="46"/>
      <c r="BE719" s="46"/>
      <c r="BF719" s="46"/>
      <c r="BG719" s="46"/>
      <c r="BH719" s="46"/>
    </row>
    <row r="720" spans="1:60" ht="14.25" customHeight="1" x14ac:dyDescent="0.3">
      <c r="A720" s="46"/>
      <c r="B720" s="37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  <c r="AB720" s="46"/>
      <c r="AC720" s="46"/>
      <c r="AD720" s="46"/>
      <c r="AE720" s="46"/>
      <c r="AF720" s="46"/>
      <c r="AG720" s="46"/>
      <c r="AH720" s="46"/>
      <c r="AI720" s="46"/>
      <c r="AJ720" s="46"/>
      <c r="AK720" s="46"/>
      <c r="AL720" s="46"/>
      <c r="AM720" s="46"/>
      <c r="AN720" s="46"/>
      <c r="AO720" s="46"/>
      <c r="AP720" s="46"/>
      <c r="AQ720" s="46"/>
      <c r="AR720" s="46"/>
      <c r="AS720" s="46"/>
      <c r="AT720" s="46"/>
      <c r="AU720" s="46"/>
      <c r="AV720" s="46"/>
      <c r="AW720" s="46"/>
      <c r="AX720" s="46"/>
      <c r="AY720" s="46"/>
      <c r="AZ720" s="46"/>
      <c r="BA720" s="46"/>
      <c r="BB720" s="46"/>
      <c r="BC720" s="46"/>
      <c r="BD720" s="46"/>
      <c r="BE720" s="46"/>
      <c r="BF720" s="46"/>
      <c r="BG720" s="46"/>
      <c r="BH720" s="46"/>
    </row>
    <row r="721" spans="1:60" ht="14.25" customHeight="1" x14ac:dyDescent="0.3">
      <c r="A721" s="46"/>
      <c r="B721" s="37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  <c r="AB721" s="46"/>
      <c r="AC721" s="46"/>
      <c r="AD721" s="46"/>
      <c r="AE721" s="46"/>
      <c r="AF721" s="46"/>
      <c r="AG721" s="46"/>
      <c r="AH721" s="46"/>
      <c r="AI721" s="46"/>
      <c r="AJ721" s="46"/>
      <c r="AK721" s="46"/>
      <c r="AL721" s="46"/>
      <c r="AM721" s="46"/>
      <c r="AN721" s="46"/>
      <c r="AO721" s="46"/>
      <c r="AP721" s="46"/>
      <c r="AQ721" s="46"/>
      <c r="AR721" s="46"/>
      <c r="AS721" s="46"/>
      <c r="AT721" s="46"/>
      <c r="AU721" s="46"/>
      <c r="AV721" s="46"/>
      <c r="AW721" s="46"/>
      <c r="AX721" s="46"/>
      <c r="AY721" s="46"/>
      <c r="AZ721" s="46"/>
      <c r="BA721" s="46"/>
      <c r="BB721" s="46"/>
      <c r="BC721" s="46"/>
      <c r="BD721" s="46"/>
      <c r="BE721" s="46"/>
      <c r="BF721" s="46"/>
      <c r="BG721" s="46"/>
      <c r="BH721" s="46"/>
    </row>
    <row r="722" spans="1:60" ht="14.25" customHeight="1" x14ac:dyDescent="0.3">
      <c r="A722" s="46"/>
      <c r="B722" s="37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  <c r="AB722" s="46"/>
      <c r="AC722" s="46"/>
      <c r="AD722" s="46"/>
      <c r="AE722" s="46"/>
      <c r="AF722" s="46"/>
      <c r="AG722" s="46"/>
      <c r="AH722" s="46"/>
      <c r="AI722" s="46"/>
      <c r="AJ722" s="46"/>
      <c r="AK722" s="46"/>
      <c r="AL722" s="46"/>
      <c r="AM722" s="46"/>
      <c r="AN722" s="46"/>
      <c r="AO722" s="46"/>
      <c r="AP722" s="46"/>
      <c r="AQ722" s="46"/>
      <c r="AR722" s="46"/>
      <c r="AS722" s="46"/>
      <c r="AT722" s="46"/>
      <c r="AU722" s="46"/>
      <c r="AV722" s="46"/>
      <c r="AW722" s="46"/>
      <c r="AX722" s="46"/>
      <c r="AY722" s="46"/>
      <c r="AZ722" s="46"/>
      <c r="BA722" s="46"/>
      <c r="BB722" s="46"/>
      <c r="BC722" s="46"/>
      <c r="BD722" s="46"/>
      <c r="BE722" s="46"/>
      <c r="BF722" s="46"/>
      <c r="BG722" s="46"/>
      <c r="BH722" s="46"/>
    </row>
    <row r="723" spans="1:60" ht="14.25" customHeight="1" x14ac:dyDescent="0.3">
      <c r="A723" s="46"/>
      <c r="B723" s="37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  <c r="AB723" s="46"/>
      <c r="AC723" s="46"/>
      <c r="AD723" s="46"/>
      <c r="AE723" s="46"/>
      <c r="AF723" s="46"/>
      <c r="AG723" s="46"/>
      <c r="AH723" s="46"/>
      <c r="AI723" s="46"/>
      <c r="AJ723" s="46"/>
      <c r="AK723" s="46"/>
      <c r="AL723" s="46"/>
      <c r="AM723" s="46"/>
      <c r="AN723" s="46"/>
      <c r="AO723" s="46"/>
      <c r="AP723" s="46"/>
      <c r="AQ723" s="46"/>
      <c r="AR723" s="46"/>
      <c r="AS723" s="46"/>
      <c r="AT723" s="46"/>
      <c r="AU723" s="46"/>
      <c r="AV723" s="46"/>
      <c r="AW723" s="46"/>
      <c r="AX723" s="46"/>
      <c r="AY723" s="46"/>
      <c r="AZ723" s="46"/>
      <c r="BA723" s="46"/>
      <c r="BB723" s="46"/>
      <c r="BC723" s="46"/>
      <c r="BD723" s="46"/>
      <c r="BE723" s="46"/>
      <c r="BF723" s="46"/>
      <c r="BG723" s="46"/>
      <c r="BH723" s="46"/>
    </row>
    <row r="724" spans="1:60" ht="14.25" customHeight="1" x14ac:dyDescent="0.3">
      <c r="A724" s="46"/>
      <c r="B724" s="37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  <c r="AB724" s="46"/>
      <c r="AC724" s="46"/>
      <c r="AD724" s="46"/>
      <c r="AE724" s="46"/>
      <c r="AF724" s="46"/>
      <c r="AG724" s="46"/>
      <c r="AH724" s="46"/>
      <c r="AI724" s="46"/>
      <c r="AJ724" s="46"/>
      <c r="AK724" s="46"/>
      <c r="AL724" s="46"/>
      <c r="AM724" s="46"/>
      <c r="AN724" s="46"/>
      <c r="AO724" s="46"/>
      <c r="AP724" s="46"/>
      <c r="AQ724" s="46"/>
      <c r="AR724" s="46"/>
      <c r="AS724" s="46"/>
      <c r="AT724" s="46"/>
      <c r="AU724" s="46"/>
      <c r="AV724" s="46"/>
      <c r="AW724" s="46"/>
      <c r="AX724" s="46"/>
      <c r="AY724" s="46"/>
      <c r="AZ724" s="46"/>
      <c r="BA724" s="46"/>
      <c r="BB724" s="46"/>
      <c r="BC724" s="46"/>
      <c r="BD724" s="46"/>
      <c r="BE724" s="46"/>
      <c r="BF724" s="46"/>
      <c r="BG724" s="46"/>
      <c r="BH724" s="46"/>
    </row>
    <row r="725" spans="1:60" ht="14.25" customHeight="1" x14ac:dyDescent="0.3">
      <c r="A725" s="46"/>
      <c r="B725" s="37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  <c r="AB725" s="46"/>
      <c r="AC725" s="46"/>
      <c r="AD725" s="46"/>
      <c r="AE725" s="46"/>
      <c r="AF725" s="46"/>
      <c r="AG725" s="46"/>
      <c r="AH725" s="46"/>
      <c r="AI725" s="46"/>
      <c r="AJ725" s="46"/>
      <c r="AK725" s="46"/>
      <c r="AL725" s="46"/>
      <c r="AM725" s="46"/>
      <c r="AN725" s="46"/>
      <c r="AO725" s="46"/>
      <c r="AP725" s="46"/>
      <c r="AQ725" s="46"/>
      <c r="AR725" s="46"/>
      <c r="AS725" s="46"/>
      <c r="AT725" s="46"/>
      <c r="AU725" s="46"/>
      <c r="AV725" s="46"/>
      <c r="AW725" s="46"/>
      <c r="AX725" s="46"/>
      <c r="AY725" s="46"/>
      <c r="AZ725" s="46"/>
      <c r="BA725" s="46"/>
      <c r="BB725" s="46"/>
      <c r="BC725" s="46"/>
      <c r="BD725" s="46"/>
      <c r="BE725" s="46"/>
      <c r="BF725" s="46"/>
      <c r="BG725" s="46"/>
      <c r="BH725" s="46"/>
    </row>
    <row r="726" spans="1:60" ht="14.25" customHeight="1" x14ac:dyDescent="0.3">
      <c r="A726" s="46"/>
      <c r="B726" s="37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  <c r="AC726" s="46"/>
      <c r="AD726" s="46"/>
      <c r="AE726" s="46"/>
      <c r="AF726" s="46"/>
      <c r="AG726" s="46"/>
      <c r="AH726" s="46"/>
      <c r="AI726" s="46"/>
      <c r="AJ726" s="46"/>
      <c r="AK726" s="46"/>
      <c r="AL726" s="46"/>
      <c r="AM726" s="46"/>
      <c r="AN726" s="46"/>
      <c r="AO726" s="46"/>
      <c r="AP726" s="46"/>
      <c r="AQ726" s="46"/>
      <c r="AR726" s="46"/>
      <c r="AS726" s="46"/>
      <c r="AT726" s="46"/>
      <c r="AU726" s="46"/>
      <c r="AV726" s="46"/>
      <c r="AW726" s="46"/>
      <c r="AX726" s="46"/>
      <c r="AY726" s="46"/>
      <c r="AZ726" s="46"/>
      <c r="BA726" s="46"/>
      <c r="BB726" s="46"/>
      <c r="BC726" s="46"/>
      <c r="BD726" s="46"/>
      <c r="BE726" s="46"/>
      <c r="BF726" s="46"/>
      <c r="BG726" s="46"/>
      <c r="BH726" s="46"/>
    </row>
    <row r="727" spans="1:60" ht="14.25" customHeight="1" x14ac:dyDescent="0.3">
      <c r="A727" s="46"/>
      <c r="B727" s="37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  <c r="AC727" s="46"/>
      <c r="AD727" s="46"/>
      <c r="AE727" s="46"/>
      <c r="AF727" s="46"/>
      <c r="AG727" s="46"/>
      <c r="AH727" s="46"/>
      <c r="AI727" s="46"/>
      <c r="AJ727" s="46"/>
      <c r="AK727" s="46"/>
      <c r="AL727" s="46"/>
      <c r="AM727" s="46"/>
      <c r="AN727" s="46"/>
      <c r="AO727" s="46"/>
      <c r="AP727" s="46"/>
      <c r="AQ727" s="46"/>
      <c r="AR727" s="46"/>
      <c r="AS727" s="46"/>
      <c r="AT727" s="46"/>
      <c r="AU727" s="46"/>
      <c r="AV727" s="46"/>
      <c r="AW727" s="46"/>
      <c r="AX727" s="46"/>
      <c r="AY727" s="46"/>
      <c r="AZ727" s="46"/>
      <c r="BA727" s="46"/>
      <c r="BB727" s="46"/>
      <c r="BC727" s="46"/>
      <c r="BD727" s="46"/>
      <c r="BE727" s="46"/>
      <c r="BF727" s="46"/>
      <c r="BG727" s="46"/>
      <c r="BH727" s="46"/>
    </row>
    <row r="728" spans="1:60" ht="14.25" customHeight="1" x14ac:dyDescent="0.3">
      <c r="A728" s="46"/>
      <c r="B728" s="37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  <c r="AB728" s="46"/>
      <c r="AC728" s="46"/>
      <c r="AD728" s="46"/>
      <c r="AE728" s="46"/>
      <c r="AF728" s="46"/>
      <c r="AG728" s="46"/>
      <c r="AH728" s="46"/>
      <c r="AI728" s="46"/>
      <c r="AJ728" s="46"/>
      <c r="AK728" s="46"/>
      <c r="AL728" s="46"/>
      <c r="AM728" s="46"/>
      <c r="AN728" s="46"/>
      <c r="AO728" s="46"/>
      <c r="AP728" s="46"/>
      <c r="AQ728" s="46"/>
      <c r="AR728" s="46"/>
      <c r="AS728" s="46"/>
      <c r="AT728" s="46"/>
      <c r="AU728" s="46"/>
      <c r="AV728" s="46"/>
      <c r="AW728" s="46"/>
      <c r="AX728" s="46"/>
      <c r="AY728" s="46"/>
      <c r="AZ728" s="46"/>
      <c r="BA728" s="46"/>
      <c r="BB728" s="46"/>
      <c r="BC728" s="46"/>
      <c r="BD728" s="46"/>
      <c r="BE728" s="46"/>
      <c r="BF728" s="46"/>
      <c r="BG728" s="46"/>
      <c r="BH728" s="46"/>
    </row>
    <row r="729" spans="1:60" ht="14.25" customHeight="1" x14ac:dyDescent="0.3">
      <c r="A729" s="46"/>
      <c r="B729" s="37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  <c r="AB729" s="46"/>
      <c r="AC729" s="46"/>
      <c r="AD729" s="46"/>
      <c r="AE729" s="46"/>
      <c r="AF729" s="46"/>
      <c r="AG729" s="46"/>
      <c r="AH729" s="46"/>
      <c r="AI729" s="46"/>
      <c r="AJ729" s="46"/>
      <c r="AK729" s="46"/>
      <c r="AL729" s="46"/>
      <c r="AM729" s="46"/>
      <c r="AN729" s="46"/>
      <c r="AO729" s="46"/>
      <c r="AP729" s="46"/>
      <c r="AQ729" s="46"/>
      <c r="AR729" s="46"/>
      <c r="AS729" s="46"/>
      <c r="AT729" s="46"/>
      <c r="AU729" s="46"/>
      <c r="AV729" s="46"/>
      <c r="AW729" s="46"/>
      <c r="AX729" s="46"/>
      <c r="AY729" s="46"/>
      <c r="AZ729" s="46"/>
      <c r="BA729" s="46"/>
      <c r="BB729" s="46"/>
      <c r="BC729" s="46"/>
      <c r="BD729" s="46"/>
      <c r="BE729" s="46"/>
      <c r="BF729" s="46"/>
      <c r="BG729" s="46"/>
      <c r="BH729" s="46"/>
    </row>
    <row r="730" spans="1:60" ht="14.25" customHeight="1" x14ac:dyDescent="0.3">
      <c r="A730" s="46"/>
      <c r="B730" s="37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  <c r="AB730" s="46"/>
      <c r="AC730" s="46"/>
      <c r="AD730" s="46"/>
      <c r="AE730" s="46"/>
      <c r="AF730" s="46"/>
      <c r="AG730" s="46"/>
      <c r="AH730" s="46"/>
      <c r="AI730" s="46"/>
      <c r="AJ730" s="46"/>
      <c r="AK730" s="46"/>
      <c r="AL730" s="46"/>
      <c r="AM730" s="46"/>
      <c r="AN730" s="46"/>
      <c r="AO730" s="46"/>
      <c r="AP730" s="46"/>
      <c r="AQ730" s="46"/>
      <c r="AR730" s="46"/>
      <c r="AS730" s="46"/>
      <c r="AT730" s="46"/>
      <c r="AU730" s="46"/>
      <c r="AV730" s="46"/>
      <c r="AW730" s="46"/>
      <c r="AX730" s="46"/>
      <c r="AY730" s="46"/>
      <c r="AZ730" s="46"/>
      <c r="BA730" s="46"/>
      <c r="BB730" s="46"/>
      <c r="BC730" s="46"/>
      <c r="BD730" s="46"/>
      <c r="BE730" s="46"/>
      <c r="BF730" s="46"/>
      <c r="BG730" s="46"/>
      <c r="BH730" s="46"/>
    </row>
    <row r="731" spans="1:60" ht="14.25" customHeight="1" x14ac:dyDescent="0.3">
      <c r="A731" s="46"/>
      <c r="B731" s="37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  <c r="AB731" s="46"/>
      <c r="AC731" s="46"/>
      <c r="AD731" s="46"/>
      <c r="AE731" s="46"/>
      <c r="AF731" s="46"/>
      <c r="AG731" s="46"/>
      <c r="AH731" s="46"/>
      <c r="AI731" s="46"/>
      <c r="AJ731" s="46"/>
      <c r="AK731" s="46"/>
      <c r="AL731" s="46"/>
      <c r="AM731" s="46"/>
      <c r="AN731" s="46"/>
      <c r="AO731" s="46"/>
      <c r="AP731" s="46"/>
      <c r="AQ731" s="46"/>
      <c r="AR731" s="46"/>
      <c r="AS731" s="46"/>
      <c r="AT731" s="46"/>
      <c r="AU731" s="46"/>
      <c r="AV731" s="46"/>
      <c r="AW731" s="46"/>
      <c r="AX731" s="46"/>
      <c r="AY731" s="46"/>
      <c r="AZ731" s="46"/>
      <c r="BA731" s="46"/>
      <c r="BB731" s="46"/>
      <c r="BC731" s="46"/>
      <c r="BD731" s="46"/>
      <c r="BE731" s="46"/>
      <c r="BF731" s="46"/>
      <c r="BG731" s="46"/>
      <c r="BH731" s="46"/>
    </row>
    <row r="732" spans="1:60" ht="14.25" customHeight="1" x14ac:dyDescent="0.3">
      <c r="A732" s="46"/>
      <c r="B732" s="37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  <c r="AB732" s="46"/>
      <c r="AC732" s="46"/>
      <c r="AD732" s="46"/>
      <c r="AE732" s="46"/>
      <c r="AF732" s="46"/>
      <c r="AG732" s="46"/>
      <c r="AH732" s="46"/>
      <c r="AI732" s="46"/>
      <c r="AJ732" s="46"/>
      <c r="AK732" s="46"/>
      <c r="AL732" s="46"/>
      <c r="AM732" s="46"/>
      <c r="AN732" s="46"/>
      <c r="AO732" s="46"/>
      <c r="AP732" s="46"/>
      <c r="AQ732" s="46"/>
      <c r="AR732" s="46"/>
      <c r="AS732" s="46"/>
      <c r="AT732" s="46"/>
      <c r="AU732" s="46"/>
      <c r="AV732" s="46"/>
      <c r="AW732" s="46"/>
      <c r="AX732" s="46"/>
      <c r="AY732" s="46"/>
      <c r="AZ732" s="46"/>
      <c r="BA732" s="46"/>
      <c r="BB732" s="46"/>
      <c r="BC732" s="46"/>
      <c r="BD732" s="46"/>
      <c r="BE732" s="46"/>
      <c r="BF732" s="46"/>
      <c r="BG732" s="46"/>
      <c r="BH732" s="46"/>
    </row>
    <row r="733" spans="1:60" ht="14.25" customHeight="1" x14ac:dyDescent="0.3">
      <c r="A733" s="46"/>
      <c r="B733" s="37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  <c r="AB733" s="46"/>
      <c r="AC733" s="46"/>
      <c r="AD733" s="46"/>
      <c r="AE733" s="46"/>
      <c r="AF733" s="46"/>
      <c r="AG733" s="46"/>
      <c r="AH733" s="46"/>
      <c r="AI733" s="46"/>
      <c r="AJ733" s="46"/>
      <c r="AK733" s="46"/>
      <c r="AL733" s="46"/>
      <c r="AM733" s="46"/>
      <c r="AN733" s="46"/>
      <c r="AO733" s="46"/>
      <c r="AP733" s="46"/>
      <c r="AQ733" s="46"/>
      <c r="AR733" s="46"/>
      <c r="AS733" s="46"/>
      <c r="AT733" s="46"/>
      <c r="AU733" s="46"/>
      <c r="AV733" s="46"/>
      <c r="AW733" s="46"/>
      <c r="AX733" s="46"/>
      <c r="AY733" s="46"/>
      <c r="AZ733" s="46"/>
      <c r="BA733" s="46"/>
      <c r="BB733" s="46"/>
      <c r="BC733" s="46"/>
      <c r="BD733" s="46"/>
      <c r="BE733" s="46"/>
      <c r="BF733" s="46"/>
      <c r="BG733" s="46"/>
      <c r="BH733" s="46"/>
    </row>
    <row r="734" spans="1:60" ht="14.25" customHeight="1" x14ac:dyDescent="0.3">
      <c r="A734" s="46"/>
      <c r="B734" s="37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  <c r="AB734" s="46"/>
      <c r="AC734" s="46"/>
      <c r="AD734" s="46"/>
      <c r="AE734" s="46"/>
      <c r="AF734" s="46"/>
      <c r="AG734" s="46"/>
      <c r="AH734" s="46"/>
      <c r="AI734" s="46"/>
      <c r="AJ734" s="46"/>
      <c r="AK734" s="46"/>
      <c r="AL734" s="46"/>
      <c r="AM734" s="46"/>
      <c r="AN734" s="46"/>
      <c r="AO734" s="46"/>
      <c r="AP734" s="46"/>
      <c r="AQ734" s="46"/>
      <c r="AR734" s="46"/>
      <c r="AS734" s="46"/>
      <c r="AT734" s="46"/>
      <c r="AU734" s="46"/>
      <c r="AV734" s="46"/>
      <c r="AW734" s="46"/>
      <c r="AX734" s="46"/>
      <c r="AY734" s="46"/>
      <c r="AZ734" s="46"/>
      <c r="BA734" s="46"/>
      <c r="BB734" s="46"/>
      <c r="BC734" s="46"/>
      <c r="BD734" s="46"/>
      <c r="BE734" s="46"/>
      <c r="BF734" s="46"/>
      <c r="BG734" s="46"/>
      <c r="BH734" s="46"/>
    </row>
    <row r="735" spans="1:60" ht="14.25" customHeight="1" x14ac:dyDescent="0.3">
      <c r="A735" s="46"/>
      <c r="B735" s="37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  <c r="AB735" s="46"/>
      <c r="AC735" s="46"/>
      <c r="AD735" s="46"/>
      <c r="AE735" s="46"/>
      <c r="AF735" s="46"/>
      <c r="AG735" s="46"/>
      <c r="AH735" s="46"/>
      <c r="AI735" s="46"/>
      <c r="AJ735" s="46"/>
      <c r="AK735" s="46"/>
      <c r="AL735" s="46"/>
      <c r="AM735" s="46"/>
      <c r="AN735" s="46"/>
      <c r="AO735" s="46"/>
      <c r="AP735" s="46"/>
      <c r="AQ735" s="46"/>
      <c r="AR735" s="46"/>
      <c r="AS735" s="46"/>
      <c r="AT735" s="46"/>
      <c r="AU735" s="46"/>
      <c r="AV735" s="46"/>
      <c r="AW735" s="46"/>
      <c r="AX735" s="46"/>
      <c r="AY735" s="46"/>
      <c r="AZ735" s="46"/>
      <c r="BA735" s="46"/>
      <c r="BB735" s="46"/>
      <c r="BC735" s="46"/>
      <c r="BD735" s="46"/>
      <c r="BE735" s="46"/>
      <c r="BF735" s="46"/>
      <c r="BG735" s="46"/>
      <c r="BH735" s="46"/>
    </row>
    <row r="736" spans="1:60" ht="14.25" customHeight="1" x14ac:dyDescent="0.3">
      <c r="A736" s="46"/>
      <c r="B736" s="37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  <c r="AB736" s="46"/>
      <c r="AC736" s="46"/>
      <c r="AD736" s="46"/>
      <c r="AE736" s="46"/>
      <c r="AF736" s="46"/>
      <c r="AG736" s="46"/>
      <c r="AH736" s="46"/>
      <c r="AI736" s="46"/>
      <c r="AJ736" s="46"/>
      <c r="AK736" s="46"/>
      <c r="AL736" s="46"/>
      <c r="AM736" s="46"/>
      <c r="AN736" s="46"/>
      <c r="AO736" s="46"/>
      <c r="AP736" s="46"/>
      <c r="AQ736" s="46"/>
      <c r="AR736" s="46"/>
      <c r="AS736" s="46"/>
      <c r="AT736" s="46"/>
      <c r="AU736" s="46"/>
      <c r="AV736" s="46"/>
      <c r="AW736" s="46"/>
      <c r="AX736" s="46"/>
      <c r="AY736" s="46"/>
      <c r="AZ736" s="46"/>
      <c r="BA736" s="46"/>
      <c r="BB736" s="46"/>
      <c r="BC736" s="46"/>
      <c r="BD736" s="46"/>
      <c r="BE736" s="46"/>
      <c r="BF736" s="46"/>
      <c r="BG736" s="46"/>
      <c r="BH736" s="46"/>
    </row>
    <row r="737" spans="1:60" ht="14.25" customHeight="1" x14ac:dyDescent="0.3">
      <c r="A737" s="46"/>
      <c r="B737" s="37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  <c r="AB737" s="46"/>
      <c r="AC737" s="46"/>
      <c r="AD737" s="46"/>
      <c r="AE737" s="46"/>
      <c r="AF737" s="46"/>
      <c r="AG737" s="46"/>
      <c r="AH737" s="46"/>
      <c r="AI737" s="46"/>
      <c r="AJ737" s="46"/>
      <c r="AK737" s="46"/>
      <c r="AL737" s="46"/>
      <c r="AM737" s="46"/>
      <c r="AN737" s="46"/>
      <c r="AO737" s="46"/>
      <c r="AP737" s="46"/>
      <c r="AQ737" s="46"/>
      <c r="AR737" s="46"/>
      <c r="AS737" s="46"/>
      <c r="AT737" s="46"/>
      <c r="AU737" s="46"/>
      <c r="AV737" s="46"/>
      <c r="AW737" s="46"/>
      <c r="AX737" s="46"/>
      <c r="AY737" s="46"/>
      <c r="AZ737" s="46"/>
      <c r="BA737" s="46"/>
      <c r="BB737" s="46"/>
      <c r="BC737" s="46"/>
      <c r="BD737" s="46"/>
      <c r="BE737" s="46"/>
      <c r="BF737" s="46"/>
      <c r="BG737" s="46"/>
      <c r="BH737" s="46"/>
    </row>
    <row r="738" spans="1:60" ht="14.25" customHeight="1" x14ac:dyDescent="0.3">
      <c r="A738" s="46"/>
      <c r="B738" s="37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  <c r="AB738" s="46"/>
      <c r="AC738" s="46"/>
      <c r="AD738" s="46"/>
      <c r="AE738" s="46"/>
      <c r="AF738" s="46"/>
      <c r="AG738" s="46"/>
      <c r="AH738" s="46"/>
      <c r="AI738" s="46"/>
      <c r="AJ738" s="46"/>
      <c r="AK738" s="46"/>
      <c r="AL738" s="46"/>
      <c r="AM738" s="46"/>
      <c r="AN738" s="46"/>
      <c r="AO738" s="46"/>
      <c r="AP738" s="46"/>
      <c r="AQ738" s="46"/>
      <c r="AR738" s="46"/>
      <c r="AS738" s="46"/>
      <c r="AT738" s="46"/>
      <c r="AU738" s="46"/>
      <c r="AV738" s="46"/>
      <c r="AW738" s="46"/>
      <c r="AX738" s="46"/>
      <c r="AY738" s="46"/>
      <c r="AZ738" s="46"/>
      <c r="BA738" s="46"/>
      <c r="BB738" s="46"/>
      <c r="BC738" s="46"/>
      <c r="BD738" s="46"/>
      <c r="BE738" s="46"/>
      <c r="BF738" s="46"/>
      <c r="BG738" s="46"/>
      <c r="BH738" s="46"/>
    </row>
    <row r="739" spans="1:60" ht="14.25" customHeight="1" x14ac:dyDescent="0.3">
      <c r="A739" s="46"/>
      <c r="B739" s="37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  <c r="AB739" s="46"/>
      <c r="AC739" s="46"/>
      <c r="AD739" s="46"/>
      <c r="AE739" s="46"/>
      <c r="AF739" s="46"/>
      <c r="AG739" s="46"/>
      <c r="AH739" s="46"/>
      <c r="AI739" s="46"/>
      <c r="AJ739" s="46"/>
      <c r="AK739" s="46"/>
      <c r="AL739" s="46"/>
      <c r="AM739" s="46"/>
      <c r="AN739" s="46"/>
      <c r="AO739" s="46"/>
      <c r="AP739" s="46"/>
      <c r="AQ739" s="46"/>
      <c r="AR739" s="46"/>
      <c r="AS739" s="46"/>
      <c r="AT739" s="46"/>
      <c r="AU739" s="46"/>
      <c r="AV739" s="46"/>
      <c r="AW739" s="46"/>
      <c r="AX739" s="46"/>
      <c r="AY739" s="46"/>
      <c r="AZ739" s="46"/>
      <c r="BA739" s="46"/>
      <c r="BB739" s="46"/>
      <c r="BC739" s="46"/>
      <c r="BD739" s="46"/>
      <c r="BE739" s="46"/>
      <c r="BF739" s="46"/>
      <c r="BG739" s="46"/>
      <c r="BH739" s="46"/>
    </row>
    <row r="740" spans="1:60" ht="14.25" customHeight="1" x14ac:dyDescent="0.3">
      <c r="A740" s="46"/>
      <c r="B740" s="37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  <c r="AB740" s="46"/>
      <c r="AC740" s="46"/>
      <c r="AD740" s="46"/>
      <c r="AE740" s="46"/>
      <c r="AF740" s="46"/>
      <c r="AG740" s="46"/>
      <c r="AH740" s="46"/>
      <c r="AI740" s="46"/>
      <c r="AJ740" s="46"/>
      <c r="AK740" s="46"/>
      <c r="AL740" s="46"/>
      <c r="AM740" s="46"/>
      <c r="AN740" s="46"/>
      <c r="AO740" s="46"/>
      <c r="AP740" s="46"/>
      <c r="AQ740" s="46"/>
      <c r="AR740" s="46"/>
      <c r="AS740" s="46"/>
      <c r="AT740" s="46"/>
      <c r="AU740" s="46"/>
      <c r="AV740" s="46"/>
      <c r="AW740" s="46"/>
      <c r="AX740" s="46"/>
      <c r="AY740" s="46"/>
      <c r="AZ740" s="46"/>
      <c r="BA740" s="46"/>
      <c r="BB740" s="46"/>
      <c r="BC740" s="46"/>
      <c r="BD740" s="46"/>
      <c r="BE740" s="46"/>
      <c r="BF740" s="46"/>
      <c r="BG740" s="46"/>
      <c r="BH740" s="46"/>
    </row>
    <row r="741" spans="1:60" ht="14.25" customHeight="1" x14ac:dyDescent="0.3">
      <c r="A741" s="46"/>
      <c r="B741" s="37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/>
      <c r="AB741" s="46"/>
      <c r="AC741" s="46"/>
      <c r="AD741" s="46"/>
      <c r="AE741" s="46"/>
      <c r="AF741" s="46"/>
      <c r="AG741" s="46"/>
      <c r="AH741" s="46"/>
      <c r="AI741" s="46"/>
      <c r="AJ741" s="46"/>
      <c r="AK741" s="46"/>
      <c r="AL741" s="46"/>
      <c r="AM741" s="46"/>
      <c r="AN741" s="46"/>
      <c r="AO741" s="46"/>
      <c r="AP741" s="46"/>
      <c r="AQ741" s="46"/>
      <c r="AR741" s="46"/>
      <c r="AS741" s="46"/>
      <c r="AT741" s="46"/>
      <c r="AU741" s="46"/>
      <c r="AV741" s="46"/>
      <c r="AW741" s="46"/>
      <c r="AX741" s="46"/>
      <c r="AY741" s="46"/>
      <c r="AZ741" s="46"/>
      <c r="BA741" s="46"/>
      <c r="BB741" s="46"/>
      <c r="BC741" s="46"/>
      <c r="BD741" s="46"/>
      <c r="BE741" s="46"/>
      <c r="BF741" s="46"/>
      <c r="BG741" s="46"/>
      <c r="BH741" s="46"/>
    </row>
    <row r="742" spans="1:60" ht="14.25" customHeight="1" x14ac:dyDescent="0.3">
      <c r="A742" s="46"/>
      <c r="B742" s="37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/>
      <c r="AB742" s="46"/>
      <c r="AC742" s="46"/>
      <c r="AD742" s="46"/>
      <c r="AE742" s="46"/>
      <c r="AF742" s="46"/>
      <c r="AG742" s="46"/>
      <c r="AH742" s="46"/>
      <c r="AI742" s="46"/>
      <c r="AJ742" s="46"/>
      <c r="AK742" s="46"/>
      <c r="AL742" s="46"/>
      <c r="AM742" s="46"/>
      <c r="AN742" s="46"/>
      <c r="AO742" s="46"/>
      <c r="AP742" s="46"/>
      <c r="AQ742" s="46"/>
      <c r="AR742" s="46"/>
      <c r="AS742" s="46"/>
      <c r="AT742" s="46"/>
      <c r="AU742" s="46"/>
      <c r="AV742" s="46"/>
      <c r="AW742" s="46"/>
      <c r="AX742" s="46"/>
      <c r="AY742" s="46"/>
      <c r="AZ742" s="46"/>
      <c r="BA742" s="46"/>
      <c r="BB742" s="46"/>
      <c r="BC742" s="46"/>
      <c r="BD742" s="46"/>
      <c r="BE742" s="46"/>
      <c r="BF742" s="46"/>
      <c r="BG742" s="46"/>
      <c r="BH742" s="46"/>
    </row>
    <row r="743" spans="1:60" ht="14.25" customHeight="1" x14ac:dyDescent="0.3">
      <c r="A743" s="46"/>
      <c r="B743" s="37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  <c r="AB743" s="46"/>
      <c r="AC743" s="46"/>
      <c r="AD743" s="46"/>
      <c r="AE743" s="46"/>
      <c r="AF743" s="46"/>
      <c r="AG743" s="46"/>
      <c r="AH743" s="46"/>
      <c r="AI743" s="46"/>
      <c r="AJ743" s="46"/>
      <c r="AK743" s="46"/>
      <c r="AL743" s="46"/>
      <c r="AM743" s="46"/>
      <c r="AN743" s="46"/>
      <c r="AO743" s="46"/>
      <c r="AP743" s="46"/>
      <c r="AQ743" s="46"/>
      <c r="AR743" s="46"/>
      <c r="AS743" s="46"/>
      <c r="AT743" s="46"/>
      <c r="AU743" s="46"/>
      <c r="AV743" s="46"/>
      <c r="AW743" s="46"/>
      <c r="AX743" s="46"/>
      <c r="AY743" s="46"/>
      <c r="AZ743" s="46"/>
      <c r="BA743" s="46"/>
      <c r="BB743" s="46"/>
      <c r="BC743" s="46"/>
      <c r="BD743" s="46"/>
      <c r="BE743" s="46"/>
      <c r="BF743" s="46"/>
      <c r="BG743" s="46"/>
      <c r="BH743" s="46"/>
    </row>
    <row r="744" spans="1:60" ht="14.25" customHeight="1" x14ac:dyDescent="0.3">
      <c r="A744" s="46"/>
      <c r="B744" s="37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6"/>
      <c r="AB744" s="46"/>
      <c r="AC744" s="46"/>
      <c r="AD744" s="46"/>
      <c r="AE744" s="46"/>
      <c r="AF744" s="46"/>
      <c r="AG744" s="46"/>
      <c r="AH744" s="46"/>
      <c r="AI744" s="46"/>
      <c r="AJ744" s="46"/>
      <c r="AK744" s="46"/>
      <c r="AL744" s="46"/>
      <c r="AM744" s="46"/>
      <c r="AN744" s="46"/>
      <c r="AO744" s="46"/>
      <c r="AP744" s="46"/>
      <c r="AQ744" s="46"/>
      <c r="AR744" s="46"/>
      <c r="AS744" s="46"/>
      <c r="AT744" s="46"/>
      <c r="AU744" s="46"/>
      <c r="AV744" s="46"/>
      <c r="AW744" s="46"/>
      <c r="AX744" s="46"/>
      <c r="AY744" s="46"/>
      <c r="AZ744" s="46"/>
      <c r="BA744" s="46"/>
      <c r="BB744" s="46"/>
      <c r="BC744" s="46"/>
      <c r="BD744" s="46"/>
      <c r="BE744" s="46"/>
      <c r="BF744" s="46"/>
      <c r="BG744" s="46"/>
      <c r="BH744" s="46"/>
    </row>
    <row r="745" spans="1:60" ht="14.25" customHeight="1" x14ac:dyDescent="0.3">
      <c r="A745" s="46"/>
      <c r="B745" s="37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  <c r="AA745" s="46"/>
      <c r="AB745" s="46"/>
      <c r="AC745" s="46"/>
      <c r="AD745" s="46"/>
      <c r="AE745" s="46"/>
      <c r="AF745" s="46"/>
      <c r="AG745" s="46"/>
      <c r="AH745" s="46"/>
      <c r="AI745" s="46"/>
      <c r="AJ745" s="46"/>
      <c r="AK745" s="46"/>
      <c r="AL745" s="46"/>
      <c r="AM745" s="46"/>
      <c r="AN745" s="46"/>
      <c r="AO745" s="46"/>
      <c r="AP745" s="46"/>
      <c r="AQ745" s="46"/>
      <c r="AR745" s="46"/>
      <c r="AS745" s="46"/>
      <c r="AT745" s="46"/>
      <c r="AU745" s="46"/>
      <c r="AV745" s="46"/>
      <c r="AW745" s="46"/>
      <c r="AX745" s="46"/>
      <c r="AY745" s="46"/>
      <c r="AZ745" s="46"/>
      <c r="BA745" s="46"/>
      <c r="BB745" s="46"/>
      <c r="BC745" s="46"/>
      <c r="BD745" s="46"/>
      <c r="BE745" s="46"/>
      <c r="BF745" s="46"/>
      <c r="BG745" s="46"/>
      <c r="BH745" s="46"/>
    </row>
    <row r="746" spans="1:60" ht="14.25" customHeight="1" x14ac:dyDescent="0.3">
      <c r="A746" s="46"/>
      <c r="B746" s="37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  <c r="AA746" s="46"/>
      <c r="AB746" s="46"/>
      <c r="AC746" s="46"/>
      <c r="AD746" s="46"/>
      <c r="AE746" s="46"/>
      <c r="AF746" s="46"/>
      <c r="AG746" s="46"/>
      <c r="AH746" s="46"/>
      <c r="AI746" s="46"/>
      <c r="AJ746" s="46"/>
      <c r="AK746" s="46"/>
      <c r="AL746" s="46"/>
      <c r="AM746" s="46"/>
      <c r="AN746" s="46"/>
      <c r="AO746" s="46"/>
      <c r="AP746" s="46"/>
      <c r="AQ746" s="46"/>
      <c r="AR746" s="46"/>
      <c r="AS746" s="46"/>
      <c r="AT746" s="46"/>
      <c r="AU746" s="46"/>
      <c r="AV746" s="46"/>
      <c r="AW746" s="46"/>
      <c r="AX746" s="46"/>
      <c r="AY746" s="46"/>
      <c r="AZ746" s="46"/>
      <c r="BA746" s="46"/>
      <c r="BB746" s="46"/>
      <c r="BC746" s="46"/>
      <c r="BD746" s="46"/>
      <c r="BE746" s="46"/>
      <c r="BF746" s="46"/>
      <c r="BG746" s="46"/>
      <c r="BH746" s="46"/>
    </row>
    <row r="747" spans="1:60" ht="14.25" customHeight="1" x14ac:dyDescent="0.3">
      <c r="A747" s="46"/>
      <c r="B747" s="37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  <c r="AB747" s="46"/>
      <c r="AC747" s="46"/>
      <c r="AD747" s="46"/>
      <c r="AE747" s="46"/>
      <c r="AF747" s="46"/>
      <c r="AG747" s="46"/>
      <c r="AH747" s="46"/>
      <c r="AI747" s="46"/>
      <c r="AJ747" s="46"/>
      <c r="AK747" s="46"/>
      <c r="AL747" s="46"/>
      <c r="AM747" s="46"/>
      <c r="AN747" s="46"/>
      <c r="AO747" s="46"/>
      <c r="AP747" s="46"/>
      <c r="AQ747" s="46"/>
      <c r="AR747" s="46"/>
      <c r="AS747" s="46"/>
      <c r="AT747" s="46"/>
      <c r="AU747" s="46"/>
      <c r="AV747" s="46"/>
      <c r="AW747" s="46"/>
      <c r="AX747" s="46"/>
      <c r="AY747" s="46"/>
      <c r="AZ747" s="46"/>
      <c r="BA747" s="46"/>
      <c r="BB747" s="46"/>
      <c r="BC747" s="46"/>
      <c r="BD747" s="46"/>
      <c r="BE747" s="46"/>
      <c r="BF747" s="46"/>
      <c r="BG747" s="46"/>
      <c r="BH747" s="46"/>
    </row>
    <row r="748" spans="1:60" ht="14.25" customHeight="1" x14ac:dyDescent="0.3">
      <c r="A748" s="46"/>
      <c r="B748" s="37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  <c r="AA748" s="46"/>
      <c r="AB748" s="46"/>
      <c r="AC748" s="46"/>
      <c r="AD748" s="46"/>
      <c r="AE748" s="46"/>
      <c r="AF748" s="46"/>
      <c r="AG748" s="46"/>
      <c r="AH748" s="46"/>
      <c r="AI748" s="46"/>
      <c r="AJ748" s="46"/>
      <c r="AK748" s="46"/>
      <c r="AL748" s="46"/>
      <c r="AM748" s="46"/>
      <c r="AN748" s="46"/>
      <c r="AO748" s="46"/>
      <c r="AP748" s="46"/>
      <c r="AQ748" s="46"/>
      <c r="AR748" s="46"/>
      <c r="AS748" s="46"/>
      <c r="AT748" s="46"/>
      <c r="AU748" s="46"/>
      <c r="AV748" s="46"/>
      <c r="AW748" s="46"/>
      <c r="AX748" s="46"/>
      <c r="AY748" s="46"/>
      <c r="AZ748" s="46"/>
      <c r="BA748" s="46"/>
      <c r="BB748" s="46"/>
      <c r="BC748" s="46"/>
      <c r="BD748" s="46"/>
      <c r="BE748" s="46"/>
      <c r="BF748" s="46"/>
      <c r="BG748" s="46"/>
      <c r="BH748" s="46"/>
    </row>
    <row r="749" spans="1:60" ht="14.25" customHeight="1" x14ac:dyDescent="0.3">
      <c r="A749" s="46"/>
      <c r="B749" s="37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  <c r="AA749" s="46"/>
      <c r="AB749" s="46"/>
      <c r="AC749" s="46"/>
      <c r="AD749" s="46"/>
      <c r="AE749" s="46"/>
      <c r="AF749" s="46"/>
      <c r="AG749" s="46"/>
      <c r="AH749" s="46"/>
      <c r="AI749" s="46"/>
      <c r="AJ749" s="46"/>
      <c r="AK749" s="46"/>
      <c r="AL749" s="46"/>
      <c r="AM749" s="46"/>
      <c r="AN749" s="46"/>
      <c r="AO749" s="46"/>
      <c r="AP749" s="46"/>
      <c r="AQ749" s="46"/>
      <c r="AR749" s="46"/>
      <c r="AS749" s="46"/>
      <c r="AT749" s="46"/>
      <c r="AU749" s="46"/>
      <c r="AV749" s="46"/>
      <c r="AW749" s="46"/>
      <c r="AX749" s="46"/>
      <c r="AY749" s="46"/>
      <c r="AZ749" s="46"/>
      <c r="BA749" s="46"/>
      <c r="BB749" s="46"/>
      <c r="BC749" s="46"/>
      <c r="BD749" s="46"/>
      <c r="BE749" s="46"/>
      <c r="BF749" s="46"/>
      <c r="BG749" s="46"/>
      <c r="BH749" s="46"/>
    </row>
    <row r="750" spans="1:60" ht="14.25" customHeight="1" x14ac:dyDescent="0.3">
      <c r="A750" s="46"/>
      <c r="B750" s="37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  <c r="AB750" s="46"/>
      <c r="AC750" s="46"/>
      <c r="AD750" s="46"/>
      <c r="AE750" s="46"/>
      <c r="AF750" s="46"/>
      <c r="AG750" s="46"/>
      <c r="AH750" s="46"/>
      <c r="AI750" s="46"/>
      <c r="AJ750" s="46"/>
      <c r="AK750" s="46"/>
      <c r="AL750" s="46"/>
      <c r="AM750" s="46"/>
      <c r="AN750" s="46"/>
      <c r="AO750" s="46"/>
      <c r="AP750" s="46"/>
      <c r="AQ750" s="46"/>
      <c r="AR750" s="46"/>
      <c r="AS750" s="46"/>
      <c r="AT750" s="46"/>
      <c r="AU750" s="46"/>
      <c r="AV750" s="46"/>
      <c r="AW750" s="46"/>
      <c r="AX750" s="46"/>
      <c r="AY750" s="46"/>
      <c r="AZ750" s="46"/>
      <c r="BA750" s="46"/>
      <c r="BB750" s="46"/>
      <c r="BC750" s="46"/>
      <c r="BD750" s="46"/>
      <c r="BE750" s="46"/>
      <c r="BF750" s="46"/>
      <c r="BG750" s="46"/>
      <c r="BH750" s="46"/>
    </row>
    <row r="751" spans="1:60" ht="14.25" customHeight="1" x14ac:dyDescent="0.3">
      <c r="A751" s="46"/>
      <c r="B751" s="37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  <c r="AA751" s="46"/>
      <c r="AB751" s="46"/>
      <c r="AC751" s="46"/>
      <c r="AD751" s="46"/>
      <c r="AE751" s="46"/>
      <c r="AF751" s="46"/>
      <c r="AG751" s="46"/>
      <c r="AH751" s="46"/>
      <c r="AI751" s="46"/>
      <c r="AJ751" s="46"/>
      <c r="AK751" s="46"/>
      <c r="AL751" s="46"/>
      <c r="AM751" s="46"/>
      <c r="AN751" s="46"/>
      <c r="AO751" s="46"/>
      <c r="AP751" s="46"/>
      <c r="AQ751" s="46"/>
      <c r="AR751" s="46"/>
      <c r="AS751" s="46"/>
      <c r="AT751" s="46"/>
      <c r="AU751" s="46"/>
      <c r="AV751" s="46"/>
      <c r="AW751" s="46"/>
      <c r="AX751" s="46"/>
      <c r="AY751" s="46"/>
      <c r="AZ751" s="46"/>
      <c r="BA751" s="46"/>
      <c r="BB751" s="46"/>
      <c r="BC751" s="46"/>
      <c r="BD751" s="46"/>
      <c r="BE751" s="46"/>
      <c r="BF751" s="46"/>
      <c r="BG751" s="46"/>
      <c r="BH751" s="46"/>
    </row>
    <row r="752" spans="1:60" ht="14.25" customHeight="1" x14ac:dyDescent="0.3">
      <c r="A752" s="46"/>
      <c r="B752" s="37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  <c r="AA752" s="46"/>
      <c r="AB752" s="46"/>
      <c r="AC752" s="46"/>
      <c r="AD752" s="46"/>
      <c r="AE752" s="46"/>
      <c r="AF752" s="46"/>
      <c r="AG752" s="46"/>
      <c r="AH752" s="46"/>
      <c r="AI752" s="46"/>
      <c r="AJ752" s="46"/>
      <c r="AK752" s="46"/>
      <c r="AL752" s="46"/>
      <c r="AM752" s="46"/>
      <c r="AN752" s="46"/>
      <c r="AO752" s="46"/>
      <c r="AP752" s="46"/>
      <c r="AQ752" s="46"/>
      <c r="AR752" s="46"/>
      <c r="AS752" s="46"/>
      <c r="AT752" s="46"/>
      <c r="AU752" s="46"/>
      <c r="AV752" s="46"/>
      <c r="AW752" s="46"/>
      <c r="AX752" s="46"/>
      <c r="AY752" s="46"/>
      <c r="AZ752" s="46"/>
      <c r="BA752" s="46"/>
      <c r="BB752" s="46"/>
      <c r="BC752" s="46"/>
      <c r="BD752" s="46"/>
      <c r="BE752" s="46"/>
      <c r="BF752" s="46"/>
      <c r="BG752" s="46"/>
      <c r="BH752" s="46"/>
    </row>
    <row r="753" spans="1:60" ht="14.25" customHeight="1" x14ac:dyDescent="0.3">
      <c r="A753" s="46"/>
      <c r="B753" s="37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  <c r="AB753" s="46"/>
      <c r="AC753" s="46"/>
      <c r="AD753" s="46"/>
      <c r="AE753" s="46"/>
      <c r="AF753" s="46"/>
      <c r="AG753" s="46"/>
      <c r="AH753" s="46"/>
      <c r="AI753" s="46"/>
      <c r="AJ753" s="46"/>
      <c r="AK753" s="46"/>
      <c r="AL753" s="46"/>
      <c r="AM753" s="46"/>
      <c r="AN753" s="46"/>
      <c r="AO753" s="46"/>
      <c r="AP753" s="46"/>
      <c r="AQ753" s="46"/>
      <c r="AR753" s="46"/>
      <c r="AS753" s="46"/>
      <c r="AT753" s="46"/>
      <c r="AU753" s="46"/>
      <c r="AV753" s="46"/>
      <c r="AW753" s="46"/>
      <c r="AX753" s="46"/>
      <c r="AY753" s="46"/>
      <c r="AZ753" s="46"/>
      <c r="BA753" s="46"/>
      <c r="BB753" s="46"/>
      <c r="BC753" s="46"/>
      <c r="BD753" s="46"/>
      <c r="BE753" s="46"/>
      <c r="BF753" s="46"/>
      <c r="BG753" s="46"/>
      <c r="BH753" s="46"/>
    </row>
    <row r="754" spans="1:60" ht="14.25" customHeight="1" x14ac:dyDescent="0.3">
      <c r="A754" s="46"/>
      <c r="B754" s="37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  <c r="AA754" s="46"/>
      <c r="AB754" s="46"/>
      <c r="AC754" s="46"/>
      <c r="AD754" s="46"/>
      <c r="AE754" s="46"/>
      <c r="AF754" s="46"/>
      <c r="AG754" s="46"/>
      <c r="AH754" s="46"/>
      <c r="AI754" s="46"/>
      <c r="AJ754" s="46"/>
      <c r="AK754" s="46"/>
      <c r="AL754" s="46"/>
      <c r="AM754" s="46"/>
      <c r="AN754" s="46"/>
      <c r="AO754" s="46"/>
      <c r="AP754" s="46"/>
      <c r="AQ754" s="46"/>
      <c r="AR754" s="46"/>
      <c r="AS754" s="46"/>
      <c r="AT754" s="46"/>
      <c r="AU754" s="46"/>
      <c r="AV754" s="46"/>
      <c r="AW754" s="46"/>
      <c r="AX754" s="46"/>
      <c r="AY754" s="46"/>
      <c r="AZ754" s="46"/>
      <c r="BA754" s="46"/>
      <c r="BB754" s="46"/>
      <c r="BC754" s="46"/>
      <c r="BD754" s="46"/>
      <c r="BE754" s="46"/>
      <c r="BF754" s="46"/>
      <c r="BG754" s="46"/>
      <c r="BH754" s="46"/>
    </row>
    <row r="755" spans="1:60" ht="14.25" customHeight="1" x14ac:dyDescent="0.3">
      <c r="A755" s="46"/>
      <c r="B755" s="37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  <c r="AA755" s="46"/>
      <c r="AB755" s="46"/>
      <c r="AC755" s="46"/>
      <c r="AD755" s="46"/>
      <c r="AE755" s="46"/>
      <c r="AF755" s="46"/>
      <c r="AG755" s="46"/>
      <c r="AH755" s="46"/>
      <c r="AI755" s="46"/>
      <c r="AJ755" s="46"/>
      <c r="AK755" s="46"/>
      <c r="AL755" s="46"/>
      <c r="AM755" s="46"/>
      <c r="AN755" s="46"/>
      <c r="AO755" s="46"/>
      <c r="AP755" s="46"/>
      <c r="AQ755" s="46"/>
      <c r="AR755" s="46"/>
      <c r="AS755" s="46"/>
      <c r="AT755" s="46"/>
      <c r="AU755" s="46"/>
      <c r="AV755" s="46"/>
      <c r="AW755" s="46"/>
      <c r="AX755" s="46"/>
      <c r="AY755" s="46"/>
      <c r="AZ755" s="46"/>
      <c r="BA755" s="46"/>
      <c r="BB755" s="46"/>
      <c r="BC755" s="46"/>
      <c r="BD755" s="46"/>
      <c r="BE755" s="46"/>
      <c r="BF755" s="46"/>
      <c r="BG755" s="46"/>
      <c r="BH755" s="46"/>
    </row>
    <row r="756" spans="1:60" ht="14.25" customHeight="1" x14ac:dyDescent="0.3">
      <c r="A756" s="46"/>
      <c r="B756" s="37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  <c r="AA756" s="46"/>
      <c r="AB756" s="46"/>
      <c r="AC756" s="46"/>
      <c r="AD756" s="46"/>
      <c r="AE756" s="46"/>
      <c r="AF756" s="46"/>
      <c r="AG756" s="46"/>
      <c r="AH756" s="46"/>
      <c r="AI756" s="46"/>
      <c r="AJ756" s="46"/>
      <c r="AK756" s="46"/>
      <c r="AL756" s="46"/>
      <c r="AM756" s="46"/>
      <c r="AN756" s="46"/>
      <c r="AO756" s="46"/>
      <c r="AP756" s="46"/>
      <c r="AQ756" s="46"/>
      <c r="AR756" s="46"/>
      <c r="AS756" s="46"/>
      <c r="AT756" s="46"/>
      <c r="AU756" s="46"/>
      <c r="AV756" s="46"/>
      <c r="AW756" s="46"/>
      <c r="AX756" s="46"/>
      <c r="AY756" s="46"/>
      <c r="AZ756" s="46"/>
      <c r="BA756" s="46"/>
      <c r="BB756" s="46"/>
      <c r="BC756" s="46"/>
      <c r="BD756" s="46"/>
      <c r="BE756" s="46"/>
      <c r="BF756" s="46"/>
      <c r="BG756" s="46"/>
      <c r="BH756" s="46"/>
    </row>
    <row r="757" spans="1:60" ht="14.25" customHeight="1" x14ac:dyDescent="0.3">
      <c r="A757" s="46"/>
      <c r="B757" s="37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  <c r="AA757" s="46"/>
      <c r="AB757" s="46"/>
      <c r="AC757" s="46"/>
      <c r="AD757" s="46"/>
      <c r="AE757" s="46"/>
      <c r="AF757" s="46"/>
      <c r="AG757" s="46"/>
      <c r="AH757" s="46"/>
      <c r="AI757" s="46"/>
      <c r="AJ757" s="46"/>
      <c r="AK757" s="46"/>
      <c r="AL757" s="46"/>
      <c r="AM757" s="46"/>
      <c r="AN757" s="46"/>
      <c r="AO757" s="46"/>
      <c r="AP757" s="46"/>
      <c r="AQ757" s="46"/>
      <c r="AR757" s="46"/>
      <c r="AS757" s="46"/>
      <c r="AT757" s="46"/>
      <c r="AU757" s="46"/>
      <c r="AV757" s="46"/>
      <c r="AW757" s="46"/>
      <c r="AX757" s="46"/>
      <c r="AY757" s="46"/>
      <c r="AZ757" s="46"/>
      <c r="BA757" s="46"/>
      <c r="BB757" s="46"/>
      <c r="BC757" s="46"/>
      <c r="BD757" s="46"/>
      <c r="BE757" s="46"/>
      <c r="BF757" s="46"/>
      <c r="BG757" s="46"/>
      <c r="BH757" s="46"/>
    </row>
    <row r="758" spans="1:60" ht="14.25" customHeight="1" x14ac:dyDescent="0.3">
      <c r="A758" s="46"/>
      <c r="B758" s="37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  <c r="AA758" s="46"/>
      <c r="AB758" s="46"/>
      <c r="AC758" s="46"/>
      <c r="AD758" s="46"/>
      <c r="AE758" s="46"/>
      <c r="AF758" s="46"/>
      <c r="AG758" s="46"/>
      <c r="AH758" s="46"/>
      <c r="AI758" s="46"/>
      <c r="AJ758" s="46"/>
      <c r="AK758" s="46"/>
      <c r="AL758" s="46"/>
      <c r="AM758" s="46"/>
      <c r="AN758" s="46"/>
      <c r="AO758" s="46"/>
      <c r="AP758" s="46"/>
      <c r="AQ758" s="46"/>
      <c r="AR758" s="46"/>
      <c r="AS758" s="46"/>
      <c r="AT758" s="46"/>
      <c r="AU758" s="46"/>
      <c r="AV758" s="46"/>
      <c r="AW758" s="46"/>
      <c r="AX758" s="46"/>
      <c r="AY758" s="46"/>
      <c r="AZ758" s="46"/>
      <c r="BA758" s="46"/>
      <c r="BB758" s="46"/>
      <c r="BC758" s="46"/>
      <c r="BD758" s="46"/>
      <c r="BE758" s="46"/>
      <c r="BF758" s="46"/>
      <c r="BG758" s="46"/>
      <c r="BH758" s="46"/>
    </row>
    <row r="759" spans="1:60" ht="14.25" customHeight="1" x14ac:dyDescent="0.3">
      <c r="A759" s="46"/>
      <c r="B759" s="37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  <c r="AA759" s="46"/>
      <c r="AB759" s="46"/>
      <c r="AC759" s="46"/>
      <c r="AD759" s="46"/>
      <c r="AE759" s="46"/>
      <c r="AF759" s="46"/>
      <c r="AG759" s="46"/>
      <c r="AH759" s="46"/>
      <c r="AI759" s="46"/>
      <c r="AJ759" s="46"/>
      <c r="AK759" s="46"/>
      <c r="AL759" s="46"/>
      <c r="AM759" s="46"/>
      <c r="AN759" s="46"/>
      <c r="AO759" s="46"/>
      <c r="AP759" s="46"/>
      <c r="AQ759" s="46"/>
      <c r="AR759" s="46"/>
      <c r="AS759" s="46"/>
      <c r="AT759" s="46"/>
      <c r="AU759" s="46"/>
      <c r="AV759" s="46"/>
      <c r="AW759" s="46"/>
      <c r="AX759" s="46"/>
      <c r="AY759" s="46"/>
      <c r="AZ759" s="46"/>
      <c r="BA759" s="46"/>
      <c r="BB759" s="46"/>
      <c r="BC759" s="46"/>
      <c r="BD759" s="46"/>
      <c r="BE759" s="46"/>
      <c r="BF759" s="46"/>
      <c r="BG759" s="46"/>
      <c r="BH759" s="46"/>
    </row>
    <row r="760" spans="1:60" ht="14.25" customHeight="1" x14ac:dyDescent="0.3">
      <c r="A760" s="46"/>
      <c r="B760" s="37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  <c r="AA760" s="46"/>
      <c r="AB760" s="46"/>
      <c r="AC760" s="46"/>
      <c r="AD760" s="46"/>
      <c r="AE760" s="46"/>
      <c r="AF760" s="46"/>
      <c r="AG760" s="46"/>
      <c r="AH760" s="46"/>
      <c r="AI760" s="46"/>
      <c r="AJ760" s="46"/>
      <c r="AK760" s="46"/>
      <c r="AL760" s="46"/>
      <c r="AM760" s="46"/>
      <c r="AN760" s="46"/>
      <c r="AO760" s="46"/>
      <c r="AP760" s="46"/>
      <c r="AQ760" s="46"/>
      <c r="AR760" s="46"/>
      <c r="AS760" s="46"/>
      <c r="AT760" s="46"/>
      <c r="AU760" s="46"/>
      <c r="AV760" s="46"/>
      <c r="AW760" s="46"/>
      <c r="AX760" s="46"/>
      <c r="AY760" s="46"/>
      <c r="AZ760" s="46"/>
      <c r="BA760" s="46"/>
      <c r="BB760" s="46"/>
      <c r="BC760" s="46"/>
      <c r="BD760" s="46"/>
      <c r="BE760" s="46"/>
      <c r="BF760" s="46"/>
      <c r="BG760" s="46"/>
      <c r="BH760" s="46"/>
    </row>
    <row r="761" spans="1:60" ht="14.25" customHeight="1" x14ac:dyDescent="0.3">
      <c r="A761" s="46"/>
      <c r="B761" s="37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  <c r="AA761" s="46"/>
      <c r="AB761" s="46"/>
      <c r="AC761" s="46"/>
      <c r="AD761" s="46"/>
      <c r="AE761" s="46"/>
      <c r="AF761" s="46"/>
      <c r="AG761" s="46"/>
      <c r="AH761" s="46"/>
      <c r="AI761" s="46"/>
      <c r="AJ761" s="46"/>
      <c r="AK761" s="46"/>
      <c r="AL761" s="46"/>
      <c r="AM761" s="46"/>
      <c r="AN761" s="46"/>
      <c r="AO761" s="46"/>
      <c r="AP761" s="46"/>
      <c r="AQ761" s="46"/>
      <c r="AR761" s="46"/>
      <c r="AS761" s="46"/>
      <c r="AT761" s="46"/>
      <c r="AU761" s="46"/>
      <c r="AV761" s="46"/>
      <c r="AW761" s="46"/>
      <c r="AX761" s="46"/>
      <c r="AY761" s="46"/>
      <c r="AZ761" s="46"/>
      <c r="BA761" s="46"/>
      <c r="BB761" s="46"/>
      <c r="BC761" s="46"/>
      <c r="BD761" s="46"/>
      <c r="BE761" s="46"/>
      <c r="BF761" s="46"/>
      <c r="BG761" s="46"/>
      <c r="BH761" s="46"/>
    </row>
    <row r="762" spans="1:60" ht="14.25" customHeight="1" x14ac:dyDescent="0.3">
      <c r="A762" s="46"/>
      <c r="B762" s="37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  <c r="AA762" s="46"/>
      <c r="AB762" s="46"/>
      <c r="AC762" s="46"/>
      <c r="AD762" s="46"/>
      <c r="AE762" s="46"/>
      <c r="AF762" s="46"/>
      <c r="AG762" s="46"/>
      <c r="AH762" s="46"/>
      <c r="AI762" s="46"/>
      <c r="AJ762" s="46"/>
      <c r="AK762" s="46"/>
      <c r="AL762" s="46"/>
      <c r="AM762" s="46"/>
      <c r="AN762" s="46"/>
      <c r="AO762" s="46"/>
      <c r="AP762" s="46"/>
      <c r="AQ762" s="46"/>
      <c r="AR762" s="46"/>
      <c r="AS762" s="46"/>
      <c r="AT762" s="46"/>
      <c r="AU762" s="46"/>
      <c r="AV762" s="46"/>
      <c r="AW762" s="46"/>
      <c r="AX762" s="46"/>
      <c r="AY762" s="46"/>
      <c r="AZ762" s="46"/>
      <c r="BA762" s="46"/>
      <c r="BB762" s="46"/>
      <c r="BC762" s="46"/>
      <c r="BD762" s="46"/>
      <c r="BE762" s="46"/>
      <c r="BF762" s="46"/>
      <c r="BG762" s="46"/>
      <c r="BH762" s="46"/>
    </row>
    <row r="763" spans="1:60" ht="14.25" customHeight="1" x14ac:dyDescent="0.3">
      <c r="A763" s="46"/>
      <c r="B763" s="37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  <c r="AA763" s="46"/>
      <c r="AB763" s="46"/>
      <c r="AC763" s="46"/>
      <c r="AD763" s="46"/>
      <c r="AE763" s="46"/>
      <c r="AF763" s="46"/>
      <c r="AG763" s="46"/>
      <c r="AH763" s="46"/>
      <c r="AI763" s="46"/>
      <c r="AJ763" s="46"/>
      <c r="AK763" s="46"/>
      <c r="AL763" s="46"/>
      <c r="AM763" s="46"/>
      <c r="AN763" s="46"/>
      <c r="AO763" s="46"/>
      <c r="AP763" s="46"/>
      <c r="AQ763" s="46"/>
      <c r="AR763" s="46"/>
      <c r="AS763" s="46"/>
      <c r="AT763" s="46"/>
      <c r="AU763" s="46"/>
      <c r="AV763" s="46"/>
      <c r="AW763" s="46"/>
      <c r="AX763" s="46"/>
      <c r="AY763" s="46"/>
      <c r="AZ763" s="46"/>
      <c r="BA763" s="46"/>
      <c r="BB763" s="46"/>
      <c r="BC763" s="46"/>
      <c r="BD763" s="46"/>
      <c r="BE763" s="46"/>
      <c r="BF763" s="46"/>
      <c r="BG763" s="46"/>
      <c r="BH763" s="46"/>
    </row>
    <row r="764" spans="1:60" ht="14.25" customHeight="1" x14ac:dyDescent="0.3">
      <c r="A764" s="46"/>
      <c r="B764" s="37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  <c r="AA764" s="46"/>
      <c r="AB764" s="46"/>
      <c r="AC764" s="46"/>
      <c r="AD764" s="46"/>
      <c r="AE764" s="46"/>
      <c r="AF764" s="46"/>
      <c r="AG764" s="46"/>
      <c r="AH764" s="46"/>
      <c r="AI764" s="46"/>
      <c r="AJ764" s="46"/>
      <c r="AK764" s="46"/>
      <c r="AL764" s="46"/>
      <c r="AM764" s="46"/>
      <c r="AN764" s="46"/>
      <c r="AO764" s="46"/>
      <c r="AP764" s="46"/>
      <c r="AQ764" s="46"/>
      <c r="AR764" s="46"/>
      <c r="AS764" s="46"/>
      <c r="AT764" s="46"/>
      <c r="AU764" s="46"/>
      <c r="AV764" s="46"/>
      <c r="AW764" s="46"/>
      <c r="AX764" s="46"/>
      <c r="AY764" s="46"/>
      <c r="AZ764" s="46"/>
      <c r="BA764" s="46"/>
      <c r="BB764" s="46"/>
      <c r="BC764" s="46"/>
      <c r="BD764" s="46"/>
      <c r="BE764" s="46"/>
      <c r="BF764" s="46"/>
      <c r="BG764" s="46"/>
      <c r="BH764" s="46"/>
    </row>
    <row r="765" spans="1:60" ht="14.25" customHeight="1" x14ac:dyDescent="0.3">
      <c r="A765" s="46"/>
      <c r="B765" s="37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  <c r="AA765" s="46"/>
      <c r="AB765" s="46"/>
      <c r="AC765" s="46"/>
      <c r="AD765" s="46"/>
      <c r="AE765" s="46"/>
      <c r="AF765" s="46"/>
      <c r="AG765" s="46"/>
      <c r="AH765" s="46"/>
      <c r="AI765" s="46"/>
      <c r="AJ765" s="46"/>
      <c r="AK765" s="46"/>
      <c r="AL765" s="46"/>
      <c r="AM765" s="46"/>
      <c r="AN765" s="46"/>
      <c r="AO765" s="46"/>
      <c r="AP765" s="46"/>
      <c r="AQ765" s="46"/>
      <c r="AR765" s="46"/>
      <c r="AS765" s="46"/>
      <c r="AT765" s="46"/>
      <c r="AU765" s="46"/>
      <c r="AV765" s="46"/>
      <c r="AW765" s="46"/>
      <c r="AX765" s="46"/>
      <c r="AY765" s="46"/>
      <c r="AZ765" s="46"/>
      <c r="BA765" s="46"/>
      <c r="BB765" s="46"/>
      <c r="BC765" s="46"/>
      <c r="BD765" s="46"/>
      <c r="BE765" s="46"/>
      <c r="BF765" s="46"/>
      <c r="BG765" s="46"/>
      <c r="BH765" s="46"/>
    </row>
    <row r="766" spans="1:60" ht="14.25" customHeight="1" x14ac:dyDescent="0.3">
      <c r="A766" s="46"/>
      <c r="B766" s="37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  <c r="AB766" s="46"/>
      <c r="AC766" s="46"/>
      <c r="AD766" s="46"/>
      <c r="AE766" s="46"/>
      <c r="AF766" s="46"/>
      <c r="AG766" s="46"/>
      <c r="AH766" s="46"/>
      <c r="AI766" s="46"/>
      <c r="AJ766" s="46"/>
      <c r="AK766" s="46"/>
      <c r="AL766" s="46"/>
      <c r="AM766" s="46"/>
      <c r="AN766" s="46"/>
      <c r="AO766" s="46"/>
      <c r="AP766" s="46"/>
      <c r="AQ766" s="46"/>
      <c r="AR766" s="46"/>
      <c r="AS766" s="46"/>
      <c r="AT766" s="46"/>
      <c r="AU766" s="46"/>
      <c r="AV766" s="46"/>
      <c r="AW766" s="46"/>
      <c r="AX766" s="46"/>
      <c r="AY766" s="46"/>
      <c r="AZ766" s="46"/>
      <c r="BA766" s="46"/>
      <c r="BB766" s="46"/>
      <c r="BC766" s="46"/>
      <c r="BD766" s="46"/>
      <c r="BE766" s="46"/>
      <c r="BF766" s="46"/>
      <c r="BG766" s="46"/>
      <c r="BH766" s="46"/>
    </row>
    <row r="767" spans="1:60" ht="14.25" customHeight="1" x14ac:dyDescent="0.3">
      <c r="A767" s="46"/>
      <c r="B767" s="37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  <c r="AB767" s="46"/>
      <c r="AC767" s="46"/>
      <c r="AD767" s="46"/>
      <c r="AE767" s="46"/>
      <c r="AF767" s="46"/>
      <c r="AG767" s="46"/>
      <c r="AH767" s="46"/>
      <c r="AI767" s="46"/>
      <c r="AJ767" s="46"/>
      <c r="AK767" s="46"/>
      <c r="AL767" s="46"/>
      <c r="AM767" s="46"/>
      <c r="AN767" s="46"/>
      <c r="AO767" s="46"/>
      <c r="AP767" s="46"/>
      <c r="AQ767" s="46"/>
      <c r="AR767" s="46"/>
      <c r="AS767" s="46"/>
      <c r="AT767" s="46"/>
      <c r="AU767" s="46"/>
      <c r="AV767" s="46"/>
      <c r="AW767" s="46"/>
      <c r="AX767" s="46"/>
      <c r="AY767" s="46"/>
      <c r="AZ767" s="46"/>
      <c r="BA767" s="46"/>
      <c r="BB767" s="46"/>
      <c r="BC767" s="46"/>
      <c r="BD767" s="46"/>
      <c r="BE767" s="46"/>
      <c r="BF767" s="46"/>
      <c r="BG767" s="46"/>
      <c r="BH767" s="46"/>
    </row>
    <row r="768" spans="1:60" ht="14.25" customHeight="1" x14ac:dyDescent="0.3">
      <c r="A768" s="46"/>
      <c r="B768" s="37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  <c r="AA768" s="46"/>
      <c r="AB768" s="46"/>
      <c r="AC768" s="46"/>
      <c r="AD768" s="46"/>
      <c r="AE768" s="46"/>
      <c r="AF768" s="46"/>
      <c r="AG768" s="46"/>
      <c r="AH768" s="46"/>
      <c r="AI768" s="46"/>
      <c r="AJ768" s="46"/>
      <c r="AK768" s="46"/>
      <c r="AL768" s="46"/>
      <c r="AM768" s="46"/>
      <c r="AN768" s="46"/>
      <c r="AO768" s="46"/>
      <c r="AP768" s="46"/>
      <c r="AQ768" s="46"/>
      <c r="AR768" s="46"/>
      <c r="AS768" s="46"/>
      <c r="AT768" s="46"/>
      <c r="AU768" s="46"/>
      <c r="AV768" s="46"/>
      <c r="AW768" s="46"/>
      <c r="AX768" s="46"/>
      <c r="AY768" s="46"/>
      <c r="AZ768" s="46"/>
      <c r="BA768" s="46"/>
      <c r="BB768" s="46"/>
      <c r="BC768" s="46"/>
      <c r="BD768" s="46"/>
      <c r="BE768" s="46"/>
      <c r="BF768" s="46"/>
      <c r="BG768" s="46"/>
      <c r="BH768" s="46"/>
    </row>
    <row r="769" spans="1:60" ht="14.25" customHeight="1" x14ac:dyDescent="0.3">
      <c r="A769" s="46"/>
      <c r="B769" s="37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  <c r="AB769" s="46"/>
      <c r="AC769" s="46"/>
      <c r="AD769" s="46"/>
      <c r="AE769" s="46"/>
      <c r="AF769" s="46"/>
      <c r="AG769" s="46"/>
      <c r="AH769" s="46"/>
      <c r="AI769" s="46"/>
      <c r="AJ769" s="46"/>
      <c r="AK769" s="46"/>
      <c r="AL769" s="46"/>
      <c r="AM769" s="46"/>
      <c r="AN769" s="46"/>
      <c r="AO769" s="46"/>
      <c r="AP769" s="46"/>
      <c r="AQ769" s="46"/>
      <c r="AR769" s="46"/>
      <c r="AS769" s="46"/>
      <c r="AT769" s="46"/>
      <c r="AU769" s="46"/>
      <c r="AV769" s="46"/>
      <c r="AW769" s="46"/>
      <c r="AX769" s="46"/>
      <c r="AY769" s="46"/>
      <c r="AZ769" s="46"/>
      <c r="BA769" s="46"/>
      <c r="BB769" s="46"/>
      <c r="BC769" s="46"/>
      <c r="BD769" s="46"/>
      <c r="BE769" s="46"/>
      <c r="BF769" s="46"/>
      <c r="BG769" s="46"/>
      <c r="BH769" s="46"/>
    </row>
    <row r="770" spans="1:60" ht="14.25" customHeight="1" x14ac:dyDescent="0.3">
      <c r="A770" s="46"/>
      <c r="B770" s="37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  <c r="AA770" s="46"/>
      <c r="AB770" s="46"/>
      <c r="AC770" s="46"/>
      <c r="AD770" s="46"/>
      <c r="AE770" s="46"/>
      <c r="AF770" s="46"/>
      <c r="AG770" s="46"/>
      <c r="AH770" s="46"/>
      <c r="AI770" s="46"/>
      <c r="AJ770" s="46"/>
      <c r="AK770" s="46"/>
      <c r="AL770" s="46"/>
      <c r="AM770" s="46"/>
      <c r="AN770" s="46"/>
      <c r="AO770" s="46"/>
      <c r="AP770" s="46"/>
      <c r="AQ770" s="46"/>
      <c r="AR770" s="46"/>
      <c r="AS770" s="46"/>
      <c r="AT770" s="46"/>
      <c r="AU770" s="46"/>
      <c r="AV770" s="46"/>
      <c r="AW770" s="46"/>
      <c r="AX770" s="46"/>
      <c r="AY770" s="46"/>
      <c r="AZ770" s="46"/>
      <c r="BA770" s="46"/>
      <c r="BB770" s="46"/>
      <c r="BC770" s="46"/>
      <c r="BD770" s="46"/>
      <c r="BE770" s="46"/>
      <c r="BF770" s="46"/>
      <c r="BG770" s="46"/>
      <c r="BH770" s="46"/>
    </row>
    <row r="771" spans="1:60" ht="14.25" customHeight="1" x14ac:dyDescent="0.3">
      <c r="A771" s="46"/>
      <c r="B771" s="37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  <c r="AB771" s="46"/>
      <c r="AC771" s="46"/>
      <c r="AD771" s="46"/>
      <c r="AE771" s="46"/>
      <c r="AF771" s="46"/>
      <c r="AG771" s="46"/>
      <c r="AH771" s="46"/>
      <c r="AI771" s="46"/>
      <c r="AJ771" s="46"/>
      <c r="AK771" s="46"/>
      <c r="AL771" s="46"/>
      <c r="AM771" s="46"/>
      <c r="AN771" s="46"/>
      <c r="AO771" s="46"/>
      <c r="AP771" s="46"/>
      <c r="AQ771" s="46"/>
      <c r="AR771" s="46"/>
      <c r="AS771" s="46"/>
      <c r="AT771" s="46"/>
      <c r="AU771" s="46"/>
      <c r="AV771" s="46"/>
      <c r="AW771" s="46"/>
      <c r="AX771" s="46"/>
      <c r="AY771" s="46"/>
      <c r="AZ771" s="46"/>
      <c r="BA771" s="46"/>
      <c r="BB771" s="46"/>
      <c r="BC771" s="46"/>
      <c r="BD771" s="46"/>
      <c r="BE771" s="46"/>
      <c r="BF771" s="46"/>
      <c r="BG771" s="46"/>
      <c r="BH771" s="46"/>
    </row>
    <row r="772" spans="1:60" ht="14.25" customHeight="1" x14ac:dyDescent="0.3">
      <c r="A772" s="46"/>
      <c r="B772" s="37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  <c r="AB772" s="46"/>
      <c r="AC772" s="46"/>
      <c r="AD772" s="46"/>
      <c r="AE772" s="46"/>
      <c r="AF772" s="46"/>
      <c r="AG772" s="46"/>
      <c r="AH772" s="46"/>
      <c r="AI772" s="46"/>
      <c r="AJ772" s="46"/>
      <c r="AK772" s="46"/>
      <c r="AL772" s="46"/>
      <c r="AM772" s="46"/>
      <c r="AN772" s="46"/>
      <c r="AO772" s="46"/>
      <c r="AP772" s="46"/>
      <c r="AQ772" s="46"/>
      <c r="AR772" s="46"/>
      <c r="AS772" s="46"/>
      <c r="AT772" s="46"/>
      <c r="AU772" s="46"/>
      <c r="AV772" s="46"/>
      <c r="AW772" s="46"/>
      <c r="AX772" s="46"/>
      <c r="AY772" s="46"/>
      <c r="AZ772" s="46"/>
      <c r="BA772" s="46"/>
      <c r="BB772" s="46"/>
      <c r="BC772" s="46"/>
      <c r="BD772" s="46"/>
      <c r="BE772" s="46"/>
      <c r="BF772" s="46"/>
      <c r="BG772" s="46"/>
      <c r="BH772" s="46"/>
    </row>
    <row r="773" spans="1:60" ht="14.25" customHeight="1" x14ac:dyDescent="0.3">
      <c r="A773" s="46"/>
      <c r="B773" s="37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  <c r="AB773" s="46"/>
      <c r="AC773" s="46"/>
      <c r="AD773" s="46"/>
      <c r="AE773" s="46"/>
      <c r="AF773" s="46"/>
      <c r="AG773" s="46"/>
      <c r="AH773" s="46"/>
      <c r="AI773" s="46"/>
      <c r="AJ773" s="46"/>
      <c r="AK773" s="46"/>
      <c r="AL773" s="46"/>
      <c r="AM773" s="46"/>
      <c r="AN773" s="46"/>
      <c r="AO773" s="46"/>
      <c r="AP773" s="46"/>
      <c r="AQ773" s="46"/>
      <c r="AR773" s="46"/>
      <c r="AS773" s="46"/>
      <c r="AT773" s="46"/>
      <c r="AU773" s="46"/>
      <c r="AV773" s="46"/>
      <c r="AW773" s="46"/>
      <c r="AX773" s="46"/>
      <c r="AY773" s="46"/>
      <c r="AZ773" s="46"/>
      <c r="BA773" s="46"/>
      <c r="BB773" s="46"/>
      <c r="BC773" s="46"/>
      <c r="BD773" s="46"/>
      <c r="BE773" s="46"/>
      <c r="BF773" s="46"/>
      <c r="BG773" s="46"/>
      <c r="BH773" s="46"/>
    </row>
    <row r="774" spans="1:60" ht="14.25" customHeight="1" x14ac:dyDescent="0.3">
      <c r="A774" s="46"/>
      <c r="B774" s="37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  <c r="AB774" s="46"/>
      <c r="AC774" s="46"/>
      <c r="AD774" s="46"/>
      <c r="AE774" s="46"/>
      <c r="AF774" s="46"/>
      <c r="AG774" s="46"/>
      <c r="AH774" s="46"/>
      <c r="AI774" s="46"/>
      <c r="AJ774" s="46"/>
      <c r="AK774" s="46"/>
      <c r="AL774" s="46"/>
      <c r="AM774" s="46"/>
      <c r="AN774" s="46"/>
      <c r="AO774" s="46"/>
      <c r="AP774" s="46"/>
      <c r="AQ774" s="46"/>
      <c r="AR774" s="46"/>
      <c r="AS774" s="46"/>
      <c r="AT774" s="46"/>
      <c r="AU774" s="46"/>
      <c r="AV774" s="46"/>
      <c r="AW774" s="46"/>
      <c r="AX774" s="46"/>
      <c r="AY774" s="46"/>
      <c r="AZ774" s="46"/>
      <c r="BA774" s="46"/>
      <c r="BB774" s="46"/>
      <c r="BC774" s="46"/>
      <c r="BD774" s="46"/>
      <c r="BE774" s="46"/>
      <c r="BF774" s="46"/>
      <c r="BG774" s="46"/>
      <c r="BH774" s="46"/>
    </row>
    <row r="775" spans="1:60" ht="14.25" customHeight="1" x14ac:dyDescent="0.3">
      <c r="A775" s="46"/>
      <c r="B775" s="37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  <c r="AB775" s="46"/>
      <c r="AC775" s="46"/>
      <c r="AD775" s="46"/>
      <c r="AE775" s="46"/>
      <c r="AF775" s="46"/>
      <c r="AG775" s="46"/>
      <c r="AH775" s="46"/>
      <c r="AI775" s="46"/>
      <c r="AJ775" s="46"/>
      <c r="AK775" s="46"/>
      <c r="AL775" s="46"/>
      <c r="AM775" s="46"/>
      <c r="AN775" s="46"/>
      <c r="AO775" s="46"/>
      <c r="AP775" s="46"/>
      <c r="AQ775" s="46"/>
      <c r="AR775" s="46"/>
      <c r="AS775" s="46"/>
      <c r="AT775" s="46"/>
      <c r="AU775" s="46"/>
      <c r="AV775" s="46"/>
      <c r="AW775" s="46"/>
      <c r="AX775" s="46"/>
      <c r="AY775" s="46"/>
      <c r="AZ775" s="46"/>
      <c r="BA775" s="46"/>
      <c r="BB775" s="46"/>
      <c r="BC775" s="46"/>
      <c r="BD775" s="46"/>
      <c r="BE775" s="46"/>
      <c r="BF775" s="46"/>
      <c r="BG775" s="46"/>
      <c r="BH775" s="46"/>
    </row>
    <row r="776" spans="1:60" ht="14.25" customHeight="1" x14ac:dyDescent="0.3">
      <c r="A776" s="46"/>
      <c r="B776" s="37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  <c r="AB776" s="46"/>
      <c r="AC776" s="46"/>
      <c r="AD776" s="46"/>
      <c r="AE776" s="46"/>
      <c r="AF776" s="46"/>
      <c r="AG776" s="46"/>
      <c r="AH776" s="46"/>
      <c r="AI776" s="46"/>
      <c r="AJ776" s="46"/>
      <c r="AK776" s="46"/>
      <c r="AL776" s="46"/>
      <c r="AM776" s="46"/>
      <c r="AN776" s="46"/>
      <c r="AO776" s="46"/>
      <c r="AP776" s="46"/>
      <c r="AQ776" s="46"/>
      <c r="AR776" s="46"/>
      <c r="AS776" s="46"/>
      <c r="AT776" s="46"/>
      <c r="AU776" s="46"/>
      <c r="AV776" s="46"/>
      <c r="AW776" s="46"/>
      <c r="AX776" s="46"/>
      <c r="AY776" s="46"/>
      <c r="AZ776" s="46"/>
      <c r="BA776" s="46"/>
      <c r="BB776" s="46"/>
      <c r="BC776" s="46"/>
      <c r="BD776" s="46"/>
      <c r="BE776" s="46"/>
      <c r="BF776" s="46"/>
      <c r="BG776" s="46"/>
      <c r="BH776" s="46"/>
    </row>
    <row r="777" spans="1:60" ht="14.25" customHeight="1" x14ac:dyDescent="0.3">
      <c r="A777" s="46"/>
      <c r="B777" s="37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  <c r="AB777" s="46"/>
      <c r="AC777" s="46"/>
      <c r="AD777" s="46"/>
      <c r="AE777" s="46"/>
      <c r="AF777" s="46"/>
      <c r="AG777" s="46"/>
      <c r="AH777" s="46"/>
      <c r="AI777" s="46"/>
      <c r="AJ777" s="46"/>
      <c r="AK777" s="46"/>
      <c r="AL777" s="46"/>
      <c r="AM777" s="46"/>
      <c r="AN777" s="46"/>
      <c r="AO777" s="46"/>
      <c r="AP777" s="46"/>
      <c r="AQ777" s="46"/>
      <c r="AR777" s="46"/>
      <c r="AS777" s="46"/>
      <c r="AT777" s="46"/>
      <c r="AU777" s="46"/>
      <c r="AV777" s="46"/>
      <c r="AW777" s="46"/>
      <c r="AX777" s="46"/>
      <c r="AY777" s="46"/>
      <c r="AZ777" s="46"/>
      <c r="BA777" s="46"/>
      <c r="BB777" s="46"/>
      <c r="BC777" s="46"/>
      <c r="BD777" s="46"/>
      <c r="BE777" s="46"/>
      <c r="BF777" s="46"/>
      <c r="BG777" s="46"/>
      <c r="BH777" s="46"/>
    </row>
    <row r="778" spans="1:60" ht="14.25" customHeight="1" x14ac:dyDescent="0.3">
      <c r="A778" s="46"/>
      <c r="B778" s="37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  <c r="AA778" s="46"/>
      <c r="AB778" s="46"/>
      <c r="AC778" s="46"/>
      <c r="AD778" s="46"/>
      <c r="AE778" s="46"/>
      <c r="AF778" s="46"/>
      <c r="AG778" s="46"/>
      <c r="AH778" s="46"/>
      <c r="AI778" s="46"/>
      <c r="AJ778" s="46"/>
      <c r="AK778" s="46"/>
      <c r="AL778" s="46"/>
      <c r="AM778" s="46"/>
      <c r="AN778" s="46"/>
      <c r="AO778" s="46"/>
      <c r="AP778" s="46"/>
      <c r="AQ778" s="46"/>
      <c r="AR778" s="46"/>
      <c r="AS778" s="46"/>
      <c r="AT778" s="46"/>
      <c r="AU778" s="46"/>
      <c r="AV778" s="46"/>
      <c r="AW778" s="46"/>
      <c r="AX778" s="46"/>
      <c r="AY778" s="46"/>
      <c r="AZ778" s="46"/>
      <c r="BA778" s="46"/>
      <c r="BB778" s="46"/>
      <c r="BC778" s="46"/>
      <c r="BD778" s="46"/>
      <c r="BE778" s="46"/>
      <c r="BF778" s="46"/>
      <c r="BG778" s="46"/>
      <c r="BH778" s="46"/>
    </row>
    <row r="779" spans="1:60" ht="14.25" customHeight="1" x14ac:dyDescent="0.3">
      <c r="A779" s="46"/>
      <c r="B779" s="37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  <c r="AB779" s="46"/>
      <c r="AC779" s="46"/>
      <c r="AD779" s="46"/>
      <c r="AE779" s="46"/>
      <c r="AF779" s="46"/>
      <c r="AG779" s="46"/>
      <c r="AH779" s="46"/>
      <c r="AI779" s="46"/>
      <c r="AJ779" s="46"/>
      <c r="AK779" s="46"/>
      <c r="AL779" s="46"/>
      <c r="AM779" s="46"/>
      <c r="AN779" s="46"/>
      <c r="AO779" s="46"/>
      <c r="AP779" s="46"/>
      <c r="AQ779" s="46"/>
      <c r="AR779" s="46"/>
      <c r="AS779" s="46"/>
      <c r="AT779" s="46"/>
      <c r="AU779" s="46"/>
      <c r="AV779" s="46"/>
      <c r="AW779" s="46"/>
      <c r="AX779" s="46"/>
      <c r="AY779" s="46"/>
      <c r="AZ779" s="46"/>
      <c r="BA779" s="46"/>
      <c r="BB779" s="46"/>
      <c r="BC779" s="46"/>
      <c r="BD779" s="46"/>
      <c r="BE779" s="46"/>
      <c r="BF779" s="46"/>
      <c r="BG779" s="46"/>
      <c r="BH779" s="46"/>
    </row>
    <row r="780" spans="1:60" ht="14.25" customHeight="1" x14ac:dyDescent="0.3">
      <c r="A780" s="46"/>
      <c r="B780" s="37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  <c r="AA780" s="46"/>
      <c r="AB780" s="46"/>
      <c r="AC780" s="46"/>
      <c r="AD780" s="46"/>
      <c r="AE780" s="46"/>
      <c r="AF780" s="46"/>
      <c r="AG780" s="46"/>
      <c r="AH780" s="46"/>
      <c r="AI780" s="46"/>
      <c r="AJ780" s="46"/>
      <c r="AK780" s="46"/>
      <c r="AL780" s="46"/>
      <c r="AM780" s="46"/>
      <c r="AN780" s="46"/>
      <c r="AO780" s="46"/>
      <c r="AP780" s="46"/>
      <c r="AQ780" s="46"/>
      <c r="AR780" s="46"/>
      <c r="AS780" s="46"/>
      <c r="AT780" s="46"/>
      <c r="AU780" s="46"/>
      <c r="AV780" s="46"/>
      <c r="AW780" s="46"/>
      <c r="AX780" s="46"/>
      <c r="AY780" s="46"/>
      <c r="AZ780" s="46"/>
      <c r="BA780" s="46"/>
      <c r="BB780" s="46"/>
      <c r="BC780" s="46"/>
      <c r="BD780" s="46"/>
      <c r="BE780" s="46"/>
      <c r="BF780" s="46"/>
      <c r="BG780" s="46"/>
      <c r="BH780" s="46"/>
    </row>
    <row r="781" spans="1:60" ht="14.25" customHeight="1" x14ac:dyDescent="0.3">
      <c r="A781" s="46"/>
      <c r="B781" s="37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  <c r="AA781" s="46"/>
      <c r="AB781" s="46"/>
      <c r="AC781" s="46"/>
      <c r="AD781" s="46"/>
      <c r="AE781" s="46"/>
      <c r="AF781" s="46"/>
      <c r="AG781" s="46"/>
      <c r="AH781" s="46"/>
      <c r="AI781" s="46"/>
      <c r="AJ781" s="46"/>
      <c r="AK781" s="46"/>
      <c r="AL781" s="46"/>
      <c r="AM781" s="46"/>
      <c r="AN781" s="46"/>
      <c r="AO781" s="46"/>
      <c r="AP781" s="46"/>
      <c r="AQ781" s="46"/>
      <c r="AR781" s="46"/>
      <c r="AS781" s="46"/>
      <c r="AT781" s="46"/>
      <c r="AU781" s="46"/>
      <c r="AV781" s="46"/>
      <c r="AW781" s="46"/>
      <c r="AX781" s="46"/>
      <c r="AY781" s="46"/>
      <c r="AZ781" s="46"/>
      <c r="BA781" s="46"/>
      <c r="BB781" s="46"/>
      <c r="BC781" s="46"/>
      <c r="BD781" s="46"/>
      <c r="BE781" s="46"/>
      <c r="BF781" s="46"/>
      <c r="BG781" s="46"/>
      <c r="BH781" s="46"/>
    </row>
    <row r="782" spans="1:60" ht="14.25" customHeight="1" x14ac:dyDescent="0.3">
      <c r="A782" s="46"/>
      <c r="B782" s="37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6"/>
      <c r="AB782" s="46"/>
      <c r="AC782" s="46"/>
      <c r="AD782" s="46"/>
      <c r="AE782" s="46"/>
      <c r="AF782" s="46"/>
      <c r="AG782" s="46"/>
      <c r="AH782" s="46"/>
      <c r="AI782" s="46"/>
      <c r="AJ782" s="46"/>
      <c r="AK782" s="46"/>
      <c r="AL782" s="46"/>
      <c r="AM782" s="46"/>
      <c r="AN782" s="46"/>
      <c r="AO782" s="46"/>
      <c r="AP782" s="46"/>
      <c r="AQ782" s="46"/>
      <c r="AR782" s="46"/>
      <c r="AS782" s="46"/>
      <c r="AT782" s="46"/>
      <c r="AU782" s="46"/>
      <c r="AV782" s="46"/>
      <c r="AW782" s="46"/>
      <c r="AX782" s="46"/>
      <c r="AY782" s="46"/>
      <c r="AZ782" s="46"/>
      <c r="BA782" s="46"/>
      <c r="BB782" s="46"/>
      <c r="BC782" s="46"/>
      <c r="BD782" s="46"/>
      <c r="BE782" s="46"/>
      <c r="BF782" s="46"/>
      <c r="BG782" s="46"/>
      <c r="BH782" s="46"/>
    </row>
    <row r="783" spans="1:60" ht="14.25" customHeight="1" x14ac:dyDescent="0.3">
      <c r="A783" s="46"/>
      <c r="B783" s="37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  <c r="AA783" s="46"/>
      <c r="AB783" s="46"/>
      <c r="AC783" s="46"/>
      <c r="AD783" s="46"/>
      <c r="AE783" s="46"/>
      <c r="AF783" s="46"/>
      <c r="AG783" s="46"/>
      <c r="AH783" s="46"/>
      <c r="AI783" s="46"/>
      <c r="AJ783" s="46"/>
      <c r="AK783" s="46"/>
      <c r="AL783" s="46"/>
      <c r="AM783" s="46"/>
      <c r="AN783" s="46"/>
      <c r="AO783" s="46"/>
      <c r="AP783" s="46"/>
      <c r="AQ783" s="46"/>
      <c r="AR783" s="46"/>
      <c r="AS783" s="46"/>
      <c r="AT783" s="46"/>
      <c r="AU783" s="46"/>
      <c r="AV783" s="46"/>
      <c r="AW783" s="46"/>
      <c r="AX783" s="46"/>
      <c r="AY783" s="46"/>
      <c r="AZ783" s="46"/>
      <c r="BA783" s="46"/>
      <c r="BB783" s="46"/>
      <c r="BC783" s="46"/>
      <c r="BD783" s="46"/>
      <c r="BE783" s="46"/>
      <c r="BF783" s="46"/>
      <c r="BG783" s="46"/>
      <c r="BH783" s="46"/>
    </row>
    <row r="784" spans="1:60" ht="14.25" customHeight="1" x14ac:dyDescent="0.3">
      <c r="A784" s="46"/>
      <c r="B784" s="37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  <c r="AA784" s="46"/>
      <c r="AB784" s="46"/>
      <c r="AC784" s="46"/>
      <c r="AD784" s="46"/>
      <c r="AE784" s="46"/>
      <c r="AF784" s="46"/>
      <c r="AG784" s="46"/>
      <c r="AH784" s="46"/>
      <c r="AI784" s="46"/>
      <c r="AJ784" s="46"/>
      <c r="AK784" s="46"/>
      <c r="AL784" s="46"/>
      <c r="AM784" s="46"/>
      <c r="AN784" s="46"/>
      <c r="AO784" s="46"/>
      <c r="AP784" s="46"/>
      <c r="AQ784" s="46"/>
      <c r="AR784" s="46"/>
      <c r="AS784" s="46"/>
      <c r="AT784" s="46"/>
      <c r="AU784" s="46"/>
      <c r="AV784" s="46"/>
      <c r="AW784" s="46"/>
      <c r="AX784" s="46"/>
      <c r="AY784" s="46"/>
      <c r="AZ784" s="46"/>
      <c r="BA784" s="46"/>
      <c r="BB784" s="46"/>
      <c r="BC784" s="46"/>
      <c r="BD784" s="46"/>
      <c r="BE784" s="46"/>
      <c r="BF784" s="46"/>
      <c r="BG784" s="46"/>
      <c r="BH784" s="46"/>
    </row>
    <row r="785" spans="1:60" ht="14.25" customHeight="1" x14ac:dyDescent="0.3">
      <c r="A785" s="46"/>
      <c r="B785" s="37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  <c r="AB785" s="46"/>
      <c r="AC785" s="46"/>
      <c r="AD785" s="46"/>
      <c r="AE785" s="46"/>
      <c r="AF785" s="46"/>
      <c r="AG785" s="46"/>
      <c r="AH785" s="46"/>
      <c r="AI785" s="46"/>
      <c r="AJ785" s="46"/>
      <c r="AK785" s="46"/>
      <c r="AL785" s="46"/>
      <c r="AM785" s="46"/>
      <c r="AN785" s="46"/>
      <c r="AO785" s="46"/>
      <c r="AP785" s="46"/>
      <c r="AQ785" s="46"/>
      <c r="AR785" s="46"/>
      <c r="AS785" s="46"/>
      <c r="AT785" s="46"/>
      <c r="AU785" s="46"/>
      <c r="AV785" s="46"/>
      <c r="AW785" s="46"/>
      <c r="AX785" s="46"/>
      <c r="AY785" s="46"/>
      <c r="AZ785" s="46"/>
      <c r="BA785" s="46"/>
      <c r="BB785" s="46"/>
      <c r="BC785" s="46"/>
      <c r="BD785" s="46"/>
      <c r="BE785" s="46"/>
      <c r="BF785" s="46"/>
      <c r="BG785" s="46"/>
      <c r="BH785" s="46"/>
    </row>
    <row r="786" spans="1:60" ht="14.25" customHeight="1" x14ac:dyDescent="0.3">
      <c r="A786" s="46"/>
      <c r="B786" s="37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  <c r="AA786" s="46"/>
      <c r="AB786" s="46"/>
      <c r="AC786" s="46"/>
      <c r="AD786" s="46"/>
      <c r="AE786" s="46"/>
      <c r="AF786" s="46"/>
      <c r="AG786" s="46"/>
      <c r="AH786" s="46"/>
      <c r="AI786" s="46"/>
      <c r="AJ786" s="46"/>
      <c r="AK786" s="46"/>
      <c r="AL786" s="46"/>
      <c r="AM786" s="46"/>
      <c r="AN786" s="46"/>
      <c r="AO786" s="46"/>
      <c r="AP786" s="46"/>
      <c r="AQ786" s="46"/>
      <c r="AR786" s="46"/>
      <c r="AS786" s="46"/>
      <c r="AT786" s="46"/>
      <c r="AU786" s="46"/>
      <c r="AV786" s="46"/>
      <c r="AW786" s="46"/>
      <c r="AX786" s="46"/>
      <c r="AY786" s="46"/>
      <c r="AZ786" s="46"/>
      <c r="BA786" s="46"/>
      <c r="BB786" s="46"/>
      <c r="BC786" s="46"/>
      <c r="BD786" s="46"/>
      <c r="BE786" s="46"/>
      <c r="BF786" s="46"/>
      <c r="BG786" s="46"/>
      <c r="BH786" s="46"/>
    </row>
    <row r="787" spans="1:60" ht="14.25" customHeight="1" x14ac:dyDescent="0.3">
      <c r="A787" s="46"/>
      <c r="B787" s="37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  <c r="AA787" s="46"/>
      <c r="AB787" s="46"/>
      <c r="AC787" s="46"/>
      <c r="AD787" s="46"/>
      <c r="AE787" s="46"/>
      <c r="AF787" s="46"/>
      <c r="AG787" s="46"/>
      <c r="AH787" s="46"/>
      <c r="AI787" s="46"/>
      <c r="AJ787" s="46"/>
      <c r="AK787" s="46"/>
      <c r="AL787" s="46"/>
      <c r="AM787" s="46"/>
      <c r="AN787" s="46"/>
      <c r="AO787" s="46"/>
      <c r="AP787" s="46"/>
      <c r="AQ787" s="46"/>
      <c r="AR787" s="46"/>
      <c r="AS787" s="46"/>
      <c r="AT787" s="46"/>
      <c r="AU787" s="46"/>
      <c r="AV787" s="46"/>
      <c r="AW787" s="46"/>
      <c r="AX787" s="46"/>
      <c r="AY787" s="46"/>
      <c r="AZ787" s="46"/>
      <c r="BA787" s="46"/>
      <c r="BB787" s="46"/>
      <c r="BC787" s="46"/>
      <c r="BD787" s="46"/>
      <c r="BE787" s="46"/>
      <c r="BF787" s="46"/>
      <c r="BG787" s="46"/>
      <c r="BH787" s="46"/>
    </row>
    <row r="788" spans="1:60" ht="14.25" customHeight="1" x14ac:dyDescent="0.3">
      <c r="A788" s="46"/>
      <c r="B788" s="37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  <c r="AB788" s="46"/>
      <c r="AC788" s="46"/>
      <c r="AD788" s="46"/>
      <c r="AE788" s="46"/>
      <c r="AF788" s="46"/>
      <c r="AG788" s="46"/>
      <c r="AH788" s="46"/>
      <c r="AI788" s="46"/>
      <c r="AJ788" s="46"/>
      <c r="AK788" s="46"/>
      <c r="AL788" s="46"/>
      <c r="AM788" s="46"/>
      <c r="AN788" s="46"/>
      <c r="AO788" s="46"/>
      <c r="AP788" s="46"/>
      <c r="AQ788" s="46"/>
      <c r="AR788" s="46"/>
      <c r="AS788" s="46"/>
      <c r="AT788" s="46"/>
      <c r="AU788" s="46"/>
      <c r="AV788" s="46"/>
      <c r="AW788" s="46"/>
      <c r="AX788" s="46"/>
      <c r="AY788" s="46"/>
      <c r="AZ788" s="46"/>
      <c r="BA788" s="46"/>
      <c r="BB788" s="46"/>
      <c r="BC788" s="46"/>
      <c r="BD788" s="46"/>
      <c r="BE788" s="46"/>
      <c r="BF788" s="46"/>
      <c r="BG788" s="46"/>
      <c r="BH788" s="46"/>
    </row>
    <row r="789" spans="1:60" ht="14.25" customHeight="1" x14ac:dyDescent="0.3">
      <c r="A789" s="46"/>
      <c r="B789" s="37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  <c r="AA789" s="46"/>
      <c r="AB789" s="46"/>
      <c r="AC789" s="46"/>
      <c r="AD789" s="46"/>
      <c r="AE789" s="46"/>
      <c r="AF789" s="46"/>
      <c r="AG789" s="46"/>
      <c r="AH789" s="46"/>
      <c r="AI789" s="46"/>
      <c r="AJ789" s="46"/>
      <c r="AK789" s="46"/>
      <c r="AL789" s="46"/>
      <c r="AM789" s="46"/>
      <c r="AN789" s="46"/>
      <c r="AO789" s="46"/>
      <c r="AP789" s="46"/>
      <c r="AQ789" s="46"/>
      <c r="AR789" s="46"/>
      <c r="AS789" s="46"/>
      <c r="AT789" s="46"/>
      <c r="AU789" s="46"/>
      <c r="AV789" s="46"/>
      <c r="AW789" s="46"/>
      <c r="AX789" s="46"/>
      <c r="AY789" s="46"/>
      <c r="AZ789" s="46"/>
      <c r="BA789" s="46"/>
      <c r="BB789" s="46"/>
      <c r="BC789" s="46"/>
      <c r="BD789" s="46"/>
      <c r="BE789" s="46"/>
      <c r="BF789" s="46"/>
      <c r="BG789" s="46"/>
      <c r="BH789" s="46"/>
    </row>
    <row r="790" spans="1:60" ht="14.25" customHeight="1" x14ac:dyDescent="0.3">
      <c r="A790" s="46"/>
      <c r="B790" s="37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  <c r="AA790" s="46"/>
      <c r="AB790" s="46"/>
      <c r="AC790" s="46"/>
      <c r="AD790" s="46"/>
      <c r="AE790" s="46"/>
      <c r="AF790" s="46"/>
      <c r="AG790" s="46"/>
      <c r="AH790" s="46"/>
      <c r="AI790" s="46"/>
      <c r="AJ790" s="46"/>
      <c r="AK790" s="46"/>
      <c r="AL790" s="46"/>
      <c r="AM790" s="46"/>
      <c r="AN790" s="46"/>
      <c r="AO790" s="46"/>
      <c r="AP790" s="46"/>
      <c r="AQ790" s="46"/>
      <c r="AR790" s="46"/>
      <c r="AS790" s="46"/>
      <c r="AT790" s="46"/>
      <c r="AU790" s="46"/>
      <c r="AV790" s="46"/>
      <c r="AW790" s="46"/>
      <c r="AX790" s="46"/>
      <c r="AY790" s="46"/>
      <c r="AZ790" s="46"/>
      <c r="BA790" s="46"/>
      <c r="BB790" s="46"/>
      <c r="BC790" s="46"/>
      <c r="BD790" s="46"/>
      <c r="BE790" s="46"/>
      <c r="BF790" s="46"/>
      <c r="BG790" s="46"/>
      <c r="BH790" s="46"/>
    </row>
    <row r="791" spans="1:60" ht="14.25" customHeight="1" x14ac:dyDescent="0.3">
      <c r="A791" s="46"/>
      <c r="B791" s="37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  <c r="AB791" s="46"/>
      <c r="AC791" s="46"/>
      <c r="AD791" s="46"/>
      <c r="AE791" s="46"/>
      <c r="AF791" s="46"/>
      <c r="AG791" s="46"/>
      <c r="AH791" s="46"/>
      <c r="AI791" s="46"/>
      <c r="AJ791" s="46"/>
      <c r="AK791" s="46"/>
      <c r="AL791" s="46"/>
      <c r="AM791" s="46"/>
      <c r="AN791" s="46"/>
      <c r="AO791" s="46"/>
      <c r="AP791" s="46"/>
      <c r="AQ791" s="46"/>
      <c r="AR791" s="46"/>
      <c r="AS791" s="46"/>
      <c r="AT791" s="46"/>
      <c r="AU791" s="46"/>
      <c r="AV791" s="46"/>
      <c r="AW791" s="46"/>
      <c r="AX791" s="46"/>
      <c r="AY791" s="46"/>
      <c r="AZ791" s="46"/>
      <c r="BA791" s="46"/>
      <c r="BB791" s="46"/>
      <c r="BC791" s="46"/>
      <c r="BD791" s="46"/>
      <c r="BE791" s="46"/>
      <c r="BF791" s="46"/>
      <c r="BG791" s="46"/>
      <c r="BH791" s="46"/>
    </row>
    <row r="792" spans="1:60" ht="14.25" customHeight="1" x14ac:dyDescent="0.3">
      <c r="A792" s="46"/>
      <c r="B792" s="37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  <c r="AA792" s="46"/>
      <c r="AB792" s="46"/>
      <c r="AC792" s="46"/>
      <c r="AD792" s="46"/>
      <c r="AE792" s="46"/>
      <c r="AF792" s="46"/>
      <c r="AG792" s="46"/>
      <c r="AH792" s="46"/>
      <c r="AI792" s="46"/>
      <c r="AJ792" s="46"/>
      <c r="AK792" s="46"/>
      <c r="AL792" s="46"/>
      <c r="AM792" s="46"/>
      <c r="AN792" s="46"/>
      <c r="AO792" s="46"/>
      <c r="AP792" s="46"/>
      <c r="AQ792" s="46"/>
      <c r="AR792" s="46"/>
      <c r="AS792" s="46"/>
      <c r="AT792" s="46"/>
      <c r="AU792" s="46"/>
      <c r="AV792" s="46"/>
      <c r="AW792" s="46"/>
      <c r="AX792" s="46"/>
      <c r="AY792" s="46"/>
      <c r="AZ792" s="46"/>
      <c r="BA792" s="46"/>
      <c r="BB792" s="46"/>
      <c r="BC792" s="46"/>
      <c r="BD792" s="46"/>
      <c r="BE792" s="46"/>
      <c r="BF792" s="46"/>
      <c r="BG792" s="46"/>
      <c r="BH792" s="46"/>
    </row>
    <row r="793" spans="1:60" ht="14.25" customHeight="1" x14ac:dyDescent="0.3">
      <c r="A793" s="46"/>
      <c r="B793" s="37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  <c r="AA793" s="46"/>
      <c r="AB793" s="46"/>
      <c r="AC793" s="46"/>
      <c r="AD793" s="46"/>
      <c r="AE793" s="46"/>
      <c r="AF793" s="46"/>
      <c r="AG793" s="46"/>
      <c r="AH793" s="46"/>
      <c r="AI793" s="46"/>
      <c r="AJ793" s="46"/>
      <c r="AK793" s="46"/>
      <c r="AL793" s="46"/>
      <c r="AM793" s="46"/>
      <c r="AN793" s="46"/>
      <c r="AO793" s="46"/>
      <c r="AP793" s="46"/>
      <c r="AQ793" s="46"/>
      <c r="AR793" s="46"/>
      <c r="AS793" s="46"/>
      <c r="AT793" s="46"/>
      <c r="AU793" s="46"/>
      <c r="AV793" s="46"/>
      <c r="AW793" s="46"/>
      <c r="AX793" s="46"/>
      <c r="AY793" s="46"/>
      <c r="AZ793" s="46"/>
      <c r="BA793" s="46"/>
      <c r="BB793" s="46"/>
      <c r="BC793" s="46"/>
      <c r="BD793" s="46"/>
      <c r="BE793" s="46"/>
      <c r="BF793" s="46"/>
      <c r="BG793" s="46"/>
      <c r="BH793" s="46"/>
    </row>
    <row r="794" spans="1:60" ht="14.25" customHeight="1" x14ac:dyDescent="0.3">
      <c r="A794" s="46"/>
      <c r="B794" s="37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  <c r="AA794" s="46"/>
      <c r="AB794" s="46"/>
      <c r="AC794" s="46"/>
      <c r="AD794" s="46"/>
      <c r="AE794" s="46"/>
      <c r="AF794" s="46"/>
      <c r="AG794" s="46"/>
      <c r="AH794" s="46"/>
      <c r="AI794" s="46"/>
      <c r="AJ794" s="46"/>
      <c r="AK794" s="46"/>
      <c r="AL794" s="46"/>
      <c r="AM794" s="46"/>
      <c r="AN794" s="46"/>
      <c r="AO794" s="46"/>
      <c r="AP794" s="46"/>
      <c r="AQ794" s="46"/>
      <c r="AR794" s="46"/>
      <c r="AS794" s="46"/>
      <c r="AT794" s="46"/>
      <c r="AU794" s="46"/>
      <c r="AV794" s="46"/>
      <c r="AW794" s="46"/>
      <c r="AX794" s="46"/>
      <c r="AY794" s="46"/>
      <c r="AZ794" s="46"/>
      <c r="BA794" s="46"/>
      <c r="BB794" s="46"/>
      <c r="BC794" s="46"/>
      <c r="BD794" s="46"/>
      <c r="BE794" s="46"/>
      <c r="BF794" s="46"/>
      <c r="BG794" s="46"/>
      <c r="BH794" s="46"/>
    </row>
    <row r="795" spans="1:60" ht="14.25" customHeight="1" x14ac:dyDescent="0.3">
      <c r="A795" s="46"/>
      <c r="B795" s="37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  <c r="AA795" s="46"/>
      <c r="AB795" s="46"/>
      <c r="AC795" s="46"/>
      <c r="AD795" s="46"/>
      <c r="AE795" s="46"/>
      <c r="AF795" s="46"/>
      <c r="AG795" s="46"/>
      <c r="AH795" s="46"/>
      <c r="AI795" s="46"/>
      <c r="AJ795" s="46"/>
      <c r="AK795" s="46"/>
      <c r="AL795" s="46"/>
      <c r="AM795" s="46"/>
      <c r="AN795" s="46"/>
      <c r="AO795" s="46"/>
      <c r="AP795" s="46"/>
      <c r="AQ795" s="46"/>
      <c r="AR795" s="46"/>
      <c r="AS795" s="46"/>
      <c r="AT795" s="46"/>
      <c r="AU795" s="46"/>
      <c r="AV795" s="46"/>
      <c r="AW795" s="46"/>
      <c r="AX795" s="46"/>
      <c r="AY795" s="46"/>
      <c r="AZ795" s="46"/>
      <c r="BA795" s="46"/>
      <c r="BB795" s="46"/>
      <c r="BC795" s="46"/>
      <c r="BD795" s="46"/>
      <c r="BE795" s="46"/>
      <c r="BF795" s="46"/>
      <c r="BG795" s="46"/>
      <c r="BH795" s="46"/>
    </row>
    <row r="796" spans="1:60" ht="14.25" customHeight="1" x14ac:dyDescent="0.3">
      <c r="A796" s="46"/>
      <c r="B796" s="37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  <c r="AA796" s="46"/>
      <c r="AB796" s="46"/>
      <c r="AC796" s="46"/>
      <c r="AD796" s="46"/>
      <c r="AE796" s="46"/>
      <c r="AF796" s="46"/>
      <c r="AG796" s="46"/>
      <c r="AH796" s="46"/>
      <c r="AI796" s="46"/>
      <c r="AJ796" s="46"/>
      <c r="AK796" s="46"/>
      <c r="AL796" s="46"/>
      <c r="AM796" s="46"/>
      <c r="AN796" s="46"/>
      <c r="AO796" s="46"/>
      <c r="AP796" s="46"/>
      <c r="AQ796" s="46"/>
      <c r="AR796" s="46"/>
      <c r="AS796" s="46"/>
      <c r="AT796" s="46"/>
      <c r="AU796" s="46"/>
      <c r="AV796" s="46"/>
      <c r="AW796" s="46"/>
      <c r="AX796" s="46"/>
      <c r="AY796" s="46"/>
      <c r="AZ796" s="46"/>
      <c r="BA796" s="46"/>
      <c r="BB796" s="46"/>
      <c r="BC796" s="46"/>
      <c r="BD796" s="46"/>
      <c r="BE796" s="46"/>
      <c r="BF796" s="46"/>
      <c r="BG796" s="46"/>
      <c r="BH796" s="46"/>
    </row>
    <row r="797" spans="1:60" ht="14.25" customHeight="1" x14ac:dyDescent="0.3">
      <c r="A797" s="46"/>
      <c r="B797" s="37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  <c r="AA797" s="46"/>
      <c r="AB797" s="46"/>
      <c r="AC797" s="46"/>
      <c r="AD797" s="46"/>
      <c r="AE797" s="46"/>
      <c r="AF797" s="46"/>
      <c r="AG797" s="46"/>
      <c r="AH797" s="46"/>
      <c r="AI797" s="46"/>
      <c r="AJ797" s="46"/>
      <c r="AK797" s="46"/>
      <c r="AL797" s="46"/>
      <c r="AM797" s="46"/>
      <c r="AN797" s="46"/>
      <c r="AO797" s="46"/>
      <c r="AP797" s="46"/>
      <c r="AQ797" s="46"/>
      <c r="AR797" s="46"/>
      <c r="AS797" s="46"/>
      <c r="AT797" s="46"/>
      <c r="AU797" s="46"/>
      <c r="AV797" s="46"/>
      <c r="AW797" s="46"/>
      <c r="AX797" s="46"/>
      <c r="AY797" s="46"/>
      <c r="AZ797" s="46"/>
      <c r="BA797" s="46"/>
      <c r="BB797" s="46"/>
      <c r="BC797" s="46"/>
      <c r="BD797" s="46"/>
      <c r="BE797" s="46"/>
      <c r="BF797" s="46"/>
      <c r="BG797" s="46"/>
      <c r="BH797" s="46"/>
    </row>
    <row r="798" spans="1:60" ht="14.25" customHeight="1" x14ac:dyDescent="0.3">
      <c r="A798" s="46"/>
      <c r="B798" s="37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  <c r="AA798" s="46"/>
      <c r="AB798" s="46"/>
      <c r="AC798" s="46"/>
      <c r="AD798" s="46"/>
      <c r="AE798" s="46"/>
      <c r="AF798" s="46"/>
      <c r="AG798" s="46"/>
      <c r="AH798" s="46"/>
      <c r="AI798" s="46"/>
      <c r="AJ798" s="46"/>
      <c r="AK798" s="46"/>
      <c r="AL798" s="46"/>
      <c r="AM798" s="46"/>
      <c r="AN798" s="46"/>
      <c r="AO798" s="46"/>
      <c r="AP798" s="46"/>
      <c r="AQ798" s="46"/>
      <c r="AR798" s="46"/>
      <c r="AS798" s="46"/>
      <c r="AT798" s="46"/>
      <c r="AU798" s="46"/>
      <c r="AV798" s="46"/>
      <c r="AW798" s="46"/>
      <c r="AX798" s="46"/>
      <c r="AY798" s="46"/>
      <c r="AZ798" s="46"/>
      <c r="BA798" s="46"/>
      <c r="BB798" s="46"/>
      <c r="BC798" s="46"/>
      <c r="BD798" s="46"/>
      <c r="BE798" s="46"/>
      <c r="BF798" s="46"/>
      <c r="BG798" s="46"/>
      <c r="BH798" s="46"/>
    </row>
    <row r="799" spans="1:60" ht="14.25" customHeight="1" x14ac:dyDescent="0.3">
      <c r="A799" s="46"/>
      <c r="B799" s="37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  <c r="AA799" s="46"/>
      <c r="AB799" s="46"/>
      <c r="AC799" s="46"/>
      <c r="AD799" s="46"/>
      <c r="AE799" s="46"/>
      <c r="AF799" s="46"/>
      <c r="AG799" s="46"/>
      <c r="AH799" s="46"/>
      <c r="AI799" s="46"/>
      <c r="AJ799" s="46"/>
      <c r="AK799" s="46"/>
      <c r="AL799" s="46"/>
      <c r="AM799" s="46"/>
      <c r="AN799" s="46"/>
      <c r="AO799" s="46"/>
      <c r="AP799" s="46"/>
      <c r="AQ799" s="46"/>
      <c r="AR799" s="46"/>
      <c r="AS799" s="46"/>
      <c r="AT799" s="46"/>
      <c r="AU799" s="46"/>
      <c r="AV799" s="46"/>
      <c r="AW799" s="46"/>
      <c r="AX799" s="46"/>
      <c r="AY799" s="46"/>
      <c r="AZ799" s="46"/>
      <c r="BA799" s="46"/>
      <c r="BB799" s="46"/>
      <c r="BC799" s="46"/>
      <c r="BD799" s="46"/>
      <c r="BE799" s="46"/>
      <c r="BF799" s="46"/>
      <c r="BG799" s="46"/>
      <c r="BH799" s="46"/>
    </row>
    <row r="800" spans="1:60" ht="14.25" customHeight="1" x14ac:dyDescent="0.3">
      <c r="A800" s="46"/>
      <c r="B800" s="37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  <c r="AA800" s="46"/>
      <c r="AB800" s="46"/>
      <c r="AC800" s="46"/>
      <c r="AD800" s="46"/>
      <c r="AE800" s="46"/>
      <c r="AF800" s="46"/>
      <c r="AG800" s="46"/>
      <c r="AH800" s="46"/>
      <c r="AI800" s="46"/>
      <c r="AJ800" s="46"/>
      <c r="AK800" s="46"/>
      <c r="AL800" s="46"/>
      <c r="AM800" s="46"/>
      <c r="AN800" s="46"/>
      <c r="AO800" s="46"/>
      <c r="AP800" s="46"/>
      <c r="AQ800" s="46"/>
      <c r="AR800" s="46"/>
      <c r="AS800" s="46"/>
      <c r="AT800" s="46"/>
      <c r="AU800" s="46"/>
      <c r="AV800" s="46"/>
      <c r="AW800" s="46"/>
      <c r="AX800" s="46"/>
      <c r="AY800" s="46"/>
      <c r="AZ800" s="46"/>
      <c r="BA800" s="46"/>
      <c r="BB800" s="46"/>
      <c r="BC800" s="46"/>
      <c r="BD800" s="46"/>
      <c r="BE800" s="46"/>
      <c r="BF800" s="46"/>
      <c r="BG800" s="46"/>
      <c r="BH800" s="46"/>
    </row>
    <row r="801" spans="1:60" ht="14.25" customHeight="1" x14ac:dyDescent="0.3">
      <c r="A801" s="46"/>
      <c r="B801" s="37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  <c r="AA801" s="46"/>
      <c r="AB801" s="46"/>
      <c r="AC801" s="46"/>
      <c r="AD801" s="46"/>
      <c r="AE801" s="46"/>
      <c r="AF801" s="46"/>
      <c r="AG801" s="46"/>
      <c r="AH801" s="46"/>
      <c r="AI801" s="46"/>
      <c r="AJ801" s="46"/>
      <c r="AK801" s="46"/>
      <c r="AL801" s="46"/>
      <c r="AM801" s="46"/>
      <c r="AN801" s="46"/>
      <c r="AO801" s="46"/>
      <c r="AP801" s="46"/>
      <c r="AQ801" s="46"/>
      <c r="AR801" s="46"/>
      <c r="AS801" s="46"/>
      <c r="AT801" s="46"/>
      <c r="AU801" s="46"/>
      <c r="AV801" s="46"/>
      <c r="AW801" s="46"/>
      <c r="AX801" s="46"/>
      <c r="AY801" s="46"/>
      <c r="AZ801" s="46"/>
      <c r="BA801" s="46"/>
      <c r="BB801" s="46"/>
      <c r="BC801" s="46"/>
      <c r="BD801" s="46"/>
      <c r="BE801" s="46"/>
      <c r="BF801" s="46"/>
      <c r="BG801" s="46"/>
      <c r="BH801" s="46"/>
    </row>
    <row r="802" spans="1:60" ht="14.25" customHeight="1" x14ac:dyDescent="0.3">
      <c r="A802" s="46"/>
      <c r="B802" s="37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  <c r="AA802" s="46"/>
      <c r="AB802" s="46"/>
      <c r="AC802" s="46"/>
      <c r="AD802" s="46"/>
      <c r="AE802" s="46"/>
      <c r="AF802" s="46"/>
      <c r="AG802" s="46"/>
      <c r="AH802" s="46"/>
      <c r="AI802" s="46"/>
      <c r="AJ802" s="46"/>
      <c r="AK802" s="46"/>
      <c r="AL802" s="46"/>
      <c r="AM802" s="46"/>
      <c r="AN802" s="46"/>
      <c r="AO802" s="46"/>
      <c r="AP802" s="46"/>
      <c r="AQ802" s="46"/>
      <c r="AR802" s="46"/>
      <c r="AS802" s="46"/>
      <c r="AT802" s="46"/>
      <c r="AU802" s="46"/>
      <c r="AV802" s="46"/>
      <c r="AW802" s="46"/>
      <c r="AX802" s="46"/>
      <c r="AY802" s="46"/>
      <c r="AZ802" s="46"/>
      <c r="BA802" s="46"/>
      <c r="BB802" s="46"/>
      <c r="BC802" s="46"/>
      <c r="BD802" s="46"/>
      <c r="BE802" s="46"/>
      <c r="BF802" s="46"/>
      <c r="BG802" s="46"/>
      <c r="BH802" s="46"/>
    </row>
    <row r="803" spans="1:60" ht="14.25" customHeight="1" x14ac:dyDescent="0.3">
      <c r="A803" s="46"/>
      <c r="B803" s="37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  <c r="AA803" s="46"/>
      <c r="AB803" s="46"/>
      <c r="AC803" s="46"/>
      <c r="AD803" s="46"/>
      <c r="AE803" s="46"/>
      <c r="AF803" s="46"/>
      <c r="AG803" s="46"/>
      <c r="AH803" s="46"/>
      <c r="AI803" s="46"/>
      <c r="AJ803" s="46"/>
      <c r="AK803" s="46"/>
      <c r="AL803" s="46"/>
      <c r="AM803" s="46"/>
      <c r="AN803" s="46"/>
      <c r="AO803" s="46"/>
      <c r="AP803" s="46"/>
      <c r="AQ803" s="46"/>
      <c r="AR803" s="46"/>
      <c r="AS803" s="46"/>
      <c r="AT803" s="46"/>
      <c r="AU803" s="46"/>
      <c r="AV803" s="46"/>
      <c r="AW803" s="46"/>
      <c r="AX803" s="46"/>
      <c r="AY803" s="46"/>
      <c r="AZ803" s="46"/>
      <c r="BA803" s="46"/>
      <c r="BB803" s="46"/>
      <c r="BC803" s="46"/>
      <c r="BD803" s="46"/>
      <c r="BE803" s="46"/>
      <c r="BF803" s="46"/>
      <c r="BG803" s="46"/>
      <c r="BH803" s="46"/>
    </row>
    <row r="804" spans="1:60" ht="14.25" customHeight="1" x14ac:dyDescent="0.3">
      <c r="A804" s="46"/>
      <c r="B804" s="37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  <c r="AA804" s="46"/>
      <c r="AB804" s="46"/>
      <c r="AC804" s="46"/>
      <c r="AD804" s="46"/>
      <c r="AE804" s="46"/>
      <c r="AF804" s="46"/>
      <c r="AG804" s="46"/>
      <c r="AH804" s="46"/>
      <c r="AI804" s="46"/>
      <c r="AJ804" s="46"/>
      <c r="AK804" s="46"/>
      <c r="AL804" s="46"/>
      <c r="AM804" s="46"/>
      <c r="AN804" s="46"/>
      <c r="AO804" s="46"/>
      <c r="AP804" s="46"/>
      <c r="AQ804" s="46"/>
      <c r="AR804" s="46"/>
      <c r="AS804" s="46"/>
      <c r="AT804" s="46"/>
      <c r="AU804" s="46"/>
      <c r="AV804" s="46"/>
      <c r="AW804" s="46"/>
      <c r="AX804" s="46"/>
      <c r="AY804" s="46"/>
      <c r="AZ804" s="46"/>
      <c r="BA804" s="46"/>
      <c r="BB804" s="46"/>
      <c r="BC804" s="46"/>
      <c r="BD804" s="46"/>
      <c r="BE804" s="46"/>
      <c r="BF804" s="46"/>
      <c r="BG804" s="46"/>
      <c r="BH804" s="46"/>
    </row>
    <row r="805" spans="1:60" ht="14.25" customHeight="1" x14ac:dyDescent="0.3">
      <c r="A805" s="46"/>
      <c r="B805" s="37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  <c r="AA805" s="46"/>
      <c r="AB805" s="46"/>
      <c r="AC805" s="46"/>
      <c r="AD805" s="46"/>
      <c r="AE805" s="46"/>
      <c r="AF805" s="46"/>
      <c r="AG805" s="46"/>
      <c r="AH805" s="46"/>
      <c r="AI805" s="46"/>
      <c r="AJ805" s="46"/>
      <c r="AK805" s="46"/>
      <c r="AL805" s="46"/>
      <c r="AM805" s="46"/>
      <c r="AN805" s="46"/>
      <c r="AO805" s="46"/>
      <c r="AP805" s="46"/>
      <c r="AQ805" s="46"/>
      <c r="AR805" s="46"/>
      <c r="AS805" s="46"/>
      <c r="AT805" s="46"/>
      <c r="AU805" s="46"/>
      <c r="AV805" s="46"/>
      <c r="AW805" s="46"/>
      <c r="AX805" s="46"/>
      <c r="AY805" s="46"/>
      <c r="AZ805" s="46"/>
      <c r="BA805" s="46"/>
      <c r="BB805" s="46"/>
      <c r="BC805" s="46"/>
      <c r="BD805" s="46"/>
      <c r="BE805" s="46"/>
      <c r="BF805" s="46"/>
      <c r="BG805" s="46"/>
      <c r="BH805" s="46"/>
    </row>
    <row r="806" spans="1:60" ht="14.25" customHeight="1" x14ac:dyDescent="0.3">
      <c r="A806" s="46"/>
      <c r="B806" s="37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  <c r="AA806" s="46"/>
      <c r="AB806" s="46"/>
      <c r="AC806" s="46"/>
      <c r="AD806" s="46"/>
      <c r="AE806" s="46"/>
      <c r="AF806" s="46"/>
      <c r="AG806" s="46"/>
      <c r="AH806" s="46"/>
      <c r="AI806" s="46"/>
      <c r="AJ806" s="46"/>
      <c r="AK806" s="46"/>
      <c r="AL806" s="46"/>
      <c r="AM806" s="46"/>
      <c r="AN806" s="46"/>
      <c r="AO806" s="46"/>
      <c r="AP806" s="46"/>
      <c r="AQ806" s="46"/>
      <c r="AR806" s="46"/>
      <c r="AS806" s="46"/>
      <c r="AT806" s="46"/>
      <c r="AU806" s="46"/>
      <c r="AV806" s="46"/>
      <c r="AW806" s="46"/>
      <c r="AX806" s="46"/>
      <c r="AY806" s="46"/>
      <c r="AZ806" s="46"/>
      <c r="BA806" s="46"/>
      <c r="BB806" s="46"/>
      <c r="BC806" s="46"/>
      <c r="BD806" s="46"/>
      <c r="BE806" s="46"/>
      <c r="BF806" s="46"/>
      <c r="BG806" s="46"/>
      <c r="BH806" s="46"/>
    </row>
    <row r="807" spans="1:60" ht="14.25" customHeight="1" x14ac:dyDescent="0.3">
      <c r="A807" s="46"/>
      <c r="B807" s="37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  <c r="AB807" s="46"/>
      <c r="AC807" s="46"/>
      <c r="AD807" s="46"/>
      <c r="AE807" s="46"/>
      <c r="AF807" s="46"/>
      <c r="AG807" s="46"/>
      <c r="AH807" s="46"/>
      <c r="AI807" s="46"/>
      <c r="AJ807" s="46"/>
      <c r="AK807" s="46"/>
      <c r="AL807" s="46"/>
      <c r="AM807" s="46"/>
      <c r="AN807" s="46"/>
      <c r="AO807" s="46"/>
      <c r="AP807" s="46"/>
      <c r="AQ807" s="46"/>
      <c r="AR807" s="46"/>
      <c r="AS807" s="46"/>
      <c r="AT807" s="46"/>
      <c r="AU807" s="46"/>
      <c r="AV807" s="46"/>
      <c r="AW807" s="46"/>
      <c r="AX807" s="46"/>
      <c r="AY807" s="46"/>
      <c r="AZ807" s="46"/>
      <c r="BA807" s="46"/>
      <c r="BB807" s="46"/>
      <c r="BC807" s="46"/>
      <c r="BD807" s="46"/>
      <c r="BE807" s="46"/>
      <c r="BF807" s="46"/>
      <c r="BG807" s="46"/>
      <c r="BH807" s="46"/>
    </row>
    <row r="808" spans="1:60" ht="14.25" customHeight="1" x14ac:dyDescent="0.3">
      <c r="A808" s="46"/>
      <c r="B808" s="37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  <c r="AA808" s="46"/>
      <c r="AB808" s="46"/>
      <c r="AC808" s="46"/>
      <c r="AD808" s="46"/>
      <c r="AE808" s="46"/>
      <c r="AF808" s="46"/>
      <c r="AG808" s="46"/>
      <c r="AH808" s="46"/>
      <c r="AI808" s="46"/>
      <c r="AJ808" s="46"/>
      <c r="AK808" s="46"/>
      <c r="AL808" s="46"/>
      <c r="AM808" s="46"/>
      <c r="AN808" s="46"/>
      <c r="AO808" s="46"/>
      <c r="AP808" s="46"/>
      <c r="AQ808" s="46"/>
      <c r="AR808" s="46"/>
      <c r="AS808" s="46"/>
      <c r="AT808" s="46"/>
      <c r="AU808" s="46"/>
      <c r="AV808" s="46"/>
      <c r="AW808" s="46"/>
      <c r="AX808" s="46"/>
      <c r="AY808" s="46"/>
      <c r="AZ808" s="46"/>
      <c r="BA808" s="46"/>
      <c r="BB808" s="46"/>
      <c r="BC808" s="46"/>
      <c r="BD808" s="46"/>
      <c r="BE808" s="46"/>
      <c r="BF808" s="46"/>
      <c r="BG808" s="46"/>
      <c r="BH808" s="46"/>
    </row>
    <row r="809" spans="1:60" ht="14.25" customHeight="1" x14ac:dyDescent="0.3">
      <c r="A809" s="46"/>
      <c r="B809" s="37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  <c r="AB809" s="46"/>
      <c r="AC809" s="46"/>
      <c r="AD809" s="46"/>
      <c r="AE809" s="46"/>
      <c r="AF809" s="46"/>
      <c r="AG809" s="46"/>
      <c r="AH809" s="46"/>
      <c r="AI809" s="46"/>
      <c r="AJ809" s="46"/>
      <c r="AK809" s="46"/>
      <c r="AL809" s="46"/>
      <c r="AM809" s="46"/>
      <c r="AN809" s="46"/>
      <c r="AO809" s="46"/>
      <c r="AP809" s="46"/>
      <c r="AQ809" s="46"/>
      <c r="AR809" s="46"/>
      <c r="AS809" s="46"/>
      <c r="AT809" s="46"/>
      <c r="AU809" s="46"/>
      <c r="AV809" s="46"/>
      <c r="AW809" s="46"/>
      <c r="AX809" s="46"/>
      <c r="AY809" s="46"/>
      <c r="AZ809" s="46"/>
      <c r="BA809" s="46"/>
      <c r="BB809" s="46"/>
      <c r="BC809" s="46"/>
      <c r="BD809" s="46"/>
      <c r="BE809" s="46"/>
      <c r="BF809" s="46"/>
      <c r="BG809" s="46"/>
      <c r="BH809" s="46"/>
    </row>
    <row r="810" spans="1:60" ht="14.25" customHeight="1" x14ac:dyDescent="0.3">
      <c r="A810" s="46"/>
      <c r="B810" s="37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  <c r="AA810" s="46"/>
      <c r="AB810" s="46"/>
      <c r="AC810" s="46"/>
      <c r="AD810" s="46"/>
      <c r="AE810" s="46"/>
      <c r="AF810" s="46"/>
      <c r="AG810" s="46"/>
      <c r="AH810" s="46"/>
      <c r="AI810" s="46"/>
      <c r="AJ810" s="46"/>
      <c r="AK810" s="46"/>
      <c r="AL810" s="46"/>
      <c r="AM810" s="46"/>
      <c r="AN810" s="46"/>
      <c r="AO810" s="46"/>
      <c r="AP810" s="46"/>
      <c r="AQ810" s="46"/>
      <c r="AR810" s="46"/>
      <c r="AS810" s="46"/>
      <c r="AT810" s="46"/>
      <c r="AU810" s="46"/>
      <c r="AV810" s="46"/>
      <c r="AW810" s="46"/>
      <c r="AX810" s="46"/>
      <c r="AY810" s="46"/>
      <c r="AZ810" s="46"/>
      <c r="BA810" s="46"/>
      <c r="BB810" s="46"/>
      <c r="BC810" s="46"/>
      <c r="BD810" s="46"/>
      <c r="BE810" s="46"/>
      <c r="BF810" s="46"/>
      <c r="BG810" s="46"/>
      <c r="BH810" s="46"/>
    </row>
    <row r="811" spans="1:60" ht="14.25" customHeight="1" x14ac:dyDescent="0.3">
      <c r="A811" s="46"/>
      <c r="B811" s="37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  <c r="AA811" s="46"/>
      <c r="AB811" s="46"/>
      <c r="AC811" s="46"/>
      <c r="AD811" s="46"/>
      <c r="AE811" s="46"/>
      <c r="AF811" s="46"/>
      <c r="AG811" s="46"/>
      <c r="AH811" s="46"/>
      <c r="AI811" s="46"/>
      <c r="AJ811" s="46"/>
      <c r="AK811" s="46"/>
      <c r="AL811" s="46"/>
      <c r="AM811" s="46"/>
      <c r="AN811" s="46"/>
      <c r="AO811" s="46"/>
      <c r="AP811" s="46"/>
      <c r="AQ811" s="46"/>
      <c r="AR811" s="46"/>
      <c r="AS811" s="46"/>
      <c r="AT811" s="46"/>
      <c r="AU811" s="46"/>
      <c r="AV811" s="46"/>
      <c r="AW811" s="46"/>
      <c r="AX811" s="46"/>
      <c r="AY811" s="46"/>
      <c r="AZ811" s="46"/>
      <c r="BA811" s="46"/>
      <c r="BB811" s="46"/>
      <c r="BC811" s="46"/>
      <c r="BD811" s="46"/>
      <c r="BE811" s="46"/>
      <c r="BF811" s="46"/>
      <c r="BG811" s="46"/>
      <c r="BH811" s="46"/>
    </row>
    <row r="812" spans="1:60" ht="14.25" customHeight="1" x14ac:dyDescent="0.3">
      <c r="A812" s="46"/>
      <c r="B812" s="37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  <c r="AA812" s="46"/>
      <c r="AB812" s="46"/>
      <c r="AC812" s="46"/>
      <c r="AD812" s="46"/>
      <c r="AE812" s="46"/>
      <c r="AF812" s="46"/>
      <c r="AG812" s="46"/>
      <c r="AH812" s="46"/>
      <c r="AI812" s="46"/>
      <c r="AJ812" s="46"/>
      <c r="AK812" s="46"/>
      <c r="AL812" s="46"/>
      <c r="AM812" s="46"/>
      <c r="AN812" s="46"/>
      <c r="AO812" s="46"/>
      <c r="AP812" s="46"/>
      <c r="AQ812" s="46"/>
      <c r="AR812" s="46"/>
      <c r="AS812" s="46"/>
      <c r="AT812" s="46"/>
      <c r="AU812" s="46"/>
      <c r="AV812" s="46"/>
      <c r="AW812" s="46"/>
      <c r="AX812" s="46"/>
      <c r="AY812" s="46"/>
      <c r="AZ812" s="46"/>
      <c r="BA812" s="46"/>
      <c r="BB812" s="46"/>
      <c r="BC812" s="46"/>
      <c r="BD812" s="46"/>
      <c r="BE812" s="46"/>
      <c r="BF812" s="46"/>
      <c r="BG812" s="46"/>
      <c r="BH812" s="46"/>
    </row>
    <row r="813" spans="1:60" ht="14.25" customHeight="1" x14ac:dyDescent="0.3">
      <c r="A813" s="46"/>
      <c r="B813" s="37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  <c r="AA813" s="46"/>
      <c r="AB813" s="46"/>
      <c r="AC813" s="46"/>
      <c r="AD813" s="46"/>
      <c r="AE813" s="46"/>
      <c r="AF813" s="46"/>
      <c r="AG813" s="46"/>
      <c r="AH813" s="46"/>
      <c r="AI813" s="46"/>
      <c r="AJ813" s="46"/>
      <c r="AK813" s="46"/>
      <c r="AL813" s="46"/>
      <c r="AM813" s="46"/>
      <c r="AN813" s="46"/>
      <c r="AO813" s="46"/>
      <c r="AP813" s="46"/>
      <c r="AQ813" s="46"/>
      <c r="AR813" s="46"/>
      <c r="AS813" s="46"/>
      <c r="AT813" s="46"/>
      <c r="AU813" s="46"/>
      <c r="AV813" s="46"/>
      <c r="AW813" s="46"/>
      <c r="AX813" s="46"/>
      <c r="AY813" s="46"/>
      <c r="AZ813" s="46"/>
      <c r="BA813" s="46"/>
      <c r="BB813" s="46"/>
      <c r="BC813" s="46"/>
      <c r="BD813" s="46"/>
      <c r="BE813" s="46"/>
      <c r="BF813" s="46"/>
      <c r="BG813" s="46"/>
      <c r="BH813" s="46"/>
    </row>
    <row r="814" spans="1:60" ht="14.25" customHeight="1" x14ac:dyDescent="0.3">
      <c r="A814" s="46"/>
      <c r="B814" s="37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  <c r="AA814" s="46"/>
      <c r="AB814" s="46"/>
      <c r="AC814" s="46"/>
      <c r="AD814" s="46"/>
      <c r="AE814" s="46"/>
      <c r="AF814" s="46"/>
      <c r="AG814" s="46"/>
      <c r="AH814" s="46"/>
      <c r="AI814" s="46"/>
      <c r="AJ814" s="46"/>
      <c r="AK814" s="46"/>
      <c r="AL814" s="46"/>
      <c r="AM814" s="46"/>
      <c r="AN814" s="46"/>
      <c r="AO814" s="46"/>
      <c r="AP814" s="46"/>
      <c r="AQ814" s="46"/>
      <c r="AR814" s="46"/>
      <c r="AS814" s="46"/>
      <c r="AT814" s="46"/>
      <c r="AU814" s="46"/>
      <c r="AV814" s="46"/>
      <c r="AW814" s="46"/>
      <c r="AX814" s="46"/>
      <c r="AY814" s="46"/>
      <c r="AZ814" s="46"/>
      <c r="BA814" s="46"/>
      <c r="BB814" s="46"/>
      <c r="BC814" s="46"/>
      <c r="BD814" s="46"/>
      <c r="BE814" s="46"/>
      <c r="BF814" s="46"/>
      <c r="BG814" s="46"/>
      <c r="BH814" s="46"/>
    </row>
    <row r="815" spans="1:60" ht="14.25" customHeight="1" x14ac:dyDescent="0.3">
      <c r="A815" s="46"/>
      <c r="B815" s="37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  <c r="AA815" s="46"/>
      <c r="AB815" s="46"/>
      <c r="AC815" s="46"/>
      <c r="AD815" s="46"/>
      <c r="AE815" s="46"/>
      <c r="AF815" s="46"/>
      <c r="AG815" s="46"/>
      <c r="AH815" s="46"/>
      <c r="AI815" s="46"/>
      <c r="AJ815" s="46"/>
      <c r="AK815" s="46"/>
      <c r="AL815" s="46"/>
      <c r="AM815" s="46"/>
      <c r="AN815" s="46"/>
      <c r="AO815" s="46"/>
      <c r="AP815" s="46"/>
      <c r="AQ815" s="46"/>
      <c r="AR815" s="46"/>
      <c r="AS815" s="46"/>
      <c r="AT815" s="46"/>
      <c r="AU815" s="46"/>
      <c r="AV815" s="46"/>
      <c r="AW815" s="46"/>
      <c r="AX815" s="46"/>
      <c r="AY815" s="46"/>
      <c r="AZ815" s="46"/>
      <c r="BA815" s="46"/>
      <c r="BB815" s="46"/>
      <c r="BC815" s="46"/>
      <c r="BD815" s="46"/>
      <c r="BE815" s="46"/>
      <c r="BF815" s="46"/>
      <c r="BG815" s="46"/>
      <c r="BH815" s="46"/>
    </row>
    <row r="816" spans="1:60" ht="14.25" customHeight="1" x14ac:dyDescent="0.3">
      <c r="A816" s="46"/>
      <c r="B816" s="37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  <c r="AA816" s="46"/>
      <c r="AB816" s="46"/>
      <c r="AC816" s="46"/>
      <c r="AD816" s="46"/>
      <c r="AE816" s="46"/>
      <c r="AF816" s="46"/>
      <c r="AG816" s="46"/>
      <c r="AH816" s="46"/>
      <c r="AI816" s="46"/>
      <c r="AJ816" s="46"/>
      <c r="AK816" s="46"/>
      <c r="AL816" s="46"/>
      <c r="AM816" s="46"/>
      <c r="AN816" s="46"/>
      <c r="AO816" s="46"/>
      <c r="AP816" s="46"/>
      <c r="AQ816" s="46"/>
      <c r="AR816" s="46"/>
      <c r="AS816" s="46"/>
      <c r="AT816" s="46"/>
      <c r="AU816" s="46"/>
      <c r="AV816" s="46"/>
      <c r="AW816" s="46"/>
      <c r="AX816" s="46"/>
      <c r="AY816" s="46"/>
      <c r="AZ816" s="46"/>
      <c r="BA816" s="46"/>
      <c r="BB816" s="46"/>
      <c r="BC816" s="46"/>
      <c r="BD816" s="46"/>
      <c r="BE816" s="46"/>
      <c r="BF816" s="46"/>
      <c r="BG816" s="46"/>
      <c r="BH816" s="46"/>
    </row>
    <row r="817" spans="1:60" ht="14.25" customHeight="1" x14ac:dyDescent="0.3">
      <c r="A817" s="46"/>
      <c r="B817" s="37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  <c r="AB817" s="46"/>
      <c r="AC817" s="46"/>
      <c r="AD817" s="46"/>
      <c r="AE817" s="46"/>
      <c r="AF817" s="46"/>
      <c r="AG817" s="46"/>
      <c r="AH817" s="46"/>
      <c r="AI817" s="46"/>
      <c r="AJ817" s="46"/>
      <c r="AK817" s="46"/>
      <c r="AL817" s="46"/>
      <c r="AM817" s="46"/>
      <c r="AN817" s="46"/>
      <c r="AO817" s="46"/>
      <c r="AP817" s="46"/>
      <c r="AQ817" s="46"/>
      <c r="AR817" s="46"/>
      <c r="AS817" s="46"/>
      <c r="AT817" s="46"/>
      <c r="AU817" s="46"/>
      <c r="AV817" s="46"/>
      <c r="AW817" s="46"/>
      <c r="AX817" s="46"/>
      <c r="AY817" s="46"/>
      <c r="AZ817" s="46"/>
      <c r="BA817" s="46"/>
      <c r="BB817" s="46"/>
      <c r="BC817" s="46"/>
      <c r="BD817" s="46"/>
      <c r="BE817" s="46"/>
      <c r="BF817" s="46"/>
      <c r="BG817" s="46"/>
      <c r="BH817" s="46"/>
    </row>
    <row r="818" spans="1:60" ht="14.25" customHeight="1" x14ac:dyDescent="0.3">
      <c r="A818" s="46"/>
      <c r="B818" s="37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  <c r="AA818" s="46"/>
      <c r="AB818" s="46"/>
      <c r="AC818" s="46"/>
      <c r="AD818" s="46"/>
      <c r="AE818" s="46"/>
      <c r="AF818" s="46"/>
      <c r="AG818" s="46"/>
      <c r="AH818" s="46"/>
      <c r="AI818" s="46"/>
      <c r="AJ818" s="46"/>
      <c r="AK818" s="46"/>
      <c r="AL818" s="46"/>
      <c r="AM818" s="46"/>
      <c r="AN818" s="46"/>
      <c r="AO818" s="46"/>
      <c r="AP818" s="46"/>
      <c r="AQ818" s="46"/>
      <c r="AR818" s="46"/>
      <c r="AS818" s="46"/>
      <c r="AT818" s="46"/>
      <c r="AU818" s="46"/>
      <c r="AV818" s="46"/>
      <c r="AW818" s="46"/>
      <c r="AX818" s="46"/>
      <c r="AY818" s="46"/>
      <c r="AZ818" s="46"/>
      <c r="BA818" s="46"/>
      <c r="BB818" s="46"/>
      <c r="BC818" s="46"/>
      <c r="BD818" s="46"/>
      <c r="BE818" s="46"/>
      <c r="BF818" s="46"/>
      <c r="BG818" s="46"/>
      <c r="BH818" s="46"/>
    </row>
    <row r="819" spans="1:60" ht="14.25" customHeight="1" x14ac:dyDescent="0.3">
      <c r="A819" s="46"/>
      <c r="B819" s="37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  <c r="AB819" s="46"/>
      <c r="AC819" s="46"/>
      <c r="AD819" s="46"/>
      <c r="AE819" s="46"/>
      <c r="AF819" s="46"/>
      <c r="AG819" s="46"/>
      <c r="AH819" s="46"/>
      <c r="AI819" s="46"/>
      <c r="AJ819" s="46"/>
      <c r="AK819" s="46"/>
      <c r="AL819" s="46"/>
      <c r="AM819" s="46"/>
      <c r="AN819" s="46"/>
      <c r="AO819" s="46"/>
      <c r="AP819" s="46"/>
      <c r="AQ819" s="46"/>
      <c r="AR819" s="46"/>
      <c r="AS819" s="46"/>
      <c r="AT819" s="46"/>
      <c r="AU819" s="46"/>
      <c r="AV819" s="46"/>
      <c r="AW819" s="46"/>
      <c r="AX819" s="46"/>
      <c r="AY819" s="46"/>
      <c r="AZ819" s="46"/>
      <c r="BA819" s="46"/>
      <c r="BB819" s="46"/>
      <c r="BC819" s="46"/>
      <c r="BD819" s="46"/>
      <c r="BE819" s="46"/>
      <c r="BF819" s="46"/>
      <c r="BG819" s="46"/>
      <c r="BH819" s="46"/>
    </row>
    <row r="820" spans="1:60" ht="14.25" customHeight="1" x14ac:dyDescent="0.3">
      <c r="A820" s="46"/>
      <c r="B820" s="37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6"/>
      <c r="AB820" s="46"/>
      <c r="AC820" s="46"/>
      <c r="AD820" s="46"/>
      <c r="AE820" s="46"/>
      <c r="AF820" s="46"/>
      <c r="AG820" s="46"/>
      <c r="AH820" s="46"/>
      <c r="AI820" s="46"/>
      <c r="AJ820" s="46"/>
      <c r="AK820" s="46"/>
      <c r="AL820" s="46"/>
      <c r="AM820" s="46"/>
      <c r="AN820" s="46"/>
      <c r="AO820" s="46"/>
      <c r="AP820" s="46"/>
      <c r="AQ820" s="46"/>
      <c r="AR820" s="46"/>
      <c r="AS820" s="46"/>
      <c r="AT820" s="46"/>
      <c r="AU820" s="46"/>
      <c r="AV820" s="46"/>
      <c r="AW820" s="46"/>
      <c r="AX820" s="46"/>
      <c r="AY820" s="46"/>
      <c r="AZ820" s="46"/>
      <c r="BA820" s="46"/>
      <c r="BB820" s="46"/>
      <c r="BC820" s="46"/>
      <c r="BD820" s="46"/>
      <c r="BE820" s="46"/>
      <c r="BF820" s="46"/>
      <c r="BG820" s="46"/>
      <c r="BH820" s="46"/>
    </row>
    <row r="821" spans="1:60" ht="14.25" customHeight="1" x14ac:dyDescent="0.3">
      <c r="A821" s="46"/>
      <c r="B821" s="37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  <c r="AA821" s="46"/>
      <c r="AB821" s="46"/>
      <c r="AC821" s="46"/>
      <c r="AD821" s="46"/>
      <c r="AE821" s="46"/>
      <c r="AF821" s="46"/>
      <c r="AG821" s="46"/>
      <c r="AH821" s="46"/>
      <c r="AI821" s="46"/>
      <c r="AJ821" s="46"/>
      <c r="AK821" s="46"/>
      <c r="AL821" s="46"/>
      <c r="AM821" s="46"/>
      <c r="AN821" s="46"/>
      <c r="AO821" s="46"/>
      <c r="AP821" s="46"/>
      <c r="AQ821" s="46"/>
      <c r="AR821" s="46"/>
      <c r="AS821" s="46"/>
      <c r="AT821" s="46"/>
      <c r="AU821" s="46"/>
      <c r="AV821" s="46"/>
      <c r="AW821" s="46"/>
      <c r="AX821" s="46"/>
      <c r="AY821" s="46"/>
      <c r="AZ821" s="46"/>
      <c r="BA821" s="46"/>
      <c r="BB821" s="46"/>
      <c r="BC821" s="46"/>
      <c r="BD821" s="46"/>
      <c r="BE821" s="46"/>
      <c r="BF821" s="46"/>
      <c r="BG821" s="46"/>
      <c r="BH821" s="46"/>
    </row>
    <row r="822" spans="1:60" ht="14.25" customHeight="1" x14ac:dyDescent="0.3">
      <c r="A822" s="46"/>
      <c r="B822" s="37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  <c r="AA822" s="46"/>
      <c r="AB822" s="46"/>
      <c r="AC822" s="46"/>
      <c r="AD822" s="46"/>
      <c r="AE822" s="46"/>
      <c r="AF822" s="46"/>
      <c r="AG822" s="46"/>
      <c r="AH822" s="46"/>
      <c r="AI822" s="46"/>
      <c r="AJ822" s="46"/>
      <c r="AK822" s="46"/>
      <c r="AL822" s="46"/>
      <c r="AM822" s="46"/>
      <c r="AN822" s="46"/>
      <c r="AO822" s="46"/>
      <c r="AP822" s="46"/>
      <c r="AQ822" s="46"/>
      <c r="AR822" s="46"/>
      <c r="AS822" s="46"/>
      <c r="AT822" s="46"/>
      <c r="AU822" s="46"/>
      <c r="AV822" s="46"/>
      <c r="AW822" s="46"/>
      <c r="AX822" s="46"/>
      <c r="AY822" s="46"/>
      <c r="AZ822" s="46"/>
      <c r="BA822" s="46"/>
      <c r="BB822" s="46"/>
      <c r="BC822" s="46"/>
      <c r="BD822" s="46"/>
      <c r="BE822" s="46"/>
      <c r="BF822" s="46"/>
      <c r="BG822" s="46"/>
      <c r="BH822" s="46"/>
    </row>
    <row r="823" spans="1:60" ht="14.25" customHeight="1" x14ac:dyDescent="0.3">
      <c r="A823" s="46"/>
      <c r="B823" s="37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  <c r="AB823" s="46"/>
      <c r="AC823" s="46"/>
      <c r="AD823" s="46"/>
      <c r="AE823" s="46"/>
      <c r="AF823" s="46"/>
      <c r="AG823" s="46"/>
      <c r="AH823" s="46"/>
      <c r="AI823" s="46"/>
      <c r="AJ823" s="46"/>
      <c r="AK823" s="46"/>
      <c r="AL823" s="46"/>
      <c r="AM823" s="46"/>
      <c r="AN823" s="46"/>
      <c r="AO823" s="46"/>
      <c r="AP823" s="46"/>
      <c r="AQ823" s="46"/>
      <c r="AR823" s="46"/>
      <c r="AS823" s="46"/>
      <c r="AT823" s="46"/>
      <c r="AU823" s="46"/>
      <c r="AV823" s="46"/>
      <c r="AW823" s="46"/>
      <c r="AX823" s="46"/>
      <c r="AY823" s="46"/>
      <c r="AZ823" s="46"/>
      <c r="BA823" s="46"/>
      <c r="BB823" s="46"/>
      <c r="BC823" s="46"/>
      <c r="BD823" s="46"/>
      <c r="BE823" s="46"/>
      <c r="BF823" s="46"/>
      <c r="BG823" s="46"/>
      <c r="BH823" s="46"/>
    </row>
    <row r="824" spans="1:60" ht="14.25" customHeight="1" x14ac:dyDescent="0.3">
      <c r="A824" s="46"/>
      <c r="B824" s="37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  <c r="AA824" s="46"/>
      <c r="AB824" s="46"/>
      <c r="AC824" s="46"/>
      <c r="AD824" s="46"/>
      <c r="AE824" s="46"/>
      <c r="AF824" s="46"/>
      <c r="AG824" s="46"/>
      <c r="AH824" s="46"/>
      <c r="AI824" s="46"/>
      <c r="AJ824" s="46"/>
      <c r="AK824" s="46"/>
      <c r="AL824" s="46"/>
      <c r="AM824" s="46"/>
      <c r="AN824" s="46"/>
      <c r="AO824" s="46"/>
      <c r="AP824" s="46"/>
      <c r="AQ824" s="46"/>
      <c r="AR824" s="46"/>
      <c r="AS824" s="46"/>
      <c r="AT824" s="46"/>
      <c r="AU824" s="46"/>
      <c r="AV824" s="46"/>
      <c r="AW824" s="46"/>
      <c r="AX824" s="46"/>
      <c r="AY824" s="46"/>
      <c r="AZ824" s="46"/>
      <c r="BA824" s="46"/>
      <c r="BB824" s="46"/>
      <c r="BC824" s="46"/>
      <c r="BD824" s="46"/>
      <c r="BE824" s="46"/>
      <c r="BF824" s="46"/>
      <c r="BG824" s="46"/>
      <c r="BH824" s="46"/>
    </row>
    <row r="825" spans="1:60" ht="14.25" customHeight="1" x14ac:dyDescent="0.3">
      <c r="A825" s="46"/>
      <c r="B825" s="37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  <c r="AA825" s="46"/>
      <c r="AB825" s="46"/>
      <c r="AC825" s="46"/>
      <c r="AD825" s="46"/>
      <c r="AE825" s="46"/>
      <c r="AF825" s="46"/>
      <c r="AG825" s="46"/>
      <c r="AH825" s="46"/>
      <c r="AI825" s="46"/>
      <c r="AJ825" s="46"/>
      <c r="AK825" s="46"/>
      <c r="AL825" s="46"/>
      <c r="AM825" s="46"/>
      <c r="AN825" s="46"/>
      <c r="AO825" s="46"/>
      <c r="AP825" s="46"/>
      <c r="AQ825" s="46"/>
      <c r="AR825" s="46"/>
      <c r="AS825" s="46"/>
      <c r="AT825" s="46"/>
      <c r="AU825" s="46"/>
      <c r="AV825" s="46"/>
      <c r="AW825" s="46"/>
      <c r="AX825" s="46"/>
      <c r="AY825" s="46"/>
      <c r="AZ825" s="46"/>
      <c r="BA825" s="46"/>
      <c r="BB825" s="46"/>
      <c r="BC825" s="46"/>
      <c r="BD825" s="46"/>
      <c r="BE825" s="46"/>
      <c r="BF825" s="46"/>
      <c r="BG825" s="46"/>
      <c r="BH825" s="46"/>
    </row>
    <row r="826" spans="1:60" ht="14.25" customHeight="1" x14ac:dyDescent="0.3">
      <c r="A826" s="46"/>
      <c r="B826" s="37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  <c r="AB826" s="46"/>
      <c r="AC826" s="46"/>
      <c r="AD826" s="46"/>
      <c r="AE826" s="46"/>
      <c r="AF826" s="46"/>
      <c r="AG826" s="46"/>
      <c r="AH826" s="46"/>
      <c r="AI826" s="46"/>
      <c r="AJ826" s="46"/>
      <c r="AK826" s="46"/>
      <c r="AL826" s="46"/>
      <c r="AM826" s="46"/>
      <c r="AN826" s="46"/>
      <c r="AO826" s="46"/>
      <c r="AP826" s="46"/>
      <c r="AQ826" s="46"/>
      <c r="AR826" s="46"/>
      <c r="AS826" s="46"/>
      <c r="AT826" s="46"/>
      <c r="AU826" s="46"/>
      <c r="AV826" s="46"/>
      <c r="AW826" s="46"/>
      <c r="AX826" s="46"/>
      <c r="AY826" s="46"/>
      <c r="AZ826" s="46"/>
      <c r="BA826" s="46"/>
      <c r="BB826" s="46"/>
      <c r="BC826" s="46"/>
      <c r="BD826" s="46"/>
      <c r="BE826" s="46"/>
      <c r="BF826" s="46"/>
      <c r="BG826" s="46"/>
      <c r="BH826" s="46"/>
    </row>
    <row r="827" spans="1:60" ht="14.25" customHeight="1" x14ac:dyDescent="0.3">
      <c r="A827" s="46"/>
      <c r="B827" s="37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  <c r="AA827" s="46"/>
      <c r="AB827" s="46"/>
      <c r="AC827" s="46"/>
      <c r="AD827" s="46"/>
      <c r="AE827" s="46"/>
      <c r="AF827" s="46"/>
      <c r="AG827" s="46"/>
      <c r="AH827" s="46"/>
      <c r="AI827" s="46"/>
      <c r="AJ827" s="46"/>
      <c r="AK827" s="46"/>
      <c r="AL827" s="46"/>
      <c r="AM827" s="46"/>
      <c r="AN827" s="46"/>
      <c r="AO827" s="46"/>
      <c r="AP827" s="46"/>
      <c r="AQ827" s="46"/>
      <c r="AR827" s="46"/>
      <c r="AS827" s="46"/>
      <c r="AT827" s="46"/>
      <c r="AU827" s="46"/>
      <c r="AV827" s="46"/>
      <c r="AW827" s="46"/>
      <c r="AX827" s="46"/>
      <c r="AY827" s="46"/>
      <c r="AZ827" s="46"/>
      <c r="BA827" s="46"/>
      <c r="BB827" s="46"/>
      <c r="BC827" s="46"/>
      <c r="BD827" s="46"/>
      <c r="BE827" s="46"/>
      <c r="BF827" s="46"/>
      <c r="BG827" s="46"/>
      <c r="BH827" s="46"/>
    </row>
    <row r="828" spans="1:60" ht="14.25" customHeight="1" x14ac:dyDescent="0.3">
      <c r="A828" s="46"/>
      <c r="B828" s="37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  <c r="AA828" s="46"/>
      <c r="AB828" s="46"/>
      <c r="AC828" s="46"/>
      <c r="AD828" s="46"/>
      <c r="AE828" s="46"/>
      <c r="AF828" s="46"/>
      <c r="AG828" s="46"/>
      <c r="AH828" s="46"/>
      <c r="AI828" s="46"/>
      <c r="AJ828" s="46"/>
      <c r="AK828" s="46"/>
      <c r="AL828" s="46"/>
      <c r="AM828" s="46"/>
      <c r="AN828" s="46"/>
      <c r="AO828" s="46"/>
      <c r="AP828" s="46"/>
      <c r="AQ828" s="46"/>
      <c r="AR828" s="46"/>
      <c r="AS828" s="46"/>
      <c r="AT828" s="46"/>
      <c r="AU828" s="46"/>
      <c r="AV828" s="46"/>
      <c r="AW828" s="46"/>
      <c r="AX828" s="46"/>
      <c r="AY828" s="46"/>
      <c r="AZ828" s="46"/>
      <c r="BA828" s="46"/>
      <c r="BB828" s="46"/>
      <c r="BC828" s="46"/>
      <c r="BD828" s="46"/>
      <c r="BE828" s="46"/>
      <c r="BF828" s="46"/>
      <c r="BG828" s="46"/>
      <c r="BH828" s="46"/>
    </row>
    <row r="829" spans="1:60" ht="14.25" customHeight="1" x14ac:dyDescent="0.3">
      <c r="A829" s="46"/>
      <c r="B829" s="37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  <c r="AB829" s="46"/>
      <c r="AC829" s="46"/>
      <c r="AD829" s="46"/>
      <c r="AE829" s="46"/>
      <c r="AF829" s="46"/>
      <c r="AG829" s="46"/>
      <c r="AH829" s="46"/>
      <c r="AI829" s="46"/>
      <c r="AJ829" s="46"/>
      <c r="AK829" s="46"/>
      <c r="AL829" s="46"/>
      <c r="AM829" s="46"/>
      <c r="AN829" s="46"/>
      <c r="AO829" s="46"/>
      <c r="AP829" s="46"/>
      <c r="AQ829" s="46"/>
      <c r="AR829" s="46"/>
      <c r="AS829" s="46"/>
      <c r="AT829" s="46"/>
      <c r="AU829" s="46"/>
      <c r="AV829" s="46"/>
      <c r="AW829" s="46"/>
      <c r="AX829" s="46"/>
      <c r="AY829" s="46"/>
      <c r="AZ829" s="46"/>
      <c r="BA829" s="46"/>
      <c r="BB829" s="46"/>
      <c r="BC829" s="46"/>
      <c r="BD829" s="46"/>
      <c r="BE829" s="46"/>
      <c r="BF829" s="46"/>
      <c r="BG829" s="46"/>
      <c r="BH829" s="46"/>
    </row>
    <row r="830" spans="1:60" ht="14.25" customHeight="1" x14ac:dyDescent="0.3">
      <c r="A830" s="46"/>
      <c r="B830" s="37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  <c r="AA830" s="46"/>
      <c r="AB830" s="46"/>
      <c r="AC830" s="46"/>
      <c r="AD830" s="46"/>
      <c r="AE830" s="46"/>
      <c r="AF830" s="46"/>
      <c r="AG830" s="46"/>
      <c r="AH830" s="46"/>
      <c r="AI830" s="46"/>
      <c r="AJ830" s="46"/>
      <c r="AK830" s="46"/>
      <c r="AL830" s="46"/>
      <c r="AM830" s="46"/>
      <c r="AN830" s="46"/>
      <c r="AO830" s="46"/>
      <c r="AP830" s="46"/>
      <c r="AQ830" s="46"/>
      <c r="AR830" s="46"/>
      <c r="AS830" s="46"/>
      <c r="AT830" s="46"/>
      <c r="AU830" s="46"/>
      <c r="AV830" s="46"/>
      <c r="AW830" s="46"/>
      <c r="AX830" s="46"/>
      <c r="AY830" s="46"/>
      <c r="AZ830" s="46"/>
      <c r="BA830" s="46"/>
      <c r="BB830" s="46"/>
      <c r="BC830" s="46"/>
      <c r="BD830" s="46"/>
      <c r="BE830" s="46"/>
      <c r="BF830" s="46"/>
      <c r="BG830" s="46"/>
      <c r="BH830" s="46"/>
    </row>
    <row r="831" spans="1:60" ht="14.25" customHeight="1" x14ac:dyDescent="0.3">
      <c r="A831" s="46"/>
      <c r="B831" s="37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  <c r="AA831" s="46"/>
      <c r="AB831" s="46"/>
      <c r="AC831" s="46"/>
      <c r="AD831" s="46"/>
      <c r="AE831" s="46"/>
      <c r="AF831" s="46"/>
      <c r="AG831" s="46"/>
      <c r="AH831" s="46"/>
      <c r="AI831" s="46"/>
      <c r="AJ831" s="46"/>
      <c r="AK831" s="46"/>
      <c r="AL831" s="46"/>
      <c r="AM831" s="46"/>
      <c r="AN831" s="46"/>
      <c r="AO831" s="46"/>
      <c r="AP831" s="46"/>
      <c r="AQ831" s="46"/>
      <c r="AR831" s="46"/>
      <c r="AS831" s="46"/>
      <c r="AT831" s="46"/>
      <c r="AU831" s="46"/>
      <c r="AV831" s="46"/>
      <c r="AW831" s="46"/>
      <c r="AX831" s="46"/>
      <c r="AY831" s="46"/>
      <c r="AZ831" s="46"/>
      <c r="BA831" s="46"/>
      <c r="BB831" s="46"/>
      <c r="BC831" s="46"/>
      <c r="BD831" s="46"/>
      <c r="BE831" s="46"/>
      <c r="BF831" s="46"/>
      <c r="BG831" s="46"/>
      <c r="BH831" s="46"/>
    </row>
    <row r="832" spans="1:60" ht="14.25" customHeight="1" x14ac:dyDescent="0.3">
      <c r="A832" s="46"/>
      <c r="B832" s="37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  <c r="AA832" s="46"/>
      <c r="AB832" s="46"/>
      <c r="AC832" s="46"/>
      <c r="AD832" s="46"/>
      <c r="AE832" s="46"/>
      <c r="AF832" s="46"/>
      <c r="AG832" s="46"/>
      <c r="AH832" s="46"/>
      <c r="AI832" s="46"/>
      <c r="AJ832" s="46"/>
      <c r="AK832" s="46"/>
      <c r="AL832" s="46"/>
      <c r="AM832" s="46"/>
      <c r="AN832" s="46"/>
      <c r="AO832" s="46"/>
      <c r="AP832" s="46"/>
      <c r="AQ832" s="46"/>
      <c r="AR832" s="46"/>
      <c r="AS832" s="46"/>
      <c r="AT832" s="46"/>
      <c r="AU832" s="46"/>
      <c r="AV832" s="46"/>
      <c r="AW832" s="46"/>
      <c r="AX832" s="46"/>
      <c r="AY832" s="46"/>
      <c r="AZ832" s="46"/>
      <c r="BA832" s="46"/>
      <c r="BB832" s="46"/>
      <c r="BC832" s="46"/>
      <c r="BD832" s="46"/>
      <c r="BE832" s="46"/>
      <c r="BF832" s="46"/>
      <c r="BG832" s="46"/>
      <c r="BH832" s="46"/>
    </row>
    <row r="833" spans="1:60" ht="14.25" customHeight="1" x14ac:dyDescent="0.3">
      <c r="A833" s="46"/>
      <c r="B833" s="37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  <c r="AA833" s="46"/>
      <c r="AB833" s="46"/>
      <c r="AC833" s="46"/>
      <c r="AD833" s="46"/>
      <c r="AE833" s="46"/>
      <c r="AF833" s="46"/>
      <c r="AG833" s="46"/>
      <c r="AH833" s="46"/>
      <c r="AI833" s="46"/>
      <c r="AJ833" s="46"/>
      <c r="AK833" s="46"/>
      <c r="AL833" s="46"/>
      <c r="AM833" s="46"/>
      <c r="AN833" s="46"/>
      <c r="AO833" s="46"/>
      <c r="AP833" s="46"/>
      <c r="AQ833" s="46"/>
      <c r="AR833" s="46"/>
      <c r="AS833" s="46"/>
      <c r="AT833" s="46"/>
      <c r="AU833" s="46"/>
      <c r="AV833" s="46"/>
      <c r="AW833" s="46"/>
      <c r="AX833" s="46"/>
      <c r="AY833" s="46"/>
      <c r="AZ833" s="46"/>
      <c r="BA833" s="46"/>
      <c r="BB833" s="46"/>
      <c r="BC833" s="46"/>
      <c r="BD833" s="46"/>
      <c r="BE833" s="46"/>
      <c r="BF833" s="46"/>
      <c r="BG833" s="46"/>
      <c r="BH833" s="46"/>
    </row>
    <row r="834" spans="1:60" ht="14.25" customHeight="1" x14ac:dyDescent="0.3">
      <c r="A834" s="46"/>
      <c r="B834" s="37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  <c r="AA834" s="46"/>
      <c r="AB834" s="46"/>
      <c r="AC834" s="46"/>
      <c r="AD834" s="46"/>
      <c r="AE834" s="46"/>
      <c r="AF834" s="46"/>
      <c r="AG834" s="46"/>
      <c r="AH834" s="46"/>
      <c r="AI834" s="46"/>
      <c r="AJ834" s="46"/>
      <c r="AK834" s="46"/>
      <c r="AL834" s="46"/>
      <c r="AM834" s="46"/>
      <c r="AN834" s="46"/>
      <c r="AO834" s="46"/>
      <c r="AP834" s="46"/>
      <c r="AQ834" s="46"/>
      <c r="AR834" s="46"/>
      <c r="AS834" s="46"/>
      <c r="AT834" s="46"/>
      <c r="AU834" s="46"/>
      <c r="AV834" s="46"/>
      <c r="AW834" s="46"/>
      <c r="AX834" s="46"/>
      <c r="AY834" s="46"/>
      <c r="AZ834" s="46"/>
      <c r="BA834" s="46"/>
      <c r="BB834" s="46"/>
      <c r="BC834" s="46"/>
      <c r="BD834" s="46"/>
      <c r="BE834" s="46"/>
      <c r="BF834" s="46"/>
      <c r="BG834" s="46"/>
      <c r="BH834" s="46"/>
    </row>
    <row r="835" spans="1:60" ht="14.25" customHeight="1" x14ac:dyDescent="0.3">
      <c r="A835" s="46"/>
      <c r="B835" s="37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  <c r="AA835" s="46"/>
      <c r="AB835" s="46"/>
      <c r="AC835" s="46"/>
      <c r="AD835" s="46"/>
      <c r="AE835" s="46"/>
      <c r="AF835" s="46"/>
      <c r="AG835" s="46"/>
      <c r="AH835" s="46"/>
      <c r="AI835" s="46"/>
      <c r="AJ835" s="46"/>
      <c r="AK835" s="46"/>
      <c r="AL835" s="46"/>
      <c r="AM835" s="46"/>
      <c r="AN835" s="46"/>
      <c r="AO835" s="46"/>
      <c r="AP835" s="46"/>
      <c r="AQ835" s="46"/>
      <c r="AR835" s="46"/>
      <c r="AS835" s="46"/>
      <c r="AT835" s="46"/>
      <c r="AU835" s="46"/>
      <c r="AV835" s="46"/>
      <c r="AW835" s="46"/>
      <c r="AX835" s="46"/>
      <c r="AY835" s="46"/>
      <c r="AZ835" s="46"/>
      <c r="BA835" s="46"/>
      <c r="BB835" s="46"/>
      <c r="BC835" s="46"/>
      <c r="BD835" s="46"/>
      <c r="BE835" s="46"/>
      <c r="BF835" s="46"/>
      <c r="BG835" s="46"/>
      <c r="BH835" s="46"/>
    </row>
    <row r="836" spans="1:60" ht="14.25" customHeight="1" x14ac:dyDescent="0.3">
      <c r="A836" s="46"/>
      <c r="B836" s="37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  <c r="AA836" s="46"/>
      <c r="AB836" s="46"/>
      <c r="AC836" s="46"/>
      <c r="AD836" s="46"/>
      <c r="AE836" s="46"/>
      <c r="AF836" s="46"/>
      <c r="AG836" s="46"/>
      <c r="AH836" s="46"/>
      <c r="AI836" s="46"/>
      <c r="AJ836" s="46"/>
      <c r="AK836" s="46"/>
      <c r="AL836" s="46"/>
      <c r="AM836" s="46"/>
      <c r="AN836" s="46"/>
      <c r="AO836" s="46"/>
      <c r="AP836" s="46"/>
      <c r="AQ836" s="46"/>
      <c r="AR836" s="46"/>
      <c r="AS836" s="46"/>
      <c r="AT836" s="46"/>
      <c r="AU836" s="46"/>
      <c r="AV836" s="46"/>
      <c r="AW836" s="46"/>
      <c r="AX836" s="46"/>
      <c r="AY836" s="46"/>
      <c r="AZ836" s="46"/>
      <c r="BA836" s="46"/>
      <c r="BB836" s="46"/>
      <c r="BC836" s="46"/>
      <c r="BD836" s="46"/>
      <c r="BE836" s="46"/>
      <c r="BF836" s="46"/>
      <c r="BG836" s="46"/>
      <c r="BH836" s="46"/>
    </row>
    <row r="837" spans="1:60" ht="14.25" customHeight="1" x14ac:dyDescent="0.3">
      <c r="A837" s="46"/>
      <c r="B837" s="37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  <c r="AA837" s="46"/>
      <c r="AB837" s="46"/>
      <c r="AC837" s="46"/>
      <c r="AD837" s="46"/>
      <c r="AE837" s="46"/>
      <c r="AF837" s="46"/>
      <c r="AG837" s="46"/>
      <c r="AH837" s="46"/>
      <c r="AI837" s="46"/>
      <c r="AJ837" s="46"/>
      <c r="AK837" s="46"/>
      <c r="AL837" s="46"/>
      <c r="AM837" s="46"/>
      <c r="AN837" s="46"/>
      <c r="AO837" s="46"/>
      <c r="AP837" s="46"/>
      <c r="AQ837" s="46"/>
      <c r="AR837" s="46"/>
      <c r="AS837" s="46"/>
      <c r="AT837" s="46"/>
      <c r="AU837" s="46"/>
      <c r="AV837" s="46"/>
      <c r="AW837" s="46"/>
      <c r="AX837" s="46"/>
      <c r="AY837" s="46"/>
      <c r="AZ837" s="46"/>
      <c r="BA837" s="46"/>
      <c r="BB837" s="46"/>
      <c r="BC837" s="46"/>
      <c r="BD837" s="46"/>
      <c r="BE837" s="46"/>
      <c r="BF837" s="46"/>
      <c r="BG837" s="46"/>
      <c r="BH837" s="46"/>
    </row>
    <row r="838" spans="1:60" ht="14.25" customHeight="1" x14ac:dyDescent="0.3">
      <c r="A838" s="46"/>
      <c r="B838" s="37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  <c r="AA838" s="46"/>
      <c r="AB838" s="46"/>
      <c r="AC838" s="46"/>
      <c r="AD838" s="46"/>
      <c r="AE838" s="46"/>
      <c r="AF838" s="46"/>
      <c r="AG838" s="46"/>
      <c r="AH838" s="46"/>
      <c r="AI838" s="46"/>
      <c r="AJ838" s="46"/>
      <c r="AK838" s="46"/>
      <c r="AL838" s="46"/>
      <c r="AM838" s="46"/>
      <c r="AN838" s="46"/>
      <c r="AO838" s="46"/>
      <c r="AP838" s="46"/>
      <c r="AQ838" s="46"/>
      <c r="AR838" s="46"/>
      <c r="AS838" s="46"/>
      <c r="AT838" s="46"/>
      <c r="AU838" s="46"/>
      <c r="AV838" s="46"/>
      <c r="AW838" s="46"/>
      <c r="AX838" s="46"/>
      <c r="AY838" s="46"/>
      <c r="AZ838" s="46"/>
      <c r="BA838" s="46"/>
      <c r="BB838" s="46"/>
      <c r="BC838" s="46"/>
      <c r="BD838" s="46"/>
      <c r="BE838" s="46"/>
      <c r="BF838" s="46"/>
      <c r="BG838" s="46"/>
      <c r="BH838" s="46"/>
    </row>
    <row r="839" spans="1:60" ht="14.25" customHeight="1" x14ac:dyDescent="0.3">
      <c r="A839" s="46"/>
      <c r="B839" s="37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  <c r="AA839" s="46"/>
      <c r="AB839" s="46"/>
      <c r="AC839" s="46"/>
      <c r="AD839" s="46"/>
      <c r="AE839" s="46"/>
      <c r="AF839" s="46"/>
      <c r="AG839" s="46"/>
      <c r="AH839" s="46"/>
      <c r="AI839" s="46"/>
      <c r="AJ839" s="46"/>
      <c r="AK839" s="46"/>
      <c r="AL839" s="46"/>
      <c r="AM839" s="46"/>
      <c r="AN839" s="46"/>
      <c r="AO839" s="46"/>
      <c r="AP839" s="46"/>
      <c r="AQ839" s="46"/>
      <c r="AR839" s="46"/>
      <c r="AS839" s="46"/>
      <c r="AT839" s="46"/>
      <c r="AU839" s="46"/>
      <c r="AV839" s="46"/>
      <c r="AW839" s="46"/>
      <c r="AX839" s="46"/>
      <c r="AY839" s="46"/>
      <c r="AZ839" s="46"/>
      <c r="BA839" s="46"/>
      <c r="BB839" s="46"/>
      <c r="BC839" s="46"/>
      <c r="BD839" s="46"/>
      <c r="BE839" s="46"/>
      <c r="BF839" s="46"/>
      <c r="BG839" s="46"/>
      <c r="BH839" s="46"/>
    </row>
    <row r="840" spans="1:60" ht="14.25" customHeight="1" x14ac:dyDescent="0.3">
      <c r="A840" s="46"/>
      <c r="B840" s="37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  <c r="AA840" s="46"/>
      <c r="AB840" s="46"/>
      <c r="AC840" s="46"/>
      <c r="AD840" s="46"/>
      <c r="AE840" s="46"/>
      <c r="AF840" s="46"/>
      <c r="AG840" s="46"/>
      <c r="AH840" s="46"/>
      <c r="AI840" s="46"/>
      <c r="AJ840" s="46"/>
      <c r="AK840" s="46"/>
      <c r="AL840" s="46"/>
      <c r="AM840" s="46"/>
      <c r="AN840" s="46"/>
      <c r="AO840" s="46"/>
      <c r="AP840" s="46"/>
      <c r="AQ840" s="46"/>
      <c r="AR840" s="46"/>
      <c r="AS840" s="46"/>
      <c r="AT840" s="46"/>
      <c r="AU840" s="46"/>
      <c r="AV840" s="46"/>
      <c r="AW840" s="46"/>
      <c r="AX840" s="46"/>
      <c r="AY840" s="46"/>
      <c r="AZ840" s="46"/>
      <c r="BA840" s="46"/>
      <c r="BB840" s="46"/>
      <c r="BC840" s="46"/>
      <c r="BD840" s="46"/>
      <c r="BE840" s="46"/>
      <c r="BF840" s="46"/>
      <c r="BG840" s="46"/>
      <c r="BH840" s="46"/>
    </row>
    <row r="841" spans="1:60" ht="14.25" customHeight="1" x14ac:dyDescent="0.3">
      <c r="A841" s="46"/>
      <c r="B841" s="37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  <c r="AA841" s="46"/>
      <c r="AB841" s="46"/>
      <c r="AC841" s="46"/>
      <c r="AD841" s="46"/>
      <c r="AE841" s="46"/>
      <c r="AF841" s="46"/>
      <c r="AG841" s="46"/>
      <c r="AH841" s="46"/>
      <c r="AI841" s="46"/>
      <c r="AJ841" s="46"/>
      <c r="AK841" s="46"/>
      <c r="AL841" s="46"/>
      <c r="AM841" s="46"/>
      <c r="AN841" s="46"/>
      <c r="AO841" s="46"/>
      <c r="AP841" s="46"/>
      <c r="AQ841" s="46"/>
      <c r="AR841" s="46"/>
      <c r="AS841" s="46"/>
      <c r="AT841" s="46"/>
      <c r="AU841" s="46"/>
      <c r="AV841" s="46"/>
      <c r="AW841" s="46"/>
      <c r="AX841" s="46"/>
      <c r="AY841" s="46"/>
      <c r="AZ841" s="46"/>
      <c r="BA841" s="46"/>
      <c r="BB841" s="46"/>
      <c r="BC841" s="46"/>
      <c r="BD841" s="46"/>
      <c r="BE841" s="46"/>
      <c r="BF841" s="46"/>
      <c r="BG841" s="46"/>
      <c r="BH841" s="46"/>
    </row>
    <row r="842" spans="1:60" ht="14.25" customHeight="1" x14ac:dyDescent="0.3">
      <c r="A842" s="46"/>
      <c r="B842" s="37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  <c r="AA842" s="46"/>
      <c r="AB842" s="46"/>
      <c r="AC842" s="46"/>
      <c r="AD842" s="46"/>
      <c r="AE842" s="46"/>
      <c r="AF842" s="46"/>
      <c r="AG842" s="46"/>
      <c r="AH842" s="46"/>
      <c r="AI842" s="46"/>
      <c r="AJ842" s="46"/>
      <c r="AK842" s="46"/>
      <c r="AL842" s="46"/>
      <c r="AM842" s="46"/>
      <c r="AN842" s="46"/>
      <c r="AO842" s="46"/>
      <c r="AP842" s="46"/>
      <c r="AQ842" s="46"/>
      <c r="AR842" s="46"/>
      <c r="AS842" s="46"/>
      <c r="AT842" s="46"/>
      <c r="AU842" s="46"/>
      <c r="AV842" s="46"/>
      <c r="AW842" s="46"/>
      <c r="AX842" s="46"/>
      <c r="AY842" s="46"/>
      <c r="AZ842" s="46"/>
      <c r="BA842" s="46"/>
      <c r="BB842" s="46"/>
      <c r="BC842" s="46"/>
      <c r="BD842" s="46"/>
      <c r="BE842" s="46"/>
      <c r="BF842" s="46"/>
      <c r="BG842" s="46"/>
      <c r="BH842" s="46"/>
    </row>
    <row r="843" spans="1:60" ht="14.25" customHeight="1" x14ac:dyDescent="0.3">
      <c r="A843" s="46"/>
      <c r="B843" s="37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  <c r="AA843" s="46"/>
      <c r="AB843" s="46"/>
      <c r="AC843" s="46"/>
      <c r="AD843" s="46"/>
      <c r="AE843" s="46"/>
      <c r="AF843" s="46"/>
      <c r="AG843" s="46"/>
      <c r="AH843" s="46"/>
      <c r="AI843" s="46"/>
      <c r="AJ843" s="46"/>
      <c r="AK843" s="46"/>
      <c r="AL843" s="46"/>
      <c r="AM843" s="46"/>
      <c r="AN843" s="46"/>
      <c r="AO843" s="46"/>
      <c r="AP843" s="46"/>
      <c r="AQ843" s="46"/>
      <c r="AR843" s="46"/>
      <c r="AS843" s="46"/>
      <c r="AT843" s="46"/>
      <c r="AU843" s="46"/>
      <c r="AV843" s="46"/>
      <c r="AW843" s="46"/>
      <c r="AX843" s="46"/>
      <c r="AY843" s="46"/>
      <c r="AZ843" s="46"/>
      <c r="BA843" s="46"/>
      <c r="BB843" s="46"/>
      <c r="BC843" s="46"/>
      <c r="BD843" s="46"/>
      <c r="BE843" s="46"/>
      <c r="BF843" s="46"/>
      <c r="BG843" s="46"/>
      <c r="BH843" s="46"/>
    </row>
    <row r="844" spans="1:60" ht="14.25" customHeight="1" x14ac:dyDescent="0.3">
      <c r="A844" s="46"/>
      <c r="B844" s="37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  <c r="AA844" s="46"/>
      <c r="AB844" s="46"/>
      <c r="AC844" s="46"/>
      <c r="AD844" s="46"/>
      <c r="AE844" s="46"/>
      <c r="AF844" s="46"/>
      <c r="AG844" s="46"/>
      <c r="AH844" s="46"/>
      <c r="AI844" s="46"/>
      <c r="AJ844" s="46"/>
      <c r="AK844" s="46"/>
      <c r="AL844" s="46"/>
      <c r="AM844" s="46"/>
      <c r="AN844" s="46"/>
      <c r="AO844" s="46"/>
      <c r="AP844" s="46"/>
      <c r="AQ844" s="46"/>
      <c r="AR844" s="46"/>
      <c r="AS844" s="46"/>
      <c r="AT844" s="46"/>
      <c r="AU844" s="46"/>
      <c r="AV844" s="46"/>
      <c r="AW844" s="46"/>
      <c r="AX844" s="46"/>
      <c r="AY844" s="46"/>
      <c r="AZ844" s="46"/>
      <c r="BA844" s="46"/>
      <c r="BB844" s="46"/>
      <c r="BC844" s="46"/>
      <c r="BD844" s="46"/>
      <c r="BE844" s="46"/>
      <c r="BF844" s="46"/>
      <c r="BG844" s="46"/>
      <c r="BH844" s="46"/>
    </row>
    <row r="845" spans="1:60" ht="14.25" customHeight="1" x14ac:dyDescent="0.3">
      <c r="A845" s="46"/>
      <c r="B845" s="37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  <c r="AA845" s="46"/>
      <c r="AB845" s="46"/>
      <c r="AC845" s="46"/>
      <c r="AD845" s="46"/>
      <c r="AE845" s="46"/>
      <c r="AF845" s="46"/>
      <c r="AG845" s="46"/>
      <c r="AH845" s="46"/>
      <c r="AI845" s="46"/>
      <c r="AJ845" s="46"/>
      <c r="AK845" s="46"/>
      <c r="AL845" s="46"/>
      <c r="AM845" s="46"/>
      <c r="AN845" s="46"/>
      <c r="AO845" s="46"/>
      <c r="AP845" s="46"/>
      <c r="AQ845" s="46"/>
      <c r="AR845" s="46"/>
      <c r="AS845" s="46"/>
      <c r="AT845" s="46"/>
      <c r="AU845" s="46"/>
      <c r="AV845" s="46"/>
      <c r="AW845" s="46"/>
      <c r="AX845" s="46"/>
      <c r="AY845" s="46"/>
      <c r="AZ845" s="46"/>
      <c r="BA845" s="46"/>
      <c r="BB845" s="46"/>
      <c r="BC845" s="46"/>
      <c r="BD845" s="46"/>
      <c r="BE845" s="46"/>
      <c r="BF845" s="46"/>
      <c r="BG845" s="46"/>
      <c r="BH845" s="46"/>
    </row>
    <row r="846" spans="1:60" ht="14.25" customHeight="1" x14ac:dyDescent="0.3">
      <c r="A846" s="46"/>
      <c r="B846" s="37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  <c r="AA846" s="46"/>
      <c r="AB846" s="46"/>
      <c r="AC846" s="46"/>
      <c r="AD846" s="46"/>
      <c r="AE846" s="46"/>
      <c r="AF846" s="46"/>
      <c r="AG846" s="46"/>
      <c r="AH846" s="46"/>
      <c r="AI846" s="46"/>
      <c r="AJ846" s="46"/>
      <c r="AK846" s="46"/>
      <c r="AL846" s="46"/>
      <c r="AM846" s="46"/>
      <c r="AN846" s="46"/>
      <c r="AO846" s="46"/>
      <c r="AP846" s="46"/>
      <c r="AQ846" s="46"/>
      <c r="AR846" s="46"/>
      <c r="AS846" s="46"/>
      <c r="AT846" s="46"/>
      <c r="AU846" s="46"/>
      <c r="AV846" s="46"/>
      <c r="AW846" s="46"/>
      <c r="AX846" s="46"/>
      <c r="AY846" s="46"/>
      <c r="AZ846" s="46"/>
      <c r="BA846" s="46"/>
      <c r="BB846" s="46"/>
      <c r="BC846" s="46"/>
      <c r="BD846" s="46"/>
      <c r="BE846" s="46"/>
      <c r="BF846" s="46"/>
      <c r="BG846" s="46"/>
      <c r="BH846" s="46"/>
    </row>
    <row r="847" spans="1:60" ht="14.25" customHeight="1" x14ac:dyDescent="0.3">
      <c r="A847" s="46"/>
      <c r="B847" s="37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  <c r="AA847" s="46"/>
      <c r="AB847" s="46"/>
      <c r="AC847" s="46"/>
      <c r="AD847" s="46"/>
      <c r="AE847" s="46"/>
      <c r="AF847" s="46"/>
      <c r="AG847" s="46"/>
      <c r="AH847" s="46"/>
      <c r="AI847" s="46"/>
      <c r="AJ847" s="46"/>
      <c r="AK847" s="46"/>
      <c r="AL847" s="46"/>
      <c r="AM847" s="46"/>
      <c r="AN847" s="46"/>
      <c r="AO847" s="46"/>
      <c r="AP847" s="46"/>
      <c r="AQ847" s="46"/>
      <c r="AR847" s="46"/>
      <c r="AS847" s="46"/>
      <c r="AT847" s="46"/>
      <c r="AU847" s="46"/>
      <c r="AV847" s="46"/>
      <c r="AW847" s="46"/>
      <c r="AX847" s="46"/>
      <c r="AY847" s="46"/>
      <c r="AZ847" s="46"/>
      <c r="BA847" s="46"/>
      <c r="BB847" s="46"/>
      <c r="BC847" s="46"/>
      <c r="BD847" s="46"/>
      <c r="BE847" s="46"/>
      <c r="BF847" s="46"/>
      <c r="BG847" s="46"/>
      <c r="BH847" s="46"/>
    </row>
    <row r="848" spans="1:60" ht="14.25" customHeight="1" x14ac:dyDescent="0.3">
      <c r="A848" s="46"/>
      <c r="B848" s="37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  <c r="AA848" s="46"/>
      <c r="AB848" s="46"/>
      <c r="AC848" s="46"/>
      <c r="AD848" s="46"/>
      <c r="AE848" s="46"/>
      <c r="AF848" s="46"/>
      <c r="AG848" s="46"/>
      <c r="AH848" s="46"/>
      <c r="AI848" s="46"/>
      <c r="AJ848" s="46"/>
      <c r="AK848" s="46"/>
      <c r="AL848" s="46"/>
      <c r="AM848" s="46"/>
      <c r="AN848" s="46"/>
      <c r="AO848" s="46"/>
      <c r="AP848" s="46"/>
      <c r="AQ848" s="46"/>
      <c r="AR848" s="46"/>
      <c r="AS848" s="46"/>
      <c r="AT848" s="46"/>
      <c r="AU848" s="46"/>
      <c r="AV848" s="46"/>
      <c r="AW848" s="46"/>
      <c r="AX848" s="46"/>
      <c r="AY848" s="46"/>
      <c r="AZ848" s="46"/>
      <c r="BA848" s="46"/>
      <c r="BB848" s="46"/>
      <c r="BC848" s="46"/>
      <c r="BD848" s="46"/>
      <c r="BE848" s="46"/>
      <c r="BF848" s="46"/>
      <c r="BG848" s="46"/>
      <c r="BH848" s="46"/>
    </row>
    <row r="849" spans="1:60" ht="14.25" customHeight="1" x14ac:dyDescent="0.3">
      <c r="A849" s="46"/>
      <c r="B849" s="37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  <c r="AA849" s="46"/>
      <c r="AB849" s="46"/>
      <c r="AC849" s="46"/>
      <c r="AD849" s="46"/>
      <c r="AE849" s="46"/>
      <c r="AF849" s="46"/>
      <c r="AG849" s="46"/>
      <c r="AH849" s="46"/>
      <c r="AI849" s="46"/>
      <c r="AJ849" s="46"/>
      <c r="AK849" s="46"/>
      <c r="AL849" s="46"/>
      <c r="AM849" s="46"/>
      <c r="AN849" s="46"/>
      <c r="AO849" s="46"/>
      <c r="AP849" s="46"/>
      <c r="AQ849" s="46"/>
      <c r="AR849" s="46"/>
      <c r="AS849" s="46"/>
      <c r="AT849" s="46"/>
      <c r="AU849" s="46"/>
      <c r="AV849" s="46"/>
      <c r="AW849" s="46"/>
      <c r="AX849" s="46"/>
      <c r="AY849" s="46"/>
      <c r="AZ849" s="46"/>
      <c r="BA849" s="46"/>
      <c r="BB849" s="46"/>
      <c r="BC849" s="46"/>
      <c r="BD849" s="46"/>
      <c r="BE849" s="46"/>
      <c r="BF849" s="46"/>
      <c r="BG849" s="46"/>
      <c r="BH849" s="46"/>
    </row>
    <row r="850" spans="1:60" ht="14.25" customHeight="1" x14ac:dyDescent="0.3">
      <c r="A850" s="46"/>
      <c r="B850" s="37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6"/>
      <c r="AB850" s="46"/>
      <c r="AC850" s="46"/>
      <c r="AD850" s="46"/>
      <c r="AE850" s="46"/>
      <c r="AF850" s="46"/>
      <c r="AG850" s="46"/>
      <c r="AH850" s="46"/>
      <c r="AI850" s="46"/>
      <c r="AJ850" s="46"/>
      <c r="AK850" s="46"/>
      <c r="AL850" s="46"/>
      <c r="AM850" s="46"/>
      <c r="AN850" s="46"/>
      <c r="AO850" s="46"/>
      <c r="AP850" s="46"/>
      <c r="AQ850" s="46"/>
      <c r="AR850" s="46"/>
      <c r="AS850" s="46"/>
      <c r="AT850" s="46"/>
      <c r="AU850" s="46"/>
      <c r="AV850" s="46"/>
      <c r="AW850" s="46"/>
      <c r="AX850" s="46"/>
      <c r="AY850" s="46"/>
      <c r="AZ850" s="46"/>
      <c r="BA850" s="46"/>
      <c r="BB850" s="46"/>
      <c r="BC850" s="46"/>
      <c r="BD850" s="46"/>
      <c r="BE850" s="46"/>
      <c r="BF850" s="46"/>
      <c r="BG850" s="46"/>
      <c r="BH850" s="46"/>
    </row>
    <row r="851" spans="1:60" ht="14.25" customHeight="1" x14ac:dyDescent="0.3">
      <c r="A851" s="46"/>
      <c r="B851" s="37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6"/>
      <c r="AB851" s="46"/>
      <c r="AC851" s="46"/>
      <c r="AD851" s="46"/>
      <c r="AE851" s="46"/>
      <c r="AF851" s="46"/>
      <c r="AG851" s="46"/>
      <c r="AH851" s="46"/>
      <c r="AI851" s="46"/>
      <c r="AJ851" s="46"/>
      <c r="AK851" s="46"/>
      <c r="AL851" s="46"/>
      <c r="AM851" s="46"/>
      <c r="AN851" s="46"/>
      <c r="AO851" s="46"/>
      <c r="AP851" s="46"/>
      <c r="AQ851" s="46"/>
      <c r="AR851" s="46"/>
      <c r="AS851" s="46"/>
      <c r="AT851" s="46"/>
      <c r="AU851" s="46"/>
      <c r="AV851" s="46"/>
      <c r="AW851" s="46"/>
      <c r="AX851" s="46"/>
      <c r="AY851" s="46"/>
      <c r="AZ851" s="46"/>
      <c r="BA851" s="46"/>
      <c r="BB851" s="46"/>
      <c r="BC851" s="46"/>
      <c r="BD851" s="46"/>
      <c r="BE851" s="46"/>
      <c r="BF851" s="46"/>
      <c r="BG851" s="46"/>
      <c r="BH851" s="46"/>
    </row>
    <row r="852" spans="1:60" ht="14.25" customHeight="1" x14ac:dyDescent="0.3">
      <c r="A852" s="46"/>
      <c r="B852" s="37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  <c r="AB852" s="46"/>
      <c r="AC852" s="46"/>
      <c r="AD852" s="46"/>
      <c r="AE852" s="46"/>
      <c r="AF852" s="46"/>
      <c r="AG852" s="46"/>
      <c r="AH852" s="46"/>
      <c r="AI852" s="46"/>
      <c r="AJ852" s="46"/>
      <c r="AK852" s="46"/>
      <c r="AL852" s="46"/>
      <c r="AM852" s="46"/>
      <c r="AN852" s="46"/>
      <c r="AO852" s="46"/>
      <c r="AP852" s="46"/>
      <c r="AQ852" s="46"/>
      <c r="AR852" s="46"/>
      <c r="AS852" s="46"/>
      <c r="AT852" s="46"/>
      <c r="AU852" s="46"/>
      <c r="AV852" s="46"/>
      <c r="AW852" s="46"/>
      <c r="AX852" s="46"/>
      <c r="AY852" s="46"/>
      <c r="AZ852" s="46"/>
      <c r="BA852" s="46"/>
      <c r="BB852" s="46"/>
      <c r="BC852" s="46"/>
      <c r="BD852" s="46"/>
      <c r="BE852" s="46"/>
      <c r="BF852" s="46"/>
      <c r="BG852" s="46"/>
      <c r="BH852" s="46"/>
    </row>
    <row r="853" spans="1:60" ht="14.25" customHeight="1" x14ac:dyDescent="0.3">
      <c r="A853" s="46"/>
      <c r="B853" s="37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  <c r="AB853" s="46"/>
      <c r="AC853" s="46"/>
      <c r="AD853" s="46"/>
      <c r="AE853" s="46"/>
      <c r="AF853" s="46"/>
      <c r="AG853" s="46"/>
      <c r="AH853" s="46"/>
      <c r="AI853" s="46"/>
      <c r="AJ853" s="46"/>
      <c r="AK853" s="46"/>
      <c r="AL853" s="46"/>
      <c r="AM853" s="46"/>
      <c r="AN853" s="46"/>
      <c r="AO853" s="46"/>
      <c r="AP853" s="46"/>
      <c r="AQ853" s="46"/>
      <c r="AR853" s="46"/>
      <c r="AS853" s="46"/>
      <c r="AT853" s="46"/>
      <c r="AU853" s="46"/>
      <c r="AV853" s="46"/>
      <c r="AW853" s="46"/>
      <c r="AX853" s="46"/>
      <c r="AY853" s="46"/>
      <c r="AZ853" s="46"/>
      <c r="BA853" s="46"/>
      <c r="BB853" s="46"/>
      <c r="BC853" s="46"/>
      <c r="BD853" s="46"/>
      <c r="BE853" s="46"/>
      <c r="BF853" s="46"/>
      <c r="BG853" s="46"/>
      <c r="BH853" s="46"/>
    </row>
    <row r="854" spans="1:60" ht="14.25" customHeight="1" x14ac:dyDescent="0.3">
      <c r="A854" s="46"/>
      <c r="B854" s="37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  <c r="AA854" s="46"/>
      <c r="AB854" s="46"/>
      <c r="AC854" s="46"/>
      <c r="AD854" s="46"/>
      <c r="AE854" s="46"/>
      <c r="AF854" s="46"/>
      <c r="AG854" s="46"/>
      <c r="AH854" s="46"/>
      <c r="AI854" s="46"/>
      <c r="AJ854" s="46"/>
      <c r="AK854" s="46"/>
      <c r="AL854" s="46"/>
      <c r="AM854" s="46"/>
      <c r="AN854" s="46"/>
      <c r="AO854" s="46"/>
      <c r="AP854" s="46"/>
      <c r="AQ854" s="46"/>
      <c r="AR854" s="46"/>
      <c r="AS854" s="46"/>
      <c r="AT854" s="46"/>
      <c r="AU854" s="46"/>
      <c r="AV854" s="46"/>
      <c r="AW854" s="46"/>
      <c r="AX854" s="46"/>
      <c r="AY854" s="46"/>
      <c r="AZ854" s="46"/>
      <c r="BA854" s="46"/>
      <c r="BB854" s="46"/>
      <c r="BC854" s="46"/>
      <c r="BD854" s="46"/>
      <c r="BE854" s="46"/>
      <c r="BF854" s="46"/>
      <c r="BG854" s="46"/>
      <c r="BH854" s="46"/>
    </row>
    <row r="855" spans="1:60" ht="14.25" customHeight="1" x14ac:dyDescent="0.3">
      <c r="A855" s="46"/>
      <c r="B855" s="37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  <c r="AA855" s="46"/>
      <c r="AB855" s="46"/>
      <c r="AC855" s="46"/>
      <c r="AD855" s="46"/>
      <c r="AE855" s="46"/>
      <c r="AF855" s="46"/>
      <c r="AG855" s="46"/>
      <c r="AH855" s="46"/>
      <c r="AI855" s="46"/>
      <c r="AJ855" s="46"/>
      <c r="AK855" s="46"/>
      <c r="AL855" s="46"/>
      <c r="AM855" s="46"/>
      <c r="AN855" s="46"/>
      <c r="AO855" s="46"/>
      <c r="AP855" s="46"/>
      <c r="AQ855" s="46"/>
      <c r="AR855" s="46"/>
      <c r="AS855" s="46"/>
      <c r="AT855" s="46"/>
      <c r="AU855" s="46"/>
      <c r="AV855" s="46"/>
      <c r="AW855" s="46"/>
      <c r="AX855" s="46"/>
      <c r="AY855" s="46"/>
      <c r="AZ855" s="46"/>
      <c r="BA855" s="46"/>
      <c r="BB855" s="46"/>
      <c r="BC855" s="46"/>
      <c r="BD855" s="46"/>
      <c r="BE855" s="46"/>
      <c r="BF855" s="46"/>
      <c r="BG855" s="46"/>
      <c r="BH855" s="46"/>
    </row>
    <row r="856" spans="1:60" ht="14.25" customHeight="1" x14ac:dyDescent="0.3">
      <c r="A856" s="46"/>
      <c r="B856" s="37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  <c r="AA856" s="46"/>
      <c r="AB856" s="46"/>
      <c r="AC856" s="46"/>
      <c r="AD856" s="46"/>
      <c r="AE856" s="46"/>
      <c r="AF856" s="46"/>
      <c r="AG856" s="46"/>
      <c r="AH856" s="46"/>
      <c r="AI856" s="46"/>
      <c r="AJ856" s="46"/>
      <c r="AK856" s="46"/>
      <c r="AL856" s="46"/>
      <c r="AM856" s="46"/>
      <c r="AN856" s="46"/>
      <c r="AO856" s="46"/>
      <c r="AP856" s="46"/>
      <c r="AQ856" s="46"/>
      <c r="AR856" s="46"/>
      <c r="AS856" s="46"/>
      <c r="AT856" s="46"/>
      <c r="AU856" s="46"/>
      <c r="AV856" s="46"/>
      <c r="AW856" s="46"/>
      <c r="AX856" s="46"/>
      <c r="AY856" s="46"/>
      <c r="AZ856" s="46"/>
      <c r="BA856" s="46"/>
      <c r="BB856" s="46"/>
      <c r="BC856" s="46"/>
      <c r="BD856" s="46"/>
      <c r="BE856" s="46"/>
      <c r="BF856" s="46"/>
      <c r="BG856" s="46"/>
      <c r="BH856" s="46"/>
    </row>
    <row r="857" spans="1:60" ht="14.25" customHeight="1" x14ac:dyDescent="0.3">
      <c r="A857" s="46"/>
      <c r="B857" s="37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  <c r="AA857" s="46"/>
      <c r="AB857" s="46"/>
      <c r="AC857" s="46"/>
      <c r="AD857" s="46"/>
      <c r="AE857" s="46"/>
      <c r="AF857" s="46"/>
      <c r="AG857" s="46"/>
      <c r="AH857" s="46"/>
      <c r="AI857" s="46"/>
      <c r="AJ857" s="46"/>
      <c r="AK857" s="46"/>
      <c r="AL857" s="46"/>
      <c r="AM857" s="46"/>
      <c r="AN857" s="46"/>
      <c r="AO857" s="46"/>
      <c r="AP857" s="46"/>
      <c r="AQ857" s="46"/>
      <c r="AR857" s="46"/>
      <c r="AS857" s="46"/>
      <c r="AT857" s="46"/>
      <c r="AU857" s="46"/>
      <c r="AV857" s="46"/>
      <c r="AW857" s="46"/>
      <c r="AX857" s="46"/>
      <c r="AY857" s="46"/>
      <c r="AZ857" s="46"/>
      <c r="BA857" s="46"/>
      <c r="BB857" s="46"/>
      <c r="BC857" s="46"/>
      <c r="BD857" s="46"/>
      <c r="BE857" s="46"/>
      <c r="BF857" s="46"/>
      <c r="BG857" s="46"/>
      <c r="BH857" s="46"/>
    </row>
    <row r="858" spans="1:60" ht="14.25" customHeight="1" x14ac:dyDescent="0.3">
      <c r="A858" s="46"/>
      <c r="B858" s="37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6"/>
      <c r="AB858" s="46"/>
      <c r="AC858" s="46"/>
      <c r="AD858" s="46"/>
      <c r="AE858" s="46"/>
      <c r="AF858" s="46"/>
      <c r="AG858" s="46"/>
      <c r="AH858" s="46"/>
      <c r="AI858" s="46"/>
      <c r="AJ858" s="46"/>
      <c r="AK858" s="46"/>
      <c r="AL858" s="46"/>
      <c r="AM858" s="46"/>
      <c r="AN858" s="46"/>
      <c r="AO858" s="46"/>
      <c r="AP858" s="46"/>
      <c r="AQ858" s="46"/>
      <c r="AR858" s="46"/>
      <c r="AS858" s="46"/>
      <c r="AT858" s="46"/>
      <c r="AU858" s="46"/>
      <c r="AV858" s="46"/>
      <c r="AW858" s="46"/>
      <c r="AX858" s="46"/>
      <c r="AY858" s="46"/>
      <c r="AZ858" s="46"/>
      <c r="BA858" s="46"/>
      <c r="BB858" s="46"/>
      <c r="BC858" s="46"/>
      <c r="BD858" s="46"/>
      <c r="BE858" s="46"/>
      <c r="BF858" s="46"/>
      <c r="BG858" s="46"/>
      <c r="BH858" s="46"/>
    </row>
    <row r="859" spans="1:60" ht="14.25" customHeight="1" x14ac:dyDescent="0.3">
      <c r="A859" s="46"/>
      <c r="B859" s="37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  <c r="AA859" s="46"/>
      <c r="AB859" s="46"/>
      <c r="AC859" s="46"/>
      <c r="AD859" s="46"/>
      <c r="AE859" s="46"/>
      <c r="AF859" s="46"/>
      <c r="AG859" s="46"/>
      <c r="AH859" s="46"/>
      <c r="AI859" s="46"/>
      <c r="AJ859" s="46"/>
      <c r="AK859" s="46"/>
      <c r="AL859" s="46"/>
      <c r="AM859" s="46"/>
      <c r="AN859" s="46"/>
      <c r="AO859" s="46"/>
      <c r="AP859" s="46"/>
      <c r="AQ859" s="46"/>
      <c r="AR859" s="46"/>
      <c r="AS859" s="46"/>
      <c r="AT859" s="46"/>
      <c r="AU859" s="46"/>
      <c r="AV859" s="46"/>
      <c r="AW859" s="46"/>
      <c r="AX859" s="46"/>
      <c r="AY859" s="46"/>
      <c r="AZ859" s="46"/>
      <c r="BA859" s="46"/>
      <c r="BB859" s="46"/>
      <c r="BC859" s="46"/>
      <c r="BD859" s="46"/>
      <c r="BE859" s="46"/>
      <c r="BF859" s="46"/>
      <c r="BG859" s="46"/>
      <c r="BH859" s="46"/>
    </row>
    <row r="860" spans="1:60" ht="14.25" customHeight="1" x14ac:dyDescent="0.3">
      <c r="A860" s="46"/>
      <c r="B860" s="37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  <c r="AA860" s="46"/>
      <c r="AB860" s="46"/>
      <c r="AC860" s="46"/>
      <c r="AD860" s="46"/>
      <c r="AE860" s="46"/>
      <c r="AF860" s="46"/>
      <c r="AG860" s="46"/>
      <c r="AH860" s="46"/>
      <c r="AI860" s="46"/>
      <c r="AJ860" s="46"/>
      <c r="AK860" s="46"/>
      <c r="AL860" s="46"/>
      <c r="AM860" s="46"/>
      <c r="AN860" s="46"/>
      <c r="AO860" s="46"/>
      <c r="AP860" s="46"/>
      <c r="AQ860" s="46"/>
      <c r="AR860" s="46"/>
      <c r="AS860" s="46"/>
      <c r="AT860" s="46"/>
      <c r="AU860" s="46"/>
      <c r="AV860" s="46"/>
      <c r="AW860" s="46"/>
      <c r="AX860" s="46"/>
      <c r="AY860" s="46"/>
      <c r="AZ860" s="46"/>
      <c r="BA860" s="46"/>
      <c r="BB860" s="46"/>
      <c r="BC860" s="46"/>
      <c r="BD860" s="46"/>
      <c r="BE860" s="46"/>
      <c r="BF860" s="46"/>
      <c r="BG860" s="46"/>
      <c r="BH860" s="46"/>
    </row>
    <row r="861" spans="1:60" ht="14.25" customHeight="1" x14ac:dyDescent="0.3">
      <c r="A861" s="46"/>
      <c r="B861" s="37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  <c r="AB861" s="46"/>
      <c r="AC861" s="46"/>
      <c r="AD861" s="46"/>
      <c r="AE861" s="46"/>
      <c r="AF861" s="46"/>
      <c r="AG861" s="46"/>
      <c r="AH861" s="46"/>
      <c r="AI861" s="46"/>
      <c r="AJ861" s="46"/>
      <c r="AK861" s="46"/>
      <c r="AL861" s="46"/>
      <c r="AM861" s="46"/>
      <c r="AN861" s="46"/>
      <c r="AO861" s="46"/>
      <c r="AP861" s="46"/>
      <c r="AQ861" s="46"/>
      <c r="AR861" s="46"/>
      <c r="AS861" s="46"/>
      <c r="AT861" s="46"/>
      <c r="AU861" s="46"/>
      <c r="AV861" s="46"/>
      <c r="AW861" s="46"/>
      <c r="AX861" s="46"/>
      <c r="AY861" s="46"/>
      <c r="AZ861" s="46"/>
      <c r="BA861" s="46"/>
      <c r="BB861" s="46"/>
      <c r="BC861" s="46"/>
      <c r="BD861" s="46"/>
      <c r="BE861" s="46"/>
      <c r="BF861" s="46"/>
      <c r="BG861" s="46"/>
      <c r="BH861" s="46"/>
    </row>
    <row r="862" spans="1:60" ht="14.25" customHeight="1" x14ac:dyDescent="0.3">
      <c r="A862" s="46"/>
      <c r="B862" s="37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  <c r="AA862" s="46"/>
      <c r="AB862" s="46"/>
      <c r="AC862" s="46"/>
      <c r="AD862" s="46"/>
      <c r="AE862" s="46"/>
      <c r="AF862" s="46"/>
      <c r="AG862" s="46"/>
      <c r="AH862" s="46"/>
      <c r="AI862" s="46"/>
      <c r="AJ862" s="46"/>
      <c r="AK862" s="46"/>
      <c r="AL862" s="46"/>
      <c r="AM862" s="46"/>
      <c r="AN862" s="46"/>
      <c r="AO862" s="46"/>
      <c r="AP862" s="46"/>
      <c r="AQ862" s="46"/>
      <c r="AR862" s="46"/>
      <c r="AS862" s="46"/>
      <c r="AT862" s="46"/>
      <c r="AU862" s="46"/>
      <c r="AV862" s="46"/>
      <c r="AW862" s="46"/>
      <c r="AX862" s="46"/>
      <c r="AY862" s="46"/>
      <c r="AZ862" s="46"/>
      <c r="BA862" s="46"/>
      <c r="BB862" s="46"/>
      <c r="BC862" s="46"/>
      <c r="BD862" s="46"/>
      <c r="BE862" s="46"/>
      <c r="BF862" s="46"/>
      <c r="BG862" s="46"/>
      <c r="BH862" s="46"/>
    </row>
    <row r="863" spans="1:60" ht="14.25" customHeight="1" x14ac:dyDescent="0.3">
      <c r="A863" s="46"/>
      <c r="B863" s="37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  <c r="AA863" s="46"/>
      <c r="AB863" s="46"/>
      <c r="AC863" s="46"/>
      <c r="AD863" s="46"/>
      <c r="AE863" s="46"/>
      <c r="AF863" s="46"/>
      <c r="AG863" s="46"/>
      <c r="AH863" s="46"/>
      <c r="AI863" s="46"/>
      <c r="AJ863" s="46"/>
      <c r="AK863" s="46"/>
      <c r="AL863" s="46"/>
      <c r="AM863" s="46"/>
      <c r="AN863" s="46"/>
      <c r="AO863" s="46"/>
      <c r="AP863" s="46"/>
      <c r="AQ863" s="46"/>
      <c r="AR863" s="46"/>
      <c r="AS863" s="46"/>
      <c r="AT863" s="46"/>
      <c r="AU863" s="46"/>
      <c r="AV863" s="46"/>
      <c r="AW863" s="46"/>
      <c r="AX863" s="46"/>
      <c r="AY863" s="46"/>
      <c r="AZ863" s="46"/>
      <c r="BA863" s="46"/>
      <c r="BB863" s="46"/>
      <c r="BC863" s="46"/>
      <c r="BD863" s="46"/>
      <c r="BE863" s="46"/>
      <c r="BF863" s="46"/>
      <c r="BG863" s="46"/>
      <c r="BH863" s="46"/>
    </row>
    <row r="864" spans="1:60" ht="14.25" customHeight="1" x14ac:dyDescent="0.3">
      <c r="A864" s="46"/>
      <c r="B864" s="37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  <c r="AB864" s="46"/>
      <c r="AC864" s="46"/>
      <c r="AD864" s="46"/>
      <c r="AE864" s="46"/>
      <c r="AF864" s="46"/>
      <c r="AG864" s="46"/>
      <c r="AH864" s="46"/>
      <c r="AI864" s="46"/>
      <c r="AJ864" s="46"/>
      <c r="AK864" s="46"/>
      <c r="AL864" s="46"/>
      <c r="AM864" s="46"/>
      <c r="AN864" s="46"/>
      <c r="AO864" s="46"/>
      <c r="AP864" s="46"/>
      <c r="AQ864" s="46"/>
      <c r="AR864" s="46"/>
      <c r="AS864" s="46"/>
      <c r="AT864" s="46"/>
      <c r="AU864" s="46"/>
      <c r="AV864" s="46"/>
      <c r="AW864" s="46"/>
      <c r="AX864" s="46"/>
      <c r="AY864" s="46"/>
      <c r="AZ864" s="46"/>
      <c r="BA864" s="46"/>
      <c r="BB864" s="46"/>
      <c r="BC864" s="46"/>
      <c r="BD864" s="46"/>
      <c r="BE864" s="46"/>
      <c r="BF864" s="46"/>
      <c r="BG864" s="46"/>
      <c r="BH864" s="46"/>
    </row>
    <row r="865" spans="1:60" ht="14.25" customHeight="1" x14ac:dyDescent="0.3">
      <c r="A865" s="46"/>
      <c r="B865" s="37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  <c r="AA865" s="46"/>
      <c r="AB865" s="46"/>
      <c r="AC865" s="46"/>
      <c r="AD865" s="46"/>
      <c r="AE865" s="46"/>
      <c r="AF865" s="46"/>
      <c r="AG865" s="46"/>
      <c r="AH865" s="46"/>
      <c r="AI865" s="46"/>
      <c r="AJ865" s="46"/>
      <c r="AK865" s="46"/>
      <c r="AL865" s="46"/>
      <c r="AM865" s="46"/>
      <c r="AN865" s="46"/>
      <c r="AO865" s="46"/>
      <c r="AP865" s="46"/>
      <c r="AQ865" s="46"/>
      <c r="AR865" s="46"/>
      <c r="AS865" s="46"/>
      <c r="AT865" s="46"/>
      <c r="AU865" s="46"/>
      <c r="AV865" s="46"/>
      <c r="AW865" s="46"/>
      <c r="AX865" s="46"/>
      <c r="AY865" s="46"/>
      <c r="AZ865" s="46"/>
      <c r="BA865" s="46"/>
      <c r="BB865" s="46"/>
      <c r="BC865" s="46"/>
      <c r="BD865" s="46"/>
      <c r="BE865" s="46"/>
      <c r="BF865" s="46"/>
      <c r="BG865" s="46"/>
      <c r="BH865" s="46"/>
    </row>
    <row r="866" spans="1:60" ht="14.25" customHeight="1" x14ac:dyDescent="0.3">
      <c r="A866" s="46"/>
      <c r="B866" s="37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  <c r="AA866" s="46"/>
      <c r="AB866" s="46"/>
      <c r="AC866" s="46"/>
      <c r="AD866" s="46"/>
      <c r="AE866" s="46"/>
      <c r="AF866" s="46"/>
      <c r="AG866" s="46"/>
      <c r="AH866" s="46"/>
      <c r="AI866" s="46"/>
      <c r="AJ866" s="46"/>
      <c r="AK866" s="46"/>
      <c r="AL866" s="46"/>
      <c r="AM866" s="46"/>
      <c r="AN866" s="46"/>
      <c r="AO866" s="46"/>
      <c r="AP866" s="46"/>
      <c r="AQ866" s="46"/>
      <c r="AR866" s="46"/>
      <c r="AS866" s="46"/>
      <c r="AT866" s="46"/>
      <c r="AU866" s="46"/>
      <c r="AV866" s="46"/>
      <c r="AW866" s="46"/>
      <c r="AX866" s="46"/>
      <c r="AY866" s="46"/>
      <c r="AZ866" s="46"/>
      <c r="BA866" s="46"/>
      <c r="BB866" s="46"/>
      <c r="BC866" s="46"/>
      <c r="BD866" s="46"/>
      <c r="BE866" s="46"/>
      <c r="BF866" s="46"/>
      <c r="BG866" s="46"/>
      <c r="BH866" s="46"/>
    </row>
    <row r="867" spans="1:60" ht="14.25" customHeight="1" x14ac:dyDescent="0.3">
      <c r="A867" s="46"/>
      <c r="B867" s="37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  <c r="AB867" s="46"/>
      <c r="AC867" s="46"/>
      <c r="AD867" s="46"/>
      <c r="AE867" s="46"/>
      <c r="AF867" s="46"/>
      <c r="AG867" s="46"/>
      <c r="AH867" s="46"/>
      <c r="AI867" s="46"/>
      <c r="AJ867" s="46"/>
      <c r="AK867" s="46"/>
      <c r="AL867" s="46"/>
      <c r="AM867" s="46"/>
      <c r="AN867" s="46"/>
      <c r="AO867" s="46"/>
      <c r="AP867" s="46"/>
      <c r="AQ867" s="46"/>
      <c r="AR867" s="46"/>
      <c r="AS867" s="46"/>
      <c r="AT867" s="46"/>
      <c r="AU867" s="46"/>
      <c r="AV867" s="46"/>
      <c r="AW867" s="46"/>
      <c r="AX867" s="46"/>
      <c r="AY867" s="46"/>
      <c r="AZ867" s="46"/>
      <c r="BA867" s="46"/>
      <c r="BB867" s="46"/>
      <c r="BC867" s="46"/>
      <c r="BD867" s="46"/>
      <c r="BE867" s="46"/>
      <c r="BF867" s="46"/>
      <c r="BG867" s="46"/>
      <c r="BH867" s="46"/>
    </row>
    <row r="868" spans="1:60" ht="14.25" customHeight="1" x14ac:dyDescent="0.3">
      <c r="A868" s="46"/>
      <c r="B868" s="37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  <c r="AA868" s="46"/>
      <c r="AB868" s="46"/>
      <c r="AC868" s="46"/>
      <c r="AD868" s="46"/>
      <c r="AE868" s="46"/>
      <c r="AF868" s="46"/>
      <c r="AG868" s="46"/>
      <c r="AH868" s="46"/>
      <c r="AI868" s="46"/>
      <c r="AJ868" s="46"/>
      <c r="AK868" s="46"/>
      <c r="AL868" s="46"/>
      <c r="AM868" s="46"/>
      <c r="AN868" s="46"/>
      <c r="AO868" s="46"/>
      <c r="AP868" s="46"/>
      <c r="AQ868" s="46"/>
      <c r="AR868" s="46"/>
      <c r="AS868" s="46"/>
      <c r="AT868" s="46"/>
      <c r="AU868" s="46"/>
      <c r="AV868" s="46"/>
      <c r="AW868" s="46"/>
      <c r="AX868" s="46"/>
      <c r="AY868" s="46"/>
      <c r="AZ868" s="46"/>
      <c r="BA868" s="46"/>
      <c r="BB868" s="46"/>
      <c r="BC868" s="46"/>
      <c r="BD868" s="46"/>
      <c r="BE868" s="46"/>
      <c r="BF868" s="46"/>
      <c r="BG868" s="46"/>
      <c r="BH868" s="46"/>
    </row>
    <row r="869" spans="1:60" ht="14.25" customHeight="1" x14ac:dyDescent="0.3">
      <c r="A869" s="46"/>
      <c r="B869" s="37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  <c r="AA869" s="46"/>
      <c r="AB869" s="46"/>
      <c r="AC869" s="46"/>
      <c r="AD869" s="46"/>
      <c r="AE869" s="46"/>
      <c r="AF869" s="46"/>
      <c r="AG869" s="46"/>
      <c r="AH869" s="46"/>
      <c r="AI869" s="46"/>
      <c r="AJ869" s="46"/>
      <c r="AK869" s="46"/>
      <c r="AL869" s="46"/>
      <c r="AM869" s="46"/>
      <c r="AN869" s="46"/>
      <c r="AO869" s="46"/>
      <c r="AP869" s="46"/>
      <c r="AQ869" s="46"/>
      <c r="AR869" s="46"/>
      <c r="AS869" s="46"/>
      <c r="AT869" s="46"/>
      <c r="AU869" s="46"/>
      <c r="AV869" s="46"/>
      <c r="AW869" s="46"/>
      <c r="AX869" s="46"/>
      <c r="AY869" s="46"/>
      <c r="AZ869" s="46"/>
      <c r="BA869" s="46"/>
      <c r="BB869" s="46"/>
      <c r="BC869" s="46"/>
      <c r="BD869" s="46"/>
      <c r="BE869" s="46"/>
      <c r="BF869" s="46"/>
      <c r="BG869" s="46"/>
      <c r="BH869" s="46"/>
    </row>
    <row r="870" spans="1:60" ht="14.25" customHeight="1" x14ac:dyDescent="0.3">
      <c r="A870" s="46"/>
      <c r="B870" s="37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  <c r="AA870" s="46"/>
      <c r="AB870" s="46"/>
      <c r="AC870" s="46"/>
      <c r="AD870" s="46"/>
      <c r="AE870" s="46"/>
      <c r="AF870" s="46"/>
      <c r="AG870" s="46"/>
      <c r="AH870" s="46"/>
      <c r="AI870" s="46"/>
      <c r="AJ870" s="46"/>
      <c r="AK870" s="46"/>
      <c r="AL870" s="46"/>
      <c r="AM870" s="46"/>
      <c r="AN870" s="46"/>
      <c r="AO870" s="46"/>
      <c r="AP870" s="46"/>
      <c r="AQ870" s="46"/>
      <c r="AR870" s="46"/>
      <c r="AS870" s="46"/>
      <c r="AT870" s="46"/>
      <c r="AU870" s="46"/>
      <c r="AV870" s="46"/>
      <c r="AW870" s="46"/>
      <c r="AX870" s="46"/>
      <c r="AY870" s="46"/>
      <c r="AZ870" s="46"/>
      <c r="BA870" s="46"/>
      <c r="BB870" s="46"/>
      <c r="BC870" s="46"/>
      <c r="BD870" s="46"/>
      <c r="BE870" s="46"/>
      <c r="BF870" s="46"/>
      <c r="BG870" s="46"/>
      <c r="BH870" s="46"/>
    </row>
    <row r="871" spans="1:60" ht="14.25" customHeight="1" x14ac:dyDescent="0.3">
      <c r="A871" s="46"/>
      <c r="B871" s="37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  <c r="AA871" s="46"/>
      <c r="AB871" s="46"/>
      <c r="AC871" s="46"/>
      <c r="AD871" s="46"/>
      <c r="AE871" s="46"/>
      <c r="AF871" s="46"/>
      <c r="AG871" s="46"/>
      <c r="AH871" s="46"/>
      <c r="AI871" s="46"/>
      <c r="AJ871" s="46"/>
      <c r="AK871" s="46"/>
      <c r="AL871" s="46"/>
      <c r="AM871" s="46"/>
      <c r="AN871" s="46"/>
      <c r="AO871" s="46"/>
      <c r="AP871" s="46"/>
      <c r="AQ871" s="46"/>
      <c r="AR871" s="46"/>
      <c r="AS871" s="46"/>
      <c r="AT871" s="46"/>
      <c r="AU871" s="46"/>
      <c r="AV871" s="46"/>
      <c r="AW871" s="46"/>
      <c r="AX871" s="46"/>
      <c r="AY871" s="46"/>
      <c r="AZ871" s="46"/>
      <c r="BA871" s="46"/>
      <c r="BB871" s="46"/>
      <c r="BC871" s="46"/>
      <c r="BD871" s="46"/>
      <c r="BE871" s="46"/>
      <c r="BF871" s="46"/>
      <c r="BG871" s="46"/>
      <c r="BH871" s="46"/>
    </row>
    <row r="872" spans="1:60" ht="14.25" customHeight="1" x14ac:dyDescent="0.3">
      <c r="A872" s="46"/>
      <c r="B872" s="37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  <c r="AA872" s="46"/>
      <c r="AB872" s="46"/>
      <c r="AC872" s="46"/>
      <c r="AD872" s="46"/>
      <c r="AE872" s="46"/>
      <c r="AF872" s="46"/>
      <c r="AG872" s="46"/>
      <c r="AH872" s="46"/>
      <c r="AI872" s="46"/>
      <c r="AJ872" s="46"/>
      <c r="AK872" s="46"/>
      <c r="AL872" s="46"/>
      <c r="AM872" s="46"/>
      <c r="AN872" s="46"/>
      <c r="AO872" s="46"/>
      <c r="AP872" s="46"/>
      <c r="AQ872" s="46"/>
      <c r="AR872" s="46"/>
      <c r="AS872" s="46"/>
      <c r="AT872" s="46"/>
      <c r="AU872" s="46"/>
      <c r="AV872" s="46"/>
      <c r="AW872" s="46"/>
      <c r="AX872" s="46"/>
      <c r="AY872" s="46"/>
      <c r="AZ872" s="46"/>
      <c r="BA872" s="46"/>
      <c r="BB872" s="46"/>
      <c r="BC872" s="46"/>
      <c r="BD872" s="46"/>
      <c r="BE872" s="46"/>
      <c r="BF872" s="46"/>
      <c r="BG872" s="46"/>
      <c r="BH872" s="46"/>
    </row>
    <row r="873" spans="1:60" ht="14.25" customHeight="1" x14ac:dyDescent="0.3">
      <c r="A873" s="46"/>
      <c r="B873" s="37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  <c r="AA873" s="46"/>
      <c r="AB873" s="46"/>
      <c r="AC873" s="46"/>
      <c r="AD873" s="46"/>
      <c r="AE873" s="46"/>
      <c r="AF873" s="46"/>
      <c r="AG873" s="46"/>
      <c r="AH873" s="46"/>
      <c r="AI873" s="46"/>
      <c r="AJ873" s="46"/>
      <c r="AK873" s="46"/>
      <c r="AL873" s="46"/>
      <c r="AM873" s="46"/>
      <c r="AN873" s="46"/>
      <c r="AO873" s="46"/>
      <c r="AP873" s="46"/>
      <c r="AQ873" s="46"/>
      <c r="AR873" s="46"/>
      <c r="AS873" s="46"/>
      <c r="AT873" s="46"/>
      <c r="AU873" s="46"/>
      <c r="AV873" s="46"/>
      <c r="AW873" s="46"/>
      <c r="AX873" s="46"/>
      <c r="AY873" s="46"/>
      <c r="AZ873" s="46"/>
      <c r="BA873" s="46"/>
      <c r="BB873" s="46"/>
      <c r="BC873" s="46"/>
      <c r="BD873" s="46"/>
      <c r="BE873" s="46"/>
      <c r="BF873" s="46"/>
      <c r="BG873" s="46"/>
      <c r="BH873" s="46"/>
    </row>
    <row r="874" spans="1:60" ht="14.25" customHeight="1" x14ac:dyDescent="0.3">
      <c r="A874" s="46"/>
      <c r="B874" s="37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  <c r="AA874" s="46"/>
      <c r="AB874" s="46"/>
      <c r="AC874" s="46"/>
      <c r="AD874" s="46"/>
      <c r="AE874" s="46"/>
      <c r="AF874" s="46"/>
      <c r="AG874" s="46"/>
      <c r="AH874" s="46"/>
      <c r="AI874" s="46"/>
      <c r="AJ874" s="46"/>
      <c r="AK874" s="46"/>
      <c r="AL874" s="46"/>
      <c r="AM874" s="46"/>
      <c r="AN874" s="46"/>
      <c r="AO874" s="46"/>
      <c r="AP874" s="46"/>
      <c r="AQ874" s="46"/>
      <c r="AR874" s="46"/>
      <c r="AS874" s="46"/>
      <c r="AT874" s="46"/>
      <c r="AU874" s="46"/>
      <c r="AV874" s="46"/>
      <c r="AW874" s="46"/>
      <c r="AX874" s="46"/>
      <c r="AY874" s="46"/>
      <c r="AZ874" s="46"/>
      <c r="BA874" s="46"/>
      <c r="BB874" s="46"/>
      <c r="BC874" s="46"/>
      <c r="BD874" s="46"/>
      <c r="BE874" s="46"/>
      <c r="BF874" s="46"/>
      <c r="BG874" s="46"/>
      <c r="BH874" s="46"/>
    </row>
    <row r="875" spans="1:60" ht="14.25" customHeight="1" x14ac:dyDescent="0.3">
      <c r="A875" s="46"/>
      <c r="B875" s="37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  <c r="AA875" s="46"/>
      <c r="AB875" s="46"/>
      <c r="AC875" s="46"/>
      <c r="AD875" s="46"/>
      <c r="AE875" s="46"/>
      <c r="AF875" s="46"/>
      <c r="AG875" s="46"/>
      <c r="AH875" s="46"/>
      <c r="AI875" s="46"/>
      <c r="AJ875" s="46"/>
      <c r="AK875" s="46"/>
      <c r="AL875" s="46"/>
      <c r="AM875" s="46"/>
      <c r="AN875" s="46"/>
      <c r="AO875" s="46"/>
      <c r="AP875" s="46"/>
      <c r="AQ875" s="46"/>
      <c r="AR875" s="46"/>
      <c r="AS875" s="46"/>
      <c r="AT875" s="46"/>
      <c r="AU875" s="46"/>
      <c r="AV875" s="46"/>
      <c r="AW875" s="46"/>
      <c r="AX875" s="46"/>
      <c r="AY875" s="46"/>
      <c r="AZ875" s="46"/>
      <c r="BA875" s="46"/>
      <c r="BB875" s="46"/>
      <c r="BC875" s="46"/>
      <c r="BD875" s="46"/>
      <c r="BE875" s="46"/>
      <c r="BF875" s="46"/>
      <c r="BG875" s="46"/>
      <c r="BH875" s="46"/>
    </row>
    <row r="876" spans="1:60" ht="14.25" customHeight="1" x14ac:dyDescent="0.3">
      <c r="A876" s="46"/>
      <c r="B876" s="37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  <c r="AA876" s="46"/>
      <c r="AB876" s="46"/>
      <c r="AC876" s="46"/>
      <c r="AD876" s="46"/>
      <c r="AE876" s="46"/>
      <c r="AF876" s="46"/>
      <c r="AG876" s="46"/>
      <c r="AH876" s="46"/>
      <c r="AI876" s="46"/>
      <c r="AJ876" s="46"/>
      <c r="AK876" s="46"/>
      <c r="AL876" s="46"/>
      <c r="AM876" s="46"/>
      <c r="AN876" s="46"/>
      <c r="AO876" s="46"/>
      <c r="AP876" s="46"/>
      <c r="AQ876" s="46"/>
      <c r="AR876" s="46"/>
      <c r="AS876" s="46"/>
      <c r="AT876" s="46"/>
      <c r="AU876" s="46"/>
      <c r="AV876" s="46"/>
      <c r="AW876" s="46"/>
      <c r="AX876" s="46"/>
      <c r="AY876" s="46"/>
      <c r="AZ876" s="46"/>
      <c r="BA876" s="46"/>
      <c r="BB876" s="46"/>
      <c r="BC876" s="46"/>
      <c r="BD876" s="46"/>
      <c r="BE876" s="46"/>
      <c r="BF876" s="46"/>
      <c r="BG876" s="46"/>
      <c r="BH876" s="46"/>
    </row>
    <row r="877" spans="1:60" ht="14.25" customHeight="1" x14ac:dyDescent="0.3">
      <c r="A877" s="46"/>
      <c r="B877" s="37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  <c r="AA877" s="46"/>
      <c r="AB877" s="46"/>
      <c r="AC877" s="46"/>
      <c r="AD877" s="46"/>
      <c r="AE877" s="46"/>
      <c r="AF877" s="46"/>
      <c r="AG877" s="46"/>
      <c r="AH877" s="46"/>
      <c r="AI877" s="46"/>
      <c r="AJ877" s="46"/>
      <c r="AK877" s="46"/>
      <c r="AL877" s="46"/>
      <c r="AM877" s="46"/>
      <c r="AN877" s="46"/>
      <c r="AO877" s="46"/>
      <c r="AP877" s="46"/>
      <c r="AQ877" s="46"/>
      <c r="AR877" s="46"/>
      <c r="AS877" s="46"/>
      <c r="AT877" s="46"/>
      <c r="AU877" s="46"/>
      <c r="AV877" s="46"/>
      <c r="AW877" s="46"/>
      <c r="AX877" s="46"/>
      <c r="AY877" s="46"/>
      <c r="AZ877" s="46"/>
      <c r="BA877" s="46"/>
      <c r="BB877" s="46"/>
      <c r="BC877" s="46"/>
      <c r="BD877" s="46"/>
      <c r="BE877" s="46"/>
      <c r="BF877" s="46"/>
      <c r="BG877" s="46"/>
      <c r="BH877" s="46"/>
    </row>
    <row r="878" spans="1:60" ht="14.25" customHeight="1" x14ac:dyDescent="0.3">
      <c r="A878" s="46"/>
      <c r="B878" s="37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  <c r="AA878" s="46"/>
      <c r="AB878" s="46"/>
      <c r="AC878" s="46"/>
      <c r="AD878" s="46"/>
      <c r="AE878" s="46"/>
      <c r="AF878" s="46"/>
      <c r="AG878" s="46"/>
      <c r="AH878" s="46"/>
      <c r="AI878" s="46"/>
      <c r="AJ878" s="46"/>
      <c r="AK878" s="46"/>
      <c r="AL878" s="46"/>
      <c r="AM878" s="46"/>
      <c r="AN878" s="46"/>
      <c r="AO878" s="46"/>
      <c r="AP878" s="46"/>
      <c r="AQ878" s="46"/>
      <c r="AR878" s="46"/>
      <c r="AS878" s="46"/>
      <c r="AT878" s="46"/>
      <c r="AU878" s="46"/>
      <c r="AV878" s="46"/>
      <c r="AW878" s="46"/>
      <c r="AX878" s="46"/>
      <c r="AY878" s="46"/>
      <c r="AZ878" s="46"/>
      <c r="BA878" s="46"/>
      <c r="BB878" s="46"/>
      <c r="BC878" s="46"/>
      <c r="BD878" s="46"/>
      <c r="BE878" s="46"/>
      <c r="BF878" s="46"/>
      <c r="BG878" s="46"/>
      <c r="BH878" s="46"/>
    </row>
    <row r="879" spans="1:60" ht="14.25" customHeight="1" x14ac:dyDescent="0.3">
      <c r="A879" s="46"/>
      <c r="B879" s="37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  <c r="AA879" s="46"/>
      <c r="AB879" s="46"/>
      <c r="AC879" s="46"/>
      <c r="AD879" s="46"/>
      <c r="AE879" s="46"/>
      <c r="AF879" s="46"/>
      <c r="AG879" s="46"/>
      <c r="AH879" s="46"/>
      <c r="AI879" s="46"/>
      <c r="AJ879" s="46"/>
      <c r="AK879" s="46"/>
      <c r="AL879" s="46"/>
      <c r="AM879" s="46"/>
      <c r="AN879" s="46"/>
      <c r="AO879" s="46"/>
      <c r="AP879" s="46"/>
      <c r="AQ879" s="46"/>
      <c r="AR879" s="46"/>
      <c r="AS879" s="46"/>
      <c r="AT879" s="46"/>
      <c r="AU879" s="46"/>
      <c r="AV879" s="46"/>
      <c r="AW879" s="46"/>
      <c r="AX879" s="46"/>
      <c r="AY879" s="46"/>
      <c r="AZ879" s="46"/>
      <c r="BA879" s="46"/>
      <c r="BB879" s="46"/>
      <c r="BC879" s="46"/>
      <c r="BD879" s="46"/>
      <c r="BE879" s="46"/>
      <c r="BF879" s="46"/>
      <c r="BG879" s="46"/>
      <c r="BH879" s="46"/>
    </row>
    <row r="880" spans="1:60" ht="14.25" customHeight="1" x14ac:dyDescent="0.3">
      <c r="A880" s="46"/>
      <c r="B880" s="37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  <c r="AA880" s="46"/>
      <c r="AB880" s="46"/>
      <c r="AC880" s="46"/>
      <c r="AD880" s="46"/>
      <c r="AE880" s="46"/>
      <c r="AF880" s="46"/>
      <c r="AG880" s="46"/>
      <c r="AH880" s="46"/>
      <c r="AI880" s="46"/>
      <c r="AJ880" s="46"/>
      <c r="AK880" s="46"/>
      <c r="AL880" s="46"/>
      <c r="AM880" s="46"/>
      <c r="AN880" s="46"/>
      <c r="AO880" s="46"/>
      <c r="AP880" s="46"/>
      <c r="AQ880" s="46"/>
      <c r="AR880" s="46"/>
      <c r="AS880" s="46"/>
      <c r="AT880" s="46"/>
      <c r="AU880" s="46"/>
      <c r="AV880" s="46"/>
      <c r="AW880" s="46"/>
      <c r="AX880" s="46"/>
      <c r="AY880" s="46"/>
      <c r="AZ880" s="46"/>
      <c r="BA880" s="46"/>
      <c r="BB880" s="46"/>
      <c r="BC880" s="46"/>
      <c r="BD880" s="46"/>
      <c r="BE880" s="46"/>
      <c r="BF880" s="46"/>
      <c r="BG880" s="46"/>
      <c r="BH880" s="46"/>
    </row>
    <row r="881" spans="1:60" ht="14.25" customHeight="1" x14ac:dyDescent="0.3">
      <c r="A881" s="46"/>
      <c r="B881" s="37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  <c r="AA881" s="46"/>
      <c r="AB881" s="46"/>
      <c r="AC881" s="46"/>
      <c r="AD881" s="46"/>
      <c r="AE881" s="46"/>
      <c r="AF881" s="46"/>
      <c r="AG881" s="46"/>
      <c r="AH881" s="46"/>
      <c r="AI881" s="46"/>
      <c r="AJ881" s="46"/>
      <c r="AK881" s="46"/>
      <c r="AL881" s="46"/>
      <c r="AM881" s="46"/>
      <c r="AN881" s="46"/>
      <c r="AO881" s="46"/>
      <c r="AP881" s="46"/>
      <c r="AQ881" s="46"/>
      <c r="AR881" s="46"/>
      <c r="AS881" s="46"/>
      <c r="AT881" s="46"/>
      <c r="AU881" s="46"/>
      <c r="AV881" s="46"/>
      <c r="AW881" s="46"/>
      <c r="AX881" s="46"/>
      <c r="AY881" s="46"/>
      <c r="AZ881" s="46"/>
      <c r="BA881" s="46"/>
      <c r="BB881" s="46"/>
      <c r="BC881" s="46"/>
      <c r="BD881" s="46"/>
      <c r="BE881" s="46"/>
      <c r="BF881" s="46"/>
      <c r="BG881" s="46"/>
      <c r="BH881" s="46"/>
    </row>
    <row r="882" spans="1:60" ht="14.25" customHeight="1" x14ac:dyDescent="0.3">
      <c r="A882" s="46"/>
      <c r="B882" s="37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  <c r="AA882" s="46"/>
      <c r="AB882" s="46"/>
      <c r="AC882" s="46"/>
      <c r="AD882" s="46"/>
      <c r="AE882" s="46"/>
      <c r="AF882" s="46"/>
      <c r="AG882" s="46"/>
      <c r="AH882" s="46"/>
      <c r="AI882" s="46"/>
      <c r="AJ882" s="46"/>
      <c r="AK882" s="46"/>
      <c r="AL882" s="46"/>
      <c r="AM882" s="46"/>
      <c r="AN882" s="46"/>
      <c r="AO882" s="46"/>
      <c r="AP882" s="46"/>
      <c r="AQ882" s="46"/>
      <c r="AR882" s="46"/>
      <c r="AS882" s="46"/>
      <c r="AT882" s="46"/>
      <c r="AU882" s="46"/>
      <c r="AV882" s="46"/>
      <c r="AW882" s="46"/>
      <c r="AX882" s="46"/>
      <c r="AY882" s="46"/>
      <c r="AZ882" s="46"/>
      <c r="BA882" s="46"/>
      <c r="BB882" s="46"/>
      <c r="BC882" s="46"/>
      <c r="BD882" s="46"/>
      <c r="BE882" s="46"/>
      <c r="BF882" s="46"/>
      <c r="BG882" s="46"/>
      <c r="BH882" s="46"/>
    </row>
    <row r="883" spans="1:60" ht="14.25" customHeight="1" x14ac:dyDescent="0.3">
      <c r="A883" s="46"/>
      <c r="B883" s="37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  <c r="AA883" s="46"/>
      <c r="AB883" s="46"/>
      <c r="AC883" s="46"/>
      <c r="AD883" s="46"/>
      <c r="AE883" s="46"/>
      <c r="AF883" s="46"/>
      <c r="AG883" s="46"/>
      <c r="AH883" s="46"/>
      <c r="AI883" s="46"/>
      <c r="AJ883" s="46"/>
      <c r="AK883" s="46"/>
      <c r="AL883" s="46"/>
      <c r="AM883" s="46"/>
      <c r="AN883" s="46"/>
      <c r="AO883" s="46"/>
      <c r="AP883" s="46"/>
      <c r="AQ883" s="46"/>
      <c r="AR883" s="46"/>
      <c r="AS883" s="46"/>
      <c r="AT883" s="46"/>
      <c r="AU883" s="46"/>
      <c r="AV883" s="46"/>
      <c r="AW883" s="46"/>
      <c r="AX883" s="46"/>
      <c r="AY883" s="46"/>
      <c r="AZ883" s="46"/>
      <c r="BA883" s="46"/>
      <c r="BB883" s="46"/>
      <c r="BC883" s="46"/>
      <c r="BD883" s="46"/>
      <c r="BE883" s="46"/>
      <c r="BF883" s="46"/>
      <c r="BG883" s="46"/>
      <c r="BH883" s="46"/>
    </row>
    <row r="884" spans="1:60" ht="14.25" customHeight="1" x14ac:dyDescent="0.3">
      <c r="A884" s="46"/>
      <c r="B884" s="37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  <c r="AA884" s="46"/>
      <c r="AB884" s="46"/>
      <c r="AC884" s="46"/>
      <c r="AD884" s="46"/>
      <c r="AE884" s="46"/>
      <c r="AF884" s="46"/>
      <c r="AG884" s="46"/>
      <c r="AH884" s="46"/>
      <c r="AI884" s="46"/>
      <c r="AJ884" s="46"/>
      <c r="AK884" s="46"/>
      <c r="AL884" s="46"/>
      <c r="AM884" s="46"/>
      <c r="AN884" s="46"/>
      <c r="AO884" s="46"/>
      <c r="AP884" s="46"/>
      <c r="AQ884" s="46"/>
      <c r="AR884" s="46"/>
      <c r="AS884" s="46"/>
      <c r="AT884" s="46"/>
      <c r="AU884" s="46"/>
      <c r="AV884" s="46"/>
      <c r="AW884" s="46"/>
      <c r="AX884" s="46"/>
      <c r="AY884" s="46"/>
      <c r="AZ884" s="46"/>
      <c r="BA884" s="46"/>
      <c r="BB884" s="46"/>
      <c r="BC884" s="46"/>
      <c r="BD884" s="46"/>
      <c r="BE884" s="46"/>
      <c r="BF884" s="46"/>
      <c r="BG884" s="46"/>
      <c r="BH884" s="46"/>
    </row>
    <row r="885" spans="1:60" ht="14.25" customHeight="1" x14ac:dyDescent="0.3">
      <c r="A885" s="46"/>
      <c r="B885" s="37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  <c r="AA885" s="46"/>
      <c r="AB885" s="46"/>
      <c r="AC885" s="46"/>
      <c r="AD885" s="46"/>
      <c r="AE885" s="46"/>
      <c r="AF885" s="46"/>
      <c r="AG885" s="46"/>
      <c r="AH885" s="46"/>
      <c r="AI885" s="46"/>
      <c r="AJ885" s="46"/>
      <c r="AK885" s="46"/>
      <c r="AL885" s="46"/>
      <c r="AM885" s="46"/>
      <c r="AN885" s="46"/>
      <c r="AO885" s="46"/>
      <c r="AP885" s="46"/>
      <c r="AQ885" s="46"/>
      <c r="AR885" s="46"/>
      <c r="AS885" s="46"/>
      <c r="AT885" s="46"/>
      <c r="AU885" s="46"/>
      <c r="AV885" s="46"/>
      <c r="AW885" s="46"/>
      <c r="AX885" s="46"/>
      <c r="AY885" s="46"/>
      <c r="AZ885" s="46"/>
      <c r="BA885" s="46"/>
      <c r="BB885" s="46"/>
      <c r="BC885" s="46"/>
      <c r="BD885" s="46"/>
      <c r="BE885" s="46"/>
      <c r="BF885" s="46"/>
      <c r="BG885" s="46"/>
      <c r="BH885" s="46"/>
    </row>
    <row r="886" spans="1:60" ht="14.25" customHeight="1" x14ac:dyDescent="0.3">
      <c r="A886" s="46"/>
      <c r="B886" s="37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  <c r="AB886" s="46"/>
      <c r="AC886" s="46"/>
      <c r="AD886" s="46"/>
      <c r="AE886" s="46"/>
      <c r="AF886" s="46"/>
      <c r="AG886" s="46"/>
      <c r="AH886" s="46"/>
      <c r="AI886" s="46"/>
      <c r="AJ886" s="46"/>
      <c r="AK886" s="46"/>
      <c r="AL886" s="46"/>
      <c r="AM886" s="46"/>
      <c r="AN886" s="46"/>
      <c r="AO886" s="46"/>
      <c r="AP886" s="46"/>
      <c r="AQ886" s="46"/>
      <c r="AR886" s="46"/>
      <c r="AS886" s="46"/>
      <c r="AT886" s="46"/>
      <c r="AU886" s="46"/>
      <c r="AV886" s="46"/>
      <c r="AW886" s="46"/>
      <c r="AX886" s="46"/>
      <c r="AY886" s="46"/>
      <c r="AZ886" s="46"/>
      <c r="BA886" s="46"/>
      <c r="BB886" s="46"/>
      <c r="BC886" s="46"/>
      <c r="BD886" s="46"/>
      <c r="BE886" s="46"/>
      <c r="BF886" s="46"/>
      <c r="BG886" s="46"/>
      <c r="BH886" s="46"/>
    </row>
    <row r="887" spans="1:60" ht="14.25" customHeight="1" x14ac:dyDescent="0.3">
      <c r="A887" s="46"/>
      <c r="B887" s="37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  <c r="AA887" s="46"/>
      <c r="AB887" s="46"/>
      <c r="AC887" s="46"/>
      <c r="AD887" s="46"/>
      <c r="AE887" s="46"/>
      <c r="AF887" s="46"/>
      <c r="AG887" s="46"/>
      <c r="AH887" s="46"/>
      <c r="AI887" s="46"/>
      <c r="AJ887" s="46"/>
      <c r="AK887" s="46"/>
      <c r="AL887" s="46"/>
      <c r="AM887" s="46"/>
      <c r="AN887" s="46"/>
      <c r="AO887" s="46"/>
      <c r="AP887" s="46"/>
      <c r="AQ887" s="46"/>
      <c r="AR887" s="46"/>
      <c r="AS887" s="46"/>
      <c r="AT887" s="46"/>
      <c r="AU887" s="46"/>
      <c r="AV887" s="46"/>
      <c r="AW887" s="46"/>
      <c r="AX887" s="46"/>
      <c r="AY887" s="46"/>
      <c r="AZ887" s="46"/>
      <c r="BA887" s="46"/>
      <c r="BB887" s="46"/>
      <c r="BC887" s="46"/>
      <c r="BD887" s="46"/>
      <c r="BE887" s="46"/>
      <c r="BF887" s="46"/>
      <c r="BG887" s="46"/>
      <c r="BH887" s="46"/>
    </row>
    <row r="888" spans="1:60" ht="14.25" customHeight="1" x14ac:dyDescent="0.3">
      <c r="A888" s="46"/>
      <c r="B888" s="37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  <c r="AA888" s="46"/>
      <c r="AB888" s="46"/>
      <c r="AC888" s="46"/>
      <c r="AD888" s="46"/>
      <c r="AE888" s="46"/>
      <c r="AF888" s="46"/>
      <c r="AG888" s="46"/>
      <c r="AH888" s="46"/>
      <c r="AI888" s="46"/>
      <c r="AJ888" s="46"/>
      <c r="AK888" s="46"/>
      <c r="AL888" s="46"/>
      <c r="AM888" s="46"/>
      <c r="AN888" s="46"/>
      <c r="AO888" s="46"/>
      <c r="AP888" s="46"/>
      <c r="AQ888" s="46"/>
      <c r="AR888" s="46"/>
      <c r="AS888" s="46"/>
      <c r="AT888" s="46"/>
      <c r="AU888" s="46"/>
      <c r="AV888" s="46"/>
      <c r="AW888" s="46"/>
      <c r="AX888" s="46"/>
      <c r="AY888" s="46"/>
      <c r="AZ888" s="46"/>
      <c r="BA888" s="46"/>
      <c r="BB888" s="46"/>
      <c r="BC888" s="46"/>
      <c r="BD888" s="46"/>
      <c r="BE888" s="46"/>
      <c r="BF888" s="46"/>
      <c r="BG888" s="46"/>
      <c r="BH888" s="46"/>
    </row>
    <row r="889" spans="1:60" ht="14.25" customHeight="1" x14ac:dyDescent="0.3">
      <c r="A889" s="46"/>
      <c r="B889" s="37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  <c r="AA889" s="46"/>
      <c r="AB889" s="46"/>
      <c r="AC889" s="46"/>
      <c r="AD889" s="46"/>
      <c r="AE889" s="46"/>
      <c r="AF889" s="46"/>
      <c r="AG889" s="46"/>
      <c r="AH889" s="46"/>
      <c r="AI889" s="46"/>
      <c r="AJ889" s="46"/>
      <c r="AK889" s="46"/>
      <c r="AL889" s="46"/>
      <c r="AM889" s="46"/>
      <c r="AN889" s="46"/>
      <c r="AO889" s="46"/>
      <c r="AP889" s="46"/>
      <c r="AQ889" s="46"/>
      <c r="AR889" s="46"/>
      <c r="AS889" s="46"/>
      <c r="AT889" s="46"/>
      <c r="AU889" s="46"/>
      <c r="AV889" s="46"/>
      <c r="AW889" s="46"/>
      <c r="AX889" s="46"/>
      <c r="AY889" s="46"/>
      <c r="AZ889" s="46"/>
      <c r="BA889" s="46"/>
      <c r="BB889" s="46"/>
      <c r="BC889" s="46"/>
      <c r="BD889" s="46"/>
      <c r="BE889" s="46"/>
      <c r="BF889" s="46"/>
      <c r="BG889" s="46"/>
      <c r="BH889" s="46"/>
    </row>
    <row r="890" spans="1:60" ht="14.25" customHeight="1" x14ac:dyDescent="0.3">
      <c r="A890" s="46"/>
      <c r="B890" s="37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  <c r="AB890" s="46"/>
      <c r="AC890" s="46"/>
      <c r="AD890" s="46"/>
      <c r="AE890" s="46"/>
      <c r="AF890" s="46"/>
      <c r="AG890" s="46"/>
      <c r="AH890" s="46"/>
      <c r="AI890" s="46"/>
      <c r="AJ890" s="46"/>
      <c r="AK890" s="46"/>
      <c r="AL890" s="46"/>
      <c r="AM890" s="46"/>
      <c r="AN890" s="46"/>
      <c r="AO890" s="46"/>
      <c r="AP890" s="46"/>
      <c r="AQ890" s="46"/>
      <c r="AR890" s="46"/>
      <c r="AS890" s="46"/>
      <c r="AT890" s="46"/>
      <c r="AU890" s="46"/>
      <c r="AV890" s="46"/>
      <c r="AW890" s="46"/>
      <c r="AX890" s="46"/>
      <c r="AY890" s="46"/>
      <c r="AZ890" s="46"/>
      <c r="BA890" s="46"/>
      <c r="BB890" s="46"/>
      <c r="BC890" s="46"/>
      <c r="BD890" s="46"/>
      <c r="BE890" s="46"/>
      <c r="BF890" s="46"/>
      <c r="BG890" s="46"/>
      <c r="BH890" s="46"/>
    </row>
    <row r="891" spans="1:60" ht="14.25" customHeight="1" x14ac:dyDescent="0.3">
      <c r="A891" s="46"/>
      <c r="B891" s="37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  <c r="AA891" s="46"/>
      <c r="AB891" s="46"/>
      <c r="AC891" s="46"/>
      <c r="AD891" s="46"/>
      <c r="AE891" s="46"/>
      <c r="AF891" s="46"/>
      <c r="AG891" s="46"/>
      <c r="AH891" s="46"/>
      <c r="AI891" s="46"/>
      <c r="AJ891" s="46"/>
      <c r="AK891" s="46"/>
      <c r="AL891" s="46"/>
      <c r="AM891" s="46"/>
      <c r="AN891" s="46"/>
      <c r="AO891" s="46"/>
      <c r="AP891" s="46"/>
      <c r="AQ891" s="46"/>
      <c r="AR891" s="46"/>
      <c r="AS891" s="46"/>
      <c r="AT891" s="46"/>
      <c r="AU891" s="46"/>
      <c r="AV891" s="46"/>
      <c r="AW891" s="46"/>
      <c r="AX891" s="46"/>
      <c r="AY891" s="46"/>
      <c r="AZ891" s="46"/>
      <c r="BA891" s="46"/>
      <c r="BB891" s="46"/>
      <c r="BC891" s="46"/>
      <c r="BD891" s="46"/>
      <c r="BE891" s="46"/>
      <c r="BF891" s="46"/>
      <c r="BG891" s="46"/>
      <c r="BH891" s="46"/>
    </row>
    <row r="892" spans="1:60" ht="14.25" customHeight="1" x14ac:dyDescent="0.3">
      <c r="A892" s="46"/>
      <c r="B892" s="37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  <c r="AB892" s="46"/>
      <c r="AC892" s="46"/>
      <c r="AD892" s="46"/>
      <c r="AE892" s="46"/>
      <c r="AF892" s="46"/>
      <c r="AG892" s="46"/>
      <c r="AH892" s="46"/>
      <c r="AI892" s="46"/>
      <c r="AJ892" s="46"/>
      <c r="AK892" s="46"/>
      <c r="AL892" s="46"/>
      <c r="AM892" s="46"/>
      <c r="AN892" s="46"/>
      <c r="AO892" s="46"/>
      <c r="AP892" s="46"/>
      <c r="AQ892" s="46"/>
      <c r="AR892" s="46"/>
      <c r="AS892" s="46"/>
      <c r="AT892" s="46"/>
      <c r="AU892" s="46"/>
      <c r="AV892" s="46"/>
      <c r="AW892" s="46"/>
      <c r="AX892" s="46"/>
      <c r="AY892" s="46"/>
      <c r="AZ892" s="46"/>
      <c r="BA892" s="46"/>
      <c r="BB892" s="46"/>
      <c r="BC892" s="46"/>
      <c r="BD892" s="46"/>
      <c r="BE892" s="46"/>
      <c r="BF892" s="46"/>
      <c r="BG892" s="46"/>
      <c r="BH892" s="46"/>
    </row>
    <row r="893" spans="1:60" ht="14.25" customHeight="1" x14ac:dyDescent="0.3">
      <c r="A893" s="46"/>
      <c r="B893" s="37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  <c r="AB893" s="46"/>
      <c r="AC893" s="46"/>
      <c r="AD893" s="46"/>
      <c r="AE893" s="46"/>
      <c r="AF893" s="46"/>
      <c r="AG893" s="46"/>
      <c r="AH893" s="46"/>
      <c r="AI893" s="46"/>
      <c r="AJ893" s="46"/>
      <c r="AK893" s="46"/>
      <c r="AL893" s="46"/>
      <c r="AM893" s="46"/>
      <c r="AN893" s="46"/>
      <c r="AO893" s="46"/>
      <c r="AP893" s="46"/>
      <c r="AQ893" s="46"/>
      <c r="AR893" s="46"/>
      <c r="AS893" s="46"/>
      <c r="AT893" s="46"/>
      <c r="AU893" s="46"/>
      <c r="AV893" s="46"/>
      <c r="AW893" s="46"/>
      <c r="AX893" s="46"/>
      <c r="AY893" s="46"/>
      <c r="AZ893" s="46"/>
      <c r="BA893" s="46"/>
      <c r="BB893" s="46"/>
      <c r="BC893" s="46"/>
      <c r="BD893" s="46"/>
      <c r="BE893" s="46"/>
      <c r="BF893" s="46"/>
      <c r="BG893" s="46"/>
      <c r="BH893" s="46"/>
    </row>
    <row r="894" spans="1:60" ht="14.25" customHeight="1" x14ac:dyDescent="0.3">
      <c r="A894" s="46"/>
      <c r="B894" s="37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  <c r="AA894" s="46"/>
      <c r="AB894" s="46"/>
      <c r="AC894" s="46"/>
      <c r="AD894" s="46"/>
      <c r="AE894" s="46"/>
      <c r="AF894" s="46"/>
      <c r="AG894" s="46"/>
      <c r="AH894" s="46"/>
      <c r="AI894" s="46"/>
      <c r="AJ894" s="46"/>
      <c r="AK894" s="46"/>
      <c r="AL894" s="46"/>
      <c r="AM894" s="46"/>
      <c r="AN894" s="46"/>
      <c r="AO894" s="46"/>
      <c r="AP894" s="46"/>
      <c r="AQ894" s="46"/>
      <c r="AR894" s="46"/>
      <c r="AS894" s="46"/>
      <c r="AT894" s="46"/>
      <c r="AU894" s="46"/>
      <c r="AV894" s="46"/>
      <c r="AW894" s="46"/>
      <c r="AX894" s="46"/>
      <c r="AY894" s="46"/>
      <c r="AZ894" s="46"/>
      <c r="BA894" s="46"/>
      <c r="BB894" s="46"/>
      <c r="BC894" s="46"/>
      <c r="BD894" s="46"/>
      <c r="BE894" s="46"/>
      <c r="BF894" s="46"/>
      <c r="BG894" s="46"/>
      <c r="BH894" s="46"/>
    </row>
    <row r="895" spans="1:60" ht="14.25" customHeight="1" x14ac:dyDescent="0.3">
      <c r="A895" s="46"/>
      <c r="B895" s="37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  <c r="AB895" s="46"/>
      <c r="AC895" s="46"/>
      <c r="AD895" s="46"/>
      <c r="AE895" s="46"/>
      <c r="AF895" s="46"/>
      <c r="AG895" s="46"/>
      <c r="AH895" s="46"/>
      <c r="AI895" s="46"/>
      <c r="AJ895" s="46"/>
      <c r="AK895" s="46"/>
      <c r="AL895" s="46"/>
      <c r="AM895" s="46"/>
      <c r="AN895" s="46"/>
      <c r="AO895" s="46"/>
      <c r="AP895" s="46"/>
      <c r="AQ895" s="46"/>
      <c r="AR895" s="46"/>
      <c r="AS895" s="46"/>
      <c r="AT895" s="46"/>
      <c r="AU895" s="46"/>
      <c r="AV895" s="46"/>
      <c r="AW895" s="46"/>
      <c r="AX895" s="46"/>
      <c r="AY895" s="46"/>
      <c r="AZ895" s="46"/>
      <c r="BA895" s="46"/>
      <c r="BB895" s="46"/>
      <c r="BC895" s="46"/>
      <c r="BD895" s="46"/>
      <c r="BE895" s="46"/>
      <c r="BF895" s="46"/>
      <c r="BG895" s="46"/>
      <c r="BH895" s="46"/>
    </row>
    <row r="896" spans="1:60" ht="14.25" customHeight="1" x14ac:dyDescent="0.3">
      <c r="A896" s="46"/>
      <c r="B896" s="37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  <c r="AB896" s="46"/>
      <c r="AC896" s="46"/>
      <c r="AD896" s="46"/>
      <c r="AE896" s="46"/>
      <c r="AF896" s="46"/>
      <c r="AG896" s="46"/>
      <c r="AH896" s="46"/>
      <c r="AI896" s="46"/>
      <c r="AJ896" s="46"/>
      <c r="AK896" s="46"/>
      <c r="AL896" s="46"/>
      <c r="AM896" s="46"/>
      <c r="AN896" s="46"/>
      <c r="AO896" s="46"/>
      <c r="AP896" s="46"/>
      <c r="AQ896" s="46"/>
      <c r="AR896" s="46"/>
      <c r="AS896" s="46"/>
      <c r="AT896" s="46"/>
      <c r="AU896" s="46"/>
      <c r="AV896" s="46"/>
      <c r="AW896" s="46"/>
      <c r="AX896" s="46"/>
      <c r="AY896" s="46"/>
      <c r="AZ896" s="46"/>
      <c r="BA896" s="46"/>
      <c r="BB896" s="46"/>
      <c r="BC896" s="46"/>
      <c r="BD896" s="46"/>
      <c r="BE896" s="46"/>
      <c r="BF896" s="46"/>
      <c r="BG896" s="46"/>
      <c r="BH896" s="46"/>
    </row>
    <row r="897" spans="1:60" ht="14.25" customHeight="1" x14ac:dyDescent="0.3">
      <c r="A897" s="46"/>
      <c r="B897" s="37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  <c r="AB897" s="46"/>
      <c r="AC897" s="46"/>
      <c r="AD897" s="46"/>
      <c r="AE897" s="46"/>
      <c r="AF897" s="46"/>
      <c r="AG897" s="46"/>
      <c r="AH897" s="46"/>
      <c r="AI897" s="46"/>
      <c r="AJ897" s="46"/>
      <c r="AK897" s="46"/>
      <c r="AL897" s="46"/>
      <c r="AM897" s="46"/>
      <c r="AN897" s="46"/>
      <c r="AO897" s="46"/>
      <c r="AP897" s="46"/>
      <c r="AQ897" s="46"/>
      <c r="AR897" s="46"/>
      <c r="AS897" s="46"/>
      <c r="AT897" s="46"/>
      <c r="AU897" s="46"/>
      <c r="AV897" s="46"/>
      <c r="AW897" s="46"/>
      <c r="AX897" s="46"/>
      <c r="AY897" s="46"/>
      <c r="AZ897" s="46"/>
      <c r="BA897" s="46"/>
      <c r="BB897" s="46"/>
      <c r="BC897" s="46"/>
      <c r="BD897" s="46"/>
      <c r="BE897" s="46"/>
      <c r="BF897" s="46"/>
      <c r="BG897" s="46"/>
      <c r="BH897" s="46"/>
    </row>
    <row r="898" spans="1:60" ht="14.25" customHeight="1" x14ac:dyDescent="0.3">
      <c r="A898" s="46"/>
      <c r="B898" s="37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  <c r="AB898" s="46"/>
      <c r="AC898" s="46"/>
      <c r="AD898" s="46"/>
      <c r="AE898" s="46"/>
      <c r="AF898" s="46"/>
      <c r="AG898" s="46"/>
      <c r="AH898" s="46"/>
      <c r="AI898" s="46"/>
      <c r="AJ898" s="46"/>
      <c r="AK898" s="46"/>
      <c r="AL898" s="46"/>
      <c r="AM898" s="46"/>
      <c r="AN898" s="46"/>
      <c r="AO898" s="46"/>
      <c r="AP898" s="46"/>
      <c r="AQ898" s="46"/>
      <c r="AR898" s="46"/>
      <c r="AS898" s="46"/>
      <c r="AT898" s="46"/>
      <c r="AU898" s="46"/>
      <c r="AV898" s="46"/>
      <c r="AW898" s="46"/>
      <c r="AX898" s="46"/>
      <c r="AY898" s="46"/>
      <c r="AZ898" s="46"/>
      <c r="BA898" s="46"/>
      <c r="BB898" s="46"/>
      <c r="BC898" s="46"/>
      <c r="BD898" s="46"/>
      <c r="BE898" s="46"/>
      <c r="BF898" s="46"/>
      <c r="BG898" s="46"/>
      <c r="BH898" s="46"/>
    </row>
    <row r="899" spans="1:60" ht="14.25" customHeight="1" x14ac:dyDescent="0.3">
      <c r="A899" s="46"/>
      <c r="B899" s="37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  <c r="AB899" s="46"/>
      <c r="AC899" s="46"/>
      <c r="AD899" s="46"/>
      <c r="AE899" s="46"/>
      <c r="AF899" s="46"/>
      <c r="AG899" s="46"/>
      <c r="AH899" s="46"/>
      <c r="AI899" s="46"/>
      <c r="AJ899" s="46"/>
      <c r="AK899" s="46"/>
      <c r="AL899" s="46"/>
      <c r="AM899" s="46"/>
      <c r="AN899" s="46"/>
      <c r="AO899" s="46"/>
      <c r="AP899" s="46"/>
      <c r="AQ899" s="46"/>
      <c r="AR899" s="46"/>
      <c r="AS899" s="46"/>
      <c r="AT899" s="46"/>
      <c r="AU899" s="46"/>
      <c r="AV899" s="46"/>
      <c r="AW899" s="46"/>
      <c r="AX899" s="46"/>
      <c r="AY899" s="46"/>
      <c r="AZ899" s="46"/>
      <c r="BA899" s="46"/>
      <c r="BB899" s="46"/>
      <c r="BC899" s="46"/>
      <c r="BD899" s="46"/>
      <c r="BE899" s="46"/>
      <c r="BF899" s="46"/>
      <c r="BG899" s="46"/>
      <c r="BH899" s="46"/>
    </row>
    <row r="900" spans="1:60" ht="14.25" customHeight="1" x14ac:dyDescent="0.3">
      <c r="A900" s="46"/>
      <c r="B900" s="37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  <c r="AA900" s="46"/>
      <c r="AB900" s="46"/>
      <c r="AC900" s="46"/>
      <c r="AD900" s="46"/>
      <c r="AE900" s="46"/>
      <c r="AF900" s="46"/>
      <c r="AG900" s="46"/>
      <c r="AH900" s="46"/>
      <c r="AI900" s="46"/>
      <c r="AJ900" s="46"/>
      <c r="AK900" s="46"/>
      <c r="AL900" s="46"/>
      <c r="AM900" s="46"/>
      <c r="AN900" s="46"/>
      <c r="AO900" s="46"/>
      <c r="AP900" s="46"/>
      <c r="AQ900" s="46"/>
      <c r="AR900" s="46"/>
      <c r="AS900" s="46"/>
      <c r="AT900" s="46"/>
      <c r="AU900" s="46"/>
      <c r="AV900" s="46"/>
      <c r="AW900" s="46"/>
      <c r="AX900" s="46"/>
      <c r="AY900" s="46"/>
      <c r="AZ900" s="46"/>
      <c r="BA900" s="46"/>
      <c r="BB900" s="46"/>
      <c r="BC900" s="46"/>
      <c r="BD900" s="46"/>
      <c r="BE900" s="46"/>
      <c r="BF900" s="46"/>
      <c r="BG900" s="46"/>
      <c r="BH900" s="46"/>
    </row>
    <row r="901" spans="1:60" ht="14.25" customHeight="1" x14ac:dyDescent="0.3">
      <c r="A901" s="46"/>
      <c r="B901" s="37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  <c r="AA901" s="46"/>
      <c r="AB901" s="46"/>
      <c r="AC901" s="46"/>
      <c r="AD901" s="46"/>
      <c r="AE901" s="46"/>
      <c r="AF901" s="46"/>
      <c r="AG901" s="46"/>
      <c r="AH901" s="46"/>
      <c r="AI901" s="46"/>
      <c r="AJ901" s="46"/>
      <c r="AK901" s="46"/>
      <c r="AL901" s="46"/>
      <c r="AM901" s="46"/>
      <c r="AN901" s="46"/>
      <c r="AO901" s="46"/>
      <c r="AP901" s="46"/>
      <c r="AQ901" s="46"/>
      <c r="AR901" s="46"/>
      <c r="AS901" s="46"/>
      <c r="AT901" s="46"/>
      <c r="AU901" s="46"/>
      <c r="AV901" s="46"/>
      <c r="AW901" s="46"/>
      <c r="AX901" s="46"/>
      <c r="AY901" s="46"/>
      <c r="AZ901" s="46"/>
      <c r="BA901" s="46"/>
      <c r="BB901" s="46"/>
      <c r="BC901" s="46"/>
      <c r="BD901" s="46"/>
      <c r="BE901" s="46"/>
      <c r="BF901" s="46"/>
      <c r="BG901" s="46"/>
      <c r="BH901" s="46"/>
    </row>
    <row r="902" spans="1:60" ht="14.25" customHeight="1" x14ac:dyDescent="0.3">
      <c r="A902" s="46"/>
      <c r="B902" s="37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  <c r="AB902" s="46"/>
      <c r="AC902" s="46"/>
      <c r="AD902" s="46"/>
      <c r="AE902" s="46"/>
      <c r="AF902" s="46"/>
      <c r="AG902" s="46"/>
      <c r="AH902" s="46"/>
      <c r="AI902" s="46"/>
      <c r="AJ902" s="46"/>
      <c r="AK902" s="46"/>
      <c r="AL902" s="46"/>
      <c r="AM902" s="46"/>
      <c r="AN902" s="46"/>
      <c r="AO902" s="46"/>
      <c r="AP902" s="46"/>
      <c r="AQ902" s="46"/>
      <c r="AR902" s="46"/>
      <c r="AS902" s="46"/>
      <c r="AT902" s="46"/>
      <c r="AU902" s="46"/>
      <c r="AV902" s="46"/>
      <c r="AW902" s="46"/>
      <c r="AX902" s="46"/>
      <c r="AY902" s="46"/>
      <c r="AZ902" s="46"/>
      <c r="BA902" s="46"/>
      <c r="BB902" s="46"/>
      <c r="BC902" s="46"/>
      <c r="BD902" s="46"/>
      <c r="BE902" s="46"/>
      <c r="BF902" s="46"/>
      <c r="BG902" s="46"/>
      <c r="BH902" s="46"/>
    </row>
    <row r="903" spans="1:60" ht="14.25" customHeight="1" x14ac:dyDescent="0.3">
      <c r="A903" s="46"/>
      <c r="B903" s="37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  <c r="AA903" s="46"/>
      <c r="AB903" s="46"/>
      <c r="AC903" s="46"/>
      <c r="AD903" s="46"/>
      <c r="AE903" s="46"/>
      <c r="AF903" s="46"/>
      <c r="AG903" s="46"/>
      <c r="AH903" s="46"/>
      <c r="AI903" s="46"/>
      <c r="AJ903" s="46"/>
      <c r="AK903" s="46"/>
      <c r="AL903" s="46"/>
      <c r="AM903" s="46"/>
      <c r="AN903" s="46"/>
      <c r="AO903" s="46"/>
      <c r="AP903" s="46"/>
      <c r="AQ903" s="46"/>
      <c r="AR903" s="46"/>
      <c r="AS903" s="46"/>
      <c r="AT903" s="46"/>
      <c r="AU903" s="46"/>
      <c r="AV903" s="46"/>
      <c r="AW903" s="46"/>
      <c r="AX903" s="46"/>
      <c r="AY903" s="46"/>
      <c r="AZ903" s="46"/>
      <c r="BA903" s="46"/>
      <c r="BB903" s="46"/>
      <c r="BC903" s="46"/>
      <c r="BD903" s="46"/>
      <c r="BE903" s="46"/>
      <c r="BF903" s="46"/>
      <c r="BG903" s="46"/>
      <c r="BH903" s="46"/>
    </row>
    <row r="904" spans="1:60" ht="14.25" customHeight="1" x14ac:dyDescent="0.3">
      <c r="A904" s="46"/>
      <c r="B904" s="37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  <c r="AA904" s="46"/>
      <c r="AB904" s="46"/>
      <c r="AC904" s="46"/>
      <c r="AD904" s="46"/>
      <c r="AE904" s="46"/>
      <c r="AF904" s="46"/>
      <c r="AG904" s="46"/>
      <c r="AH904" s="46"/>
      <c r="AI904" s="46"/>
      <c r="AJ904" s="46"/>
      <c r="AK904" s="46"/>
      <c r="AL904" s="46"/>
      <c r="AM904" s="46"/>
      <c r="AN904" s="46"/>
      <c r="AO904" s="46"/>
      <c r="AP904" s="46"/>
      <c r="AQ904" s="46"/>
      <c r="AR904" s="46"/>
      <c r="AS904" s="46"/>
      <c r="AT904" s="46"/>
      <c r="AU904" s="46"/>
      <c r="AV904" s="46"/>
      <c r="AW904" s="46"/>
      <c r="AX904" s="46"/>
      <c r="AY904" s="46"/>
      <c r="AZ904" s="46"/>
      <c r="BA904" s="46"/>
      <c r="BB904" s="46"/>
      <c r="BC904" s="46"/>
      <c r="BD904" s="46"/>
      <c r="BE904" s="46"/>
      <c r="BF904" s="46"/>
      <c r="BG904" s="46"/>
      <c r="BH904" s="46"/>
    </row>
    <row r="905" spans="1:60" ht="14.25" customHeight="1" x14ac:dyDescent="0.3">
      <c r="A905" s="46"/>
      <c r="B905" s="37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  <c r="AB905" s="46"/>
      <c r="AC905" s="46"/>
      <c r="AD905" s="46"/>
      <c r="AE905" s="46"/>
      <c r="AF905" s="46"/>
      <c r="AG905" s="46"/>
      <c r="AH905" s="46"/>
      <c r="AI905" s="46"/>
      <c r="AJ905" s="46"/>
      <c r="AK905" s="46"/>
      <c r="AL905" s="46"/>
      <c r="AM905" s="46"/>
      <c r="AN905" s="46"/>
      <c r="AO905" s="46"/>
      <c r="AP905" s="46"/>
      <c r="AQ905" s="46"/>
      <c r="AR905" s="46"/>
      <c r="AS905" s="46"/>
      <c r="AT905" s="46"/>
      <c r="AU905" s="46"/>
      <c r="AV905" s="46"/>
      <c r="AW905" s="46"/>
      <c r="AX905" s="46"/>
      <c r="AY905" s="46"/>
      <c r="AZ905" s="46"/>
      <c r="BA905" s="46"/>
      <c r="BB905" s="46"/>
      <c r="BC905" s="46"/>
      <c r="BD905" s="46"/>
      <c r="BE905" s="46"/>
      <c r="BF905" s="46"/>
      <c r="BG905" s="46"/>
      <c r="BH905" s="46"/>
    </row>
    <row r="906" spans="1:60" ht="14.25" customHeight="1" x14ac:dyDescent="0.3">
      <c r="A906" s="46"/>
      <c r="B906" s="37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  <c r="AA906" s="46"/>
      <c r="AB906" s="46"/>
      <c r="AC906" s="46"/>
      <c r="AD906" s="46"/>
      <c r="AE906" s="46"/>
      <c r="AF906" s="46"/>
      <c r="AG906" s="46"/>
      <c r="AH906" s="46"/>
      <c r="AI906" s="46"/>
      <c r="AJ906" s="46"/>
      <c r="AK906" s="46"/>
      <c r="AL906" s="46"/>
      <c r="AM906" s="46"/>
      <c r="AN906" s="46"/>
      <c r="AO906" s="46"/>
      <c r="AP906" s="46"/>
      <c r="AQ906" s="46"/>
      <c r="AR906" s="46"/>
      <c r="AS906" s="46"/>
      <c r="AT906" s="46"/>
      <c r="AU906" s="46"/>
      <c r="AV906" s="46"/>
      <c r="AW906" s="46"/>
      <c r="AX906" s="46"/>
      <c r="AY906" s="46"/>
      <c r="AZ906" s="46"/>
      <c r="BA906" s="46"/>
      <c r="BB906" s="46"/>
      <c r="BC906" s="46"/>
      <c r="BD906" s="46"/>
      <c r="BE906" s="46"/>
      <c r="BF906" s="46"/>
      <c r="BG906" s="46"/>
      <c r="BH906" s="46"/>
    </row>
    <row r="907" spans="1:60" ht="14.25" customHeight="1" x14ac:dyDescent="0.3">
      <c r="A907" s="46"/>
      <c r="B907" s="37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  <c r="AA907" s="46"/>
      <c r="AB907" s="46"/>
      <c r="AC907" s="46"/>
      <c r="AD907" s="46"/>
      <c r="AE907" s="46"/>
      <c r="AF907" s="46"/>
      <c r="AG907" s="46"/>
      <c r="AH907" s="46"/>
      <c r="AI907" s="46"/>
      <c r="AJ907" s="46"/>
      <c r="AK907" s="46"/>
      <c r="AL907" s="46"/>
      <c r="AM907" s="46"/>
      <c r="AN907" s="46"/>
      <c r="AO907" s="46"/>
      <c r="AP907" s="46"/>
      <c r="AQ907" s="46"/>
      <c r="AR907" s="46"/>
      <c r="AS907" s="46"/>
      <c r="AT907" s="46"/>
      <c r="AU907" s="46"/>
      <c r="AV907" s="46"/>
      <c r="AW907" s="46"/>
      <c r="AX907" s="46"/>
      <c r="AY907" s="46"/>
      <c r="AZ907" s="46"/>
      <c r="BA907" s="46"/>
      <c r="BB907" s="46"/>
      <c r="BC907" s="46"/>
      <c r="BD907" s="46"/>
      <c r="BE907" s="46"/>
      <c r="BF907" s="46"/>
      <c r="BG907" s="46"/>
      <c r="BH907" s="46"/>
    </row>
    <row r="908" spans="1:60" ht="14.25" customHeight="1" x14ac:dyDescent="0.3">
      <c r="A908" s="46"/>
      <c r="B908" s="37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  <c r="AA908" s="46"/>
      <c r="AB908" s="46"/>
      <c r="AC908" s="46"/>
      <c r="AD908" s="46"/>
      <c r="AE908" s="46"/>
      <c r="AF908" s="46"/>
      <c r="AG908" s="46"/>
      <c r="AH908" s="46"/>
      <c r="AI908" s="46"/>
      <c r="AJ908" s="46"/>
      <c r="AK908" s="46"/>
      <c r="AL908" s="46"/>
      <c r="AM908" s="46"/>
      <c r="AN908" s="46"/>
      <c r="AO908" s="46"/>
      <c r="AP908" s="46"/>
      <c r="AQ908" s="46"/>
      <c r="AR908" s="46"/>
      <c r="AS908" s="46"/>
      <c r="AT908" s="46"/>
      <c r="AU908" s="46"/>
      <c r="AV908" s="46"/>
      <c r="AW908" s="46"/>
      <c r="AX908" s="46"/>
      <c r="AY908" s="46"/>
      <c r="AZ908" s="46"/>
      <c r="BA908" s="46"/>
      <c r="BB908" s="46"/>
      <c r="BC908" s="46"/>
      <c r="BD908" s="46"/>
      <c r="BE908" s="46"/>
      <c r="BF908" s="46"/>
      <c r="BG908" s="46"/>
      <c r="BH908" s="46"/>
    </row>
    <row r="909" spans="1:60" ht="14.25" customHeight="1" x14ac:dyDescent="0.3">
      <c r="A909" s="46"/>
      <c r="B909" s="37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  <c r="AA909" s="46"/>
      <c r="AB909" s="46"/>
      <c r="AC909" s="46"/>
      <c r="AD909" s="46"/>
      <c r="AE909" s="46"/>
      <c r="AF909" s="46"/>
      <c r="AG909" s="46"/>
      <c r="AH909" s="46"/>
      <c r="AI909" s="46"/>
      <c r="AJ909" s="46"/>
      <c r="AK909" s="46"/>
      <c r="AL909" s="46"/>
      <c r="AM909" s="46"/>
      <c r="AN909" s="46"/>
      <c r="AO909" s="46"/>
      <c r="AP909" s="46"/>
      <c r="AQ909" s="46"/>
      <c r="AR909" s="46"/>
      <c r="AS909" s="46"/>
      <c r="AT909" s="46"/>
      <c r="AU909" s="46"/>
      <c r="AV909" s="46"/>
      <c r="AW909" s="46"/>
      <c r="AX909" s="46"/>
      <c r="AY909" s="46"/>
      <c r="AZ909" s="46"/>
      <c r="BA909" s="46"/>
      <c r="BB909" s="46"/>
      <c r="BC909" s="46"/>
      <c r="BD909" s="46"/>
      <c r="BE909" s="46"/>
      <c r="BF909" s="46"/>
      <c r="BG909" s="46"/>
      <c r="BH909" s="46"/>
    </row>
    <row r="910" spans="1:60" ht="14.25" customHeight="1" x14ac:dyDescent="0.3">
      <c r="A910" s="46"/>
      <c r="B910" s="37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  <c r="AA910" s="46"/>
      <c r="AB910" s="46"/>
      <c r="AC910" s="46"/>
      <c r="AD910" s="46"/>
      <c r="AE910" s="46"/>
      <c r="AF910" s="46"/>
      <c r="AG910" s="46"/>
      <c r="AH910" s="46"/>
      <c r="AI910" s="46"/>
      <c r="AJ910" s="46"/>
      <c r="AK910" s="46"/>
      <c r="AL910" s="46"/>
      <c r="AM910" s="46"/>
      <c r="AN910" s="46"/>
      <c r="AO910" s="46"/>
      <c r="AP910" s="46"/>
      <c r="AQ910" s="46"/>
      <c r="AR910" s="46"/>
      <c r="AS910" s="46"/>
      <c r="AT910" s="46"/>
      <c r="AU910" s="46"/>
      <c r="AV910" s="46"/>
      <c r="AW910" s="46"/>
      <c r="AX910" s="46"/>
      <c r="AY910" s="46"/>
      <c r="AZ910" s="46"/>
      <c r="BA910" s="46"/>
      <c r="BB910" s="46"/>
      <c r="BC910" s="46"/>
      <c r="BD910" s="46"/>
      <c r="BE910" s="46"/>
      <c r="BF910" s="46"/>
      <c r="BG910" s="46"/>
      <c r="BH910" s="46"/>
    </row>
    <row r="911" spans="1:60" ht="14.25" customHeight="1" x14ac:dyDescent="0.3">
      <c r="A911" s="46"/>
      <c r="B911" s="37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  <c r="AA911" s="46"/>
      <c r="AB911" s="46"/>
      <c r="AC911" s="46"/>
      <c r="AD911" s="46"/>
      <c r="AE911" s="46"/>
      <c r="AF911" s="46"/>
      <c r="AG911" s="46"/>
      <c r="AH911" s="46"/>
      <c r="AI911" s="46"/>
      <c r="AJ911" s="46"/>
      <c r="AK911" s="46"/>
      <c r="AL911" s="46"/>
      <c r="AM911" s="46"/>
      <c r="AN911" s="46"/>
      <c r="AO911" s="46"/>
      <c r="AP911" s="46"/>
      <c r="AQ911" s="46"/>
      <c r="AR911" s="46"/>
      <c r="AS911" s="46"/>
      <c r="AT911" s="46"/>
      <c r="AU911" s="46"/>
      <c r="AV911" s="46"/>
      <c r="AW911" s="46"/>
      <c r="AX911" s="46"/>
      <c r="AY911" s="46"/>
      <c r="AZ911" s="46"/>
      <c r="BA911" s="46"/>
      <c r="BB911" s="46"/>
      <c r="BC911" s="46"/>
      <c r="BD911" s="46"/>
      <c r="BE911" s="46"/>
      <c r="BF911" s="46"/>
      <c r="BG911" s="46"/>
      <c r="BH911" s="46"/>
    </row>
    <row r="912" spans="1:60" ht="14.25" customHeight="1" x14ac:dyDescent="0.3">
      <c r="A912" s="46"/>
      <c r="B912" s="37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  <c r="AA912" s="46"/>
      <c r="AB912" s="46"/>
      <c r="AC912" s="46"/>
      <c r="AD912" s="46"/>
      <c r="AE912" s="46"/>
      <c r="AF912" s="46"/>
      <c r="AG912" s="46"/>
      <c r="AH912" s="46"/>
      <c r="AI912" s="46"/>
      <c r="AJ912" s="46"/>
      <c r="AK912" s="46"/>
      <c r="AL912" s="46"/>
      <c r="AM912" s="46"/>
      <c r="AN912" s="46"/>
      <c r="AO912" s="46"/>
      <c r="AP912" s="46"/>
      <c r="AQ912" s="46"/>
      <c r="AR912" s="46"/>
      <c r="AS912" s="46"/>
      <c r="AT912" s="46"/>
      <c r="AU912" s="46"/>
      <c r="AV912" s="46"/>
      <c r="AW912" s="46"/>
      <c r="AX912" s="46"/>
      <c r="AY912" s="46"/>
      <c r="AZ912" s="46"/>
      <c r="BA912" s="46"/>
      <c r="BB912" s="46"/>
      <c r="BC912" s="46"/>
      <c r="BD912" s="46"/>
      <c r="BE912" s="46"/>
      <c r="BF912" s="46"/>
      <c r="BG912" s="46"/>
      <c r="BH912" s="46"/>
    </row>
    <row r="913" spans="1:60" ht="14.25" customHeight="1" x14ac:dyDescent="0.3">
      <c r="A913" s="46"/>
      <c r="B913" s="37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6"/>
      <c r="AB913" s="46"/>
      <c r="AC913" s="46"/>
      <c r="AD913" s="46"/>
      <c r="AE913" s="46"/>
      <c r="AF913" s="46"/>
      <c r="AG913" s="46"/>
      <c r="AH913" s="46"/>
      <c r="AI913" s="46"/>
      <c r="AJ913" s="46"/>
      <c r="AK913" s="46"/>
      <c r="AL913" s="46"/>
      <c r="AM913" s="46"/>
      <c r="AN913" s="46"/>
      <c r="AO913" s="46"/>
      <c r="AP913" s="46"/>
      <c r="AQ913" s="46"/>
      <c r="AR913" s="46"/>
      <c r="AS913" s="46"/>
      <c r="AT913" s="46"/>
      <c r="AU913" s="46"/>
      <c r="AV913" s="46"/>
      <c r="AW913" s="46"/>
      <c r="AX913" s="46"/>
      <c r="AY913" s="46"/>
      <c r="AZ913" s="46"/>
      <c r="BA913" s="46"/>
      <c r="BB913" s="46"/>
      <c r="BC913" s="46"/>
      <c r="BD913" s="46"/>
      <c r="BE913" s="46"/>
      <c r="BF913" s="46"/>
      <c r="BG913" s="46"/>
      <c r="BH913" s="46"/>
    </row>
    <row r="914" spans="1:60" ht="14.25" customHeight="1" x14ac:dyDescent="0.3">
      <c r="A914" s="46"/>
      <c r="B914" s="37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  <c r="AA914" s="46"/>
      <c r="AB914" s="46"/>
      <c r="AC914" s="46"/>
      <c r="AD914" s="46"/>
      <c r="AE914" s="46"/>
      <c r="AF914" s="46"/>
      <c r="AG914" s="46"/>
      <c r="AH914" s="46"/>
      <c r="AI914" s="46"/>
      <c r="AJ914" s="46"/>
      <c r="AK914" s="46"/>
      <c r="AL914" s="46"/>
      <c r="AM914" s="46"/>
      <c r="AN914" s="46"/>
      <c r="AO914" s="46"/>
      <c r="AP914" s="46"/>
      <c r="AQ914" s="46"/>
      <c r="AR914" s="46"/>
      <c r="AS914" s="46"/>
      <c r="AT914" s="46"/>
      <c r="AU914" s="46"/>
      <c r="AV914" s="46"/>
      <c r="AW914" s="46"/>
      <c r="AX914" s="46"/>
      <c r="AY914" s="46"/>
      <c r="AZ914" s="46"/>
      <c r="BA914" s="46"/>
      <c r="BB914" s="46"/>
      <c r="BC914" s="46"/>
      <c r="BD914" s="46"/>
      <c r="BE914" s="46"/>
      <c r="BF914" s="46"/>
      <c r="BG914" s="46"/>
      <c r="BH914" s="46"/>
    </row>
    <row r="915" spans="1:60" ht="14.25" customHeight="1" x14ac:dyDescent="0.3">
      <c r="A915" s="46"/>
      <c r="B915" s="37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  <c r="AA915" s="46"/>
      <c r="AB915" s="46"/>
      <c r="AC915" s="46"/>
      <c r="AD915" s="46"/>
      <c r="AE915" s="46"/>
      <c r="AF915" s="46"/>
      <c r="AG915" s="46"/>
      <c r="AH915" s="46"/>
      <c r="AI915" s="46"/>
      <c r="AJ915" s="46"/>
      <c r="AK915" s="46"/>
      <c r="AL915" s="46"/>
      <c r="AM915" s="46"/>
      <c r="AN915" s="46"/>
      <c r="AO915" s="46"/>
      <c r="AP915" s="46"/>
      <c r="AQ915" s="46"/>
      <c r="AR915" s="46"/>
      <c r="AS915" s="46"/>
      <c r="AT915" s="46"/>
      <c r="AU915" s="46"/>
      <c r="AV915" s="46"/>
      <c r="AW915" s="46"/>
      <c r="AX915" s="46"/>
      <c r="AY915" s="46"/>
      <c r="AZ915" s="46"/>
      <c r="BA915" s="46"/>
      <c r="BB915" s="46"/>
      <c r="BC915" s="46"/>
      <c r="BD915" s="46"/>
      <c r="BE915" s="46"/>
      <c r="BF915" s="46"/>
      <c r="BG915" s="46"/>
      <c r="BH915" s="46"/>
    </row>
    <row r="916" spans="1:60" ht="14.25" customHeight="1" x14ac:dyDescent="0.3">
      <c r="A916" s="46"/>
      <c r="B916" s="37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  <c r="AA916" s="46"/>
      <c r="AB916" s="46"/>
      <c r="AC916" s="46"/>
      <c r="AD916" s="46"/>
      <c r="AE916" s="46"/>
      <c r="AF916" s="46"/>
      <c r="AG916" s="46"/>
      <c r="AH916" s="46"/>
      <c r="AI916" s="46"/>
      <c r="AJ916" s="46"/>
      <c r="AK916" s="46"/>
      <c r="AL916" s="46"/>
      <c r="AM916" s="46"/>
      <c r="AN916" s="46"/>
      <c r="AO916" s="46"/>
      <c r="AP916" s="46"/>
      <c r="AQ916" s="46"/>
      <c r="AR916" s="46"/>
      <c r="AS916" s="46"/>
      <c r="AT916" s="46"/>
      <c r="AU916" s="46"/>
      <c r="AV916" s="46"/>
      <c r="AW916" s="46"/>
      <c r="AX916" s="46"/>
      <c r="AY916" s="46"/>
      <c r="AZ916" s="46"/>
      <c r="BA916" s="46"/>
      <c r="BB916" s="46"/>
      <c r="BC916" s="46"/>
      <c r="BD916" s="46"/>
      <c r="BE916" s="46"/>
      <c r="BF916" s="46"/>
      <c r="BG916" s="46"/>
      <c r="BH916" s="46"/>
    </row>
    <row r="917" spans="1:60" ht="14.25" customHeight="1" x14ac:dyDescent="0.3">
      <c r="A917" s="46"/>
      <c r="B917" s="37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  <c r="AA917" s="46"/>
      <c r="AB917" s="46"/>
      <c r="AC917" s="46"/>
      <c r="AD917" s="46"/>
      <c r="AE917" s="46"/>
      <c r="AF917" s="46"/>
      <c r="AG917" s="46"/>
      <c r="AH917" s="46"/>
      <c r="AI917" s="46"/>
      <c r="AJ917" s="46"/>
      <c r="AK917" s="46"/>
      <c r="AL917" s="46"/>
      <c r="AM917" s="46"/>
      <c r="AN917" s="46"/>
      <c r="AO917" s="46"/>
      <c r="AP917" s="46"/>
      <c r="AQ917" s="46"/>
      <c r="AR917" s="46"/>
      <c r="AS917" s="46"/>
      <c r="AT917" s="46"/>
      <c r="AU917" s="46"/>
      <c r="AV917" s="46"/>
      <c r="AW917" s="46"/>
      <c r="AX917" s="46"/>
      <c r="AY917" s="46"/>
      <c r="AZ917" s="46"/>
      <c r="BA917" s="46"/>
      <c r="BB917" s="46"/>
      <c r="BC917" s="46"/>
      <c r="BD917" s="46"/>
      <c r="BE917" s="46"/>
      <c r="BF917" s="46"/>
      <c r="BG917" s="46"/>
      <c r="BH917" s="46"/>
    </row>
    <row r="918" spans="1:60" ht="14.25" customHeight="1" x14ac:dyDescent="0.3">
      <c r="A918" s="46"/>
      <c r="B918" s="37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  <c r="AA918" s="46"/>
      <c r="AB918" s="46"/>
      <c r="AC918" s="46"/>
      <c r="AD918" s="46"/>
      <c r="AE918" s="46"/>
      <c r="AF918" s="46"/>
      <c r="AG918" s="46"/>
      <c r="AH918" s="46"/>
      <c r="AI918" s="46"/>
      <c r="AJ918" s="46"/>
      <c r="AK918" s="46"/>
      <c r="AL918" s="46"/>
      <c r="AM918" s="46"/>
      <c r="AN918" s="46"/>
      <c r="AO918" s="46"/>
      <c r="AP918" s="46"/>
      <c r="AQ918" s="46"/>
      <c r="AR918" s="46"/>
      <c r="AS918" s="46"/>
      <c r="AT918" s="46"/>
      <c r="AU918" s="46"/>
      <c r="AV918" s="46"/>
      <c r="AW918" s="46"/>
      <c r="AX918" s="46"/>
      <c r="AY918" s="46"/>
      <c r="AZ918" s="46"/>
      <c r="BA918" s="46"/>
      <c r="BB918" s="46"/>
      <c r="BC918" s="46"/>
      <c r="BD918" s="46"/>
      <c r="BE918" s="46"/>
      <c r="BF918" s="46"/>
      <c r="BG918" s="46"/>
      <c r="BH918" s="46"/>
    </row>
    <row r="919" spans="1:60" ht="14.25" customHeight="1" x14ac:dyDescent="0.3">
      <c r="A919" s="46"/>
      <c r="B919" s="37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  <c r="AA919" s="46"/>
      <c r="AB919" s="46"/>
      <c r="AC919" s="46"/>
      <c r="AD919" s="46"/>
      <c r="AE919" s="46"/>
      <c r="AF919" s="46"/>
      <c r="AG919" s="46"/>
      <c r="AH919" s="46"/>
      <c r="AI919" s="46"/>
      <c r="AJ919" s="46"/>
      <c r="AK919" s="46"/>
      <c r="AL919" s="46"/>
      <c r="AM919" s="46"/>
      <c r="AN919" s="46"/>
      <c r="AO919" s="46"/>
      <c r="AP919" s="46"/>
      <c r="AQ919" s="46"/>
      <c r="AR919" s="46"/>
      <c r="AS919" s="46"/>
      <c r="AT919" s="46"/>
      <c r="AU919" s="46"/>
      <c r="AV919" s="46"/>
      <c r="AW919" s="46"/>
      <c r="AX919" s="46"/>
      <c r="AY919" s="46"/>
      <c r="AZ919" s="46"/>
      <c r="BA919" s="46"/>
      <c r="BB919" s="46"/>
      <c r="BC919" s="46"/>
      <c r="BD919" s="46"/>
      <c r="BE919" s="46"/>
      <c r="BF919" s="46"/>
      <c r="BG919" s="46"/>
      <c r="BH919" s="46"/>
    </row>
    <row r="920" spans="1:60" ht="14.25" customHeight="1" x14ac:dyDescent="0.3">
      <c r="A920" s="46"/>
      <c r="B920" s="37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  <c r="AA920" s="46"/>
      <c r="AB920" s="46"/>
      <c r="AC920" s="46"/>
      <c r="AD920" s="46"/>
      <c r="AE920" s="46"/>
      <c r="AF920" s="46"/>
      <c r="AG920" s="46"/>
      <c r="AH920" s="46"/>
      <c r="AI920" s="46"/>
      <c r="AJ920" s="46"/>
      <c r="AK920" s="46"/>
      <c r="AL920" s="46"/>
      <c r="AM920" s="46"/>
      <c r="AN920" s="46"/>
      <c r="AO920" s="46"/>
      <c r="AP920" s="46"/>
      <c r="AQ920" s="46"/>
      <c r="AR920" s="46"/>
      <c r="AS920" s="46"/>
      <c r="AT920" s="46"/>
      <c r="AU920" s="46"/>
      <c r="AV920" s="46"/>
      <c r="AW920" s="46"/>
      <c r="AX920" s="46"/>
      <c r="AY920" s="46"/>
      <c r="AZ920" s="46"/>
      <c r="BA920" s="46"/>
      <c r="BB920" s="46"/>
      <c r="BC920" s="46"/>
      <c r="BD920" s="46"/>
      <c r="BE920" s="46"/>
      <c r="BF920" s="46"/>
      <c r="BG920" s="46"/>
      <c r="BH920" s="46"/>
    </row>
    <row r="921" spans="1:60" ht="14.25" customHeight="1" x14ac:dyDescent="0.3">
      <c r="A921" s="46"/>
      <c r="B921" s="37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  <c r="AA921" s="46"/>
      <c r="AB921" s="46"/>
      <c r="AC921" s="46"/>
      <c r="AD921" s="46"/>
      <c r="AE921" s="46"/>
      <c r="AF921" s="46"/>
      <c r="AG921" s="46"/>
      <c r="AH921" s="46"/>
      <c r="AI921" s="46"/>
      <c r="AJ921" s="46"/>
      <c r="AK921" s="46"/>
      <c r="AL921" s="46"/>
      <c r="AM921" s="46"/>
      <c r="AN921" s="46"/>
      <c r="AO921" s="46"/>
      <c r="AP921" s="46"/>
      <c r="AQ921" s="46"/>
      <c r="AR921" s="46"/>
      <c r="AS921" s="46"/>
      <c r="AT921" s="46"/>
      <c r="AU921" s="46"/>
      <c r="AV921" s="46"/>
      <c r="AW921" s="46"/>
      <c r="AX921" s="46"/>
      <c r="AY921" s="46"/>
      <c r="AZ921" s="46"/>
      <c r="BA921" s="46"/>
      <c r="BB921" s="46"/>
      <c r="BC921" s="46"/>
      <c r="BD921" s="46"/>
      <c r="BE921" s="46"/>
      <c r="BF921" s="46"/>
      <c r="BG921" s="46"/>
      <c r="BH921" s="46"/>
    </row>
    <row r="922" spans="1:60" ht="14.25" customHeight="1" x14ac:dyDescent="0.3">
      <c r="A922" s="46"/>
      <c r="B922" s="37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  <c r="AA922" s="46"/>
      <c r="AB922" s="46"/>
      <c r="AC922" s="46"/>
      <c r="AD922" s="46"/>
      <c r="AE922" s="46"/>
      <c r="AF922" s="46"/>
      <c r="AG922" s="46"/>
      <c r="AH922" s="46"/>
      <c r="AI922" s="46"/>
      <c r="AJ922" s="46"/>
      <c r="AK922" s="46"/>
      <c r="AL922" s="46"/>
      <c r="AM922" s="46"/>
      <c r="AN922" s="46"/>
      <c r="AO922" s="46"/>
      <c r="AP922" s="46"/>
      <c r="AQ922" s="46"/>
      <c r="AR922" s="46"/>
      <c r="AS922" s="46"/>
      <c r="AT922" s="46"/>
      <c r="AU922" s="46"/>
      <c r="AV922" s="46"/>
      <c r="AW922" s="46"/>
      <c r="AX922" s="46"/>
      <c r="AY922" s="46"/>
      <c r="AZ922" s="46"/>
      <c r="BA922" s="46"/>
      <c r="BB922" s="46"/>
      <c r="BC922" s="46"/>
      <c r="BD922" s="46"/>
      <c r="BE922" s="46"/>
      <c r="BF922" s="46"/>
      <c r="BG922" s="46"/>
      <c r="BH922" s="46"/>
    </row>
    <row r="923" spans="1:60" ht="14.25" customHeight="1" x14ac:dyDescent="0.3">
      <c r="A923" s="46"/>
      <c r="B923" s="37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  <c r="AA923" s="46"/>
      <c r="AB923" s="46"/>
      <c r="AC923" s="46"/>
      <c r="AD923" s="46"/>
      <c r="AE923" s="46"/>
      <c r="AF923" s="46"/>
      <c r="AG923" s="46"/>
      <c r="AH923" s="46"/>
      <c r="AI923" s="46"/>
      <c r="AJ923" s="46"/>
      <c r="AK923" s="46"/>
      <c r="AL923" s="46"/>
      <c r="AM923" s="46"/>
      <c r="AN923" s="46"/>
      <c r="AO923" s="46"/>
      <c r="AP923" s="46"/>
      <c r="AQ923" s="46"/>
      <c r="AR923" s="46"/>
      <c r="AS923" s="46"/>
      <c r="AT923" s="46"/>
      <c r="AU923" s="46"/>
      <c r="AV923" s="46"/>
      <c r="AW923" s="46"/>
      <c r="AX923" s="46"/>
      <c r="AY923" s="46"/>
      <c r="AZ923" s="46"/>
      <c r="BA923" s="46"/>
      <c r="BB923" s="46"/>
      <c r="BC923" s="46"/>
      <c r="BD923" s="46"/>
      <c r="BE923" s="46"/>
      <c r="BF923" s="46"/>
      <c r="BG923" s="46"/>
      <c r="BH923" s="46"/>
    </row>
    <row r="924" spans="1:60" ht="14.25" customHeight="1" x14ac:dyDescent="0.3">
      <c r="A924" s="46"/>
      <c r="B924" s="37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  <c r="AA924" s="46"/>
      <c r="AB924" s="46"/>
      <c r="AC924" s="46"/>
      <c r="AD924" s="46"/>
      <c r="AE924" s="46"/>
      <c r="AF924" s="46"/>
      <c r="AG924" s="46"/>
      <c r="AH924" s="46"/>
      <c r="AI924" s="46"/>
      <c r="AJ924" s="46"/>
      <c r="AK924" s="46"/>
      <c r="AL924" s="46"/>
      <c r="AM924" s="46"/>
      <c r="AN924" s="46"/>
      <c r="AO924" s="46"/>
      <c r="AP924" s="46"/>
      <c r="AQ924" s="46"/>
      <c r="AR924" s="46"/>
      <c r="AS924" s="46"/>
      <c r="AT924" s="46"/>
      <c r="AU924" s="46"/>
      <c r="AV924" s="46"/>
      <c r="AW924" s="46"/>
      <c r="AX924" s="46"/>
      <c r="AY924" s="46"/>
      <c r="AZ924" s="46"/>
      <c r="BA924" s="46"/>
      <c r="BB924" s="46"/>
      <c r="BC924" s="46"/>
      <c r="BD924" s="46"/>
      <c r="BE924" s="46"/>
      <c r="BF924" s="46"/>
      <c r="BG924" s="46"/>
      <c r="BH924" s="46"/>
    </row>
    <row r="925" spans="1:60" ht="14.25" customHeight="1" x14ac:dyDescent="0.3">
      <c r="A925" s="46"/>
      <c r="B925" s="37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  <c r="AA925" s="46"/>
      <c r="AB925" s="46"/>
      <c r="AC925" s="46"/>
      <c r="AD925" s="46"/>
      <c r="AE925" s="46"/>
      <c r="AF925" s="46"/>
      <c r="AG925" s="46"/>
      <c r="AH925" s="46"/>
      <c r="AI925" s="46"/>
      <c r="AJ925" s="46"/>
      <c r="AK925" s="46"/>
      <c r="AL925" s="46"/>
      <c r="AM925" s="46"/>
      <c r="AN925" s="46"/>
      <c r="AO925" s="46"/>
      <c r="AP925" s="46"/>
      <c r="AQ925" s="46"/>
      <c r="AR925" s="46"/>
      <c r="AS925" s="46"/>
      <c r="AT925" s="46"/>
      <c r="AU925" s="46"/>
      <c r="AV925" s="46"/>
      <c r="AW925" s="46"/>
      <c r="AX925" s="46"/>
      <c r="AY925" s="46"/>
      <c r="AZ925" s="46"/>
      <c r="BA925" s="46"/>
      <c r="BB925" s="46"/>
      <c r="BC925" s="46"/>
      <c r="BD925" s="46"/>
      <c r="BE925" s="46"/>
      <c r="BF925" s="46"/>
      <c r="BG925" s="46"/>
      <c r="BH925" s="46"/>
    </row>
    <row r="926" spans="1:60" ht="14.25" customHeight="1" x14ac:dyDescent="0.3">
      <c r="A926" s="46"/>
      <c r="B926" s="37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  <c r="AB926" s="46"/>
      <c r="AC926" s="46"/>
      <c r="AD926" s="46"/>
      <c r="AE926" s="46"/>
      <c r="AF926" s="46"/>
      <c r="AG926" s="46"/>
      <c r="AH926" s="46"/>
      <c r="AI926" s="46"/>
      <c r="AJ926" s="46"/>
      <c r="AK926" s="46"/>
      <c r="AL926" s="46"/>
      <c r="AM926" s="46"/>
      <c r="AN926" s="46"/>
      <c r="AO926" s="46"/>
      <c r="AP926" s="46"/>
      <c r="AQ926" s="46"/>
      <c r="AR926" s="46"/>
      <c r="AS926" s="46"/>
      <c r="AT926" s="46"/>
      <c r="AU926" s="46"/>
      <c r="AV926" s="46"/>
      <c r="AW926" s="46"/>
      <c r="AX926" s="46"/>
      <c r="AY926" s="46"/>
      <c r="AZ926" s="46"/>
      <c r="BA926" s="46"/>
      <c r="BB926" s="46"/>
      <c r="BC926" s="46"/>
      <c r="BD926" s="46"/>
      <c r="BE926" s="46"/>
      <c r="BF926" s="46"/>
      <c r="BG926" s="46"/>
      <c r="BH926" s="46"/>
    </row>
    <row r="927" spans="1:60" ht="14.25" customHeight="1" x14ac:dyDescent="0.3">
      <c r="A927" s="46"/>
      <c r="B927" s="37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  <c r="AB927" s="46"/>
      <c r="AC927" s="46"/>
      <c r="AD927" s="46"/>
      <c r="AE927" s="46"/>
      <c r="AF927" s="46"/>
      <c r="AG927" s="46"/>
      <c r="AH927" s="46"/>
      <c r="AI927" s="46"/>
      <c r="AJ927" s="46"/>
      <c r="AK927" s="46"/>
      <c r="AL927" s="46"/>
      <c r="AM927" s="46"/>
      <c r="AN927" s="46"/>
      <c r="AO927" s="46"/>
      <c r="AP927" s="46"/>
      <c r="AQ927" s="46"/>
      <c r="AR927" s="46"/>
      <c r="AS927" s="46"/>
      <c r="AT927" s="46"/>
      <c r="AU927" s="46"/>
      <c r="AV927" s="46"/>
      <c r="AW927" s="46"/>
      <c r="AX927" s="46"/>
      <c r="AY927" s="46"/>
      <c r="AZ927" s="46"/>
      <c r="BA927" s="46"/>
      <c r="BB927" s="46"/>
      <c r="BC927" s="46"/>
      <c r="BD927" s="46"/>
      <c r="BE927" s="46"/>
      <c r="BF927" s="46"/>
      <c r="BG927" s="46"/>
      <c r="BH927" s="46"/>
    </row>
    <row r="928" spans="1:60" ht="14.25" customHeight="1" x14ac:dyDescent="0.3">
      <c r="A928" s="46"/>
      <c r="B928" s="37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  <c r="AA928" s="46"/>
      <c r="AB928" s="46"/>
      <c r="AC928" s="46"/>
      <c r="AD928" s="46"/>
      <c r="AE928" s="46"/>
      <c r="AF928" s="46"/>
      <c r="AG928" s="46"/>
      <c r="AH928" s="46"/>
      <c r="AI928" s="46"/>
      <c r="AJ928" s="46"/>
      <c r="AK928" s="46"/>
      <c r="AL928" s="46"/>
      <c r="AM928" s="46"/>
      <c r="AN928" s="46"/>
      <c r="AO928" s="46"/>
      <c r="AP928" s="46"/>
      <c r="AQ928" s="46"/>
      <c r="AR928" s="46"/>
      <c r="AS928" s="46"/>
      <c r="AT928" s="46"/>
      <c r="AU928" s="46"/>
      <c r="AV928" s="46"/>
      <c r="AW928" s="46"/>
      <c r="AX928" s="46"/>
      <c r="AY928" s="46"/>
      <c r="AZ928" s="46"/>
      <c r="BA928" s="46"/>
      <c r="BB928" s="46"/>
      <c r="BC928" s="46"/>
      <c r="BD928" s="46"/>
      <c r="BE928" s="46"/>
      <c r="BF928" s="46"/>
      <c r="BG928" s="46"/>
      <c r="BH928" s="46"/>
    </row>
    <row r="929" spans="1:60" ht="14.25" customHeight="1" x14ac:dyDescent="0.3">
      <c r="A929" s="46"/>
      <c r="B929" s="37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  <c r="AB929" s="46"/>
      <c r="AC929" s="46"/>
      <c r="AD929" s="46"/>
      <c r="AE929" s="46"/>
      <c r="AF929" s="46"/>
      <c r="AG929" s="46"/>
      <c r="AH929" s="46"/>
      <c r="AI929" s="46"/>
      <c r="AJ929" s="46"/>
      <c r="AK929" s="46"/>
      <c r="AL929" s="46"/>
      <c r="AM929" s="46"/>
      <c r="AN929" s="46"/>
      <c r="AO929" s="46"/>
      <c r="AP929" s="46"/>
      <c r="AQ929" s="46"/>
      <c r="AR929" s="46"/>
      <c r="AS929" s="46"/>
      <c r="AT929" s="46"/>
      <c r="AU929" s="46"/>
      <c r="AV929" s="46"/>
      <c r="AW929" s="46"/>
      <c r="AX929" s="46"/>
      <c r="AY929" s="46"/>
      <c r="AZ929" s="46"/>
      <c r="BA929" s="46"/>
      <c r="BB929" s="46"/>
      <c r="BC929" s="46"/>
      <c r="BD929" s="46"/>
      <c r="BE929" s="46"/>
      <c r="BF929" s="46"/>
      <c r="BG929" s="46"/>
      <c r="BH929" s="46"/>
    </row>
    <row r="930" spans="1:60" ht="14.25" customHeight="1" x14ac:dyDescent="0.3">
      <c r="A930" s="46"/>
      <c r="B930" s="37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  <c r="AB930" s="46"/>
      <c r="AC930" s="46"/>
      <c r="AD930" s="46"/>
      <c r="AE930" s="46"/>
      <c r="AF930" s="46"/>
      <c r="AG930" s="46"/>
      <c r="AH930" s="46"/>
      <c r="AI930" s="46"/>
      <c r="AJ930" s="46"/>
      <c r="AK930" s="46"/>
      <c r="AL930" s="46"/>
      <c r="AM930" s="46"/>
      <c r="AN930" s="46"/>
      <c r="AO930" s="46"/>
      <c r="AP930" s="46"/>
      <c r="AQ930" s="46"/>
      <c r="AR930" s="46"/>
      <c r="AS930" s="46"/>
      <c r="AT930" s="46"/>
      <c r="AU930" s="46"/>
      <c r="AV930" s="46"/>
      <c r="AW930" s="46"/>
      <c r="AX930" s="46"/>
      <c r="AY930" s="46"/>
      <c r="AZ930" s="46"/>
      <c r="BA930" s="46"/>
      <c r="BB930" s="46"/>
      <c r="BC930" s="46"/>
      <c r="BD930" s="46"/>
      <c r="BE930" s="46"/>
      <c r="BF930" s="46"/>
      <c r="BG930" s="46"/>
      <c r="BH930" s="46"/>
    </row>
    <row r="931" spans="1:60" ht="14.25" customHeight="1" x14ac:dyDescent="0.3">
      <c r="A931" s="46"/>
      <c r="B931" s="37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  <c r="AB931" s="46"/>
      <c r="AC931" s="46"/>
      <c r="AD931" s="46"/>
      <c r="AE931" s="46"/>
      <c r="AF931" s="46"/>
      <c r="AG931" s="46"/>
      <c r="AH931" s="46"/>
      <c r="AI931" s="46"/>
      <c r="AJ931" s="46"/>
      <c r="AK931" s="46"/>
      <c r="AL931" s="46"/>
      <c r="AM931" s="46"/>
      <c r="AN931" s="46"/>
      <c r="AO931" s="46"/>
      <c r="AP931" s="46"/>
      <c r="AQ931" s="46"/>
      <c r="AR931" s="46"/>
      <c r="AS931" s="46"/>
      <c r="AT931" s="46"/>
      <c r="AU931" s="46"/>
      <c r="AV931" s="46"/>
      <c r="AW931" s="46"/>
      <c r="AX931" s="46"/>
      <c r="AY931" s="46"/>
      <c r="AZ931" s="46"/>
      <c r="BA931" s="46"/>
      <c r="BB931" s="46"/>
      <c r="BC931" s="46"/>
      <c r="BD931" s="46"/>
      <c r="BE931" s="46"/>
      <c r="BF931" s="46"/>
      <c r="BG931" s="46"/>
      <c r="BH931" s="46"/>
    </row>
    <row r="932" spans="1:60" ht="14.25" customHeight="1" x14ac:dyDescent="0.3">
      <c r="A932" s="46"/>
      <c r="B932" s="37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  <c r="AB932" s="46"/>
      <c r="AC932" s="46"/>
      <c r="AD932" s="46"/>
      <c r="AE932" s="46"/>
      <c r="AF932" s="46"/>
      <c r="AG932" s="46"/>
      <c r="AH932" s="46"/>
      <c r="AI932" s="46"/>
      <c r="AJ932" s="46"/>
      <c r="AK932" s="46"/>
      <c r="AL932" s="46"/>
      <c r="AM932" s="46"/>
      <c r="AN932" s="46"/>
      <c r="AO932" s="46"/>
      <c r="AP932" s="46"/>
      <c r="AQ932" s="46"/>
      <c r="AR932" s="46"/>
      <c r="AS932" s="46"/>
      <c r="AT932" s="46"/>
      <c r="AU932" s="46"/>
      <c r="AV932" s="46"/>
      <c r="AW932" s="46"/>
      <c r="AX932" s="46"/>
      <c r="AY932" s="46"/>
      <c r="AZ932" s="46"/>
      <c r="BA932" s="46"/>
      <c r="BB932" s="46"/>
      <c r="BC932" s="46"/>
      <c r="BD932" s="46"/>
      <c r="BE932" s="46"/>
      <c r="BF932" s="46"/>
      <c r="BG932" s="46"/>
      <c r="BH932" s="46"/>
    </row>
    <row r="933" spans="1:60" ht="14.25" customHeight="1" x14ac:dyDescent="0.3">
      <c r="A933" s="46"/>
      <c r="B933" s="37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  <c r="AB933" s="46"/>
      <c r="AC933" s="46"/>
      <c r="AD933" s="46"/>
      <c r="AE933" s="46"/>
      <c r="AF933" s="46"/>
      <c r="AG933" s="46"/>
      <c r="AH933" s="46"/>
      <c r="AI933" s="46"/>
      <c r="AJ933" s="46"/>
      <c r="AK933" s="46"/>
      <c r="AL933" s="46"/>
      <c r="AM933" s="46"/>
      <c r="AN933" s="46"/>
      <c r="AO933" s="46"/>
      <c r="AP933" s="46"/>
      <c r="AQ933" s="46"/>
      <c r="AR933" s="46"/>
      <c r="AS933" s="46"/>
      <c r="AT933" s="46"/>
      <c r="AU933" s="46"/>
      <c r="AV933" s="46"/>
      <c r="AW933" s="46"/>
      <c r="AX933" s="46"/>
      <c r="AY933" s="46"/>
      <c r="AZ933" s="46"/>
      <c r="BA933" s="46"/>
      <c r="BB933" s="46"/>
      <c r="BC933" s="46"/>
      <c r="BD933" s="46"/>
      <c r="BE933" s="46"/>
      <c r="BF933" s="46"/>
      <c r="BG933" s="46"/>
      <c r="BH933" s="46"/>
    </row>
    <row r="934" spans="1:60" ht="14.25" customHeight="1" x14ac:dyDescent="0.3">
      <c r="A934" s="46"/>
      <c r="B934" s="37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  <c r="AB934" s="46"/>
      <c r="AC934" s="46"/>
      <c r="AD934" s="46"/>
      <c r="AE934" s="46"/>
      <c r="AF934" s="46"/>
      <c r="AG934" s="46"/>
      <c r="AH934" s="46"/>
      <c r="AI934" s="46"/>
      <c r="AJ934" s="46"/>
      <c r="AK934" s="46"/>
      <c r="AL934" s="46"/>
      <c r="AM934" s="46"/>
      <c r="AN934" s="46"/>
      <c r="AO934" s="46"/>
      <c r="AP934" s="46"/>
      <c r="AQ934" s="46"/>
      <c r="AR934" s="46"/>
      <c r="AS934" s="46"/>
      <c r="AT934" s="46"/>
      <c r="AU934" s="46"/>
      <c r="AV934" s="46"/>
      <c r="AW934" s="46"/>
      <c r="AX934" s="46"/>
      <c r="AY934" s="46"/>
      <c r="AZ934" s="46"/>
      <c r="BA934" s="46"/>
      <c r="BB934" s="46"/>
      <c r="BC934" s="46"/>
      <c r="BD934" s="46"/>
      <c r="BE934" s="46"/>
      <c r="BF934" s="46"/>
      <c r="BG934" s="46"/>
      <c r="BH934" s="46"/>
    </row>
    <row r="935" spans="1:60" ht="14.25" customHeight="1" x14ac:dyDescent="0.3">
      <c r="A935" s="46"/>
      <c r="B935" s="37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  <c r="AB935" s="46"/>
      <c r="AC935" s="46"/>
      <c r="AD935" s="46"/>
      <c r="AE935" s="46"/>
      <c r="AF935" s="46"/>
      <c r="AG935" s="46"/>
      <c r="AH935" s="46"/>
      <c r="AI935" s="46"/>
      <c r="AJ935" s="46"/>
      <c r="AK935" s="46"/>
      <c r="AL935" s="46"/>
      <c r="AM935" s="46"/>
      <c r="AN935" s="46"/>
      <c r="AO935" s="46"/>
      <c r="AP935" s="46"/>
      <c r="AQ935" s="46"/>
      <c r="AR935" s="46"/>
      <c r="AS935" s="46"/>
      <c r="AT935" s="46"/>
      <c r="AU935" s="46"/>
      <c r="AV935" s="46"/>
      <c r="AW935" s="46"/>
      <c r="AX935" s="46"/>
      <c r="AY935" s="46"/>
      <c r="AZ935" s="46"/>
      <c r="BA935" s="46"/>
      <c r="BB935" s="46"/>
      <c r="BC935" s="46"/>
      <c r="BD935" s="46"/>
      <c r="BE935" s="46"/>
      <c r="BF935" s="46"/>
      <c r="BG935" s="46"/>
      <c r="BH935" s="46"/>
    </row>
    <row r="936" spans="1:60" ht="14.25" customHeight="1" x14ac:dyDescent="0.3">
      <c r="A936" s="46"/>
      <c r="B936" s="37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  <c r="AB936" s="46"/>
      <c r="AC936" s="46"/>
      <c r="AD936" s="46"/>
      <c r="AE936" s="46"/>
      <c r="AF936" s="46"/>
      <c r="AG936" s="46"/>
      <c r="AH936" s="46"/>
      <c r="AI936" s="46"/>
      <c r="AJ936" s="46"/>
      <c r="AK936" s="46"/>
      <c r="AL936" s="46"/>
      <c r="AM936" s="46"/>
      <c r="AN936" s="46"/>
      <c r="AO936" s="46"/>
      <c r="AP936" s="46"/>
      <c r="AQ936" s="46"/>
      <c r="AR936" s="46"/>
      <c r="AS936" s="46"/>
      <c r="AT936" s="46"/>
      <c r="AU936" s="46"/>
      <c r="AV936" s="46"/>
      <c r="AW936" s="46"/>
      <c r="AX936" s="46"/>
      <c r="AY936" s="46"/>
      <c r="AZ936" s="46"/>
      <c r="BA936" s="46"/>
      <c r="BB936" s="46"/>
      <c r="BC936" s="46"/>
      <c r="BD936" s="46"/>
      <c r="BE936" s="46"/>
      <c r="BF936" s="46"/>
      <c r="BG936" s="46"/>
      <c r="BH936" s="46"/>
    </row>
    <row r="937" spans="1:60" ht="14.25" customHeight="1" x14ac:dyDescent="0.3">
      <c r="A937" s="46"/>
      <c r="B937" s="37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  <c r="AB937" s="46"/>
      <c r="AC937" s="46"/>
      <c r="AD937" s="46"/>
      <c r="AE937" s="46"/>
      <c r="AF937" s="46"/>
      <c r="AG937" s="46"/>
      <c r="AH937" s="46"/>
      <c r="AI937" s="46"/>
      <c r="AJ937" s="46"/>
      <c r="AK937" s="46"/>
      <c r="AL937" s="46"/>
      <c r="AM937" s="46"/>
      <c r="AN937" s="46"/>
      <c r="AO937" s="46"/>
      <c r="AP937" s="46"/>
      <c r="AQ937" s="46"/>
      <c r="AR937" s="46"/>
      <c r="AS937" s="46"/>
      <c r="AT937" s="46"/>
      <c r="AU937" s="46"/>
      <c r="AV937" s="46"/>
      <c r="AW937" s="46"/>
      <c r="AX937" s="46"/>
      <c r="AY937" s="46"/>
      <c r="AZ937" s="46"/>
      <c r="BA937" s="46"/>
      <c r="BB937" s="46"/>
      <c r="BC937" s="46"/>
      <c r="BD937" s="46"/>
      <c r="BE937" s="46"/>
      <c r="BF937" s="46"/>
      <c r="BG937" s="46"/>
      <c r="BH937" s="46"/>
    </row>
    <row r="938" spans="1:60" ht="14.25" customHeight="1" x14ac:dyDescent="0.3">
      <c r="A938" s="46"/>
      <c r="B938" s="37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  <c r="AB938" s="46"/>
      <c r="AC938" s="46"/>
      <c r="AD938" s="46"/>
      <c r="AE938" s="46"/>
      <c r="AF938" s="46"/>
      <c r="AG938" s="46"/>
      <c r="AH938" s="46"/>
      <c r="AI938" s="46"/>
      <c r="AJ938" s="46"/>
      <c r="AK938" s="46"/>
      <c r="AL938" s="46"/>
      <c r="AM938" s="46"/>
      <c r="AN938" s="46"/>
      <c r="AO938" s="46"/>
      <c r="AP938" s="46"/>
      <c r="AQ938" s="46"/>
      <c r="AR938" s="46"/>
      <c r="AS938" s="46"/>
      <c r="AT938" s="46"/>
      <c r="AU938" s="46"/>
      <c r="AV938" s="46"/>
      <c r="AW938" s="46"/>
      <c r="AX938" s="46"/>
      <c r="AY938" s="46"/>
      <c r="AZ938" s="46"/>
      <c r="BA938" s="46"/>
      <c r="BB938" s="46"/>
      <c r="BC938" s="46"/>
      <c r="BD938" s="46"/>
      <c r="BE938" s="46"/>
      <c r="BF938" s="46"/>
      <c r="BG938" s="46"/>
      <c r="BH938" s="46"/>
    </row>
    <row r="939" spans="1:60" ht="14.25" customHeight="1" x14ac:dyDescent="0.3">
      <c r="A939" s="46"/>
      <c r="B939" s="37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  <c r="AB939" s="46"/>
      <c r="AC939" s="46"/>
      <c r="AD939" s="46"/>
      <c r="AE939" s="46"/>
      <c r="AF939" s="46"/>
      <c r="AG939" s="46"/>
      <c r="AH939" s="46"/>
      <c r="AI939" s="46"/>
      <c r="AJ939" s="46"/>
      <c r="AK939" s="46"/>
      <c r="AL939" s="46"/>
      <c r="AM939" s="46"/>
      <c r="AN939" s="46"/>
      <c r="AO939" s="46"/>
      <c r="AP939" s="46"/>
      <c r="AQ939" s="46"/>
      <c r="AR939" s="46"/>
      <c r="AS939" s="46"/>
      <c r="AT939" s="46"/>
      <c r="AU939" s="46"/>
      <c r="AV939" s="46"/>
      <c r="AW939" s="46"/>
      <c r="AX939" s="46"/>
      <c r="AY939" s="46"/>
      <c r="AZ939" s="46"/>
      <c r="BA939" s="46"/>
      <c r="BB939" s="46"/>
      <c r="BC939" s="46"/>
      <c r="BD939" s="46"/>
      <c r="BE939" s="46"/>
      <c r="BF939" s="46"/>
      <c r="BG939" s="46"/>
      <c r="BH939" s="46"/>
    </row>
    <row r="940" spans="1:60" ht="14.25" customHeight="1" x14ac:dyDescent="0.3">
      <c r="A940" s="46"/>
      <c r="B940" s="37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  <c r="AB940" s="46"/>
      <c r="AC940" s="46"/>
      <c r="AD940" s="46"/>
      <c r="AE940" s="46"/>
      <c r="AF940" s="46"/>
      <c r="AG940" s="46"/>
      <c r="AH940" s="46"/>
      <c r="AI940" s="46"/>
      <c r="AJ940" s="46"/>
      <c r="AK940" s="46"/>
      <c r="AL940" s="46"/>
      <c r="AM940" s="46"/>
      <c r="AN940" s="46"/>
      <c r="AO940" s="46"/>
      <c r="AP940" s="46"/>
      <c r="AQ940" s="46"/>
      <c r="AR940" s="46"/>
      <c r="AS940" s="46"/>
      <c r="AT940" s="46"/>
      <c r="AU940" s="46"/>
      <c r="AV940" s="46"/>
      <c r="AW940" s="46"/>
      <c r="AX940" s="46"/>
      <c r="AY940" s="46"/>
      <c r="AZ940" s="46"/>
      <c r="BA940" s="46"/>
      <c r="BB940" s="46"/>
      <c r="BC940" s="46"/>
      <c r="BD940" s="46"/>
      <c r="BE940" s="46"/>
      <c r="BF940" s="46"/>
      <c r="BG940" s="46"/>
      <c r="BH940" s="46"/>
    </row>
    <row r="941" spans="1:60" ht="14.25" customHeight="1" x14ac:dyDescent="0.3">
      <c r="A941" s="46"/>
      <c r="B941" s="37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  <c r="AA941" s="46"/>
      <c r="AB941" s="46"/>
      <c r="AC941" s="46"/>
      <c r="AD941" s="46"/>
      <c r="AE941" s="46"/>
      <c r="AF941" s="46"/>
      <c r="AG941" s="46"/>
      <c r="AH941" s="46"/>
      <c r="AI941" s="46"/>
      <c r="AJ941" s="46"/>
      <c r="AK941" s="46"/>
      <c r="AL941" s="46"/>
      <c r="AM941" s="46"/>
      <c r="AN941" s="46"/>
      <c r="AO941" s="46"/>
      <c r="AP941" s="46"/>
      <c r="AQ941" s="46"/>
      <c r="AR941" s="46"/>
      <c r="AS941" s="46"/>
      <c r="AT941" s="46"/>
      <c r="AU941" s="46"/>
      <c r="AV941" s="46"/>
      <c r="AW941" s="46"/>
      <c r="AX941" s="46"/>
      <c r="AY941" s="46"/>
      <c r="AZ941" s="46"/>
      <c r="BA941" s="46"/>
      <c r="BB941" s="46"/>
      <c r="BC941" s="46"/>
      <c r="BD941" s="46"/>
      <c r="BE941" s="46"/>
      <c r="BF941" s="46"/>
      <c r="BG941" s="46"/>
      <c r="BH941" s="46"/>
    </row>
    <row r="942" spans="1:60" ht="14.25" customHeight="1" x14ac:dyDescent="0.3">
      <c r="A942" s="46"/>
      <c r="B942" s="37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6"/>
      <c r="AB942" s="46"/>
      <c r="AC942" s="46"/>
      <c r="AD942" s="46"/>
      <c r="AE942" s="46"/>
      <c r="AF942" s="46"/>
      <c r="AG942" s="46"/>
      <c r="AH942" s="46"/>
      <c r="AI942" s="46"/>
      <c r="AJ942" s="46"/>
      <c r="AK942" s="46"/>
      <c r="AL942" s="46"/>
      <c r="AM942" s="46"/>
      <c r="AN942" s="46"/>
      <c r="AO942" s="46"/>
      <c r="AP942" s="46"/>
      <c r="AQ942" s="46"/>
      <c r="AR942" s="46"/>
      <c r="AS942" s="46"/>
      <c r="AT942" s="46"/>
      <c r="AU942" s="46"/>
      <c r="AV942" s="46"/>
      <c r="AW942" s="46"/>
      <c r="AX942" s="46"/>
      <c r="AY942" s="46"/>
      <c r="AZ942" s="46"/>
      <c r="BA942" s="46"/>
      <c r="BB942" s="46"/>
      <c r="BC942" s="46"/>
      <c r="BD942" s="46"/>
      <c r="BE942" s="46"/>
      <c r="BF942" s="46"/>
      <c r="BG942" s="46"/>
      <c r="BH942" s="46"/>
    </row>
    <row r="943" spans="1:60" ht="14.25" customHeight="1" x14ac:dyDescent="0.3">
      <c r="A943" s="46"/>
      <c r="B943" s="37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  <c r="AB943" s="46"/>
      <c r="AC943" s="46"/>
      <c r="AD943" s="46"/>
      <c r="AE943" s="46"/>
      <c r="AF943" s="46"/>
      <c r="AG943" s="46"/>
      <c r="AH943" s="46"/>
      <c r="AI943" s="46"/>
      <c r="AJ943" s="46"/>
      <c r="AK943" s="46"/>
      <c r="AL943" s="46"/>
      <c r="AM943" s="46"/>
      <c r="AN943" s="46"/>
      <c r="AO943" s="46"/>
      <c r="AP943" s="46"/>
      <c r="AQ943" s="46"/>
      <c r="AR943" s="46"/>
      <c r="AS943" s="46"/>
      <c r="AT943" s="46"/>
      <c r="AU943" s="46"/>
      <c r="AV943" s="46"/>
      <c r="AW943" s="46"/>
      <c r="AX943" s="46"/>
      <c r="AY943" s="46"/>
      <c r="AZ943" s="46"/>
      <c r="BA943" s="46"/>
      <c r="BB943" s="46"/>
      <c r="BC943" s="46"/>
      <c r="BD943" s="46"/>
      <c r="BE943" s="46"/>
      <c r="BF943" s="46"/>
      <c r="BG943" s="46"/>
      <c r="BH943" s="46"/>
    </row>
    <row r="944" spans="1:60" ht="14.25" customHeight="1" x14ac:dyDescent="0.3">
      <c r="A944" s="46"/>
      <c r="B944" s="37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  <c r="AA944" s="46"/>
      <c r="AB944" s="46"/>
      <c r="AC944" s="46"/>
      <c r="AD944" s="46"/>
      <c r="AE944" s="46"/>
      <c r="AF944" s="46"/>
      <c r="AG944" s="46"/>
      <c r="AH944" s="46"/>
      <c r="AI944" s="46"/>
      <c r="AJ944" s="46"/>
      <c r="AK944" s="46"/>
      <c r="AL944" s="46"/>
      <c r="AM944" s="46"/>
      <c r="AN944" s="46"/>
      <c r="AO944" s="46"/>
      <c r="AP944" s="46"/>
      <c r="AQ944" s="46"/>
      <c r="AR944" s="46"/>
      <c r="AS944" s="46"/>
      <c r="AT944" s="46"/>
      <c r="AU944" s="46"/>
      <c r="AV944" s="46"/>
      <c r="AW944" s="46"/>
      <c r="AX944" s="46"/>
      <c r="AY944" s="46"/>
      <c r="AZ944" s="46"/>
      <c r="BA944" s="46"/>
      <c r="BB944" s="46"/>
      <c r="BC944" s="46"/>
      <c r="BD944" s="46"/>
      <c r="BE944" s="46"/>
      <c r="BF944" s="46"/>
      <c r="BG944" s="46"/>
      <c r="BH944" s="46"/>
    </row>
    <row r="945" spans="1:60" ht="14.25" customHeight="1" x14ac:dyDescent="0.3">
      <c r="A945" s="46"/>
      <c r="B945" s="37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  <c r="AA945" s="46"/>
      <c r="AB945" s="46"/>
      <c r="AC945" s="46"/>
      <c r="AD945" s="46"/>
      <c r="AE945" s="46"/>
      <c r="AF945" s="46"/>
      <c r="AG945" s="46"/>
      <c r="AH945" s="46"/>
      <c r="AI945" s="46"/>
      <c r="AJ945" s="46"/>
      <c r="AK945" s="46"/>
      <c r="AL945" s="46"/>
      <c r="AM945" s="46"/>
      <c r="AN945" s="46"/>
      <c r="AO945" s="46"/>
      <c r="AP945" s="46"/>
      <c r="AQ945" s="46"/>
      <c r="AR945" s="46"/>
      <c r="AS945" s="46"/>
      <c r="AT945" s="46"/>
      <c r="AU945" s="46"/>
      <c r="AV945" s="46"/>
      <c r="AW945" s="46"/>
      <c r="AX945" s="46"/>
      <c r="AY945" s="46"/>
      <c r="AZ945" s="46"/>
      <c r="BA945" s="46"/>
      <c r="BB945" s="46"/>
      <c r="BC945" s="46"/>
      <c r="BD945" s="46"/>
      <c r="BE945" s="46"/>
      <c r="BF945" s="46"/>
      <c r="BG945" s="46"/>
      <c r="BH945" s="46"/>
    </row>
    <row r="946" spans="1:60" ht="14.25" customHeight="1" x14ac:dyDescent="0.3">
      <c r="A946" s="46"/>
      <c r="B946" s="37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  <c r="AA946" s="46"/>
      <c r="AB946" s="46"/>
      <c r="AC946" s="46"/>
      <c r="AD946" s="46"/>
      <c r="AE946" s="46"/>
      <c r="AF946" s="46"/>
      <c r="AG946" s="46"/>
      <c r="AH946" s="46"/>
      <c r="AI946" s="46"/>
      <c r="AJ946" s="46"/>
      <c r="AK946" s="46"/>
      <c r="AL946" s="46"/>
      <c r="AM946" s="46"/>
      <c r="AN946" s="46"/>
      <c r="AO946" s="46"/>
      <c r="AP946" s="46"/>
      <c r="AQ946" s="46"/>
      <c r="AR946" s="46"/>
      <c r="AS946" s="46"/>
      <c r="AT946" s="46"/>
      <c r="AU946" s="46"/>
      <c r="AV946" s="46"/>
      <c r="AW946" s="46"/>
      <c r="AX946" s="46"/>
      <c r="AY946" s="46"/>
      <c r="AZ946" s="46"/>
      <c r="BA946" s="46"/>
      <c r="BB946" s="46"/>
      <c r="BC946" s="46"/>
      <c r="BD946" s="46"/>
      <c r="BE946" s="46"/>
      <c r="BF946" s="46"/>
      <c r="BG946" s="46"/>
      <c r="BH946" s="46"/>
    </row>
    <row r="947" spans="1:60" ht="14.25" customHeight="1" x14ac:dyDescent="0.3">
      <c r="A947" s="46"/>
      <c r="B947" s="37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  <c r="AA947" s="46"/>
      <c r="AB947" s="46"/>
      <c r="AC947" s="46"/>
      <c r="AD947" s="46"/>
      <c r="AE947" s="46"/>
      <c r="AF947" s="46"/>
      <c r="AG947" s="46"/>
      <c r="AH947" s="46"/>
      <c r="AI947" s="46"/>
      <c r="AJ947" s="46"/>
      <c r="AK947" s="46"/>
      <c r="AL947" s="46"/>
      <c r="AM947" s="46"/>
      <c r="AN947" s="46"/>
      <c r="AO947" s="46"/>
      <c r="AP947" s="46"/>
      <c r="AQ947" s="46"/>
      <c r="AR947" s="46"/>
      <c r="AS947" s="46"/>
      <c r="AT947" s="46"/>
      <c r="AU947" s="46"/>
      <c r="AV947" s="46"/>
      <c r="AW947" s="46"/>
      <c r="AX947" s="46"/>
      <c r="AY947" s="46"/>
      <c r="AZ947" s="46"/>
      <c r="BA947" s="46"/>
      <c r="BB947" s="46"/>
      <c r="BC947" s="46"/>
      <c r="BD947" s="46"/>
      <c r="BE947" s="46"/>
      <c r="BF947" s="46"/>
      <c r="BG947" s="46"/>
      <c r="BH947" s="46"/>
    </row>
    <row r="948" spans="1:60" ht="14.25" customHeight="1" x14ac:dyDescent="0.3">
      <c r="A948" s="46"/>
      <c r="B948" s="37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  <c r="AA948" s="46"/>
      <c r="AB948" s="46"/>
      <c r="AC948" s="46"/>
      <c r="AD948" s="46"/>
      <c r="AE948" s="46"/>
      <c r="AF948" s="46"/>
      <c r="AG948" s="46"/>
      <c r="AH948" s="46"/>
      <c r="AI948" s="46"/>
      <c r="AJ948" s="46"/>
      <c r="AK948" s="46"/>
      <c r="AL948" s="46"/>
      <c r="AM948" s="46"/>
      <c r="AN948" s="46"/>
      <c r="AO948" s="46"/>
      <c r="AP948" s="46"/>
      <c r="AQ948" s="46"/>
      <c r="AR948" s="46"/>
      <c r="AS948" s="46"/>
      <c r="AT948" s="46"/>
      <c r="AU948" s="46"/>
      <c r="AV948" s="46"/>
      <c r="AW948" s="46"/>
      <c r="AX948" s="46"/>
      <c r="AY948" s="46"/>
      <c r="AZ948" s="46"/>
      <c r="BA948" s="46"/>
      <c r="BB948" s="46"/>
      <c r="BC948" s="46"/>
      <c r="BD948" s="46"/>
      <c r="BE948" s="46"/>
      <c r="BF948" s="46"/>
      <c r="BG948" s="46"/>
      <c r="BH948" s="46"/>
    </row>
    <row r="949" spans="1:60" ht="14.25" customHeight="1" x14ac:dyDescent="0.3">
      <c r="A949" s="46"/>
      <c r="B949" s="37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  <c r="AA949" s="46"/>
      <c r="AB949" s="46"/>
      <c r="AC949" s="46"/>
      <c r="AD949" s="46"/>
      <c r="AE949" s="46"/>
      <c r="AF949" s="46"/>
      <c r="AG949" s="46"/>
      <c r="AH949" s="46"/>
      <c r="AI949" s="46"/>
      <c r="AJ949" s="46"/>
      <c r="AK949" s="46"/>
      <c r="AL949" s="46"/>
      <c r="AM949" s="46"/>
      <c r="AN949" s="46"/>
      <c r="AO949" s="46"/>
      <c r="AP949" s="46"/>
      <c r="AQ949" s="46"/>
      <c r="AR949" s="46"/>
      <c r="AS949" s="46"/>
      <c r="AT949" s="46"/>
      <c r="AU949" s="46"/>
      <c r="AV949" s="46"/>
      <c r="AW949" s="46"/>
      <c r="AX949" s="46"/>
      <c r="AY949" s="46"/>
      <c r="AZ949" s="46"/>
      <c r="BA949" s="46"/>
      <c r="BB949" s="46"/>
      <c r="BC949" s="46"/>
      <c r="BD949" s="46"/>
      <c r="BE949" s="46"/>
      <c r="BF949" s="46"/>
      <c r="BG949" s="46"/>
      <c r="BH949" s="46"/>
    </row>
    <row r="950" spans="1:60" ht="14.25" customHeight="1" x14ac:dyDescent="0.3">
      <c r="A950" s="46"/>
      <c r="B950" s="37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  <c r="AA950" s="46"/>
      <c r="AB950" s="46"/>
      <c r="AC950" s="46"/>
      <c r="AD950" s="46"/>
      <c r="AE950" s="46"/>
      <c r="AF950" s="46"/>
      <c r="AG950" s="46"/>
      <c r="AH950" s="46"/>
      <c r="AI950" s="46"/>
      <c r="AJ950" s="46"/>
      <c r="AK950" s="46"/>
      <c r="AL950" s="46"/>
      <c r="AM950" s="46"/>
      <c r="AN950" s="46"/>
      <c r="AO950" s="46"/>
      <c r="AP950" s="46"/>
      <c r="AQ950" s="46"/>
      <c r="AR950" s="46"/>
      <c r="AS950" s="46"/>
      <c r="AT950" s="46"/>
      <c r="AU950" s="46"/>
      <c r="AV950" s="46"/>
      <c r="AW950" s="46"/>
      <c r="AX950" s="46"/>
      <c r="AY950" s="46"/>
      <c r="AZ950" s="46"/>
      <c r="BA950" s="46"/>
      <c r="BB950" s="46"/>
      <c r="BC950" s="46"/>
      <c r="BD950" s="46"/>
      <c r="BE950" s="46"/>
      <c r="BF950" s="46"/>
      <c r="BG950" s="46"/>
      <c r="BH950" s="46"/>
    </row>
    <row r="951" spans="1:60" ht="14.25" customHeight="1" x14ac:dyDescent="0.3">
      <c r="A951" s="46"/>
      <c r="B951" s="37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  <c r="AA951" s="46"/>
      <c r="AB951" s="46"/>
      <c r="AC951" s="46"/>
      <c r="AD951" s="46"/>
      <c r="AE951" s="46"/>
      <c r="AF951" s="46"/>
      <c r="AG951" s="46"/>
      <c r="AH951" s="46"/>
      <c r="AI951" s="46"/>
      <c r="AJ951" s="46"/>
      <c r="AK951" s="46"/>
      <c r="AL951" s="46"/>
      <c r="AM951" s="46"/>
      <c r="AN951" s="46"/>
      <c r="AO951" s="46"/>
      <c r="AP951" s="46"/>
      <c r="AQ951" s="46"/>
      <c r="AR951" s="46"/>
      <c r="AS951" s="46"/>
      <c r="AT951" s="46"/>
      <c r="AU951" s="46"/>
      <c r="AV951" s="46"/>
      <c r="AW951" s="46"/>
      <c r="AX951" s="46"/>
      <c r="AY951" s="46"/>
      <c r="AZ951" s="46"/>
      <c r="BA951" s="46"/>
      <c r="BB951" s="46"/>
      <c r="BC951" s="46"/>
      <c r="BD951" s="46"/>
      <c r="BE951" s="46"/>
      <c r="BF951" s="46"/>
      <c r="BG951" s="46"/>
      <c r="BH951" s="46"/>
    </row>
    <row r="952" spans="1:60" ht="14.25" customHeight="1" x14ac:dyDescent="0.3">
      <c r="A952" s="46"/>
      <c r="B952" s="37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  <c r="AA952" s="46"/>
      <c r="AB952" s="46"/>
      <c r="AC952" s="46"/>
      <c r="AD952" s="46"/>
      <c r="AE952" s="46"/>
      <c r="AF952" s="46"/>
      <c r="AG952" s="46"/>
      <c r="AH952" s="46"/>
      <c r="AI952" s="46"/>
      <c r="AJ952" s="46"/>
      <c r="AK952" s="46"/>
      <c r="AL952" s="46"/>
      <c r="AM952" s="46"/>
      <c r="AN952" s="46"/>
      <c r="AO952" s="46"/>
      <c r="AP952" s="46"/>
      <c r="AQ952" s="46"/>
      <c r="AR952" s="46"/>
      <c r="AS952" s="46"/>
      <c r="AT952" s="46"/>
      <c r="AU952" s="46"/>
      <c r="AV952" s="46"/>
      <c r="AW952" s="46"/>
      <c r="AX952" s="46"/>
      <c r="AY952" s="46"/>
      <c r="AZ952" s="46"/>
      <c r="BA952" s="46"/>
      <c r="BB952" s="46"/>
      <c r="BC952" s="46"/>
      <c r="BD952" s="46"/>
      <c r="BE952" s="46"/>
      <c r="BF952" s="46"/>
      <c r="BG952" s="46"/>
      <c r="BH952" s="46"/>
    </row>
    <row r="953" spans="1:60" ht="14.25" customHeight="1" x14ac:dyDescent="0.3">
      <c r="A953" s="46"/>
      <c r="B953" s="37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  <c r="AA953" s="46"/>
      <c r="AB953" s="46"/>
      <c r="AC953" s="46"/>
      <c r="AD953" s="46"/>
      <c r="AE953" s="46"/>
      <c r="AF953" s="46"/>
      <c r="AG953" s="46"/>
      <c r="AH953" s="46"/>
      <c r="AI953" s="46"/>
      <c r="AJ953" s="46"/>
      <c r="AK953" s="46"/>
      <c r="AL953" s="46"/>
      <c r="AM953" s="46"/>
      <c r="AN953" s="46"/>
      <c r="AO953" s="46"/>
      <c r="AP953" s="46"/>
      <c r="AQ953" s="46"/>
      <c r="AR953" s="46"/>
      <c r="AS953" s="46"/>
      <c r="AT953" s="46"/>
      <c r="AU953" s="46"/>
      <c r="AV953" s="46"/>
      <c r="AW953" s="46"/>
      <c r="AX953" s="46"/>
      <c r="AY953" s="46"/>
      <c r="AZ953" s="46"/>
      <c r="BA953" s="46"/>
      <c r="BB953" s="46"/>
      <c r="BC953" s="46"/>
      <c r="BD953" s="46"/>
      <c r="BE953" s="46"/>
      <c r="BF953" s="46"/>
      <c r="BG953" s="46"/>
      <c r="BH953" s="46"/>
    </row>
    <row r="954" spans="1:60" ht="14.25" customHeight="1" x14ac:dyDescent="0.3">
      <c r="A954" s="46"/>
      <c r="B954" s="37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  <c r="AA954" s="46"/>
      <c r="AB954" s="46"/>
      <c r="AC954" s="46"/>
      <c r="AD954" s="46"/>
      <c r="AE954" s="46"/>
      <c r="AF954" s="46"/>
      <c r="AG954" s="46"/>
      <c r="AH954" s="46"/>
      <c r="AI954" s="46"/>
      <c r="AJ954" s="46"/>
      <c r="AK954" s="46"/>
      <c r="AL954" s="46"/>
      <c r="AM954" s="46"/>
      <c r="AN954" s="46"/>
      <c r="AO954" s="46"/>
      <c r="AP954" s="46"/>
      <c r="AQ954" s="46"/>
      <c r="AR954" s="46"/>
      <c r="AS954" s="46"/>
      <c r="AT954" s="46"/>
      <c r="AU954" s="46"/>
      <c r="AV954" s="46"/>
      <c r="AW954" s="46"/>
      <c r="AX954" s="46"/>
      <c r="AY954" s="46"/>
      <c r="AZ954" s="46"/>
      <c r="BA954" s="46"/>
      <c r="BB954" s="46"/>
      <c r="BC954" s="46"/>
      <c r="BD954" s="46"/>
      <c r="BE954" s="46"/>
      <c r="BF954" s="46"/>
      <c r="BG954" s="46"/>
      <c r="BH954" s="46"/>
    </row>
    <row r="955" spans="1:60" ht="14.25" customHeight="1" x14ac:dyDescent="0.3">
      <c r="A955" s="46"/>
      <c r="B955" s="37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  <c r="AA955" s="46"/>
      <c r="AB955" s="46"/>
      <c r="AC955" s="46"/>
      <c r="AD955" s="46"/>
      <c r="AE955" s="46"/>
      <c r="AF955" s="46"/>
      <c r="AG955" s="46"/>
      <c r="AH955" s="46"/>
      <c r="AI955" s="46"/>
      <c r="AJ955" s="46"/>
      <c r="AK955" s="46"/>
      <c r="AL955" s="46"/>
      <c r="AM955" s="46"/>
      <c r="AN955" s="46"/>
      <c r="AO955" s="46"/>
      <c r="AP955" s="46"/>
      <c r="AQ955" s="46"/>
      <c r="AR955" s="46"/>
      <c r="AS955" s="46"/>
      <c r="AT955" s="46"/>
      <c r="AU955" s="46"/>
      <c r="AV955" s="46"/>
      <c r="AW955" s="46"/>
      <c r="AX955" s="46"/>
      <c r="AY955" s="46"/>
      <c r="AZ955" s="46"/>
      <c r="BA955" s="46"/>
      <c r="BB955" s="46"/>
      <c r="BC955" s="46"/>
      <c r="BD955" s="46"/>
      <c r="BE955" s="46"/>
      <c r="BF955" s="46"/>
      <c r="BG955" s="46"/>
      <c r="BH955" s="46"/>
    </row>
    <row r="956" spans="1:60" ht="14.25" customHeight="1" x14ac:dyDescent="0.3">
      <c r="A956" s="46"/>
      <c r="B956" s="37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  <c r="AA956" s="46"/>
      <c r="AB956" s="46"/>
      <c r="AC956" s="46"/>
      <c r="AD956" s="46"/>
      <c r="AE956" s="46"/>
      <c r="AF956" s="46"/>
      <c r="AG956" s="46"/>
      <c r="AH956" s="46"/>
      <c r="AI956" s="46"/>
      <c r="AJ956" s="46"/>
      <c r="AK956" s="46"/>
      <c r="AL956" s="46"/>
      <c r="AM956" s="46"/>
      <c r="AN956" s="46"/>
      <c r="AO956" s="46"/>
      <c r="AP956" s="46"/>
      <c r="AQ956" s="46"/>
      <c r="AR956" s="46"/>
      <c r="AS956" s="46"/>
      <c r="AT956" s="46"/>
      <c r="AU956" s="46"/>
      <c r="AV956" s="46"/>
      <c r="AW956" s="46"/>
      <c r="AX956" s="46"/>
      <c r="AY956" s="46"/>
      <c r="AZ956" s="46"/>
      <c r="BA956" s="46"/>
      <c r="BB956" s="46"/>
      <c r="BC956" s="46"/>
      <c r="BD956" s="46"/>
      <c r="BE956" s="46"/>
      <c r="BF956" s="46"/>
      <c r="BG956" s="46"/>
      <c r="BH956" s="46"/>
    </row>
    <row r="957" spans="1:60" ht="14.25" customHeight="1" x14ac:dyDescent="0.3">
      <c r="A957" s="46"/>
      <c r="B957" s="37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  <c r="AA957" s="46"/>
      <c r="AB957" s="46"/>
      <c r="AC957" s="46"/>
      <c r="AD957" s="46"/>
      <c r="AE957" s="46"/>
      <c r="AF957" s="46"/>
      <c r="AG957" s="46"/>
      <c r="AH957" s="46"/>
      <c r="AI957" s="46"/>
      <c r="AJ957" s="46"/>
      <c r="AK957" s="46"/>
      <c r="AL957" s="46"/>
      <c r="AM957" s="46"/>
      <c r="AN957" s="46"/>
      <c r="AO957" s="46"/>
      <c r="AP957" s="46"/>
      <c r="AQ957" s="46"/>
      <c r="AR957" s="46"/>
      <c r="AS957" s="46"/>
      <c r="AT957" s="46"/>
      <c r="AU957" s="46"/>
      <c r="AV957" s="46"/>
      <c r="AW957" s="46"/>
      <c r="AX957" s="46"/>
      <c r="AY957" s="46"/>
      <c r="AZ957" s="46"/>
      <c r="BA957" s="46"/>
      <c r="BB957" s="46"/>
      <c r="BC957" s="46"/>
      <c r="BD957" s="46"/>
      <c r="BE957" s="46"/>
      <c r="BF957" s="46"/>
      <c r="BG957" s="46"/>
      <c r="BH957" s="46"/>
    </row>
    <row r="958" spans="1:60" ht="14.25" customHeight="1" x14ac:dyDescent="0.3">
      <c r="A958" s="46"/>
      <c r="B958" s="37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  <c r="AA958" s="46"/>
      <c r="AB958" s="46"/>
      <c r="AC958" s="46"/>
      <c r="AD958" s="46"/>
      <c r="AE958" s="46"/>
      <c r="AF958" s="46"/>
      <c r="AG958" s="46"/>
      <c r="AH958" s="46"/>
      <c r="AI958" s="46"/>
      <c r="AJ958" s="46"/>
      <c r="AK958" s="46"/>
      <c r="AL958" s="46"/>
      <c r="AM958" s="46"/>
      <c r="AN958" s="46"/>
      <c r="AO958" s="46"/>
      <c r="AP958" s="46"/>
      <c r="AQ958" s="46"/>
      <c r="AR958" s="46"/>
      <c r="AS958" s="46"/>
      <c r="AT958" s="46"/>
      <c r="AU958" s="46"/>
      <c r="AV958" s="46"/>
      <c r="AW958" s="46"/>
      <c r="AX958" s="46"/>
      <c r="AY958" s="46"/>
      <c r="AZ958" s="46"/>
      <c r="BA958" s="46"/>
      <c r="BB958" s="46"/>
      <c r="BC958" s="46"/>
      <c r="BD958" s="46"/>
      <c r="BE958" s="46"/>
      <c r="BF958" s="46"/>
      <c r="BG958" s="46"/>
      <c r="BH958" s="46"/>
    </row>
    <row r="959" spans="1:60" ht="14.25" customHeight="1" x14ac:dyDescent="0.3">
      <c r="A959" s="46"/>
      <c r="B959" s="37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6"/>
      <c r="AB959" s="46"/>
      <c r="AC959" s="46"/>
      <c r="AD959" s="46"/>
      <c r="AE959" s="46"/>
      <c r="AF959" s="46"/>
      <c r="AG959" s="46"/>
      <c r="AH959" s="46"/>
      <c r="AI959" s="46"/>
      <c r="AJ959" s="46"/>
      <c r="AK959" s="46"/>
      <c r="AL959" s="46"/>
      <c r="AM959" s="46"/>
      <c r="AN959" s="46"/>
      <c r="AO959" s="46"/>
      <c r="AP959" s="46"/>
      <c r="AQ959" s="46"/>
      <c r="AR959" s="46"/>
      <c r="AS959" s="46"/>
      <c r="AT959" s="46"/>
      <c r="AU959" s="46"/>
      <c r="AV959" s="46"/>
      <c r="AW959" s="46"/>
      <c r="AX959" s="46"/>
      <c r="AY959" s="46"/>
      <c r="AZ959" s="46"/>
      <c r="BA959" s="46"/>
      <c r="BB959" s="46"/>
      <c r="BC959" s="46"/>
      <c r="BD959" s="46"/>
      <c r="BE959" s="46"/>
      <c r="BF959" s="46"/>
      <c r="BG959" s="46"/>
      <c r="BH959" s="46"/>
    </row>
    <row r="960" spans="1:60" ht="14.25" customHeight="1" x14ac:dyDescent="0.3">
      <c r="A960" s="46"/>
      <c r="B960" s="37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  <c r="AA960" s="46"/>
      <c r="AB960" s="46"/>
      <c r="AC960" s="46"/>
      <c r="AD960" s="46"/>
      <c r="AE960" s="46"/>
      <c r="AF960" s="46"/>
      <c r="AG960" s="46"/>
      <c r="AH960" s="46"/>
      <c r="AI960" s="46"/>
      <c r="AJ960" s="46"/>
      <c r="AK960" s="46"/>
      <c r="AL960" s="46"/>
      <c r="AM960" s="46"/>
      <c r="AN960" s="46"/>
      <c r="AO960" s="46"/>
      <c r="AP960" s="46"/>
      <c r="AQ960" s="46"/>
      <c r="AR960" s="46"/>
      <c r="AS960" s="46"/>
      <c r="AT960" s="46"/>
      <c r="AU960" s="46"/>
      <c r="AV960" s="46"/>
      <c r="AW960" s="46"/>
      <c r="AX960" s="46"/>
      <c r="AY960" s="46"/>
      <c r="AZ960" s="46"/>
      <c r="BA960" s="46"/>
      <c r="BB960" s="46"/>
      <c r="BC960" s="46"/>
      <c r="BD960" s="46"/>
      <c r="BE960" s="46"/>
      <c r="BF960" s="46"/>
      <c r="BG960" s="46"/>
      <c r="BH960" s="46"/>
    </row>
    <row r="961" spans="1:60" ht="14.25" customHeight="1" x14ac:dyDescent="0.3">
      <c r="A961" s="46"/>
      <c r="B961" s="37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  <c r="AA961" s="46"/>
      <c r="AB961" s="46"/>
      <c r="AC961" s="46"/>
      <c r="AD961" s="46"/>
      <c r="AE961" s="46"/>
      <c r="AF961" s="46"/>
      <c r="AG961" s="46"/>
      <c r="AH961" s="46"/>
      <c r="AI961" s="46"/>
      <c r="AJ961" s="46"/>
      <c r="AK961" s="46"/>
      <c r="AL961" s="46"/>
      <c r="AM961" s="46"/>
      <c r="AN961" s="46"/>
      <c r="AO961" s="46"/>
      <c r="AP961" s="46"/>
      <c r="AQ961" s="46"/>
      <c r="AR961" s="46"/>
      <c r="AS961" s="46"/>
      <c r="AT961" s="46"/>
      <c r="AU961" s="46"/>
      <c r="AV961" s="46"/>
      <c r="AW961" s="46"/>
      <c r="AX961" s="46"/>
      <c r="AY961" s="46"/>
      <c r="AZ961" s="46"/>
      <c r="BA961" s="46"/>
      <c r="BB961" s="46"/>
      <c r="BC961" s="46"/>
      <c r="BD961" s="46"/>
      <c r="BE961" s="46"/>
      <c r="BF961" s="46"/>
      <c r="BG961" s="46"/>
      <c r="BH961" s="46"/>
    </row>
    <row r="962" spans="1:60" ht="14.25" customHeight="1" x14ac:dyDescent="0.3">
      <c r="A962" s="46"/>
      <c r="B962" s="37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  <c r="AA962" s="46"/>
      <c r="AB962" s="46"/>
      <c r="AC962" s="46"/>
      <c r="AD962" s="46"/>
      <c r="AE962" s="46"/>
      <c r="AF962" s="46"/>
      <c r="AG962" s="46"/>
      <c r="AH962" s="46"/>
      <c r="AI962" s="46"/>
      <c r="AJ962" s="46"/>
      <c r="AK962" s="46"/>
      <c r="AL962" s="46"/>
      <c r="AM962" s="46"/>
      <c r="AN962" s="46"/>
      <c r="AO962" s="46"/>
      <c r="AP962" s="46"/>
      <c r="AQ962" s="46"/>
      <c r="AR962" s="46"/>
      <c r="AS962" s="46"/>
      <c r="AT962" s="46"/>
      <c r="AU962" s="46"/>
      <c r="AV962" s="46"/>
      <c r="AW962" s="46"/>
      <c r="AX962" s="46"/>
      <c r="AY962" s="46"/>
      <c r="AZ962" s="46"/>
      <c r="BA962" s="46"/>
      <c r="BB962" s="46"/>
      <c r="BC962" s="46"/>
      <c r="BD962" s="46"/>
      <c r="BE962" s="46"/>
      <c r="BF962" s="46"/>
      <c r="BG962" s="46"/>
      <c r="BH962" s="46"/>
    </row>
    <row r="963" spans="1:60" ht="14.25" customHeight="1" x14ac:dyDescent="0.3">
      <c r="A963" s="46"/>
      <c r="B963" s="37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6"/>
      <c r="AB963" s="46"/>
      <c r="AC963" s="46"/>
      <c r="AD963" s="46"/>
      <c r="AE963" s="46"/>
      <c r="AF963" s="46"/>
      <c r="AG963" s="46"/>
      <c r="AH963" s="46"/>
      <c r="AI963" s="46"/>
      <c r="AJ963" s="46"/>
      <c r="AK963" s="46"/>
      <c r="AL963" s="46"/>
      <c r="AM963" s="46"/>
      <c r="AN963" s="46"/>
      <c r="AO963" s="46"/>
      <c r="AP963" s="46"/>
      <c r="AQ963" s="46"/>
      <c r="AR963" s="46"/>
      <c r="AS963" s="46"/>
      <c r="AT963" s="46"/>
      <c r="AU963" s="46"/>
      <c r="AV963" s="46"/>
      <c r="AW963" s="46"/>
      <c r="AX963" s="46"/>
      <c r="AY963" s="46"/>
      <c r="AZ963" s="46"/>
      <c r="BA963" s="46"/>
      <c r="BB963" s="46"/>
      <c r="BC963" s="46"/>
      <c r="BD963" s="46"/>
      <c r="BE963" s="46"/>
      <c r="BF963" s="46"/>
      <c r="BG963" s="46"/>
      <c r="BH963" s="46"/>
    </row>
    <row r="964" spans="1:60" ht="14.25" customHeight="1" x14ac:dyDescent="0.3">
      <c r="A964" s="46"/>
      <c r="B964" s="37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6"/>
      <c r="AB964" s="46"/>
      <c r="AC964" s="46"/>
      <c r="AD964" s="46"/>
      <c r="AE964" s="46"/>
      <c r="AF964" s="46"/>
      <c r="AG964" s="46"/>
      <c r="AH964" s="46"/>
      <c r="AI964" s="46"/>
      <c r="AJ964" s="46"/>
      <c r="AK964" s="46"/>
      <c r="AL964" s="46"/>
      <c r="AM964" s="46"/>
      <c r="AN964" s="46"/>
      <c r="AO964" s="46"/>
      <c r="AP964" s="46"/>
      <c r="AQ964" s="46"/>
      <c r="AR964" s="46"/>
      <c r="AS964" s="46"/>
      <c r="AT964" s="46"/>
      <c r="AU964" s="46"/>
      <c r="AV964" s="46"/>
      <c r="AW964" s="46"/>
      <c r="AX964" s="46"/>
      <c r="AY964" s="46"/>
      <c r="AZ964" s="46"/>
      <c r="BA964" s="46"/>
      <c r="BB964" s="46"/>
      <c r="BC964" s="46"/>
      <c r="BD964" s="46"/>
      <c r="BE964" s="46"/>
      <c r="BF964" s="46"/>
      <c r="BG964" s="46"/>
      <c r="BH964" s="46"/>
    </row>
    <row r="965" spans="1:60" ht="14.25" customHeight="1" x14ac:dyDescent="0.3">
      <c r="A965" s="46"/>
      <c r="B965" s="37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  <c r="AA965" s="46"/>
      <c r="AB965" s="46"/>
      <c r="AC965" s="46"/>
      <c r="AD965" s="46"/>
      <c r="AE965" s="46"/>
      <c r="AF965" s="46"/>
      <c r="AG965" s="46"/>
      <c r="AH965" s="46"/>
      <c r="AI965" s="46"/>
      <c r="AJ965" s="46"/>
      <c r="AK965" s="46"/>
      <c r="AL965" s="46"/>
      <c r="AM965" s="46"/>
      <c r="AN965" s="46"/>
      <c r="AO965" s="46"/>
      <c r="AP965" s="46"/>
      <c r="AQ965" s="46"/>
      <c r="AR965" s="46"/>
      <c r="AS965" s="46"/>
      <c r="AT965" s="46"/>
      <c r="AU965" s="46"/>
      <c r="AV965" s="46"/>
      <c r="AW965" s="46"/>
      <c r="AX965" s="46"/>
      <c r="AY965" s="46"/>
      <c r="AZ965" s="46"/>
      <c r="BA965" s="46"/>
      <c r="BB965" s="46"/>
      <c r="BC965" s="46"/>
      <c r="BD965" s="46"/>
      <c r="BE965" s="46"/>
      <c r="BF965" s="46"/>
      <c r="BG965" s="46"/>
      <c r="BH965" s="46"/>
    </row>
    <row r="966" spans="1:60" ht="14.25" customHeight="1" x14ac:dyDescent="0.3">
      <c r="A966" s="46"/>
      <c r="B966" s="37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  <c r="AA966" s="46"/>
      <c r="AB966" s="46"/>
      <c r="AC966" s="46"/>
      <c r="AD966" s="46"/>
      <c r="AE966" s="46"/>
      <c r="AF966" s="46"/>
      <c r="AG966" s="46"/>
      <c r="AH966" s="46"/>
      <c r="AI966" s="46"/>
      <c r="AJ966" s="46"/>
      <c r="AK966" s="46"/>
      <c r="AL966" s="46"/>
      <c r="AM966" s="46"/>
      <c r="AN966" s="46"/>
      <c r="AO966" s="46"/>
      <c r="AP966" s="46"/>
      <c r="AQ966" s="46"/>
      <c r="AR966" s="46"/>
      <c r="AS966" s="46"/>
      <c r="AT966" s="46"/>
      <c r="AU966" s="46"/>
      <c r="AV966" s="46"/>
      <c r="AW966" s="46"/>
      <c r="AX966" s="46"/>
      <c r="AY966" s="46"/>
      <c r="AZ966" s="46"/>
      <c r="BA966" s="46"/>
      <c r="BB966" s="46"/>
      <c r="BC966" s="46"/>
      <c r="BD966" s="46"/>
      <c r="BE966" s="46"/>
      <c r="BF966" s="46"/>
      <c r="BG966" s="46"/>
      <c r="BH966" s="46"/>
    </row>
    <row r="967" spans="1:60" ht="14.25" customHeight="1" x14ac:dyDescent="0.3">
      <c r="A967" s="46"/>
      <c r="B967" s="37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  <c r="AA967" s="46"/>
      <c r="AB967" s="46"/>
      <c r="AC967" s="46"/>
      <c r="AD967" s="46"/>
      <c r="AE967" s="46"/>
      <c r="AF967" s="46"/>
      <c r="AG967" s="46"/>
      <c r="AH967" s="46"/>
      <c r="AI967" s="46"/>
      <c r="AJ967" s="46"/>
      <c r="AK967" s="46"/>
      <c r="AL967" s="46"/>
      <c r="AM967" s="46"/>
      <c r="AN967" s="46"/>
      <c r="AO967" s="46"/>
      <c r="AP967" s="46"/>
      <c r="AQ967" s="46"/>
      <c r="AR967" s="46"/>
      <c r="AS967" s="46"/>
      <c r="AT967" s="46"/>
      <c r="AU967" s="46"/>
      <c r="AV967" s="46"/>
      <c r="AW967" s="46"/>
      <c r="AX967" s="46"/>
      <c r="AY967" s="46"/>
      <c r="AZ967" s="46"/>
      <c r="BA967" s="46"/>
      <c r="BB967" s="46"/>
      <c r="BC967" s="46"/>
      <c r="BD967" s="46"/>
      <c r="BE967" s="46"/>
      <c r="BF967" s="46"/>
      <c r="BG967" s="46"/>
      <c r="BH967" s="46"/>
    </row>
    <row r="968" spans="1:60" ht="14.25" customHeight="1" x14ac:dyDescent="0.3">
      <c r="A968" s="46"/>
      <c r="B968" s="37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  <c r="AA968" s="46"/>
      <c r="AB968" s="46"/>
      <c r="AC968" s="46"/>
      <c r="AD968" s="46"/>
      <c r="AE968" s="46"/>
      <c r="AF968" s="46"/>
      <c r="AG968" s="46"/>
      <c r="AH968" s="46"/>
      <c r="AI968" s="46"/>
      <c r="AJ968" s="46"/>
      <c r="AK968" s="46"/>
      <c r="AL968" s="46"/>
      <c r="AM968" s="46"/>
      <c r="AN968" s="46"/>
      <c r="AO968" s="46"/>
      <c r="AP968" s="46"/>
      <c r="AQ968" s="46"/>
      <c r="AR968" s="46"/>
      <c r="AS968" s="46"/>
      <c r="AT968" s="46"/>
      <c r="AU968" s="46"/>
      <c r="AV968" s="46"/>
      <c r="AW968" s="46"/>
      <c r="AX968" s="46"/>
      <c r="AY968" s="46"/>
      <c r="AZ968" s="46"/>
      <c r="BA968" s="46"/>
      <c r="BB968" s="46"/>
      <c r="BC968" s="46"/>
      <c r="BD968" s="46"/>
      <c r="BE968" s="46"/>
      <c r="BF968" s="46"/>
      <c r="BG968" s="46"/>
      <c r="BH968" s="46"/>
    </row>
    <row r="969" spans="1:60" ht="14.25" customHeight="1" x14ac:dyDescent="0.3">
      <c r="A969" s="46"/>
      <c r="B969" s="37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  <c r="AA969" s="46"/>
      <c r="AB969" s="46"/>
      <c r="AC969" s="46"/>
      <c r="AD969" s="46"/>
      <c r="AE969" s="46"/>
      <c r="AF969" s="46"/>
      <c r="AG969" s="46"/>
      <c r="AH969" s="46"/>
      <c r="AI969" s="46"/>
      <c r="AJ969" s="46"/>
      <c r="AK969" s="46"/>
      <c r="AL969" s="46"/>
      <c r="AM969" s="46"/>
      <c r="AN969" s="46"/>
      <c r="AO969" s="46"/>
      <c r="AP969" s="46"/>
      <c r="AQ969" s="46"/>
      <c r="AR969" s="46"/>
      <c r="AS969" s="46"/>
      <c r="AT969" s="46"/>
      <c r="AU969" s="46"/>
      <c r="AV969" s="46"/>
      <c r="AW969" s="46"/>
      <c r="AX969" s="46"/>
      <c r="AY969" s="46"/>
      <c r="AZ969" s="46"/>
      <c r="BA969" s="46"/>
      <c r="BB969" s="46"/>
      <c r="BC969" s="46"/>
      <c r="BD969" s="46"/>
      <c r="BE969" s="46"/>
      <c r="BF969" s="46"/>
      <c r="BG969" s="46"/>
      <c r="BH969" s="46"/>
    </row>
    <row r="970" spans="1:60" ht="14.25" customHeight="1" x14ac:dyDescent="0.3">
      <c r="A970" s="46"/>
      <c r="B970" s="37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  <c r="AA970" s="46"/>
      <c r="AB970" s="46"/>
      <c r="AC970" s="46"/>
      <c r="AD970" s="46"/>
      <c r="AE970" s="46"/>
      <c r="AF970" s="46"/>
      <c r="AG970" s="46"/>
      <c r="AH970" s="46"/>
      <c r="AI970" s="46"/>
      <c r="AJ970" s="46"/>
      <c r="AK970" s="46"/>
      <c r="AL970" s="46"/>
      <c r="AM970" s="46"/>
      <c r="AN970" s="46"/>
      <c r="AO970" s="46"/>
      <c r="AP970" s="46"/>
      <c r="AQ970" s="46"/>
      <c r="AR970" s="46"/>
      <c r="AS970" s="46"/>
      <c r="AT970" s="46"/>
      <c r="AU970" s="46"/>
      <c r="AV970" s="46"/>
      <c r="AW970" s="46"/>
      <c r="AX970" s="46"/>
      <c r="AY970" s="46"/>
      <c r="AZ970" s="46"/>
      <c r="BA970" s="46"/>
      <c r="BB970" s="46"/>
      <c r="BC970" s="46"/>
      <c r="BD970" s="46"/>
      <c r="BE970" s="46"/>
      <c r="BF970" s="46"/>
      <c r="BG970" s="46"/>
      <c r="BH970" s="46"/>
    </row>
    <row r="971" spans="1:60" ht="14.25" customHeight="1" x14ac:dyDescent="0.3">
      <c r="A971" s="46"/>
      <c r="B971" s="37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  <c r="AA971" s="46"/>
      <c r="AB971" s="46"/>
      <c r="AC971" s="46"/>
      <c r="AD971" s="46"/>
      <c r="AE971" s="46"/>
      <c r="AF971" s="46"/>
      <c r="AG971" s="46"/>
      <c r="AH971" s="46"/>
      <c r="AI971" s="46"/>
      <c r="AJ971" s="46"/>
      <c r="AK971" s="46"/>
      <c r="AL971" s="46"/>
      <c r="AM971" s="46"/>
      <c r="AN971" s="46"/>
      <c r="AO971" s="46"/>
      <c r="AP971" s="46"/>
      <c r="AQ971" s="46"/>
      <c r="AR971" s="46"/>
      <c r="AS971" s="46"/>
      <c r="AT971" s="46"/>
      <c r="AU971" s="46"/>
      <c r="AV971" s="46"/>
      <c r="AW971" s="46"/>
      <c r="AX971" s="46"/>
      <c r="AY971" s="46"/>
      <c r="AZ971" s="46"/>
      <c r="BA971" s="46"/>
      <c r="BB971" s="46"/>
      <c r="BC971" s="46"/>
      <c r="BD971" s="46"/>
      <c r="BE971" s="46"/>
      <c r="BF971" s="46"/>
      <c r="BG971" s="46"/>
      <c r="BH971" s="46"/>
    </row>
    <row r="972" spans="1:60" ht="14.25" customHeight="1" x14ac:dyDescent="0.3">
      <c r="A972" s="46"/>
      <c r="B972" s="37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6"/>
      <c r="AB972" s="46"/>
      <c r="AC972" s="46"/>
      <c r="AD972" s="46"/>
      <c r="AE972" s="46"/>
      <c r="AF972" s="46"/>
      <c r="AG972" s="46"/>
      <c r="AH972" s="46"/>
      <c r="AI972" s="46"/>
      <c r="AJ972" s="46"/>
      <c r="AK972" s="46"/>
      <c r="AL972" s="46"/>
      <c r="AM972" s="46"/>
      <c r="AN972" s="46"/>
      <c r="AO972" s="46"/>
      <c r="AP972" s="46"/>
      <c r="AQ972" s="46"/>
      <c r="AR972" s="46"/>
      <c r="AS972" s="46"/>
      <c r="AT972" s="46"/>
      <c r="AU972" s="46"/>
      <c r="AV972" s="46"/>
      <c r="AW972" s="46"/>
      <c r="AX972" s="46"/>
      <c r="AY972" s="46"/>
      <c r="AZ972" s="46"/>
      <c r="BA972" s="46"/>
      <c r="BB972" s="46"/>
      <c r="BC972" s="46"/>
      <c r="BD972" s="46"/>
      <c r="BE972" s="46"/>
      <c r="BF972" s="46"/>
      <c r="BG972" s="46"/>
      <c r="BH972" s="46"/>
    </row>
    <row r="973" spans="1:60" ht="14.25" customHeight="1" x14ac:dyDescent="0.3">
      <c r="A973" s="46"/>
      <c r="B973" s="37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  <c r="AA973" s="46"/>
      <c r="AB973" s="46"/>
      <c r="AC973" s="46"/>
      <c r="AD973" s="46"/>
      <c r="AE973" s="46"/>
      <c r="AF973" s="46"/>
      <c r="AG973" s="46"/>
      <c r="AH973" s="46"/>
      <c r="AI973" s="46"/>
      <c r="AJ973" s="46"/>
      <c r="AK973" s="46"/>
      <c r="AL973" s="46"/>
      <c r="AM973" s="46"/>
      <c r="AN973" s="46"/>
      <c r="AO973" s="46"/>
      <c r="AP973" s="46"/>
      <c r="AQ973" s="46"/>
      <c r="AR973" s="46"/>
      <c r="AS973" s="46"/>
      <c r="AT973" s="46"/>
      <c r="AU973" s="46"/>
      <c r="AV973" s="46"/>
      <c r="AW973" s="46"/>
      <c r="AX973" s="46"/>
      <c r="AY973" s="46"/>
      <c r="AZ973" s="46"/>
      <c r="BA973" s="46"/>
      <c r="BB973" s="46"/>
      <c r="BC973" s="46"/>
      <c r="BD973" s="46"/>
      <c r="BE973" s="46"/>
      <c r="BF973" s="46"/>
      <c r="BG973" s="46"/>
      <c r="BH973" s="46"/>
    </row>
    <row r="974" spans="1:60" ht="14.25" customHeight="1" x14ac:dyDescent="0.3">
      <c r="A974" s="46"/>
      <c r="B974" s="37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  <c r="AA974" s="46"/>
      <c r="AB974" s="46"/>
      <c r="AC974" s="46"/>
      <c r="AD974" s="46"/>
      <c r="AE974" s="46"/>
      <c r="AF974" s="46"/>
      <c r="AG974" s="46"/>
      <c r="AH974" s="46"/>
      <c r="AI974" s="46"/>
      <c r="AJ974" s="46"/>
      <c r="AK974" s="46"/>
      <c r="AL974" s="46"/>
      <c r="AM974" s="46"/>
      <c r="AN974" s="46"/>
      <c r="AO974" s="46"/>
      <c r="AP974" s="46"/>
      <c r="AQ974" s="46"/>
      <c r="AR974" s="46"/>
      <c r="AS974" s="46"/>
      <c r="AT974" s="46"/>
      <c r="AU974" s="46"/>
      <c r="AV974" s="46"/>
      <c r="AW974" s="46"/>
      <c r="AX974" s="46"/>
      <c r="AY974" s="46"/>
      <c r="AZ974" s="46"/>
      <c r="BA974" s="46"/>
      <c r="BB974" s="46"/>
      <c r="BC974" s="46"/>
      <c r="BD974" s="46"/>
      <c r="BE974" s="46"/>
      <c r="BF974" s="46"/>
      <c r="BG974" s="46"/>
      <c r="BH974" s="46"/>
    </row>
    <row r="975" spans="1:60" ht="14.25" customHeight="1" x14ac:dyDescent="0.3">
      <c r="A975" s="46"/>
      <c r="B975" s="37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6"/>
      <c r="AB975" s="46"/>
      <c r="AC975" s="46"/>
      <c r="AD975" s="46"/>
      <c r="AE975" s="46"/>
      <c r="AF975" s="46"/>
      <c r="AG975" s="46"/>
      <c r="AH975" s="46"/>
      <c r="AI975" s="46"/>
      <c r="AJ975" s="46"/>
      <c r="AK975" s="46"/>
      <c r="AL975" s="46"/>
      <c r="AM975" s="46"/>
      <c r="AN975" s="46"/>
      <c r="AO975" s="46"/>
      <c r="AP975" s="46"/>
      <c r="AQ975" s="46"/>
      <c r="AR975" s="46"/>
      <c r="AS975" s="46"/>
      <c r="AT975" s="46"/>
      <c r="AU975" s="46"/>
      <c r="AV975" s="46"/>
      <c r="AW975" s="46"/>
      <c r="AX975" s="46"/>
      <c r="AY975" s="46"/>
      <c r="AZ975" s="46"/>
      <c r="BA975" s="46"/>
      <c r="BB975" s="46"/>
      <c r="BC975" s="46"/>
      <c r="BD975" s="46"/>
      <c r="BE975" s="46"/>
      <c r="BF975" s="46"/>
      <c r="BG975" s="46"/>
      <c r="BH975" s="46"/>
    </row>
    <row r="976" spans="1:60" ht="14.25" customHeight="1" x14ac:dyDescent="0.3">
      <c r="A976" s="46"/>
      <c r="B976" s="37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  <c r="AA976" s="46"/>
      <c r="AB976" s="46"/>
      <c r="AC976" s="46"/>
      <c r="AD976" s="46"/>
      <c r="AE976" s="46"/>
      <c r="AF976" s="46"/>
      <c r="AG976" s="46"/>
      <c r="AH976" s="46"/>
      <c r="AI976" s="46"/>
      <c r="AJ976" s="46"/>
      <c r="AK976" s="46"/>
      <c r="AL976" s="46"/>
      <c r="AM976" s="46"/>
      <c r="AN976" s="46"/>
      <c r="AO976" s="46"/>
      <c r="AP976" s="46"/>
      <c r="AQ976" s="46"/>
      <c r="AR976" s="46"/>
      <c r="AS976" s="46"/>
      <c r="AT976" s="46"/>
      <c r="AU976" s="46"/>
      <c r="AV976" s="46"/>
      <c r="AW976" s="46"/>
      <c r="AX976" s="46"/>
      <c r="AY976" s="46"/>
      <c r="AZ976" s="46"/>
      <c r="BA976" s="46"/>
      <c r="BB976" s="46"/>
      <c r="BC976" s="46"/>
      <c r="BD976" s="46"/>
      <c r="BE976" s="46"/>
      <c r="BF976" s="46"/>
      <c r="BG976" s="46"/>
      <c r="BH976" s="46"/>
    </row>
    <row r="977" spans="1:60" ht="14.25" customHeight="1" x14ac:dyDescent="0.3">
      <c r="A977" s="46"/>
      <c r="B977" s="37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  <c r="AA977" s="46"/>
      <c r="AB977" s="46"/>
      <c r="AC977" s="46"/>
      <c r="AD977" s="46"/>
      <c r="AE977" s="46"/>
      <c r="AF977" s="46"/>
      <c r="AG977" s="46"/>
      <c r="AH977" s="46"/>
      <c r="AI977" s="46"/>
      <c r="AJ977" s="46"/>
      <c r="AK977" s="46"/>
      <c r="AL977" s="46"/>
      <c r="AM977" s="46"/>
      <c r="AN977" s="46"/>
      <c r="AO977" s="46"/>
      <c r="AP977" s="46"/>
      <c r="AQ977" s="46"/>
      <c r="AR977" s="46"/>
      <c r="AS977" s="46"/>
      <c r="AT977" s="46"/>
      <c r="AU977" s="46"/>
      <c r="AV977" s="46"/>
      <c r="AW977" s="46"/>
      <c r="AX977" s="46"/>
      <c r="AY977" s="46"/>
      <c r="AZ977" s="46"/>
      <c r="BA977" s="46"/>
      <c r="BB977" s="46"/>
      <c r="BC977" s="46"/>
      <c r="BD977" s="46"/>
      <c r="BE977" s="46"/>
      <c r="BF977" s="46"/>
      <c r="BG977" s="46"/>
      <c r="BH977" s="46"/>
    </row>
    <row r="978" spans="1:60" ht="14.25" customHeight="1" x14ac:dyDescent="0.3">
      <c r="A978" s="46"/>
      <c r="B978" s="37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  <c r="AA978" s="46"/>
      <c r="AB978" s="46"/>
      <c r="AC978" s="46"/>
      <c r="AD978" s="46"/>
      <c r="AE978" s="46"/>
      <c r="AF978" s="46"/>
      <c r="AG978" s="46"/>
      <c r="AH978" s="46"/>
      <c r="AI978" s="46"/>
      <c r="AJ978" s="46"/>
      <c r="AK978" s="46"/>
      <c r="AL978" s="46"/>
      <c r="AM978" s="46"/>
      <c r="AN978" s="46"/>
      <c r="AO978" s="46"/>
      <c r="AP978" s="46"/>
      <c r="AQ978" s="46"/>
      <c r="AR978" s="46"/>
      <c r="AS978" s="46"/>
      <c r="AT978" s="46"/>
      <c r="AU978" s="46"/>
      <c r="AV978" s="46"/>
      <c r="AW978" s="46"/>
      <c r="AX978" s="46"/>
      <c r="AY978" s="46"/>
      <c r="AZ978" s="46"/>
      <c r="BA978" s="46"/>
      <c r="BB978" s="46"/>
      <c r="BC978" s="46"/>
      <c r="BD978" s="46"/>
      <c r="BE978" s="46"/>
      <c r="BF978" s="46"/>
      <c r="BG978" s="46"/>
      <c r="BH978" s="46"/>
    </row>
    <row r="979" spans="1:60" ht="14.25" customHeight="1" x14ac:dyDescent="0.3">
      <c r="A979" s="46"/>
      <c r="B979" s="37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  <c r="AA979" s="46"/>
      <c r="AB979" s="46"/>
      <c r="AC979" s="46"/>
      <c r="AD979" s="46"/>
      <c r="AE979" s="46"/>
      <c r="AF979" s="46"/>
      <c r="AG979" s="46"/>
      <c r="AH979" s="46"/>
      <c r="AI979" s="46"/>
      <c r="AJ979" s="46"/>
      <c r="AK979" s="46"/>
      <c r="AL979" s="46"/>
      <c r="AM979" s="46"/>
      <c r="AN979" s="46"/>
      <c r="AO979" s="46"/>
      <c r="AP979" s="46"/>
      <c r="AQ979" s="46"/>
      <c r="AR979" s="46"/>
      <c r="AS979" s="46"/>
      <c r="AT979" s="46"/>
      <c r="AU979" s="46"/>
      <c r="AV979" s="46"/>
      <c r="AW979" s="46"/>
      <c r="AX979" s="46"/>
      <c r="AY979" s="46"/>
      <c r="AZ979" s="46"/>
      <c r="BA979" s="46"/>
      <c r="BB979" s="46"/>
      <c r="BC979" s="46"/>
      <c r="BD979" s="46"/>
      <c r="BE979" s="46"/>
      <c r="BF979" s="46"/>
      <c r="BG979" s="46"/>
      <c r="BH979" s="46"/>
    </row>
    <row r="980" spans="1:60" ht="14.25" customHeight="1" x14ac:dyDescent="0.3">
      <c r="A980" s="46"/>
      <c r="B980" s="37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  <c r="AA980" s="46"/>
      <c r="AB980" s="46"/>
      <c r="AC980" s="46"/>
      <c r="AD980" s="46"/>
      <c r="AE980" s="46"/>
      <c r="AF980" s="46"/>
      <c r="AG980" s="46"/>
      <c r="AH980" s="46"/>
      <c r="AI980" s="46"/>
      <c r="AJ980" s="46"/>
      <c r="AK980" s="46"/>
      <c r="AL980" s="46"/>
      <c r="AM980" s="46"/>
      <c r="AN980" s="46"/>
      <c r="AO980" s="46"/>
      <c r="AP980" s="46"/>
      <c r="AQ980" s="46"/>
      <c r="AR980" s="46"/>
      <c r="AS980" s="46"/>
      <c r="AT980" s="46"/>
      <c r="AU980" s="46"/>
      <c r="AV980" s="46"/>
      <c r="AW980" s="46"/>
      <c r="AX980" s="46"/>
      <c r="AY980" s="46"/>
      <c r="AZ980" s="46"/>
      <c r="BA980" s="46"/>
      <c r="BB980" s="46"/>
      <c r="BC980" s="46"/>
      <c r="BD980" s="46"/>
      <c r="BE980" s="46"/>
      <c r="BF980" s="46"/>
      <c r="BG980" s="46"/>
      <c r="BH980" s="46"/>
    </row>
    <row r="981" spans="1:60" ht="14.25" customHeight="1" x14ac:dyDescent="0.3">
      <c r="A981" s="46"/>
      <c r="B981" s="37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  <c r="AA981" s="46"/>
      <c r="AB981" s="46"/>
      <c r="AC981" s="46"/>
      <c r="AD981" s="46"/>
      <c r="AE981" s="46"/>
      <c r="AF981" s="46"/>
      <c r="AG981" s="46"/>
      <c r="AH981" s="46"/>
      <c r="AI981" s="46"/>
      <c r="AJ981" s="46"/>
      <c r="AK981" s="46"/>
      <c r="AL981" s="46"/>
      <c r="AM981" s="46"/>
      <c r="AN981" s="46"/>
      <c r="AO981" s="46"/>
      <c r="AP981" s="46"/>
      <c r="AQ981" s="46"/>
      <c r="AR981" s="46"/>
      <c r="AS981" s="46"/>
      <c r="AT981" s="46"/>
      <c r="AU981" s="46"/>
      <c r="AV981" s="46"/>
      <c r="AW981" s="46"/>
      <c r="AX981" s="46"/>
      <c r="AY981" s="46"/>
      <c r="AZ981" s="46"/>
      <c r="BA981" s="46"/>
      <c r="BB981" s="46"/>
      <c r="BC981" s="46"/>
      <c r="BD981" s="46"/>
      <c r="BE981" s="46"/>
      <c r="BF981" s="46"/>
      <c r="BG981" s="46"/>
      <c r="BH981" s="46"/>
    </row>
    <row r="982" spans="1:60" ht="14.25" customHeight="1" x14ac:dyDescent="0.3">
      <c r="A982" s="46"/>
      <c r="B982" s="37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  <c r="AA982" s="46"/>
      <c r="AB982" s="46"/>
      <c r="AC982" s="46"/>
      <c r="AD982" s="46"/>
      <c r="AE982" s="46"/>
      <c r="AF982" s="46"/>
      <c r="AG982" s="46"/>
      <c r="AH982" s="46"/>
      <c r="AI982" s="46"/>
      <c r="AJ982" s="46"/>
      <c r="AK982" s="46"/>
      <c r="AL982" s="46"/>
      <c r="AM982" s="46"/>
      <c r="AN982" s="46"/>
      <c r="AO982" s="46"/>
      <c r="AP982" s="46"/>
      <c r="AQ982" s="46"/>
      <c r="AR982" s="46"/>
      <c r="AS982" s="46"/>
      <c r="AT982" s="46"/>
      <c r="AU982" s="46"/>
      <c r="AV982" s="46"/>
      <c r="AW982" s="46"/>
      <c r="AX982" s="46"/>
      <c r="AY982" s="46"/>
      <c r="AZ982" s="46"/>
      <c r="BA982" s="46"/>
      <c r="BB982" s="46"/>
      <c r="BC982" s="46"/>
      <c r="BD982" s="46"/>
      <c r="BE982" s="46"/>
      <c r="BF982" s="46"/>
      <c r="BG982" s="46"/>
      <c r="BH982" s="46"/>
    </row>
    <row r="983" spans="1:60" ht="14.25" customHeight="1" x14ac:dyDescent="0.3">
      <c r="A983" s="46"/>
      <c r="B983" s="37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  <c r="AA983" s="46"/>
      <c r="AB983" s="46"/>
      <c r="AC983" s="46"/>
      <c r="AD983" s="46"/>
      <c r="AE983" s="46"/>
      <c r="AF983" s="46"/>
      <c r="AG983" s="46"/>
      <c r="AH983" s="46"/>
      <c r="AI983" s="46"/>
      <c r="AJ983" s="46"/>
      <c r="AK983" s="46"/>
      <c r="AL983" s="46"/>
      <c r="AM983" s="46"/>
      <c r="AN983" s="46"/>
      <c r="AO983" s="46"/>
      <c r="AP983" s="46"/>
      <c r="AQ983" s="46"/>
      <c r="AR983" s="46"/>
      <c r="AS983" s="46"/>
      <c r="AT983" s="46"/>
      <c r="AU983" s="46"/>
      <c r="AV983" s="46"/>
      <c r="AW983" s="46"/>
      <c r="AX983" s="46"/>
      <c r="AY983" s="46"/>
      <c r="AZ983" s="46"/>
      <c r="BA983" s="46"/>
      <c r="BB983" s="46"/>
      <c r="BC983" s="46"/>
      <c r="BD983" s="46"/>
      <c r="BE983" s="46"/>
      <c r="BF983" s="46"/>
      <c r="BG983" s="46"/>
      <c r="BH983" s="46"/>
    </row>
    <row r="984" spans="1:60" ht="14.25" customHeight="1" x14ac:dyDescent="0.3">
      <c r="A984" s="46"/>
      <c r="B984" s="37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  <c r="AA984" s="46"/>
      <c r="AB984" s="46"/>
      <c r="AC984" s="46"/>
      <c r="AD984" s="46"/>
      <c r="AE984" s="46"/>
      <c r="AF984" s="46"/>
      <c r="AG984" s="46"/>
      <c r="AH984" s="46"/>
      <c r="AI984" s="46"/>
      <c r="AJ984" s="46"/>
      <c r="AK984" s="46"/>
      <c r="AL984" s="46"/>
      <c r="AM984" s="46"/>
      <c r="AN984" s="46"/>
      <c r="AO984" s="46"/>
      <c r="AP984" s="46"/>
      <c r="AQ984" s="46"/>
      <c r="AR984" s="46"/>
      <c r="AS984" s="46"/>
      <c r="AT984" s="46"/>
      <c r="AU984" s="46"/>
      <c r="AV984" s="46"/>
      <c r="AW984" s="46"/>
      <c r="AX984" s="46"/>
      <c r="AY984" s="46"/>
      <c r="AZ984" s="46"/>
      <c r="BA984" s="46"/>
      <c r="BB984" s="46"/>
      <c r="BC984" s="46"/>
      <c r="BD984" s="46"/>
      <c r="BE984" s="46"/>
      <c r="BF984" s="46"/>
      <c r="BG984" s="46"/>
      <c r="BH984" s="46"/>
    </row>
    <row r="985" spans="1:60" ht="14.25" customHeight="1" x14ac:dyDescent="0.3">
      <c r="A985" s="46"/>
      <c r="B985" s="37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  <c r="AA985" s="46"/>
      <c r="AB985" s="46"/>
      <c r="AC985" s="46"/>
      <c r="AD985" s="46"/>
      <c r="AE985" s="46"/>
      <c r="AF985" s="46"/>
      <c r="AG985" s="46"/>
      <c r="AH985" s="46"/>
      <c r="AI985" s="46"/>
      <c r="AJ985" s="46"/>
      <c r="AK985" s="46"/>
      <c r="AL985" s="46"/>
      <c r="AM985" s="46"/>
      <c r="AN985" s="46"/>
      <c r="AO985" s="46"/>
      <c r="AP985" s="46"/>
      <c r="AQ985" s="46"/>
      <c r="AR985" s="46"/>
      <c r="AS985" s="46"/>
      <c r="AT985" s="46"/>
      <c r="AU985" s="46"/>
      <c r="AV985" s="46"/>
      <c r="AW985" s="46"/>
      <c r="AX985" s="46"/>
      <c r="AY985" s="46"/>
      <c r="AZ985" s="46"/>
      <c r="BA985" s="46"/>
      <c r="BB985" s="46"/>
      <c r="BC985" s="46"/>
      <c r="BD985" s="46"/>
      <c r="BE985" s="46"/>
      <c r="BF985" s="46"/>
      <c r="BG985" s="46"/>
      <c r="BH985" s="46"/>
    </row>
    <row r="986" spans="1:60" ht="14.25" customHeight="1" x14ac:dyDescent="0.3">
      <c r="A986" s="46"/>
      <c r="B986" s="37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  <c r="AA986" s="46"/>
      <c r="AB986" s="46"/>
      <c r="AC986" s="46"/>
      <c r="AD986" s="46"/>
      <c r="AE986" s="46"/>
      <c r="AF986" s="46"/>
      <c r="AG986" s="46"/>
      <c r="AH986" s="46"/>
      <c r="AI986" s="46"/>
      <c r="AJ986" s="46"/>
      <c r="AK986" s="46"/>
      <c r="AL986" s="46"/>
      <c r="AM986" s="46"/>
      <c r="AN986" s="46"/>
      <c r="AO986" s="46"/>
      <c r="AP986" s="46"/>
      <c r="AQ986" s="46"/>
      <c r="AR986" s="46"/>
      <c r="AS986" s="46"/>
      <c r="AT986" s="46"/>
      <c r="AU986" s="46"/>
      <c r="AV986" s="46"/>
      <c r="AW986" s="46"/>
      <c r="AX986" s="46"/>
      <c r="AY986" s="46"/>
      <c r="AZ986" s="46"/>
      <c r="BA986" s="46"/>
      <c r="BB986" s="46"/>
      <c r="BC986" s="46"/>
      <c r="BD986" s="46"/>
      <c r="BE986" s="46"/>
      <c r="BF986" s="46"/>
      <c r="BG986" s="46"/>
      <c r="BH986" s="46"/>
    </row>
    <row r="987" spans="1:60" ht="14.25" customHeight="1" x14ac:dyDescent="0.3">
      <c r="A987" s="46"/>
      <c r="B987" s="37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  <c r="AA987" s="46"/>
      <c r="AB987" s="46"/>
      <c r="AC987" s="46"/>
      <c r="AD987" s="46"/>
      <c r="AE987" s="46"/>
      <c r="AF987" s="46"/>
      <c r="AG987" s="46"/>
      <c r="AH987" s="46"/>
      <c r="AI987" s="46"/>
      <c r="AJ987" s="46"/>
      <c r="AK987" s="46"/>
      <c r="AL987" s="46"/>
      <c r="AM987" s="46"/>
      <c r="AN987" s="46"/>
      <c r="AO987" s="46"/>
      <c r="AP987" s="46"/>
      <c r="AQ987" s="46"/>
      <c r="AR987" s="46"/>
      <c r="AS987" s="46"/>
      <c r="AT987" s="46"/>
      <c r="AU987" s="46"/>
      <c r="AV987" s="46"/>
      <c r="AW987" s="46"/>
      <c r="AX987" s="46"/>
      <c r="AY987" s="46"/>
      <c r="AZ987" s="46"/>
      <c r="BA987" s="46"/>
      <c r="BB987" s="46"/>
      <c r="BC987" s="46"/>
      <c r="BD987" s="46"/>
      <c r="BE987" s="46"/>
      <c r="BF987" s="46"/>
      <c r="BG987" s="46"/>
      <c r="BH987" s="46"/>
    </row>
    <row r="988" spans="1:60" ht="14.25" customHeight="1" x14ac:dyDescent="0.3">
      <c r="A988" s="46"/>
      <c r="B988" s="37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  <c r="AA988" s="46"/>
      <c r="AB988" s="46"/>
      <c r="AC988" s="46"/>
      <c r="AD988" s="46"/>
      <c r="AE988" s="46"/>
      <c r="AF988" s="46"/>
      <c r="AG988" s="46"/>
      <c r="AH988" s="46"/>
      <c r="AI988" s="46"/>
      <c r="AJ988" s="46"/>
      <c r="AK988" s="46"/>
      <c r="AL988" s="46"/>
      <c r="AM988" s="46"/>
      <c r="AN988" s="46"/>
      <c r="AO988" s="46"/>
      <c r="AP988" s="46"/>
      <c r="AQ988" s="46"/>
      <c r="AR988" s="46"/>
      <c r="AS988" s="46"/>
      <c r="AT988" s="46"/>
      <c r="AU988" s="46"/>
      <c r="AV988" s="46"/>
      <c r="AW988" s="46"/>
      <c r="AX988" s="46"/>
      <c r="AY988" s="46"/>
      <c r="AZ988" s="46"/>
      <c r="BA988" s="46"/>
      <c r="BB988" s="46"/>
      <c r="BC988" s="46"/>
      <c r="BD988" s="46"/>
      <c r="BE988" s="46"/>
      <c r="BF988" s="46"/>
      <c r="BG988" s="46"/>
      <c r="BH988" s="46"/>
    </row>
    <row r="989" spans="1:60" ht="14.25" customHeight="1" x14ac:dyDescent="0.3">
      <c r="A989" s="46"/>
      <c r="B989" s="37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  <c r="AA989" s="46"/>
      <c r="AB989" s="46"/>
      <c r="AC989" s="46"/>
      <c r="AD989" s="46"/>
      <c r="AE989" s="46"/>
      <c r="AF989" s="46"/>
      <c r="AG989" s="46"/>
      <c r="AH989" s="46"/>
      <c r="AI989" s="46"/>
      <c r="AJ989" s="46"/>
      <c r="AK989" s="46"/>
      <c r="AL989" s="46"/>
      <c r="AM989" s="46"/>
      <c r="AN989" s="46"/>
      <c r="AO989" s="46"/>
      <c r="AP989" s="46"/>
      <c r="AQ989" s="46"/>
      <c r="AR989" s="46"/>
      <c r="AS989" s="46"/>
      <c r="AT989" s="46"/>
      <c r="AU989" s="46"/>
      <c r="AV989" s="46"/>
      <c r="AW989" s="46"/>
      <c r="AX989" s="46"/>
      <c r="AY989" s="46"/>
      <c r="AZ989" s="46"/>
      <c r="BA989" s="46"/>
      <c r="BB989" s="46"/>
      <c r="BC989" s="46"/>
      <c r="BD989" s="46"/>
      <c r="BE989" s="46"/>
      <c r="BF989" s="46"/>
      <c r="BG989" s="46"/>
      <c r="BH989" s="46"/>
    </row>
    <row r="990" spans="1:60" ht="14.25" customHeight="1" x14ac:dyDescent="0.3">
      <c r="A990" s="46"/>
      <c r="B990" s="37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  <c r="AA990" s="46"/>
      <c r="AB990" s="46"/>
      <c r="AC990" s="46"/>
      <c r="AD990" s="46"/>
      <c r="AE990" s="46"/>
      <c r="AF990" s="46"/>
      <c r="AG990" s="46"/>
      <c r="AH990" s="46"/>
      <c r="AI990" s="46"/>
      <c r="AJ990" s="46"/>
      <c r="AK990" s="46"/>
      <c r="AL990" s="46"/>
      <c r="AM990" s="46"/>
      <c r="AN990" s="46"/>
      <c r="AO990" s="46"/>
      <c r="AP990" s="46"/>
      <c r="AQ990" s="46"/>
      <c r="AR990" s="46"/>
      <c r="AS990" s="46"/>
      <c r="AT990" s="46"/>
      <c r="AU990" s="46"/>
      <c r="AV990" s="46"/>
      <c r="AW990" s="46"/>
      <c r="AX990" s="46"/>
      <c r="AY990" s="46"/>
      <c r="AZ990" s="46"/>
      <c r="BA990" s="46"/>
      <c r="BB990" s="46"/>
      <c r="BC990" s="46"/>
      <c r="BD990" s="46"/>
      <c r="BE990" s="46"/>
      <c r="BF990" s="46"/>
      <c r="BG990" s="46"/>
      <c r="BH990" s="46"/>
    </row>
    <row r="991" spans="1:60" ht="14.25" customHeight="1" x14ac:dyDescent="0.3">
      <c r="A991" s="46"/>
      <c r="B991" s="37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  <c r="AA991" s="46"/>
      <c r="AB991" s="46"/>
      <c r="AC991" s="46"/>
      <c r="AD991" s="46"/>
      <c r="AE991" s="46"/>
      <c r="AF991" s="46"/>
      <c r="AG991" s="46"/>
      <c r="AH991" s="46"/>
      <c r="AI991" s="46"/>
      <c r="AJ991" s="46"/>
      <c r="AK991" s="46"/>
      <c r="AL991" s="46"/>
      <c r="AM991" s="46"/>
      <c r="AN991" s="46"/>
      <c r="AO991" s="46"/>
      <c r="AP991" s="46"/>
      <c r="AQ991" s="46"/>
      <c r="AR991" s="46"/>
      <c r="AS991" s="46"/>
      <c r="AT991" s="46"/>
      <c r="AU991" s="46"/>
      <c r="AV991" s="46"/>
      <c r="AW991" s="46"/>
      <c r="AX991" s="46"/>
      <c r="AY991" s="46"/>
      <c r="AZ991" s="46"/>
      <c r="BA991" s="46"/>
      <c r="BB991" s="46"/>
      <c r="BC991" s="46"/>
      <c r="BD991" s="46"/>
      <c r="BE991" s="46"/>
      <c r="BF991" s="46"/>
      <c r="BG991" s="46"/>
      <c r="BH991" s="46"/>
    </row>
    <row r="992" spans="1:60" ht="14.25" customHeight="1" x14ac:dyDescent="0.3">
      <c r="A992" s="46"/>
      <c r="B992" s="37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  <c r="AA992" s="46"/>
      <c r="AB992" s="46"/>
      <c r="AC992" s="46"/>
      <c r="AD992" s="46"/>
      <c r="AE992" s="46"/>
      <c r="AF992" s="46"/>
      <c r="AG992" s="46"/>
      <c r="AH992" s="46"/>
      <c r="AI992" s="46"/>
      <c r="AJ992" s="46"/>
      <c r="AK992" s="46"/>
      <c r="AL992" s="46"/>
      <c r="AM992" s="46"/>
      <c r="AN992" s="46"/>
      <c r="AO992" s="46"/>
      <c r="AP992" s="46"/>
      <c r="AQ992" s="46"/>
      <c r="AR992" s="46"/>
      <c r="AS992" s="46"/>
      <c r="AT992" s="46"/>
      <c r="AU992" s="46"/>
      <c r="AV992" s="46"/>
      <c r="AW992" s="46"/>
      <c r="AX992" s="46"/>
      <c r="AY992" s="46"/>
      <c r="AZ992" s="46"/>
      <c r="BA992" s="46"/>
      <c r="BB992" s="46"/>
      <c r="BC992" s="46"/>
      <c r="BD992" s="46"/>
      <c r="BE992" s="46"/>
      <c r="BF992" s="46"/>
      <c r="BG992" s="46"/>
      <c r="BH992" s="46"/>
    </row>
    <row r="993" spans="1:60" ht="14.25" customHeight="1" x14ac:dyDescent="0.3">
      <c r="A993" s="46"/>
      <c r="B993" s="37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  <c r="AA993" s="46"/>
      <c r="AB993" s="46"/>
      <c r="AC993" s="46"/>
      <c r="AD993" s="46"/>
      <c r="AE993" s="46"/>
      <c r="AF993" s="46"/>
      <c r="AG993" s="46"/>
      <c r="AH993" s="46"/>
      <c r="AI993" s="46"/>
      <c r="AJ993" s="46"/>
      <c r="AK993" s="46"/>
      <c r="AL993" s="46"/>
      <c r="AM993" s="46"/>
      <c r="AN993" s="46"/>
      <c r="AO993" s="46"/>
      <c r="AP993" s="46"/>
      <c r="AQ993" s="46"/>
      <c r="AR993" s="46"/>
      <c r="AS993" s="46"/>
      <c r="AT993" s="46"/>
      <c r="AU993" s="46"/>
      <c r="AV993" s="46"/>
      <c r="AW993" s="46"/>
      <c r="AX993" s="46"/>
      <c r="AY993" s="46"/>
      <c r="AZ993" s="46"/>
      <c r="BA993" s="46"/>
      <c r="BB993" s="46"/>
      <c r="BC993" s="46"/>
      <c r="BD993" s="46"/>
      <c r="BE993" s="46"/>
      <c r="BF993" s="46"/>
      <c r="BG993" s="46"/>
      <c r="BH993" s="46"/>
    </row>
    <row r="994" spans="1:60" ht="14.25" customHeight="1" x14ac:dyDescent="0.3">
      <c r="A994" s="46"/>
      <c r="B994" s="37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  <c r="AA994" s="46"/>
      <c r="AB994" s="46"/>
      <c r="AC994" s="46"/>
      <c r="AD994" s="46"/>
      <c r="AE994" s="46"/>
      <c r="AF994" s="46"/>
      <c r="AG994" s="46"/>
      <c r="AH994" s="46"/>
      <c r="AI994" s="46"/>
      <c r="AJ994" s="46"/>
      <c r="AK994" s="46"/>
      <c r="AL994" s="46"/>
      <c r="AM994" s="46"/>
      <c r="AN994" s="46"/>
      <c r="AO994" s="46"/>
      <c r="AP994" s="46"/>
      <c r="AQ994" s="46"/>
      <c r="AR994" s="46"/>
      <c r="AS994" s="46"/>
      <c r="AT994" s="46"/>
      <c r="AU994" s="46"/>
      <c r="AV994" s="46"/>
      <c r="AW994" s="46"/>
      <c r="AX994" s="46"/>
      <c r="AY994" s="46"/>
      <c r="AZ994" s="46"/>
      <c r="BA994" s="46"/>
      <c r="BB994" s="46"/>
      <c r="BC994" s="46"/>
      <c r="BD994" s="46"/>
      <c r="BE994" s="46"/>
      <c r="BF994" s="46"/>
      <c r="BG994" s="46"/>
      <c r="BH994" s="46"/>
    </row>
    <row r="995" spans="1:60" ht="14.25" customHeight="1" x14ac:dyDescent="0.3">
      <c r="A995" s="46"/>
      <c r="B995" s="37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  <c r="AA995" s="46"/>
      <c r="AB995" s="46"/>
      <c r="AC995" s="46"/>
      <c r="AD995" s="46"/>
      <c r="AE995" s="46"/>
      <c r="AF995" s="46"/>
      <c r="AG995" s="46"/>
      <c r="AH995" s="46"/>
      <c r="AI995" s="46"/>
      <c r="AJ995" s="46"/>
      <c r="AK995" s="46"/>
      <c r="AL995" s="46"/>
      <c r="AM995" s="46"/>
      <c r="AN995" s="46"/>
      <c r="AO995" s="46"/>
      <c r="AP995" s="46"/>
      <c r="AQ995" s="46"/>
      <c r="AR995" s="46"/>
      <c r="AS995" s="46"/>
      <c r="AT995" s="46"/>
      <c r="AU995" s="46"/>
      <c r="AV995" s="46"/>
      <c r="AW995" s="46"/>
      <c r="AX995" s="46"/>
      <c r="AY995" s="46"/>
      <c r="AZ995" s="46"/>
      <c r="BA995" s="46"/>
      <c r="BB995" s="46"/>
      <c r="BC995" s="46"/>
      <c r="BD995" s="46"/>
      <c r="BE995" s="46"/>
      <c r="BF995" s="46"/>
      <c r="BG995" s="46"/>
      <c r="BH995" s="46"/>
    </row>
    <row r="996" spans="1:60" ht="14.25" customHeight="1" x14ac:dyDescent="0.3">
      <c r="A996" s="46"/>
      <c r="B996" s="37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  <c r="AA996" s="46"/>
      <c r="AB996" s="46"/>
      <c r="AC996" s="46"/>
      <c r="AD996" s="46"/>
      <c r="AE996" s="46"/>
      <c r="AF996" s="46"/>
      <c r="AG996" s="46"/>
      <c r="AH996" s="46"/>
      <c r="AI996" s="46"/>
      <c r="AJ996" s="46"/>
      <c r="AK996" s="46"/>
      <c r="AL996" s="46"/>
      <c r="AM996" s="46"/>
      <c r="AN996" s="46"/>
      <c r="AO996" s="46"/>
      <c r="AP996" s="46"/>
      <c r="AQ996" s="46"/>
      <c r="AR996" s="46"/>
      <c r="AS996" s="46"/>
      <c r="AT996" s="46"/>
      <c r="AU996" s="46"/>
      <c r="AV996" s="46"/>
      <c r="AW996" s="46"/>
      <c r="AX996" s="46"/>
      <c r="AY996" s="46"/>
      <c r="AZ996" s="46"/>
      <c r="BA996" s="46"/>
      <c r="BB996" s="46"/>
      <c r="BC996" s="46"/>
      <c r="BD996" s="46"/>
      <c r="BE996" s="46"/>
      <c r="BF996" s="46"/>
      <c r="BG996" s="46"/>
      <c r="BH996" s="46"/>
    </row>
    <row r="997" spans="1:60" ht="14.25" customHeight="1" x14ac:dyDescent="0.3">
      <c r="A997" s="46"/>
      <c r="B997" s="37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  <c r="AA997" s="46"/>
      <c r="AB997" s="46"/>
      <c r="AC997" s="46"/>
      <c r="AD997" s="46"/>
      <c r="AE997" s="46"/>
      <c r="AF997" s="46"/>
      <c r="AG997" s="46"/>
      <c r="AH997" s="46"/>
      <c r="AI997" s="46"/>
      <c r="AJ997" s="46"/>
      <c r="AK997" s="46"/>
      <c r="AL997" s="46"/>
      <c r="AM997" s="46"/>
      <c r="AN997" s="46"/>
      <c r="AO997" s="46"/>
      <c r="AP997" s="46"/>
      <c r="AQ997" s="46"/>
      <c r="AR997" s="46"/>
      <c r="AS997" s="46"/>
      <c r="AT997" s="46"/>
      <c r="AU997" s="46"/>
      <c r="AV997" s="46"/>
      <c r="AW997" s="46"/>
      <c r="AX997" s="46"/>
      <c r="AY997" s="46"/>
      <c r="AZ997" s="46"/>
      <c r="BA997" s="46"/>
      <c r="BB997" s="46"/>
      <c r="BC997" s="46"/>
      <c r="BD997" s="46"/>
      <c r="BE997" s="46"/>
      <c r="BF997" s="46"/>
      <c r="BG997" s="46"/>
      <c r="BH997" s="46"/>
    </row>
    <row r="998" spans="1:60" ht="14.25" customHeight="1" x14ac:dyDescent="0.3">
      <c r="A998" s="46"/>
      <c r="B998" s="37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  <c r="AA998" s="46"/>
      <c r="AB998" s="46"/>
      <c r="AC998" s="46"/>
      <c r="AD998" s="46"/>
      <c r="AE998" s="46"/>
      <c r="AF998" s="46"/>
      <c r="AG998" s="46"/>
      <c r="AH998" s="46"/>
      <c r="AI998" s="46"/>
      <c r="AJ998" s="46"/>
      <c r="AK998" s="46"/>
      <c r="AL998" s="46"/>
      <c r="AM998" s="46"/>
      <c r="AN998" s="46"/>
      <c r="AO998" s="46"/>
      <c r="AP998" s="46"/>
      <c r="AQ998" s="46"/>
      <c r="AR998" s="46"/>
      <c r="AS998" s="46"/>
      <c r="AT998" s="46"/>
      <c r="AU998" s="46"/>
      <c r="AV998" s="46"/>
      <c r="AW998" s="46"/>
      <c r="AX998" s="46"/>
      <c r="AY998" s="46"/>
      <c r="AZ998" s="46"/>
      <c r="BA998" s="46"/>
      <c r="BB998" s="46"/>
      <c r="BC998" s="46"/>
      <c r="BD998" s="46"/>
      <c r="BE998" s="46"/>
      <c r="BF998" s="46"/>
      <c r="BG998" s="46"/>
      <c r="BH998" s="46"/>
    </row>
    <row r="999" spans="1:60" ht="14.25" customHeight="1" x14ac:dyDescent="0.3">
      <c r="A999" s="46"/>
      <c r="B999" s="37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  <c r="AA999" s="46"/>
      <c r="AB999" s="46"/>
      <c r="AC999" s="46"/>
      <c r="AD999" s="46"/>
      <c r="AE999" s="46"/>
      <c r="AF999" s="46"/>
      <c r="AG999" s="46"/>
      <c r="AH999" s="46"/>
      <c r="AI999" s="46"/>
      <c r="AJ999" s="46"/>
      <c r="AK999" s="46"/>
      <c r="AL999" s="46"/>
      <c r="AM999" s="46"/>
      <c r="AN999" s="46"/>
      <c r="AO999" s="46"/>
      <c r="AP999" s="46"/>
      <c r="AQ999" s="46"/>
      <c r="AR999" s="46"/>
      <c r="AS999" s="46"/>
      <c r="AT999" s="46"/>
      <c r="AU999" s="46"/>
      <c r="AV999" s="46"/>
      <c r="AW999" s="46"/>
      <c r="AX999" s="46"/>
      <c r="AY999" s="46"/>
      <c r="AZ999" s="46"/>
      <c r="BA999" s="46"/>
      <c r="BB999" s="46"/>
      <c r="BC999" s="46"/>
      <c r="BD999" s="46"/>
      <c r="BE999" s="46"/>
      <c r="BF999" s="46"/>
      <c r="BG999" s="46"/>
      <c r="BH999" s="46"/>
    </row>
    <row r="1000" spans="1:60" ht="14.25" customHeight="1" x14ac:dyDescent="0.3">
      <c r="A1000" s="46"/>
      <c r="B1000" s="37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  <c r="AA1000" s="46"/>
      <c r="AB1000" s="46"/>
      <c r="AC1000" s="46"/>
      <c r="AD1000" s="46"/>
      <c r="AE1000" s="46"/>
      <c r="AF1000" s="46"/>
      <c r="AG1000" s="46"/>
      <c r="AH1000" s="46"/>
      <c r="AI1000" s="46"/>
      <c r="AJ1000" s="46"/>
      <c r="AK1000" s="46"/>
      <c r="AL1000" s="46"/>
      <c r="AM1000" s="46"/>
      <c r="AN1000" s="46"/>
      <c r="AO1000" s="46"/>
      <c r="AP1000" s="46"/>
      <c r="AQ1000" s="46"/>
      <c r="AR1000" s="46"/>
      <c r="AS1000" s="46"/>
      <c r="AT1000" s="46"/>
      <c r="AU1000" s="46"/>
      <c r="AV1000" s="46"/>
      <c r="AW1000" s="46"/>
      <c r="AX1000" s="46"/>
      <c r="AY1000" s="46"/>
      <c r="AZ1000" s="46"/>
      <c r="BA1000" s="46"/>
      <c r="BB1000" s="46"/>
      <c r="BC1000" s="46"/>
      <c r="BD1000" s="46"/>
      <c r="BE1000" s="46"/>
      <c r="BF1000" s="46"/>
      <c r="BG1000" s="46"/>
      <c r="BH1000" s="46"/>
    </row>
    <row r="1001" spans="1:60" ht="14.25" customHeight="1" x14ac:dyDescent="0.3">
      <c r="A1001" s="46"/>
      <c r="B1001" s="37"/>
      <c r="C1001" s="46"/>
      <c r="D1001" s="46"/>
      <c r="E1001" s="46"/>
      <c r="F1001" s="46"/>
      <c r="G1001" s="46"/>
      <c r="H1001" s="46"/>
      <c r="I1001" s="46"/>
      <c r="J1001" s="46"/>
      <c r="K1001" s="46"/>
      <c r="L1001" s="46"/>
      <c r="M1001" s="46"/>
      <c r="N1001" s="46"/>
      <c r="O1001" s="46"/>
      <c r="P1001" s="46"/>
      <c r="Q1001" s="46"/>
      <c r="R1001" s="46"/>
      <c r="S1001" s="46"/>
      <c r="T1001" s="46"/>
      <c r="U1001" s="46"/>
      <c r="V1001" s="46"/>
      <c r="W1001" s="46"/>
      <c r="X1001" s="46"/>
      <c r="Y1001" s="46"/>
      <c r="Z1001" s="46"/>
      <c r="AA1001" s="46"/>
      <c r="AB1001" s="46"/>
      <c r="AC1001" s="46"/>
      <c r="AD1001" s="46"/>
      <c r="AE1001" s="46"/>
      <c r="AF1001" s="46"/>
      <c r="AG1001" s="46"/>
      <c r="AH1001" s="46"/>
      <c r="AI1001" s="46"/>
      <c r="AJ1001" s="46"/>
      <c r="AK1001" s="46"/>
      <c r="AL1001" s="46"/>
      <c r="AM1001" s="46"/>
      <c r="AN1001" s="46"/>
      <c r="AO1001" s="46"/>
      <c r="AP1001" s="46"/>
      <c r="AQ1001" s="46"/>
      <c r="AR1001" s="46"/>
      <c r="AS1001" s="46"/>
      <c r="AT1001" s="46"/>
      <c r="AU1001" s="46"/>
      <c r="AV1001" s="46"/>
      <c r="AW1001" s="46"/>
      <c r="AX1001" s="46"/>
      <c r="AY1001" s="46"/>
      <c r="AZ1001" s="46"/>
      <c r="BA1001" s="46"/>
      <c r="BB1001" s="46"/>
      <c r="BC1001" s="46"/>
      <c r="BD1001" s="46"/>
      <c r="BE1001" s="46"/>
      <c r="BF1001" s="46"/>
      <c r="BG1001" s="46"/>
      <c r="BH1001" s="46"/>
    </row>
    <row r="1002" spans="1:60" ht="14.25" customHeight="1" x14ac:dyDescent="0.3">
      <c r="A1002" s="46"/>
      <c r="B1002" s="37"/>
      <c r="C1002" s="46"/>
      <c r="D1002" s="46"/>
      <c r="E1002" s="46"/>
      <c r="F1002" s="46"/>
      <c r="G1002" s="46"/>
      <c r="H1002" s="46"/>
      <c r="I1002" s="46"/>
      <c r="J1002" s="46"/>
      <c r="K1002" s="46"/>
      <c r="L1002" s="46"/>
      <c r="M1002" s="46"/>
      <c r="N1002" s="46"/>
      <c r="O1002" s="46"/>
      <c r="P1002" s="46"/>
      <c r="Q1002" s="46"/>
      <c r="R1002" s="46"/>
      <c r="S1002" s="46"/>
      <c r="T1002" s="46"/>
      <c r="U1002" s="46"/>
      <c r="V1002" s="46"/>
      <c r="W1002" s="46"/>
      <c r="X1002" s="46"/>
      <c r="Y1002" s="46"/>
      <c r="Z1002" s="46"/>
      <c r="AA1002" s="46"/>
      <c r="AB1002" s="46"/>
      <c r="AC1002" s="46"/>
      <c r="AD1002" s="46"/>
      <c r="AE1002" s="46"/>
      <c r="AF1002" s="46"/>
      <c r="AG1002" s="46"/>
      <c r="AH1002" s="46"/>
      <c r="AI1002" s="46"/>
      <c r="AJ1002" s="46"/>
      <c r="AK1002" s="46"/>
      <c r="AL1002" s="46"/>
      <c r="AM1002" s="46"/>
      <c r="AN1002" s="46"/>
      <c r="AO1002" s="46"/>
      <c r="AP1002" s="46"/>
      <c r="AQ1002" s="46"/>
      <c r="AR1002" s="46"/>
      <c r="AS1002" s="46"/>
      <c r="AT1002" s="46"/>
      <c r="AU1002" s="46"/>
      <c r="AV1002" s="46"/>
      <c r="AW1002" s="46"/>
      <c r="AX1002" s="46"/>
      <c r="AY1002" s="46"/>
      <c r="AZ1002" s="46"/>
      <c r="BA1002" s="46"/>
      <c r="BB1002" s="46"/>
      <c r="BC1002" s="46"/>
      <c r="BD1002" s="46"/>
      <c r="BE1002" s="46"/>
      <c r="BF1002" s="46"/>
      <c r="BG1002" s="46"/>
      <c r="BH1002" s="46"/>
    </row>
    <row r="1003" spans="1:60" ht="14.25" customHeight="1" x14ac:dyDescent="0.3">
      <c r="A1003" s="46"/>
      <c r="B1003" s="37"/>
      <c r="C1003" s="46"/>
      <c r="D1003" s="46"/>
      <c r="E1003" s="46"/>
      <c r="F1003" s="46"/>
      <c r="G1003" s="46"/>
      <c r="H1003" s="46"/>
      <c r="I1003" s="46"/>
      <c r="J1003" s="46"/>
      <c r="K1003" s="46"/>
      <c r="L1003" s="46"/>
      <c r="M1003" s="46"/>
      <c r="N1003" s="46"/>
      <c r="O1003" s="46"/>
      <c r="P1003" s="46"/>
      <c r="Q1003" s="46"/>
      <c r="R1003" s="46"/>
      <c r="S1003" s="46"/>
      <c r="T1003" s="46"/>
      <c r="U1003" s="46"/>
      <c r="V1003" s="46"/>
      <c r="W1003" s="46"/>
      <c r="X1003" s="46"/>
      <c r="Y1003" s="46"/>
      <c r="Z1003" s="46"/>
      <c r="AA1003" s="46"/>
      <c r="AB1003" s="46"/>
      <c r="AC1003" s="46"/>
      <c r="AD1003" s="46"/>
      <c r="AE1003" s="46"/>
      <c r="AF1003" s="46"/>
      <c r="AG1003" s="46"/>
      <c r="AH1003" s="46"/>
      <c r="AI1003" s="46"/>
      <c r="AJ1003" s="46"/>
      <c r="AK1003" s="46"/>
      <c r="AL1003" s="46"/>
      <c r="AM1003" s="46"/>
      <c r="AN1003" s="46"/>
      <c r="AO1003" s="46"/>
      <c r="AP1003" s="46"/>
      <c r="AQ1003" s="46"/>
      <c r="AR1003" s="46"/>
      <c r="AS1003" s="46"/>
      <c r="AT1003" s="46"/>
      <c r="AU1003" s="46"/>
      <c r="AV1003" s="46"/>
      <c r="AW1003" s="46"/>
      <c r="AX1003" s="46"/>
      <c r="AY1003" s="46"/>
      <c r="AZ1003" s="46"/>
      <c r="BA1003" s="46"/>
      <c r="BB1003" s="46"/>
      <c r="BC1003" s="46"/>
      <c r="BD1003" s="46"/>
      <c r="BE1003" s="46"/>
      <c r="BF1003" s="46"/>
      <c r="BG1003" s="46"/>
      <c r="BH1003" s="46"/>
    </row>
    <row r="1004" spans="1:60" ht="14.25" customHeight="1" x14ac:dyDescent="0.3">
      <c r="A1004" s="46"/>
      <c r="B1004" s="37"/>
      <c r="C1004" s="46"/>
      <c r="D1004" s="46"/>
      <c r="E1004" s="46"/>
      <c r="F1004" s="46"/>
      <c r="G1004" s="46"/>
      <c r="H1004" s="46"/>
      <c r="I1004" s="46"/>
      <c r="J1004" s="46"/>
      <c r="K1004" s="46"/>
      <c r="L1004" s="46"/>
      <c r="M1004" s="46"/>
      <c r="N1004" s="46"/>
      <c r="O1004" s="46"/>
      <c r="P1004" s="46"/>
      <c r="Q1004" s="46"/>
      <c r="R1004" s="46"/>
      <c r="S1004" s="46"/>
      <c r="T1004" s="46"/>
      <c r="U1004" s="46"/>
      <c r="V1004" s="46"/>
      <c r="W1004" s="46"/>
      <c r="X1004" s="46"/>
      <c r="Y1004" s="46"/>
      <c r="Z1004" s="46"/>
      <c r="AA1004" s="46"/>
      <c r="AB1004" s="46"/>
      <c r="AC1004" s="46"/>
      <c r="AD1004" s="46"/>
      <c r="AE1004" s="46"/>
      <c r="AF1004" s="46"/>
      <c r="AG1004" s="46"/>
      <c r="AH1004" s="46"/>
      <c r="AI1004" s="46"/>
      <c r="AJ1004" s="46"/>
      <c r="AK1004" s="46"/>
      <c r="AL1004" s="46"/>
      <c r="AM1004" s="46"/>
      <c r="AN1004" s="46"/>
      <c r="AO1004" s="46"/>
      <c r="AP1004" s="46"/>
      <c r="AQ1004" s="46"/>
      <c r="AR1004" s="46"/>
      <c r="AS1004" s="46"/>
      <c r="AT1004" s="46"/>
      <c r="AU1004" s="46"/>
      <c r="AV1004" s="46"/>
      <c r="AW1004" s="46"/>
      <c r="AX1004" s="46"/>
      <c r="AY1004" s="46"/>
      <c r="AZ1004" s="46"/>
      <c r="BA1004" s="46"/>
      <c r="BB1004" s="46"/>
      <c r="BC1004" s="46"/>
      <c r="BD1004" s="46"/>
      <c r="BE1004" s="46"/>
      <c r="BF1004" s="46"/>
      <c r="BG1004" s="46"/>
      <c r="BH1004" s="46"/>
    </row>
    <row r="1005" spans="1:60" ht="14.25" customHeight="1" x14ac:dyDescent="0.3">
      <c r="A1005" s="46"/>
      <c r="B1005" s="37"/>
      <c r="C1005" s="46"/>
      <c r="D1005" s="46"/>
      <c r="E1005" s="46"/>
      <c r="F1005" s="46"/>
      <c r="G1005" s="46"/>
      <c r="H1005" s="46"/>
      <c r="I1005" s="46"/>
      <c r="J1005" s="46"/>
      <c r="K1005" s="46"/>
      <c r="L1005" s="46"/>
      <c r="M1005" s="46"/>
      <c r="N1005" s="46"/>
      <c r="O1005" s="46"/>
      <c r="P1005" s="46"/>
      <c r="Q1005" s="46"/>
      <c r="R1005" s="46"/>
      <c r="S1005" s="46"/>
      <c r="T1005" s="46"/>
      <c r="U1005" s="46"/>
      <c r="V1005" s="46"/>
      <c r="W1005" s="46"/>
      <c r="X1005" s="46"/>
      <c r="Y1005" s="46"/>
      <c r="Z1005" s="46"/>
      <c r="AA1005" s="46"/>
      <c r="AB1005" s="46"/>
      <c r="AC1005" s="46"/>
      <c r="AD1005" s="46"/>
      <c r="AE1005" s="46"/>
      <c r="AF1005" s="46"/>
      <c r="AG1005" s="46"/>
      <c r="AH1005" s="46"/>
      <c r="AI1005" s="46"/>
      <c r="AJ1005" s="46"/>
      <c r="AK1005" s="46"/>
      <c r="AL1005" s="46"/>
      <c r="AM1005" s="46"/>
      <c r="AN1005" s="46"/>
      <c r="AO1005" s="46"/>
      <c r="AP1005" s="46"/>
      <c r="AQ1005" s="46"/>
      <c r="AR1005" s="46"/>
      <c r="AS1005" s="46"/>
      <c r="AT1005" s="46"/>
      <c r="AU1005" s="46"/>
      <c r="AV1005" s="46"/>
      <c r="AW1005" s="46"/>
      <c r="AX1005" s="46"/>
      <c r="AY1005" s="46"/>
      <c r="AZ1005" s="46"/>
      <c r="BA1005" s="46"/>
      <c r="BB1005" s="46"/>
      <c r="BC1005" s="46"/>
      <c r="BD1005" s="46"/>
      <c r="BE1005" s="46"/>
      <c r="BF1005" s="46"/>
      <c r="BG1005" s="46"/>
      <c r="BH1005" s="46"/>
    </row>
    <row r="1006" spans="1:60" ht="14.25" customHeight="1" x14ac:dyDescent="0.3">
      <c r="A1006" s="46"/>
      <c r="B1006" s="37"/>
      <c r="C1006" s="46"/>
      <c r="D1006" s="46"/>
      <c r="E1006" s="46"/>
      <c r="F1006" s="46"/>
      <c r="G1006" s="46"/>
      <c r="H1006" s="46"/>
      <c r="I1006" s="46"/>
      <c r="J1006" s="46"/>
      <c r="K1006" s="46"/>
      <c r="L1006" s="46"/>
      <c r="M1006" s="46"/>
      <c r="N1006" s="46"/>
      <c r="O1006" s="46"/>
      <c r="P1006" s="46"/>
      <c r="Q1006" s="46"/>
      <c r="R1006" s="46"/>
      <c r="S1006" s="46"/>
      <c r="T1006" s="46"/>
      <c r="U1006" s="46"/>
      <c r="V1006" s="46"/>
      <c r="W1006" s="46"/>
      <c r="X1006" s="46"/>
      <c r="Y1006" s="46"/>
      <c r="Z1006" s="46"/>
      <c r="AA1006" s="46"/>
      <c r="AB1006" s="46"/>
      <c r="AC1006" s="46"/>
      <c r="AD1006" s="46"/>
      <c r="AE1006" s="46"/>
      <c r="AF1006" s="46"/>
      <c r="AG1006" s="46"/>
      <c r="AH1006" s="46"/>
      <c r="AI1006" s="46"/>
      <c r="AJ1006" s="46"/>
      <c r="AK1006" s="46"/>
      <c r="AL1006" s="46"/>
      <c r="AM1006" s="46"/>
      <c r="AN1006" s="46"/>
      <c r="AO1006" s="46"/>
      <c r="AP1006" s="46"/>
      <c r="AQ1006" s="46"/>
      <c r="AR1006" s="46"/>
      <c r="AS1006" s="46"/>
      <c r="AT1006" s="46"/>
      <c r="AU1006" s="46"/>
      <c r="AV1006" s="46"/>
      <c r="AW1006" s="46"/>
      <c r="AX1006" s="46"/>
      <c r="AY1006" s="46"/>
      <c r="AZ1006" s="46"/>
      <c r="BA1006" s="46"/>
      <c r="BB1006" s="46"/>
      <c r="BC1006" s="46"/>
      <c r="BD1006" s="46"/>
      <c r="BE1006" s="46"/>
      <c r="BF1006" s="46"/>
      <c r="BG1006" s="46"/>
      <c r="BH1006" s="46"/>
    </row>
    <row r="1007" spans="1:60" ht="14.25" customHeight="1" x14ac:dyDescent="0.3">
      <c r="A1007" s="46"/>
      <c r="B1007" s="37"/>
      <c r="C1007" s="46"/>
      <c r="D1007" s="46"/>
      <c r="E1007" s="46"/>
      <c r="F1007" s="46"/>
      <c r="G1007" s="46"/>
      <c r="H1007" s="46"/>
      <c r="I1007" s="46"/>
      <c r="J1007" s="46"/>
      <c r="K1007" s="46"/>
      <c r="L1007" s="46"/>
      <c r="M1007" s="46"/>
      <c r="N1007" s="46"/>
      <c r="O1007" s="46"/>
      <c r="P1007" s="46"/>
      <c r="Q1007" s="46"/>
      <c r="R1007" s="46"/>
      <c r="S1007" s="46"/>
      <c r="T1007" s="46"/>
      <c r="U1007" s="46"/>
      <c r="V1007" s="46"/>
      <c r="W1007" s="46"/>
      <c r="X1007" s="46"/>
      <c r="Y1007" s="46"/>
      <c r="Z1007" s="46"/>
      <c r="AA1007" s="46"/>
      <c r="AB1007" s="46"/>
      <c r="AC1007" s="46"/>
      <c r="AD1007" s="46"/>
      <c r="AE1007" s="46"/>
      <c r="AF1007" s="46"/>
      <c r="AG1007" s="46"/>
      <c r="AH1007" s="46"/>
      <c r="AI1007" s="46"/>
      <c r="AJ1007" s="46"/>
      <c r="AK1007" s="46"/>
      <c r="AL1007" s="46"/>
      <c r="AM1007" s="46"/>
      <c r="AN1007" s="46"/>
      <c r="AO1007" s="46"/>
      <c r="AP1007" s="46"/>
      <c r="AQ1007" s="46"/>
      <c r="AR1007" s="46"/>
      <c r="AS1007" s="46"/>
      <c r="AT1007" s="46"/>
      <c r="AU1007" s="46"/>
      <c r="AV1007" s="46"/>
      <c r="AW1007" s="46"/>
      <c r="AX1007" s="46"/>
      <c r="AY1007" s="46"/>
      <c r="AZ1007" s="46"/>
      <c r="BA1007" s="46"/>
      <c r="BB1007" s="46"/>
      <c r="BC1007" s="46"/>
      <c r="BD1007" s="46"/>
      <c r="BE1007" s="46"/>
      <c r="BF1007" s="46"/>
      <c r="BG1007" s="46"/>
      <c r="BH1007" s="46"/>
    </row>
    <row r="1008" spans="1:60" ht="14.25" customHeight="1" x14ac:dyDescent="0.3">
      <c r="A1008" s="46"/>
      <c r="B1008" s="37"/>
      <c r="C1008" s="46"/>
      <c r="D1008" s="46"/>
      <c r="E1008" s="46"/>
      <c r="F1008" s="46"/>
      <c r="G1008" s="46"/>
      <c r="H1008" s="46"/>
      <c r="I1008" s="46"/>
      <c r="J1008" s="46"/>
      <c r="K1008" s="46"/>
      <c r="L1008" s="46"/>
      <c r="M1008" s="46"/>
      <c r="N1008" s="46"/>
      <c r="O1008" s="46"/>
      <c r="P1008" s="46"/>
      <c r="Q1008" s="46"/>
      <c r="R1008" s="46"/>
      <c r="S1008" s="46"/>
      <c r="T1008" s="46"/>
      <c r="U1008" s="46"/>
      <c r="V1008" s="46"/>
      <c r="W1008" s="46"/>
      <c r="X1008" s="46"/>
      <c r="Y1008" s="46"/>
      <c r="Z1008" s="46"/>
      <c r="AA1008" s="46"/>
      <c r="AB1008" s="46"/>
      <c r="AC1008" s="46"/>
      <c r="AD1008" s="46"/>
      <c r="AE1008" s="46"/>
      <c r="AF1008" s="46"/>
      <c r="AG1008" s="46"/>
      <c r="AH1008" s="46"/>
      <c r="AI1008" s="46"/>
      <c r="AJ1008" s="46"/>
      <c r="AK1008" s="46"/>
      <c r="AL1008" s="46"/>
      <c r="AM1008" s="46"/>
      <c r="AN1008" s="46"/>
      <c r="AO1008" s="46"/>
      <c r="AP1008" s="46"/>
      <c r="AQ1008" s="46"/>
      <c r="AR1008" s="46"/>
      <c r="AS1008" s="46"/>
      <c r="AT1008" s="46"/>
      <c r="AU1008" s="46"/>
      <c r="AV1008" s="46"/>
      <c r="AW1008" s="46"/>
      <c r="AX1008" s="46"/>
      <c r="AY1008" s="46"/>
      <c r="AZ1008" s="46"/>
      <c r="BA1008" s="46"/>
      <c r="BB1008" s="46"/>
      <c r="BC1008" s="46"/>
      <c r="BD1008" s="46"/>
      <c r="BE1008" s="46"/>
      <c r="BF1008" s="46"/>
      <c r="BG1008" s="46"/>
      <c r="BH1008" s="46"/>
    </row>
    <row r="1009" spans="1:60" ht="14.25" customHeight="1" x14ac:dyDescent="0.3">
      <c r="A1009" s="46"/>
      <c r="B1009" s="37"/>
      <c r="C1009" s="46"/>
      <c r="D1009" s="46"/>
      <c r="E1009" s="46"/>
      <c r="F1009" s="46"/>
      <c r="G1009" s="46"/>
      <c r="H1009" s="46"/>
      <c r="I1009" s="46"/>
      <c r="J1009" s="46"/>
      <c r="K1009" s="46"/>
      <c r="L1009" s="46"/>
      <c r="M1009" s="46"/>
      <c r="N1009" s="46"/>
      <c r="O1009" s="46"/>
      <c r="P1009" s="46"/>
      <c r="Q1009" s="46"/>
      <c r="R1009" s="46"/>
      <c r="S1009" s="46"/>
      <c r="T1009" s="46"/>
      <c r="U1009" s="46"/>
      <c r="V1009" s="46"/>
      <c r="W1009" s="46"/>
      <c r="X1009" s="46"/>
      <c r="Y1009" s="46"/>
      <c r="Z1009" s="46"/>
      <c r="AA1009" s="46"/>
      <c r="AB1009" s="46"/>
      <c r="AC1009" s="46"/>
      <c r="AD1009" s="46"/>
      <c r="AE1009" s="46"/>
      <c r="AF1009" s="46"/>
      <c r="AG1009" s="46"/>
      <c r="AH1009" s="46"/>
      <c r="AI1009" s="46"/>
      <c r="AJ1009" s="46"/>
      <c r="AK1009" s="46"/>
      <c r="AL1009" s="46"/>
      <c r="AM1009" s="46"/>
      <c r="AN1009" s="46"/>
      <c r="AO1009" s="46"/>
      <c r="AP1009" s="46"/>
      <c r="AQ1009" s="46"/>
      <c r="AR1009" s="46"/>
      <c r="AS1009" s="46"/>
      <c r="AT1009" s="46"/>
      <c r="AU1009" s="46"/>
      <c r="AV1009" s="46"/>
      <c r="AW1009" s="46"/>
      <c r="AX1009" s="46"/>
      <c r="AY1009" s="46"/>
      <c r="AZ1009" s="46"/>
      <c r="BA1009" s="46"/>
      <c r="BB1009" s="46"/>
      <c r="BC1009" s="46"/>
      <c r="BD1009" s="46"/>
      <c r="BE1009" s="46"/>
      <c r="BF1009" s="46"/>
      <c r="BG1009" s="46"/>
      <c r="BH1009" s="46"/>
    </row>
    <row r="1010" spans="1:60" ht="14.25" customHeight="1" x14ac:dyDescent="0.3">
      <c r="A1010" s="46"/>
      <c r="B1010" s="37"/>
      <c r="C1010" s="46"/>
      <c r="D1010" s="46"/>
      <c r="E1010" s="46"/>
      <c r="F1010" s="46"/>
      <c r="G1010" s="46"/>
      <c r="H1010" s="46"/>
      <c r="I1010" s="46"/>
      <c r="J1010" s="46"/>
      <c r="K1010" s="46"/>
      <c r="L1010" s="46"/>
      <c r="M1010" s="46"/>
      <c r="N1010" s="46"/>
      <c r="O1010" s="46"/>
      <c r="P1010" s="46"/>
      <c r="Q1010" s="46"/>
      <c r="R1010" s="46"/>
      <c r="S1010" s="46"/>
      <c r="T1010" s="46"/>
      <c r="U1010" s="46"/>
      <c r="V1010" s="46"/>
      <c r="W1010" s="46"/>
      <c r="X1010" s="46"/>
      <c r="Y1010" s="46"/>
      <c r="Z1010" s="46"/>
      <c r="AA1010" s="46"/>
      <c r="AB1010" s="46"/>
      <c r="AC1010" s="46"/>
      <c r="AD1010" s="46"/>
      <c r="AE1010" s="46"/>
      <c r="AF1010" s="46"/>
      <c r="AG1010" s="46"/>
      <c r="AH1010" s="46"/>
      <c r="AI1010" s="46"/>
      <c r="AJ1010" s="46"/>
      <c r="AK1010" s="46"/>
      <c r="AL1010" s="46"/>
      <c r="AM1010" s="46"/>
      <c r="AN1010" s="46"/>
      <c r="AO1010" s="46"/>
      <c r="AP1010" s="46"/>
      <c r="AQ1010" s="46"/>
      <c r="AR1010" s="46"/>
      <c r="AS1010" s="46"/>
      <c r="AT1010" s="46"/>
      <c r="AU1010" s="46"/>
      <c r="AV1010" s="46"/>
      <c r="AW1010" s="46"/>
      <c r="AX1010" s="46"/>
      <c r="AY1010" s="46"/>
      <c r="AZ1010" s="46"/>
      <c r="BA1010" s="46"/>
      <c r="BB1010" s="46"/>
      <c r="BC1010" s="46"/>
      <c r="BD1010" s="46"/>
      <c r="BE1010" s="46"/>
      <c r="BF1010" s="46"/>
      <c r="BG1010" s="46"/>
      <c r="BH1010" s="46"/>
    </row>
    <row r="1011" spans="1:60" ht="14.25" customHeight="1" x14ac:dyDescent="0.3">
      <c r="A1011" s="46"/>
      <c r="B1011" s="37"/>
      <c r="C1011" s="46"/>
      <c r="D1011" s="46"/>
      <c r="E1011" s="46"/>
      <c r="F1011" s="46"/>
      <c r="G1011" s="46"/>
      <c r="H1011" s="46"/>
      <c r="I1011" s="46"/>
      <c r="J1011" s="46"/>
      <c r="K1011" s="46"/>
      <c r="L1011" s="46"/>
      <c r="M1011" s="46"/>
      <c r="N1011" s="46"/>
      <c r="O1011" s="46"/>
      <c r="P1011" s="46"/>
      <c r="Q1011" s="46"/>
      <c r="R1011" s="46"/>
      <c r="S1011" s="46"/>
      <c r="T1011" s="46"/>
      <c r="U1011" s="46"/>
      <c r="V1011" s="46"/>
      <c r="W1011" s="46"/>
      <c r="X1011" s="46"/>
      <c r="Y1011" s="46"/>
      <c r="Z1011" s="46"/>
      <c r="AA1011" s="46"/>
      <c r="AB1011" s="46"/>
      <c r="AC1011" s="46"/>
      <c r="AD1011" s="46"/>
      <c r="AE1011" s="46"/>
      <c r="AF1011" s="46"/>
      <c r="AG1011" s="46"/>
      <c r="AH1011" s="46"/>
      <c r="AI1011" s="46"/>
      <c r="AJ1011" s="46"/>
      <c r="AK1011" s="46"/>
      <c r="AL1011" s="46"/>
      <c r="AM1011" s="46"/>
      <c r="AN1011" s="46"/>
      <c r="AO1011" s="46"/>
      <c r="AP1011" s="46"/>
      <c r="AQ1011" s="46"/>
      <c r="AR1011" s="46"/>
      <c r="AS1011" s="46"/>
      <c r="AT1011" s="46"/>
      <c r="AU1011" s="46"/>
      <c r="AV1011" s="46"/>
      <c r="AW1011" s="46"/>
      <c r="AX1011" s="46"/>
      <c r="AY1011" s="46"/>
      <c r="AZ1011" s="46"/>
      <c r="BA1011" s="46"/>
      <c r="BB1011" s="46"/>
      <c r="BC1011" s="46"/>
      <c r="BD1011" s="46"/>
      <c r="BE1011" s="46"/>
      <c r="BF1011" s="46"/>
      <c r="BG1011" s="46"/>
      <c r="BH1011" s="46"/>
    </row>
    <row r="1012" spans="1:60" ht="14.25" customHeight="1" x14ac:dyDescent="0.3">
      <c r="A1012" s="46"/>
      <c r="B1012" s="37"/>
      <c r="C1012" s="46"/>
      <c r="D1012" s="46"/>
      <c r="E1012" s="46"/>
      <c r="F1012" s="46"/>
      <c r="G1012" s="46"/>
      <c r="H1012" s="46"/>
      <c r="I1012" s="46"/>
      <c r="J1012" s="46"/>
      <c r="K1012" s="46"/>
      <c r="L1012" s="46"/>
      <c r="M1012" s="46"/>
      <c r="N1012" s="46"/>
      <c r="O1012" s="46"/>
      <c r="P1012" s="46"/>
      <c r="Q1012" s="46"/>
      <c r="R1012" s="46"/>
      <c r="S1012" s="46"/>
      <c r="T1012" s="46"/>
      <c r="U1012" s="46"/>
      <c r="V1012" s="46"/>
      <c r="W1012" s="46"/>
      <c r="X1012" s="46"/>
      <c r="Y1012" s="46"/>
      <c r="Z1012" s="46"/>
      <c r="AA1012" s="46"/>
      <c r="AB1012" s="46"/>
      <c r="AC1012" s="46"/>
      <c r="AD1012" s="46"/>
      <c r="AE1012" s="46"/>
      <c r="AF1012" s="46"/>
      <c r="AG1012" s="46"/>
      <c r="AH1012" s="46"/>
      <c r="AI1012" s="46"/>
      <c r="AJ1012" s="46"/>
      <c r="AK1012" s="46"/>
      <c r="AL1012" s="46"/>
      <c r="AM1012" s="46"/>
      <c r="AN1012" s="46"/>
      <c r="AO1012" s="46"/>
      <c r="AP1012" s="46"/>
      <c r="AQ1012" s="46"/>
      <c r="AR1012" s="46"/>
      <c r="AS1012" s="46"/>
      <c r="AT1012" s="46"/>
      <c r="AU1012" s="46"/>
      <c r="AV1012" s="46"/>
      <c r="AW1012" s="46"/>
      <c r="AX1012" s="46"/>
      <c r="AY1012" s="46"/>
      <c r="AZ1012" s="46"/>
      <c r="BA1012" s="46"/>
      <c r="BB1012" s="46"/>
      <c r="BC1012" s="46"/>
      <c r="BD1012" s="46"/>
      <c r="BE1012" s="46"/>
      <c r="BF1012" s="46"/>
      <c r="BG1012" s="46"/>
      <c r="BH1012" s="46"/>
    </row>
    <row r="1013" spans="1:60" ht="14.25" customHeight="1" x14ac:dyDescent="0.3">
      <c r="A1013" s="46"/>
      <c r="B1013" s="37"/>
      <c r="C1013" s="46"/>
      <c r="D1013" s="46"/>
      <c r="E1013" s="46"/>
      <c r="F1013" s="46"/>
      <c r="G1013" s="46"/>
      <c r="H1013" s="46"/>
      <c r="I1013" s="46"/>
      <c r="J1013" s="46"/>
      <c r="K1013" s="46"/>
      <c r="L1013" s="46"/>
      <c r="M1013" s="46"/>
      <c r="N1013" s="46"/>
      <c r="O1013" s="46"/>
      <c r="P1013" s="46"/>
      <c r="Q1013" s="46"/>
      <c r="R1013" s="46"/>
      <c r="S1013" s="46"/>
      <c r="T1013" s="46"/>
      <c r="U1013" s="46"/>
      <c r="V1013" s="46"/>
      <c r="W1013" s="46"/>
      <c r="X1013" s="46"/>
      <c r="Y1013" s="46"/>
      <c r="Z1013" s="46"/>
      <c r="AA1013" s="46"/>
      <c r="AB1013" s="46"/>
      <c r="AC1013" s="46"/>
      <c r="AD1013" s="46"/>
      <c r="AE1013" s="46"/>
      <c r="AF1013" s="46"/>
      <c r="AG1013" s="46"/>
      <c r="AH1013" s="46"/>
      <c r="AI1013" s="46"/>
      <c r="AJ1013" s="46"/>
      <c r="AK1013" s="46"/>
      <c r="AL1013" s="46"/>
      <c r="AM1013" s="46"/>
      <c r="AN1013" s="46"/>
      <c r="AO1013" s="46"/>
      <c r="AP1013" s="46"/>
      <c r="AQ1013" s="46"/>
      <c r="AR1013" s="46"/>
      <c r="AS1013" s="46"/>
      <c r="AT1013" s="46"/>
      <c r="AU1013" s="46"/>
      <c r="AV1013" s="46"/>
      <c r="AW1013" s="46"/>
      <c r="AX1013" s="46"/>
      <c r="AY1013" s="46"/>
      <c r="AZ1013" s="46"/>
      <c r="BA1013" s="46"/>
      <c r="BB1013" s="46"/>
      <c r="BC1013" s="46"/>
      <c r="BD1013" s="46"/>
      <c r="BE1013" s="46"/>
      <c r="BF1013" s="46"/>
      <c r="BG1013" s="46"/>
      <c r="BH1013" s="46"/>
    </row>
    <row r="1014" spans="1:60" ht="14.25" customHeight="1" x14ac:dyDescent="0.3">
      <c r="A1014" s="46"/>
      <c r="B1014" s="37"/>
      <c r="C1014" s="46"/>
      <c r="D1014" s="46"/>
      <c r="E1014" s="46"/>
      <c r="F1014" s="46"/>
      <c r="G1014" s="46"/>
      <c r="H1014" s="46"/>
      <c r="I1014" s="46"/>
      <c r="J1014" s="46"/>
      <c r="K1014" s="46"/>
      <c r="L1014" s="46"/>
      <c r="M1014" s="46"/>
      <c r="N1014" s="46"/>
      <c r="O1014" s="46"/>
      <c r="P1014" s="46"/>
      <c r="Q1014" s="46"/>
      <c r="R1014" s="46"/>
      <c r="S1014" s="46"/>
      <c r="T1014" s="46"/>
      <c r="U1014" s="46"/>
      <c r="V1014" s="46"/>
      <c r="W1014" s="46"/>
      <c r="X1014" s="46"/>
      <c r="Y1014" s="46"/>
      <c r="Z1014" s="46"/>
      <c r="AA1014" s="46"/>
      <c r="AB1014" s="46"/>
      <c r="AC1014" s="46"/>
      <c r="AD1014" s="46"/>
      <c r="AE1014" s="46"/>
      <c r="AF1014" s="46"/>
      <c r="AG1014" s="46"/>
      <c r="AH1014" s="46"/>
      <c r="AI1014" s="46"/>
      <c r="AJ1014" s="46"/>
      <c r="AK1014" s="46"/>
      <c r="AL1014" s="46"/>
      <c r="AM1014" s="46"/>
      <c r="AN1014" s="46"/>
      <c r="AO1014" s="46"/>
      <c r="AP1014" s="46"/>
      <c r="AQ1014" s="46"/>
      <c r="AR1014" s="46"/>
      <c r="AS1014" s="46"/>
      <c r="AT1014" s="46"/>
      <c r="AU1014" s="46"/>
      <c r="AV1014" s="46"/>
      <c r="AW1014" s="46"/>
      <c r="AX1014" s="46"/>
      <c r="AY1014" s="46"/>
      <c r="AZ1014" s="46"/>
      <c r="BA1014" s="46"/>
      <c r="BB1014" s="46"/>
      <c r="BC1014" s="46"/>
      <c r="BD1014" s="46"/>
      <c r="BE1014" s="46"/>
      <c r="BF1014" s="46"/>
      <c r="BG1014" s="46"/>
      <c r="BH1014" s="46"/>
    </row>
    <row r="1015" spans="1:60" ht="14.25" customHeight="1" x14ac:dyDescent="0.3">
      <c r="A1015" s="46"/>
      <c r="B1015" s="37"/>
      <c r="C1015" s="46"/>
      <c r="D1015" s="46"/>
      <c r="E1015" s="46"/>
      <c r="F1015" s="46"/>
      <c r="G1015" s="46"/>
      <c r="H1015" s="46"/>
      <c r="I1015" s="46"/>
      <c r="J1015" s="46"/>
      <c r="K1015" s="46"/>
      <c r="L1015" s="46"/>
      <c r="M1015" s="46"/>
      <c r="N1015" s="46"/>
      <c r="O1015" s="46"/>
      <c r="P1015" s="46"/>
      <c r="Q1015" s="46"/>
      <c r="R1015" s="46"/>
      <c r="S1015" s="46"/>
      <c r="T1015" s="46"/>
      <c r="U1015" s="46"/>
      <c r="V1015" s="46"/>
      <c r="W1015" s="46"/>
      <c r="X1015" s="46"/>
      <c r="Y1015" s="46"/>
      <c r="Z1015" s="46"/>
      <c r="AA1015" s="46"/>
      <c r="AB1015" s="46"/>
      <c r="AC1015" s="46"/>
      <c r="AD1015" s="46"/>
      <c r="AE1015" s="46"/>
      <c r="AF1015" s="46"/>
      <c r="AG1015" s="46"/>
      <c r="AH1015" s="46"/>
      <c r="AI1015" s="46"/>
      <c r="AJ1015" s="46"/>
      <c r="AK1015" s="46"/>
      <c r="AL1015" s="46"/>
      <c r="AM1015" s="46"/>
      <c r="AN1015" s="46"/>
      <c r="AO1015" s="46"/>
      <c r="AP1015" s="46"/>
      <c r="AQ1015" s="46"/>
      <c r="AR1015" s="46"/>
      <c r="AS1015" s="46"/>
      <c r="AT1015" s="46"/>
      <c r="AU1015" s="46"/>
      <c r="AV1015" s="46"/>
      <c r="AW1015" s="46"/>
      <c r="AX1015" s="46"/>
      <c r="AY1015" s="46"/>
      <c r="AZ1015" s="46"/>
      <c r="BA1015" s="46"/>
      <c r="BB1015" s="46"/>
      <c r="BC1015" s="46"/>
      <c r="BD1015" s="46"/>
      <c r="BE1015" s="46"/>
      <c r="BF1015" s="46"/>
      <c r="BG1015" s="46"/>
      <c r="BH1015" s="46"/>
    </row>
    <row r="1016" spans="1:60" ht="14.25" customHeight="1" x14ac:dyDescent="0.3">
      <c r="A1016" s="46"/>
      <c r="B1016" s="37"/>
      <c r="C1016" s="46"/>
      <c r="D1016" s="46"/>
      <c r="E1016" s="46"/>
      <c r="F1016" s="46"/>
      <c r="G1016" s="46"/>
      <c r="H1016" s="46"/>
      <c r="I1016" s="46"/>
      <c r="J1016" s="46"/>
      <c r="K1016" s="46"/>
      <c r="L1016" s="46"/>
      <c r="M1016" s="46"/>
      <c r="N1016" s="46"/>
      <c r="O1016" s="46"/>
      <c r="P1016" s="46"/>
      <c r="Q1016" s="46"/>
      <c r="R1016" s="46"/>
      <c r="S1016" s="46"/>
      <c r="T1016" s="46"/>
      <c r="U1016" s="46"/>
      <c r="V1016" s="46"/>
      <c r="W1016" s="46"/>
      <c r="X1016" s="46"/>
      <c r="Y1016" s="46"/>
      <c r="Z1016" s="46"/>
      <c r="AA1016" s="46"/>
      <c r="AB1016" s="46"/>
      <c r="AC1016" s="46"/>
      <c r="AD1016" s="46"/>
      <c r="AE1016" s="46"/>
      <c r="AF1016" s="46"/>
      <c r="AG1016" s="46"/>
      <c r="AH1016" s="46"/>
      <c r="AI1016" s="46"/>
      <c r="AJ1016" s="46"/>
      <c r="AK1016" s="46"/>
      <c r="AL1016" s="46"/>
      <c r="AM1016" s="46"/>
      <c r="AN1016" s="46"/>
      <c r="AO1016" s="46"/>
      <c r="AP1016" s="46"/>
      <c r="AQ1016" s="46"/>
      <c r="AR1016" s="46"/>
      <c r="AS1016" s="46"/>
      <c r="AT1016" s="46"/>
      <c r="AU1016" s="46"/>
      <c r="AV1016" s="46"/>
      <c r="AW1016" s="46"/>
      <c r="AX1016" s="46"/>
      <c r="AY1016" s="46"/>
      <c r="AZ1016" s="46"/>
      <c r="BA1016" s="46"/>
      <c r="BB1016" s="46"/>
      <c r="BC1016" s="46"/>
      <c r="BD1016" s="46"/>
      <c r="BE1016" s="46"/>
      <c r="BF1016" s="46"/>
      <c r="BG1016" s="46"/>
      <c r="BH1016" s="46"/>
    </row>
    <row r="1017" spans="1:60" ht="14.25" customHeight="1" x14ac:dyDescent="0.3">
      <c r="A1017" s="46"/>
      <c r="B1017" s="37"/>
      <c r="C1017" s="46"/>
      <c r="D1017" s="46"/>
      <c r="E1017" s="46"/>
      <c r="F1017" s="46"/>
      <c r="G1017" s="46"/>
      <c r="H1017" s="46"/>
      <c r="I1017" s="46"/>
      <c r="J1017" s="46"/>
      <c r="K1017" s="46"/>
      <c r="L1017" s="46"/>
      <c r="M1017" s="46"/>
      <c r="N1017" s="46"/>
      <c r="O1017" s="46"/>
      <c r="P1017" s="46"/>
      <c r="Q1017" s="46"/>
      <c r="R1017" s="46"/>
      <c r="S1017" s="46"/>
      <c r="T1017" s="46"/>
      <c r="U1017" s="46"/>
      <c r="V1017" s="46"/>
      <c r="W1017" s="46"/>
      <c r="X1017" s="46"/>
      <c r="Y1017" s="46"/>
      <c r="Z1017" s="46"/>
      <c r="AA1017" s="46"/>
      <c r="AB1017" s="46"/>
      <c r="AC1017" s="46"/>
      <c r="AD1017" s="46"/>
      <c r="AE1017" s="46"/>
      <c r="AF1017" s="46"/>
      <c r="AG1017" s="46"/>
      <c r="AH1017" s="46"/>
      <c r="AI1017" s="46"/>
      <c r="AJ1017" s="46"/>
      <c r="AK1017" s="46"/>
      <c r="AL1017" s="46"/>
      <c r="AM1017" s="46"/>
      <c r="AN1017" s="46"/>
      <c r="AO1017" s="46"/>
      <c r="AP1017" s="46"/>
      <c r="AQ1017" s="46"/>
      <c r="AR1017" s="46"/>
      <c r="AS1017" s="46"/>
      <c r="AT1017" s="46"/>
      <c r="AU1017" s="46"/>
      <c r="AV1017" s="46"/>
      <c r="AW1017" s="46"/>
      <c r="AX1017" s="46"/>
      <c r="AY1017" s="46"/>
      <c r="AZ1017" s="46"/>
      <c r="BA1017" s="46"/>
      <c r="BB1017" s="46"/>
      <c r="BC1017" s="46"/>
      <c r="BD1017" s="46"/>
      <c r="BE1017" s="46"/>
      <c r="BF1017" s="46"/>
      <c r="BG1017" s="46"/>
      <c r="BH1017" s="46"/>
    </row>
    <row r="1018" spans="1:60" ht="14.25" customHeight="1" x14ac:dyDescent="0.3">
      <c r="A1018" s="46"/>
      <c r="B1018" s="37"/>
      <c r="C1018" s="46"/>
      <c r="D1018" s="46"/>
      <c r="E1018" s="46"/>
      <c r="F1018" s="46"/>
      <c r="G1018" s="46"/>
      <c r="H1018" s="46"/>
      <c r="I1018" s="46"/>
      <c r="J1018" s="46"/>
      <c r="K1018" s="46"/>
      <c r="L1018" s="46"/>
      <c r="M1018" s="46"/>
      <c r="N1018" s="46"/>
      <c r="O1018" s="46"/>
      <c r="P1018" s="46"/>
      <c r="Q1018" s="46"/>
      <c r="R1018" s="46"/>
      <c r="S1018" s="46"/>
      <c r="T1018" s="46"/>
      <c r="U1018" s="46"/>
      <c r="V1018" s="46"/>
      <c r="W1018" s="46"/>
      <c r="X1018" s="46"/>
      <c r="Y1018" s="46"/>
      <c r="Z1018" s="46"/>
      <c r="AA1018" s="46"/>
      <c r="AB1018" s="46"/>
      <c r="AC1018" s="46"/>
      <c r="AD1018" s="46"/>
      <c r="AE1018" s="46"/>
      <c r="AF1018" s="46"/>
      <c r="AG1018" s="46"/>
      <c r="AH1018" s="46"/>
      <c r="AI1018" s="46"/>
      <c r="AJ1018" s="46"/>
      <c r="AK1018" s="46"/>
      <c r="AL1018" s="46"/>
      <c r="AM1018" s="46"/>
      <c r="AN1018" s="46"/>
      <c r="AO1018" s="46"/>
      <c r="AP1018" s="46"/>
      <c r="AQ1018" s="46"/>
      <c r="AR1018" s="46"/>
      <c r="AS1018" s="46"/>
      <c r="AT1018" s="46"/>
      <c r="AU1018" s="46"/>
      <c r="AV1018" s="46"/>
      <c r="AW1018" s="46"/>
      <c r="AX1018" s="46"/>
      <c r="AY1018" s="46"/>
      <c r="AZ1018" s="46"/>
      <c r="BA1018" s="46"/>
      <c r="BB1018" s="46"/>
      <c r="BC1018" s="46"/>
      <c r="BD1018" s="46"/>
      <c r="BE1018" s="46"/>
      <c r="BF1018" s="46"/>
      <c r="BG1018" s="46"/>
      <c r="BH1018" s="46"/>
    </row>
    <row r="1019" spans="1:60" ht="14.25" customHeight="1" x14ac:dyDescent="0.3">
      <c r="A1019" s="46"/>
      <c r="B1019" s="37"/>
      <c r="C1019" s="46"/>
      <c r="D1019" s="46"/>
      <c r="E1019" s="46"/>
      <c r="F1019" s="46"/>
      <c r="G1019" s="46"/>
      <c r="H1019" s="46"/>
      <c r="I1019" s="46"/>
      <c r="J1019" s="46"/>
      <c r="K1019" s="46"/>
      <c r="L1019" s="46"/>
      <c r="M1019" s="46"/>
      <c r="N1019" s="46"/>
      <c r="O1019" s="46"/>
      <c r="P1019" s="46"/>
      <c r="Q1019" s="46"/>
      <c r="R1019" s="46"/>
      <c r="S1019" s="46"/>
      <c r="T1019" s="46"/>
      <c r="U1019" s="46"/>
      <c r="V1019" s="46"/>
      <c r="W1019" s="46"/>
      <c r="X1019" s="46"/>
      <c r="Y1019" s="46"/>
      <c r="Z1019" s="46"/>
      <c r="AA1019" s="46"/>
      <c r="AB1019" s="46"/>
      <c r="AC1019" s="46"/>
      <c r="AD1019" s="46"/>
      <c r="AE1019" s="46"/>
      <c r="AF1019" s="46"/>
      <c r="AG1019" s="46"/>
      <c r="AH1019" s="46"/>
      <c r="AI1019" s="46"/>
      <c r="AJ1019" s="46"/>
      <c r="AK1019" s="46"/>
      <c r="AL1019" s="46"/>
      <c r="AM1019" s="46"/>
      <c r="AN1019" s="46"/>
      <c r="AO1019" s="46"/>
      <c r="AP1019" s="46"/>
      <c r="AQ1019" s="46"/>
      <c r="AR1019" s="46"/>
      <c r="AS1019" s="46"/>
      <c r="AT1019" s="46"/>
      <c r="AU1019" s="46"/>
      <c r="AV1019" s="46"/>
      <c r="AW1019" s="46"/>
      <c r="AX1019" s="46"/>
      <c r="AY1019" s="46"/>
      <c r="AZ1019" s="46"/>
      <c r="BA1019" s="46"/>
      <c r="BB1019" s="46"/>
      <c r="BC1019" s="46"/>
      <c r="BD1019" s="46"/>
      <c r="BE1019" s="46"/>
      <c r="BF1019" s="46"/>
      <c r="BG1019" s="46"/>
      <c r="BH1019" s="46"/>
    </row>
    <row r="1020" spans="1:60" ht="14.25" customHeight="1" x14ac:dyDescent="0.3">
      <c r="A1020" s="46"/>
      <c r="B1020" s="37"/>
      <c r="C1020" s="46"/>
      <c r="D1020" s="46"/>
      <c r="E1020" s="46"/>
      <c r="F1020" s="46"/>
      <c r="G1020" s="46"/>
      <c r="H1020" s="46"/>
      <c r="I1020" s="46"/>
      <c r="J1020" s="46"/>
      <c r="K1020" s="46"/>
      <c r="L1020" s="46"/>
      <c r="M1020" s="46"/>
      <c r="N1020" s="46"/>
      <c r="O1020" s="46"/>
      <c r="P1020" s="46"/>
      <c r="Q1020" s="46"/>
      <c r="R1020" s="46"/>
      <c r="S1020" s="46"/>
      <c r="T1020" s="46"/>
      <c r="U1020" s="46"/>
      <c r="V1020" s="46"/>
      <c r="W1020" s="46"/>
      <c r="X1020" s="46"/>
      <c r="Y1020" s="46"/>
      <c r="Z1020" s="46"/>
      <c r="AA1020" s="46"/>
      <c r="AB1020" s="46"/>
      <c r="AC1020" s="46"/>
      <c r="AD1020" s="46"/>
      <c r="AE1020" s="46"/>
      <c r="AF1020" s="46"/>
      <c r="AG1020" s="46"/>
      <c r="AH1020" s="46"/>
      <c r="AI1020" s="46"/>
      <c r="AJ1020" s="46"/>
      <c r="AK1020" s="46"/>
      <c r="AL1020" s="46"/>
      <c r="AM1020" s="46"/>
      <c r="AN1020" s="46"/>
      <c r="AO1020" s="46"/>
      <c r="AP1020" s="46"/>
      <c r="AQ1020" s="46"/>
      <c r="AR1020" s="46"/>
      <c r="AS1020" s="46"/>
      <c r="AT1020" s="46"/>
      <c r="AU1020" s="46"/>
      <c r="AV1020" s="46"/>
      <c r="AW1020" s="46"/>
      <c r="AX1020" s="46"/>
      <c r="AY1020" s="46"/>
      <c r="AZ1020" s="46"/>
      <c r="BA1020" s="46"/>
      <c r="BB1020" s="46"/>
      <c r="BC1020" s="46"/>
      <c r="BD1020" s="46"/>
      <c r="BE1020" s="46"/>
      <c r="BF1020" s="46"/>
      <c r="BG1020" s="46"/>
      <c r="BH1020" s="46"/>
    </row>
    <row r="1021" spans="1:60" ht="14.25" customHeight="1" x14ac:dyDescent="0.3">
      <c r="A1021" s="46"/>
      <c r="B1021" s="37"/>
      <c r="C1021" s="46"/>
      <c r="D1021" s="46"/>
      <c r="E1021" s="46"/>
      <c r="F1021" s="46"/>
      <c r="G1021" s="46"/>
      <c r="H1021" s="46"/>
      <c r="I1021" s="46"/>
      <c r="J1021" s="46"/>
      <c r="K1021" s="46"/>
      <c r="L1021" s="46"/>
      <c r="M1021" s="46"/>
      <c r="N1021" s="46"/>
      <c r="O1021" s="46"/>
      <c r="P1021" s="46"/>
      <c r="Q1021" s="46"/>
      <c r="R1021" s="46"/>
      <c r="S1021" s="46"/>
      <c r="T1021" s="46"/>
      <c r="U1021" s="46"/>
      <c r="V1021" s="46"/>
      <c r="W1021" s="46"/>
      <c r="X1021" s="46"/>
      <c r="Y1021" s="46"/>
      <c r="Z1021" s="46"/>
      <c r="AA1021" s="46"/>
      <c r="AB1021" s="46"/>
      <c r="AC1021" s="46"/>
      <c r="AD1021" s="46"/>
      <c r="AE1021" s="46"/>
      <c r="AF1021" s="46"/>
      <c r="AG1021" s="46"/>
      <c r="AH1021" s="46"/>
      <c r="AI1021" s="46"/>
      <c r="AJ1021" s="46"/>
      <c r="AK1021" s="46"/>
      <c r="AL1021" s="46"/>
      <c r="AM1021" s="46"/>
      <c r="AN1021" s="46"/>
      <c r="AO1021" s="46"/>
      <c r="AP1021" s="46"/>
      <c r="AQ1021" s="46"/>
      <c r="AR1021" s="46"/>
      <c r="AS1021" s="46"/>
      <c r="AT1021" s="46"/>
      <c r="AU1021" s="46"/>
      <c r="AV1021" s="46"/>
      <c r="AW1021" s="46"/>
      <c r="AX1021" s="46"/>
      <c r="AY1021" s="46"/>
      <c r="AZ1021" s="46"/>
      <c r="BA1021" s="46"/>
      <c r="BB1021" s="46"/>
      <c r="BC1021" s="46"/>
      <c r="BD1021" s="46"/>
      <c r="BE1021" s="46"/>
      <c r="BF1021" s="46"/>
      <c r="BG1021" s="46"/>
      <c r="BH1021" s="46"/>
    </row>
    <row r="1022" spans="1:60" ht="14.25" customHeight="1" x14ac:dyDescent="0.3">
      <c r="A1022" s="46"/>
      <c r="B1022" s="37"/>
      <c r="C1022" s="46"/>
      <c r="D1022" s="46"/>
      <c r="E1022" s="46"/>
      <c r="F1022" s="46"/>
      <c r="G1022" s="46"/>
      <c r="H1022" s="46"/>
      <c r="I1022" s="46"/>
      <c r="J1022" s="46"/>
      <c r="K1022" s="46"/>
      <c r="L1022" s="46"/>
      <c r="M1022" s="46"/>
      <c r="N1022" s="46"/>
      <c r="O1022" s="46"/>
      <c r="P1022" s="46"/>
      <c r="Q1022" s="46"/>
      <c r="R1022" s="46"/>
      <c r="S1022" s="46"/>
      <c r="T1022" s="46"/>
      <c r="U1022" s="46"/>
      <c r="V1022" s="46"/>
      <c r="W1022" s="46"/>
      <c r="X1022" s="46"/>
      <c r="Y1022" s="46"/>
      <c r="Z1022" s="46"/>
      <c r="AA1022" s="46"/>
      <c r="AB1022" s="46"/>
      <c r="AC1022" s="46"/>
      <c r="AD1022" s="46"/>
      <c r="AE1022" s="46"/>
      <c r="AF1022" s="46"/>
      <c r="AG1022" s="46"/>
      <c r="AH1022" s="46"/>
      <c r="AI1022" s="46"/>
      <c r="AJ1022" s="46"/>
      <c r="AK1022" s="46"/>
      <c r="AL1022" s="46"/>
      <c r="AM1022" s="46"/>
      <c r="AN1022" s="46"/>
      <c r="AO1022" s="46"/>
      <c r="AP1022" s="46"/>
      <c r="AQ1022" s="46"/>
      <c r="AR1022" s="46"/>
      <c r="AS1022" s="46"/>
      <c r="AT1022" s="46"/>
      <c r="AU1022" s="46"/>
      <c r="AV1022" s="46"/>
      <c r="AW1022" s="46"/>
      <c r="AX1022" s="46"/>
      <c r="AY1022" s="46"/>
      <c r="AZ1022" s="46"/>
      <c r="BA1022" s="46"/>
      <c r="BB1022" s="46"/>
      <c r="BC1022" s="46"/>
      <c r="BD1022" s="46"/>
      <c r="BE1022" s="46"/>
      <c r="BF1022" s="46"/>
      <c r="BG1022" s="46"/>
      <c r="BH1022" s="46"/>
    </row>
    <row r="1023" spans="1:60" ht="14.25" customHeight="1" x14ac:dyDescent="0.3">
      <c r="A1023" s="46"/>
      <c r="B1023" s="37"/>
      <c r="C1023" s="46"/>
      <c r="D1023" s="46"/>
      <c r="E1023" s="46"/>
      <c r="F1023" s="46"/>
      <c r="G1023" s="46"/>
      <c r="H1023" s="46"/>
      <c r="I1023" s="46"/>
      <c r="J1023" s="46"/>
      <c r="K1023" s="46"/>
      <c r="L1023" s="46"/>
      <c r="M1023" s="46"/>
      <c r="N1023" s="46"/>
      <c r="O1023" s="46"/>
      <c r="P1023" s="46"/>
      <c r="Q1023" s="46"/>
      <c r="R1023" s="46"/>
      <c r="S1023" s="46"/>
      <c r="T1023" s="46"/>
      <c r="U1023" s="46"/>
      <c r="V1023" s="46"/>
      <c r="W1023" s="46"/>
      <c r="X1023" s="46"/>
      <c r="Y1023" s="46"/>
      <c r="Z1023" s="46"/>
      <c r="AA1023" s="46"/>
      <c r="AB1023" s="46"/>
      <c r="AC1023" s="46"/>
      <c r="AD1023" s="46"/>
      <c r="AE1023" s="46"/>
      <c r="AF1023" s="46"/>
      <c r="AG1023" s="46"/>
      <c r="AH1023" s="46"/>
      <c r="AI1023" s="46"/>
      <c r="AJ1023" s="46"/>
      <c r="AK1023" s="46"/>
      <c r="AL1023" s="46"/>
      <c r="AM1023" s="46"/>
      <c r="AN1023" s="46"/>
      <c r="AO1023" s="46"/>
      <c r="AP1023" s="46"/>
      <c r="AQ1023" s="46"/>
      <c r="AR1023" s="46"/>
      <c r="AS1023" s="46"/>
      <c r="AT1023" s="46"/>
      <c r="AU1023" s="46"/>
      <c r="AV1023" s="46"/>
      <c r="AW1023" s="46"/>
      <c r="AX1023" s="46"/>
      <c r="AY1023" s="46"/>
      <c r="AZ1023" s="46"/>
      <c r="BA1023" s="46"/>
      <c r="BB1023" s="46"/>
      <c r="BC1023" s="46"/>
      <c r="BD1023" s="46"/>
      <c r="BE1023" s="46"/>
      <c r="BF1023" s="46"/>
      <c r="BG1023" s="46"/>
      <c r="BH1023" s="46"/>
    </row>
    <row r="1024" spans="1:60" ht="14.25" customHeight="1" x14ac:dyDescent="0.3">
      <c r="A1024" s="46"/>
      <c r="B1024" s="37"/>
      <c r="C1024" s="46"/>
      <c r="D1024" s="46"/>
      <c r="E1024" s="46"/>
      <c r="F1024" s="46"/>
      <c r="G1024" s="46"/>
      <c r="H1024" s="46"/>
      <c r="I1024" s="46"/>
      <c r="J1024" s="46"/>
      <c r="K1024" s="46"/>
      <c r="L1024" s="46"/>
      <c r="M1024" s="46"/>
      <c r="N1024" s="46"/>
      <c r="O1024" s="46"/>
      <c r="P1024" s="46"/>
      <c r="Q1024" s="46"/>
      <c r="R1024" s="46"/>
      <c r="S1024" s="46"/>
      <c r="T1024" s="46"/>
      <c r="U1024" s="46"/>
      <c r="V1024" s="46"/>
      <c r="W1024" s="46"/>
      <c r="X1024" s="46"/>
      <c r="Y1024" s="46"/>
      <c r="Z1024" s="46"/>
      <c r="AA1024" s="46"/>
      <c r="AB1024" s="46"/>
      <c r="AC1024" s="46"/>
      <c r="AD1024" s="46"/>
      <c r="AE1024" s="46"/>
      <c r="AF1024" s="46"/>
      <c r="AG1024" s="46"/>
      <c r="AH1024" s="46"/>
      <c r="AI1024" s="46"/>
      <c r="AJ1024" s="46"/>
      <c r="AK1024" s="46"/>
      <c r="AL1024" s="46"/>
      <c r="AM1024" s="46"/>
      <c r="AN1024" s="46"/>
      <c r="AO1024" s="46"/>
      <c r="AP1024" s="46"/>
      <c r="AQ1024" s="46"/>
      <c r="AR1024" s="46"/>
      <c r="AS1024" s="46"/>
      <c r="AT1024" s="46"/>
      <c r="AU1024" s="46"/>
      <c r="AV1024" s="46"/>
      <c r="AW1024" s="46"/>
      <c r="AX1024" s="46"/>
      <c r="AY1024" s="46"/>
      <c r="AZ1024" s="46"/>
      <c r="BA1024" s="46"/>
      <c r="BB1024" s="46"/>
      <c r="BC1024" s="46"/>
      <c r="BD1024" s="46"/>
      <c r="BE1024" s="46"/>
      <c r="BF1024" s="46"/>
      <c r="BG1024" s="46"/>
      <c r="BH1024" s="46"/>
    </row>
    <row r="1025" spans="1:60" ht="14.25" customHeight="1" x14ac:dyDescent="0.3">
      <c r="A1025" s="46"/>
      <c r="B1025" s="37"/>
      <c r="C1025" s="46"/>
      <c r="D1025" s="46"/>
      <c r="E1025" s="46"/>
      <c r="F1025" s="46"/>
      <c r="G1025" s="46"/>
      <c r="H1025" s="46"/>
      <c r="I1025" s="46"/>
      <c r="J1025" s="46"/>
      <c r="K1025" s="46"/>
      <c r="L1025" s="46"/>
      <c r="M1025" s="46"/>
      <c r="N1025" s="46"/>
      <c r="O1025" s="46"/>
      <c r="P1025" s="46"/>
      <c r="Q1025" s="46"/>
      <c r="R1025" s="46"/>
      <c r="S1025" s="46"/>
      <c r="T1025" s="46"/>
      <c r="U1025" s="46"/>
      <c r="V1025" s="46"/>
      <c r="W1025" s="46"/>
      <c r="X1025" s="46"/>
      <c r="Y1025" s="46"/>
      <c r="Z1025" s="46"/>
      <c r="AA1025" s="46"/>
      <c r="AB1025" s="46"/>
      <c r="AC1025" s="46"/>
      <c r="AD1025" s="46"/>
      <c r="AE1025" s="46"/>
      <c r="AF1025" s="46"/>
      <c r="AG1025" s="46"/>
      <c r="AH1025" s="46"/>
      <c r="AI1025" s="46"/>
      <c r="AJ1025" s="46"/>
      <c r="AK1025" s="46"/>
      <c r="AL1025" s="46"/>
      <c r="AM1025" s="46"/>
      <c r="AN1025" s="46"/>
      <c r="AO1025" s="46"/>
      <c r="AP1025" s="46"/>
      <c r="AQ1025" s="46"/>
      <c r="AR1025" s="46"/>
      <c r="AS1025" s="46"/>
      <c r="AT1025" s="46"/>
      <c r="AU1025" s="46"/>
      <c r="AV1025" s="46"/>
      <c r="AW1025" s="46"/>
      <c r="AX1025" s="46"/>
      <c r="AY1025" s="46"/>
      <c r="AZ1025" s="46"/>
      <c r="BA1025" s="46"/>
      <c r="BB1025" s="46"/>
      <c r="BC1025" s="46"/>
      <c r="BD1025" s="46"/>
      <c r="BE1025" s="46"/>
      <c r="BF1025" s="46"/>
      <c r="BG1025" s="46"/>
      <c r="BH1025" s="46"/>
    </row>
    <row r="1026" spans="1:60" ht="14.25" customHeight="1" x14ac:dyDescent="0.3">
      <c r="A1026" s="46"/>
      <c r="B1026" s="37"/>
      <c r="C1026" s="46"/>
      <c r="D1026" s="46"/>
      <c r="E1026" s="46"/>
      <c r="F1026" s="46"/>
      <c r="G1026" s="46"/>
      <c r="H1026" s="46"/>
      <c r="I1026" s="46"/>
      <c r="J1026" s="46"/>
      <c r="K1026" s="46"/>
      <c r="L1026" s="46"/>
      <c r="M1026" s="46"/>
      <c r="N1026" s="46"/>
      <c r="O1026" s="46"/>
      <c r="P1026" s="46"/>
      <c r="Q1026" s="46"/>
      <c r="R1026" s="46"/>
      <c r="S1026" s="46"/>
      <c r="T1026" s="46"/>
      <c r="U1026" s="46"/>
      <c r="V1026" s="46"/>
      <c r="W1026" s="46"/>
      <c r="X1026" s="46"/>
      <c r="Y1026" s="46"/>
      <c r="Z1026" s="46"/>
      <c r="AA1026" s="46"/>
      <c r="AB1026" s="46"/>
      <c r="AC1026" s="46"/>
      <c r="AD1026" s="46"/>
      <c r="AE1026" s="46"/>
      <c r="AF1026" s="46"/>
      <c r="AG1026" s="46"/>
      <c r="AH1026" s="46"/>
      <c r="AI1026" s="46"/>
      <c r="AJ1026" s="46"/>
      <c r="AK1026" s="46"/>
      <c r="AL1026" s="46"/>
      <c r="AM1026" s="46"/>
      <c r="AN1026" s="46"/>
      <c r="AO1026" s="46"/>
      <c r="AP1026" s="46"/>
      <c r="AQ1026" s="46"/>
      <c r="AR1026" s="46"/>
      <c r="AS1026" s="46"/>
      <c r="AT1026" s="46"/>
      <c r="AU1026" s="46"/>
      <c r="AV1026" s="46"/>
      <c r="AW1026" s="46"/>
      <c r="AX1026" s="46"/>
      <c r="AY1026" s="46"/>
      <c r="AZ1026" s="46"/>
      <c r="BA1026" s="46"/>
      <c r="BB1026" s="46"/>
      <c r="BC1026" s="46"/>
      <c r="BD1026" s="46"/>
      <c r="BE1026" s="46"/>
      <c r="BF1026" s="46"/>
      <c r="BG1026" s="46"/>
      <c r="BH1026" s="46"/>
    </row>
    <row r="1027" spans="1:60" ht="14.25" customHeight="1" x14ac:dyDescent="0.3">
      <c r="A1027" s="46"/>
      <c r="B1027" s="37"/>
      <c r="C1027" s="46"/>
      <c r="D1027" s="46"/>
      <c r="E1027" s="46"/>
      <c r="F1027" s="46"/>
      <c r="G1027" s="46"/>
      <c r="H1027" s="46"/>
      <c r="I1027" s="46"/>
      <c r="J1027" s="46"/>
      <c r="K1027" s="46"/>
      <c r="L1027" s="46"/>
      <c r="M1027" s="46"/>
      <c r="N1027" s="46"/>
      <c r="O1027" s="46"/>
      <c r="P1027" s="46"/>
      <c r="Q1027" s="46"/>
      <c r="R1027" s="46"/>
      <c r="S1027" s="46"/>
      <c r="T1027" s="46"/>
      <c r="U1027" s="46"/>
      <c r="V1027" s="46"/>
      <c r="W1027" s="46"/>
      <c r="X1027" s="46"/>
      <c r="Y1027" s="46"/>
      <c r="Z1027" s="46"/>
      <c r="AA1027" s="46"/>
      <c r="AB1027" s="46"/>
      <c r="AC1027" s="46"/>
      <c r="AD1027" s="46"/>
      <c r="AE1027" s="46"/>
      <c r="AF1027" s="46"/>
      <c r="AG1027" s="46"/>
      <c r="AH1027" s="46"/>
      <c r="AI1027" s="46"/>
      <c r="AJ1027" s="46"/>
      <c r="AK1027" s="46"/>
      <c r="AL1027" s="46"/>
      <c r="AM1027" s="46"/>
      <c r="AN1027" s="46"/>
      <c r="AO1027" s="46"/>
      <c r="AP1027" s="46"/>
      <c r="AQ1027" s="46"/>
      <c r="AR1027" s="46"/>
      <c r="AS1027" s="46"/>
      <c r="AT1027" s="46"/>
      <c r="AU1027" s="46"/>
      <c r="AV1027" s="46"/>
      <c r="AW1027" s="46"/>
      <c r="AX1027" s="46"/>
      <c r="AY1027" s="46"/>
      <c r="AZ1027" s="46"/>
      <c r="BA1027" s="46"/>
      <c r="BB1027" s="46"/>
      <c r="BC1027" s="46"/>
      <c r="BD1027" s="46"/>
      <c r="BE1027" s="46"/>
      <c r="BF1027" s="46"/>
      <c r="BG1027" s="46"/>
      <c r="BH1027" s="46"/>
    </row>
    <row r="1028" spans="1:60" ht="14.25" customHeight="1" x14ac:dyDescent="0.3">
      <c r="A1028" s="46"/>
      <c r="B1028" s="37"/>
      <c r="C1028" s="46"/>
      <c r="D1028" s="46"/>
      <c r="E1028" s="46"/>
      <c r="F1028" s="46"/>
      <c r="G1028" s="46"/>
      <c r="H1028" s="46"/>
      <c r="I1028" s="46"/>
      <c r="J1028" s="46"/>
      <c r="K1028" s="46"/>
      <c r="L1028" s="46"/>
      <c r="M1028" s="46"/>
      <c r="N1028" s="46"/>
      <c r="O1028" s="46"/>
      <c r="P1028" s="46"/>
      <c r="Q1028" s="46"/>
      <c r="R1028" s="46"/>
      <c r="S1028" s="46"/>
      <c r="T1028" s="46"/>
      <c r="U1028" s="46"/>
      <c r="V1028" s="46"/>
      <c r="W1028" s="46"/>
      <c r="X1028" s="46"/>
      <c r="Y1028" s="46"/>
      <c r="Z1028" s="46"/>
      <c r="AA1028" s="46"/>
      <c r="AB1028" s="46"/>
      <c r="AC1028" s="46"/>
      <c r="AD1028" s="46"/>
      <c r="AE1028" s="46"/>
      <c r="AF1028" s="46"/>
      <c r="AG1028" s="46"/>
      <c r="AH1028" s="46"/>
      <c r="AI1028" s="46"/>
      <c r="AJ1028" s="46"/>
      <c r="AK1028" s="46"/>
      <c r="AL1028" s="46"/>
      <c r="AM1028" s="46"/>
      <c r="AN1028" s="46"/>
      <c r="AO1028" s="46"/>
      <c r="AP1028" s="46"/>
      <c r="AQ1028" s="46"/>
      <c r="AR1028" s="46"/>
      <c r="AS1028" s="46"/>
      <c r="AT1028" s="46"/>
      <c r="AU1028" s="46"/>
      <c r="AV1028" s="46"/>
      <c r="AW1028" s="46"/>
      <c r="AX1028" s="46"/>
      <c r="AY1028" s="46"/>
      <c r="AZ1028" s="46"/>
      <c r="BA1028" s="46"/>
      <c r="BB1028" s="46"/>
      <c r="BC1028" s="46"/>
      <c r="BD1028" s="46"/>
      <c r="BE1028" s="46"/>
      <c r="BF1028" s="46"/>
      <c r="BG1028" s="46"/>
      <c r="BH1028" s="46"/>
    </row>
    <row r="1029" spans="1:60" ht="14.25" customHeight="1" x14ac:dyDescent="0.3">
      <c r="A1029" s="46"/>
      <c r="B1029" s="37"/>
      <c r="C1029" s="46"/>
      <c r="D1029" s="46"/>
      <c r="E1029" s="46"/>
      <c r="F1029" s="46"/>
      <c r="G1029" s="46"/>
      <c r="H1029" s="46"/>
      <c r="I1029" s="46"/>
      <c r="J1029" s="46"/>
      <c r="K1029" s="46"/>
      <c r="L1029" s="46"/>
      <c r="M1029" s="46"/>
      <c r="N1029" s="46"/>
      <c r="O1029" s="46"/>
      <c r="P1029" s="46"/>
      <c r="Q1029" s="46"/>
      <c r="R1029" s="46"/>
      <c r="S1029" s="46"/>
      <c r="T1029" s="46"/>
      <c r="U1029" s="46"/>
      <c r="V1029" s="46"/>
      <c r="W1029" s="46"/>
      <c r="X1029" s="46"/>
      <c r="Y1029" s="46"/>
      <c r="Z1029" s="46"/>
      <c r="AA1029" s="46"/>
      <c r="AB1029" s="46"/>
      <c r="AC1029" s="46"/>
      <c r="AD1029" s="46"/>
      <c r="AE1029" s="46"/>
      <c r="AF1029" s="46"/>
      <c r="AG1029" s="46"/>
      <c r="AH1029" s="46"/>
      <c r="AI1029" s="46"/>
      <c r="AJ1029" s="46"/>
      <c r="AK1029" s="46"/>
      <c r="AL1029" s="46"/>
      <c r="AM1029" s="46"/>
      <c r="AN1029" s="46"/>
      <c r="AO1029" s="46"/>
      <c r="AP1029" s="46"/>
      <c r="AQ1029" s="46"/>
      <c r="AR1029" s="46"/>
      <c r="AS1029" s="46"/>
      <c r="AT1029" s="46"/>
      <c r="AU1029" s="46"/>
      <c r="AV1029" s="46"/>
      <c r="AW1029" s="46"/>
      <c r="AX1029" s="46"/>
      <c r="AY1029" s="46"/>
      <c r="AZ1029" s="46"/>
      <c r="BA1029" s="46"/>
      <c r="BB1029" s="46"/>
      <c r="BC1029" s="46"/>
      <c r="BD1029" s="46"/>
      <c r="BE1029" s="46"/>
      <c r="BF1029" s="46"/>
      <c r="BG1029" s="46"/>
      <c r="BH1029" s="46"/>
    </row>
    <row r="1030" spans="1:60" ht="14.25" customHeight="1" x14ac:dyDescent="0.3">
      <c r="A1030" s="46"/>
      <c r="B1030" s="37"/>
      <c r="C1030" s="46"/>
      <c r="D1030" s="46"/>
      <c r="E1030" s="46"/>
      <c r="F1030" s="46"/>
      <c r="G1030" s="46"/>
      <c r="H1030" s="46"/>
      <c r="I1030" s="46"/>
      <c r="J1030" s="46"/>
      <c r="K1030" s="46"/>
      <c r="L1030" s="46"/>
      <c r="M1030" s="46"/>
      <c r="N1030" s="46"/>
      <c r="O1030" s="46"/>
      <c r="P1030" s="46"/>
      <c r="Q1030" s="46"/>
      <c r="R1030" s="46"/>
      <c r="S1030" s="46"/>
      <c r="T1030" s="46"/>
      <c r="U1030" s="46"/>
      <c r="V1030" s="46"/>
      <c r="W1030" s="46"/>
      <c r="X1030" s="46"/>
      <c r="Y1030" s="46"/>
      <c r="Z1030" s="46"/>
      <c r="AA1030" s="46"/>
      <c r="AB1030" s="46"/>
      <c r="AC1030" s="46"/>
      <c r="AD1030" s="46"/>
      <c r="AE1030" s="46"/>
      <c r="AF1030" s="46"/>
      <c r="AG1030" s="46"/>
      <c r="AH1030" s="46"/>
      <c r="AI1030" s="46"/>
      <c r="AJ1030" s="46"/>
      <c r="AK1030" s="46"/>
      <c r="AL1030" s="46"/>
      <c r="AM1030" s="46"/>
      <c r="AN1030" s="46"/>
      <c r="AO1030" s="46"/>
      <c r="AP1030" s="46"/>
      <c r="AQ1030" s="46"/>
      <c r="AR1030" s="46"/>
      <c r="AS1030" s="46"/>
      <c r="AT1030" s="46"/>
      <c r="AU1030" s="46"/>
      <c r="AV1030" s="46"/>
      <c r="AW1030" s="46"/>
      <c r="AX1030" s="46"/>
      <c r="AY1030" s="46"/>
      <c r="AZ1030" s="46"/>
      <c r="BA1030" s="46"/>
      <c r="BB1030" s="46"/>
      <c r="BC1030" s="46"/>
      <c r="BD1030" s="46"/>
      <c r="BE1030" s="46"/>
      <c r="BF1030" s="46"/>
      <c r="BG1030" s="46"/>
      <c r="BH1030" s="46"/>
    </row>
    <row r="1031" spans="1:60" ht="14.25" customHeight="1" x14ac:dyDescent="0.3">
      <c r="A1031" s="46"/>
      <c r="B1031" s="37"/>
      <c r="C1031" s="46"/>
      <c r="D1031" s="46"/>
      <c r="E1031" s="46"/>
      <c r="F1031" s="46"/>
      <c r="G1031" s="46"/>
      <c r="H1031" s="46"/>
      <c r="I1031" s="46"/>
      <c r="J1031" s="46"/>
      <c r="K1031" s="46"/>
      <c r="L1031" s="46"/>
      <c r="M1031" s="46"/>
      <c r="N1031" s="46"/>
      <c r="O1031" s="46"/>
      <c r="P1031" s="46"/>
      <c r="Q1031" s="46"/>
      <c r="R1031" s="46"/>
      <c r="S1031" s="46"/>
      <c r="T1031" s="46"/>
      <c r="U1031" s="46"/>
      <c r="V1031" s="46"/>
      <c r="W1031" s="46"/>
      <c r="X1031" s="46"/>
      <c r="Y1031" s="46"/>
      <c r="Z1031" s="46"/>
      <c r="AA1031" s="46"/>
      <c r="AB1031" s="46"/>
      <c r="AC1031" s="46"/>
      <c r="AD1031" s="46"/>
      <c r="AE1031" s="46"/>
      <c r="AF1031" s="46"/>
      <c r="AG1031" s="46"/>
      <c r="AH1031" s="46"/>
      <c r="AI1031" s="46"/>
      <c r="AJ1031" s="46"/>
      <c r="AK1031" s="46"/>
      <c r="AL1031" s="46"/>
      <c r="AM1031" s="46"/>
      <c r="AN1031" s="46"/>
      <c r="AO1031" s="46"/>
      <c r="AP1031" s="46"/>
      <c r="AQ1031" s="46"/>
      <c r="AR1031" s="46"/>
      <c r="AS1031" s="46"/>
      <c r="AT1031" s="46"/>
      <c r="AU1031" s="46"/>
      <c r="AV1031" s="46"/>
      <c r="AW1031" s="46"/>
      <c r="AX1031" s="46"/>
      <c r="AY1031" s="46"/>
      <c r="AZ1031" s="46"/>
      <c r="BA1031" s="46"/>
      <c r="BB1031" s="46"/>
      <c r="BC1031" s="46"/>
      <c r="BD1031" s="46"/>
      <c r="BE1031" s="46"/>
      <c r="BF1031" s="46"/>
      <c r="BG1031" s="46"/>
      <c r="BH1031" s="46"/>
    </row>
    <row r="1032" spans="1:60" ht="14.25" customHeight="1" x14ac:dyDescent="0.3">
      <c r="A1032" s="46"/>
      <c r="B1032" s="37"/>
      <c r="C1032" s="46"/>
      <c r="D1032" s="46"/>
      <c r="E1032" s="46"/>
      <c r="F1032" s="46"/>
      <c r="G1032" s="46"/>
      <c r="H1032" s="46"/>
      <c r="I1032" s="46"/>
      <c r="J1032" s="46"/>
      <c r="K1032" s="46"/>
      <c r="L1032" s="46"/>
      <c r="M1032" s="46"/>
      <c r="N1032" s="46"/>
      <c r="O1032" s="46"/>
      <c r="P1032" s="46"/>
      <c r="Q1032" s="46"/>
      <c r="R1032" s="46"/>
      <c r="S1032" s="46"/>
      <c r="T1032" s="46"/>
      <c r="U1032" s="46"/>
      <c r="V1032" s="46"/>
      <c r="W1032" s="46"/>
      <c r="X1032" s="46"/>
      <c r="Y1032" s="46"/>
      <c r="Z1032" s="46"/>
      <c r="AA1032" s="46"/>
      <c r="AB1032" s="46"/>
      <c r="AC1032" s="46"/>
      <c r="AD1032" s="46"/>
      <c r="AE1032" s="46"/>
      <c r="AF1032" s="46"/>
      <c r="AG1032" s="46"/>
      <c r="AH1032" s="46"/>
      <c r="AI1032" s="46"/>
      <c r="AJ1032" s="46"/>
      <c r="AK1032" s="46"/>
      <c r="AL1032" s="46"/>
      <c r="AM1032" s="46"/>
      <c r="AN1032" s="46"/>
      <c r="AO1032" s="46"/>
      <c r="AP1032" s="46"/>
      <c r="AQ1032" s="46"/>
      <c r="AR1032" s="46"/>
      <c r="AS1032" s="46"/>
      <c r="AT1032" s="46"/>
      <c r="AU1032" s="46"/>
      <c r="AV1032" s="46"/>
      <c r="AW1032" s="46"/>
      <c r="AX1032" s="46"/>
      <c r="AY1032" s="46"/>
      <c r="AZ1032" s="46"/>
      <c r="BA1032" s="46"/>
      <c r="BB1032" s="46"/>
      <c r="BC1032" s="46"/>
      <c r="BD1032" s="46"/>
      <c r="BE1032" s="46"/>
      <c r="BF1032" s="46"/>
      <c r="BG1032" s="46"/>
      <c r="BH1032" s="46"/>
    </row>
    <row r="1033" spans="1:60" ht="14.25" customHeight="1" x14ac:dyDescent="0.3">
      <c r="A1033" s="46"/>
      <c r="B1033" s="37"/>
      <c r="C1033" s="46"/>
      <c r="D1033" s="46"/>
      <c r="E1033" s="46"/>
      <c r="F1033" s="46"/>
      <c r="G1033" s="46"/>
      <c r="H1033" s="46"/>
      <c r="I1033" s="46"/>
      <c r="J1033" s="46"/>
      <c r="K1033" s="46"/>
      <c r="L1033" s="46"/>
      <c r="M1033" s="46"/>
      <c r="N1033" s="46"/>
      <c r="O1033" s="46"/>
      <c r="P1033" s="46"/>
      <c r="Q1033" s="46"/>
      <c r="R1033" s="46"/>
      <c r="S1033" s="46"/>
      <c r="T1033" s="46"/>
      <c r="U1033" s="46"/>
      <c r="V1033" s="46"/>
      <c r="W1033" s="46"/>
      <c r="X1033" s="46"/>
      <c r="Y1033" s="46"/>
      <c r="Z1033" s="46"/>
      <c r="AA1033" s="46"/>
      <c r="AB1033" s="46"/>
      <c r="AC1033" s="46"/>
      <c r="AD1033" s="46"/>
      <c r="AE1033" s="46"/>
      <c r="AF1033" s="46"/>
      <c r="AG1033" s="46"/>
      <c r="AH1033" s="46"/>
      <c r="AI1033" s="46"/>
      <c r="AJ1033" s="46"/>
      <c r="AK1033" s="46"/>
      <c r="AL1033" s="46"/>
      <c r="AM1033" s="46"/>
      <c r="AN1033" s="46"/>
      <c r="AO1033" s="46"/>
      <c r="AP1033" s="46"/>
      <c r="AQ1033" s="46"/>
      <c r="AR1033" s="46"/>
      <c r="AS1033" s="46"/>
      <c r="AT1033" s="46"/>
      <c r="AU1033" s="46"/>
      <c r="AV1033" s="46"/>
      <c r="AW1033" s="46"/>
      <c r="AX1033" s="46"/>
      <c r="AY1033" s="46"/>
      <c r="AZ1033" s="46"/>
      <c r="BA1033" s="46"/>
      <c r="BB1033" s="46"/>
      <c r="BC1033" s="46"/>
      <c r="BD1033" s="46"/>
      <c r="BE1033" s="46"/>
      <c r="BF1033" s="46"/>
      <c r="BG1033" s="46"/>
      <c r="BH1033" s="46"/>
    </row>
    <row r="1034" spans="1:60" ht="14.25" customHeight="1" x14ac:dyDescent="0.3">
      <c r="A1034" s="46"/>
      <c r="B1034" s="37"/>
      <c r="C1034" s="46"/>
      <c r="D1034" s="46"/>
      <c r="E1034" s="46"/>
      <c r="F1034" s="46"/>
      <c r="G1034" s="46"/>
      <c r="H1034" s="46"/>
      <c r="I1034" s="46"/>
      <c r="J1034" s="46"/>
      <c r="K1034" s="46"/>
      <c r="L1034" s="46"/>
      <c r="M1034" s="46"/>
      <c r="N1034" s="46"/>
      <c r="O1034" s="46"/>
      <c r="P1034" s="46"/>
      <c r="Q1034" s="46"/>
      <c r="R1034" s="46"/>
      <c r="S1034" s="46"/>
      <c r="T1034" s="46"/>
      <c r="U1034" s="46"/>
      <c r="V1034" s="46"/>
      <c r="W1034" s="46"/>
      <c r="X1034" s="46"/>
      <c r="Y1034" s="46"/>
      <c r="Z1034" s="46"/>
      <c r="AA1034" s="46"/>
      <c r="AB1034" s="46"/>
      <c r="AC1034" s="46"/>
      <c r="AD1034" s="46"/>
      <c r="AE1034" s="46"/>
      <c r="AF1034" s="46"/>
      <c r="AG1034" s="46"/>
      <c r="AH1034" s="46"/>
      <c r="AI1034" s="46"/>
      <c r="AJ1034" s="46"/>
      <c r="AK1034" s="46"/>
      <c r="AL1034" s="46"/>
      <c r="AM1034" s="46"/>
      <c r="AN1034" s="46"/>
      <c r="AO1034" s="46"/>
      <c r="AP1034" s="46"/>
      <c r="AQ1034" s="46"/>
      <c r="AR1034" s="46"/>
      <c r="AS1034" s="46"/>
      <c r="AT1034" s="46"/>
      <c r="AU1034" s="46"/>
      <c r="AV1034" s="46"/>
      <c r="AW1034" s="46"/>
      <c r="AX1034" s="46"/>
      <c r="AY1034" s="46"/>
      <c r="AZ1034" s="46"/>
      <c r="BA1034" s="46"/>
      <c r="BB1034" s="46"/>
      <c r="BC1034" s="46"/>
      <c r="BD1034" s="46"/>
      <c r="BE1034" s="46"/>
      <c r="BF1034" s="46"/>
      <c r="BG1034" s="46"/>
      <c r="BH1034" s="46"/>
    </row>
    <row r="1035" spans="1:60" ht="14.25" customHeight="1" x14ac:dyDescent="0.3">
      <c r="A1035" s="46"/>
      <c r="B1035" s="37"/>
      <c r="C1035" s="46"/>
      <c r="D1035" s="46"/>
      <c r="E1035" s="46"/>
      <c r="F1035" s="46"/>
      <c r="G1035" s="46"/>
      <c r="H1035" s="46"/>
      <c r="I1035" s="46"/>
      <c r="J1035" s="46"/>
      <c r="K1035" s="46"/>
      <c r="L1035" s="46"/>
      <c r="M1035" s="46"/>
      <c r="N1035" s="46"/>
      <c r="O1035" s="46"/>
      <c r="P1035" s="46"/>
      <c r="Q1035" s="46"/>
      <c r="R1035" s="46"/>
      <c r="S1035" s="46"/>
      <c r="T1035" s="46"/>
      <c r="U1035" s="46"/>
      <c r="V1035" s="46"/>
      <c r="W1035" s="46"/>
      <c r="X1035" s="46"/>
      <c r="Y1035" s="46"/>
      <c r="Z1035" s="46"/>
      <c r="AA1035" s="46"/>
      <c r="AB1035" s="46"/>
      <c r="AC1035" s="46"/>
      <c r="AD1035" s="46"/>
      <c r="AE1035" s="46"/>
      <c r="AF1035" s="46"/>
      <c r="AG1035" s="46"/>
      <c r="AH1035" s="46"/>
      <c r="AI1035" s="46"/>
      <c r="AJ1035" s="46"/>
      <c r="AK1035" s="46"/>
      <c r="AL1035" s="46"/>
      <c r="AM1035" s="46"/>
      <c r="AN1035" s="46"/>
      <c r="AO1035" s="46"/>
      <c r="AP1035" s="46"/>
      <c r="AQ1035" s="46"/>
      <c r="AR1035" s="46"/>
      <c r="AS1035" s="46"/>
      <c r="AT1035" s="46"/>
      <c r="AU1035" s="46"/>
      <c r="AV1035" s="46"/>
      <c r="AW1035" s="46"/>
      <c r="AX1035" s="46"/>
      <c r="AY1035" s="46"/>
      <c r="AZ1035" s="46"/>
      <c r="BA1035" s="46"/>
      <c r="BB1035" s="46"/>
      <c r="BC1035" s="46"/>
      <c r="BD1035" s="46"/>
      <c r="BE1035" s="46"/>
      <c r="BF1035" s="46"/>
      <c r="BG1035" s="46"/>
      <c r="BH1035" s="46"/>
    </row>
    <row r="1036" spans="1:60" ht="14.25" customHeight="1" x14ac:dyDescent="0.3">
      <c r="A1036" s="46"/>
      <c r="B1036" s="37"/>
      <c r="C1036" s="46"/>
      <c r="D1036" s="46"/>
      <c r="E1036" s="46"/>
      <c r="F1036" s="46"/>
      <c r="G1036" s="46"/>
      <c r="H1036" s="46"/>
      <c r="I1036" s="46"/>
      <c r="J1036" s="46"/>
      <c r="K1036" s="46"/>
      <c r="L1036" s="46"/>
      <c r="M1036" s="46"/>
      <c r="N1036" s="46"/>
      <c r="O1036" s="46"/>
      <c r="P1036" s="46"/>
      <c r="Q1036" s="46"/>
      <c r="R1036" s="46"/>
      <c r="S1036" s="46"/>
      <c r="T1036" s="46"/>
      <c r="U1036" s="46"/>
      <c r="V1036" s="46"/>
      <c r="W1036" s="46"/>
      <c r="X1036" s="46"/>
      <c r="Y1036" s="46"/>
      <c r="Z1036" s="46"/>
      <c r="AA1036" s="46"/>
      <c r="AB1036" s="46"/>
      <c r="AC1036" s="46"/>
      <c r="AD1036" s="46"/>
      <c r="AE1036" s="46"/>
      <c r="AF1036" s="46"/>
      <c r="AG1036" s="46"/>
      <c r="AH1036" s="46"/>
      <c r="AI1036" s="46"/>
      <c r="AJ1036" s="46"/>
      <c r="AK1036" s="46"/>
      <c r="AL1036" s="46"/>
      <c r="AM1036" s="46"/>
      <c r="AN1036" s="46"/>
      <c r="AO1036" s="46"/>
      <c r="AP1036" s="46"/>
      <c r="AQ1036" s="46"/>
      <c r="AR1036" s="46"/>
      <c r="AS1036" s="46"/>
      <c r="AT1036" s="46"/>
      <c r="AU1036" s="46"/>
      <c r="AV1036" s="46"/>
      <c r="AW1036" s="46"/>
      <c r="AX1036" s="46"/>
      <c r="AY1036" s="46"/>
      <c r="AZ1036" s="46"/>
      <c r="BA1036" s="46"/>
      <c r="BB1036" s="46"/>
      <c r="BC1036" s="46"/>
      <c r="BD1036" s="46"/>
      <c r="BE1036" s="46"/>
      <c r="BF1036" s="46"/>
      <c r="BG1036" s="46"/>
      <c r="BH1036" s="46"/>
    </row>
    <row r="1037" spans="1:60" ht="14.25" customHeight="1" x14ac:dyDescent="0.3">
      <c r="A1037" s="46"/>
      <c r="B1037" s="37"/>
      <c r="C1037" s="46"/>
      <c r="D1037" s="46"/>
      <c r="E1037" s="46"/>
      <c r="F1037" s="46"/>
      <c r="G1037" s="46"/>
      <c r="H1037" s="46"/>
      <c r="I1037" s="46"/>
      <c r="J1037" s="46"/>
      <c r="K1037" s="46"/>
      <c r="L1037" s="46"/>
      <c r="M1037" s="46"/>
      <c r="N1037" s="46"/>
      <c r="O1037" s="46"/>
      <c r="P1037" s="46"/>
      <c r="Q1037" s="46"/>
      <c r="R1037" s="46"/>
      <c r="S1037" s="46"/>
      <c r="T1037" s="46"/>
      <c r="U1037" s="46"/>
      <c r="V1037" s="46"/>
      <c r="W1037" s="46"/>
      <c r="X1037" s="46"/>
      <c r="Y1037" s="46"/>
      <c r="Z1037" s="46"/>
      <c r="AA1037" s="46"/>
      <c r="AB1037" s="46"/>
      <c r="AC1037" s="46"/>
      <c r="AD1037" s="46"/>
      <c r="AE1037" s="46"/>
      <c r="AF1037" s="46"/>
      <c r="AG1037" s="46"/>
      <c r="AH1037" s="46"/>
      <c r="AI1037" s="46"/>
      <c r="AJ1037" s="46"/>
      <c r="AK1037" s="46"/>
      <c r="AL1037" s="46"/>
      <c r="AM1037" s="46"/>
      <c r="AN1037" s="46"/>
      <c r="AO1037" s="46"/>
      <c r="AP1037" s="46"/>
      <c r="AQ1037" s="46"/>
      <c r="AR1037" s="46"/>
      <c r="AS1037" s="46"/>
      <c r="AT1037" s="46"/>
      <c r="AU1037" s="46"/>
      <c r="AV1037" s="46"/>
      <c r="AW1037" s="46"/>
      <c r="AX1037" s="46"/>
      <c r="AY1037" s="46"/>
      <c r="AZ1037" s="46"/>
      <c r="BA1037" s="46"/>
      <c r="BB1037" s="46"/>
      <c r="BC1037" s="46"/>
      <c r="BD1037" s="46"/>
      <c r="BE1037" s="46"/>
      <c r="BF1037" s="46"/>
      <c r="BG1037" s="46"/>
      <c r="BH1037" s="46"/>
    </row>
    <row r="1038" spans="1:60" ht="14.25" customHeight="1" x14ac:dyDescent="0.3">
      <c r="A1038" s="46"/>
      <c r="B1038" s="37"/>
      <c r="C1038" s="46"/>
      <c r="D1038" s="46"/>
      <c r="E1038" s="46"/>
      <c r="F1038" s="46"/>
      <c r="G1038" s="46"/>
      <c r="H1038" s="46"/>
      <c r="I1038" s="46"/>
      <c r="J1038" s="46"/>
      <c r="K1038" s="46"/>
      <c r="L1038" s="46"/>
      <c r="M1038" s="46"/>
      <c r="N1038" s="46"/>
      <c r="O1038" s="46"/>
      <c r="P1038" s="46"/>
      <c r="Q1038" s="46"/>
      <c r="R1038" s="46"/>
      <c r="S1038" s="46"/>
      <c r="T1038" s="46"/>
      <c r="U1038" s="46"/>
      <c r="V1038" s="46"/>
      <c r="W1038" s="46"/>
      <c r="X1038" s="46"/>
      <c r="Y1038" s="46"/>
      <c r="Z1038" s="46"/>
      <c r="AA1038" s="46"/>
      <c r="AB1038" s="46"/>
      <c r="AC1038" s="46"/>
      <c r="AD1038" s="46"/>
      <c r="AE1038" s="46"/>
      <c r="AF1038" s="46"/>
      <c r="AG1038" s="46"/>
      <c r="AH1038" s="46"/>
      <c r="AI1038" s="46"/>
      <c r="AJ1038" s="46"/>
      <c r="AK1038" s="46"/>
      <c r="AL1038" s="46"/>
      <c r="AM1038" s="46"/>
      <c r="AN1038" s="46"/>
      <c r="AO1038" s="46"/>
      <c r="AP1038" s="46"/>
      <c r="AQ1038" s="46"/>
      <c r="AR1038" s="46"/>
      <c r="AS1038" s="46"/>
      <c r="AT1038" s="46"/>
      <c r="AU1038" s="46"/>
      <c r="AV1038" s="46"/>
      <c r="AW1038" s="46"/>
      <c r="AX1038" s="46"/>
      <c r="AY1038" s="46"/>
      <c r="AZ1038" s="46"/>
      <c r="BA1038" s="46"/>
      <c r="BB1038" s="46"/>
      <c r="BC1038" s="46"/>
      <c r="BD1038" s="46"/>
      <c r="BE1038" s="46"/>
      <c r="BF1038" s="46"/>
      <c r="BG1038" s="46"/>
      <c r="BH1038" s="46"/>
    </row>
    <row r="1039" spans="1:60" ht="14.25" customHeight="1" x14ac:dyDescent="0.3">
      <c r="A1039" s="46"/>
      <c r="B1039" s="37"/>
      <c r="C1039" s="46"/>
      <c r="D1039" s="46"/>
      <c r="E1039" s="46"/>
      <c r="F1039" s="46"/>
      <c r="G1039" s="46"/>
      <c r="H1039" s="46"/>
      <c r="I1039" s="46"/>
      <c r="J1039" s="46"/>
      <c r="K1039" s="46"/>
      <c r="L1039" s="46"/>
      <c r="M1039" s="46"/>
      <c r="N1039" s="46"/>
      <c r="O1039" s="46"/>
      <c r="P1039" s="46"/>
      <c r="Q1039" s="46"/>
      <c r="R1039" s="46"/>
      <c r="S1039" s="46"/>
      <c r="T1039" s="46"/>
      <c r="U1039" s="46"/>
      <c r="V1039" s="46"/>
      <c r="W1039" s="46"/>
      <c r="X1039" s="46"/>
      <c r="Y1039" s="46"/>
      <c r="Z1039" s="46"/>
      <c r="AA1039" s="46"/>
      <c r="AB1039" s="46"/>
      <c r="AC1039" s="46"/>
      <c r="AD1039" s="46"/>
      <c r="AE1039" s="46"/>
      <c r="AF1039" s="46"/>
      <c r="AG1039" s="46"/>
      <c r="AH1039" s="46"/>
      <c r="AI1039" s="46"/>
      <c r="AJ1039" s="46"/>
      <c r="AK1039" s="46"/>
      <c r="AL1039" s="46"/>
      <c r="AM1039" s="46"/>
      <c r="AN1039" s="46"/>
      <c r="AO1039" s="46"/>
      <c r="AP1039" s="46"/>
      <c r="AQ1039" s="46"/>
      <c r="AR1039" s="46"/>
      <c r="AS1039" s="46"/>
      <c r="AT1039" s="46"/>
      <c r="AU1039" s="46"/>
      <c r="AV1039" s="46"/>
      <c r="AW1039" s="46"/>
      <c r="AX1039" s="46"/>
      <c r="AY1039" s="46"/>
      <c r="AZ1039" s="46"/>
      <c r="BA1039" s="46"/>
      <c r="BB1039" s="46"/>
      <c r="BC1039" s="46"/>
      <c r="BD1039" s="46"/>
      <c r="BE1039" s="46"/>
      <c r="BF1039" s="46"/>
      <c r="BG1039" s="46"/>
      <c r="BH1039" s="46"/>
    </row>
    <row r="1040" spans="1:60" ht="14.25" customHeight="1" x14ac:dyDescent="0.3">
      <c r="A1040" s="46"/>
      <c r="B1040" s="37"/>
      <c r="C1040" s="46"/>
      <c r="D1040" s="46"/>
      <c r="E1040" s="46"/>
      <c r="F1040" s="46"/>
      <c r="G1040" s="46"/>
      <c r="H1040" s="46"/>
      <c r="I1040" s="46"/>
      <c r="J1040" s="46"/>
      <c r="K1040" s="46"/>
      <c r="L1040" s="46"/>
      <c r="M1040" s="46"/>
      <c r="N1040" s="46"/>
      <c r="O1040" s="46"/>
      <c r="P1040" s="46"/>
      <c r="Q1040" s="46"/>
      <c r="R1040" s="46"/>
      <c r="S1040" s="46"/>
      <c r="T1040" s="46"/>
      <c r="U1040" s="46"/>
      <c r="V1040" s="46"/>
      <c r="W1040" s="46"/>
      <c r="X1040" s="46"/>
      <c r="Y1040" s="46"/>
      <c r="Z1040" s="46"/>
      <c r="AA1040" s="46"/>
      <c r="AB1040" s="46"/>
      <c r="AC1040" s="46"/>
      <c r="AD1040" s="46"/>
      <c r="AE1040" s="46"/>
      <c r="AF1040" s="46"/>
      <c r="AG1040" s="46"/>
      <c r="AH1040" s="46"/>
      <c r="AI1040" s="46"/>
      <c r="AJ1040" s="46"/>
      <c r="AK1040" s="46"/>
      <c r="AL1040" s="46"/>
      <c r="AM1040" s="46"/>
      <c r="AN1040" s="46"/>
      <c r="AO1040" s="46"/>
      <c r="AP1040" s="46"/>
      <c r="AQ1040" s="46"/>
      <c r="AR1040" s="46"/>
      <c r="AS1040" s="46"/>
      <c r="AT1040" s="46"/>
      <c r="AU1040" s="46"/>
      <c r="AV1040" s="46"/>
      <c r="AW1040" s="46"/>
      <c r="AX1040" s="46"/>
      <c r="AY1040" s="46"/>
      <c r="AZ1040" s="46"/>
      <c r="BA1040" s="46"/>
      <c r="BB1040" s="46"/>
      <c r="BC1040" s="46"/>
      <c r="BD1040" s="46"/>
      <c r="BE1040" s="46"/>
      <c r="BF1040" s="46"/>
      <c r="BG1040" s="46"/>
      <c r="BH1040" s="46"/>
    </row>
    <row r="1041" spans="1:60" ht="14.25" customHeight="1" x14ac:dyDescent="0.3">
      <c r="A1041" s="46"/>
      <c r="B1041" s="37"/>
      <c r="C1041" s="46"/>
      <c r="D1041" s="46"/>
      <c r="E1041" s="46"/>
      <c r="F1041" s="46"/>
      <c r="G1041" s="46"/>
      <c r="H1041" s="46"/>
      <c r="I1041" s="46"/>
      <c r="J1041" s="46"/>
      <c r="K1041" s="46"/>
      <c r="L1041" s="46"/>
      <c r="M1041" s="46"/>
      <c r="N1041" s="46"/>
      <c r="O1041" s="46"/>
      <c r="P1041" s="46"/>
      <c r="Q1041" s="46"/>
      <c r="R1041" s="46"/>
      <c r="S1041" s="46"/>
      <c r="T1041" s="46"/>
      <c r="U1041" s="46"/>
      <c r="V1041" s="46"/>
      <c r="W1041" s="46"/>
      <c r="X1041" s="46"/>
      <c r="Y1041" s="46"/>
      <c r="Z1041" s="46"/>
      <c r="AA1041" s="46"/>
      <c r="AB1041" s="46"/>
      <c r="AC1041" s="46"/>
      <c r="AD1041" s="46"/>
      <c r="AE1041" s="46"/>
      <c r="AF1041" s="46"/>
      <c r="AG1041" s="46"/>
      <c r="AH1041" s="46"/>
      <c r="AI1041" s="46"/>
      <c r="AJ1041" s="46"/>
      <c r="AK1041" s="46"/>
      <c r="AL1041" s="46"/>
      <c r="AM1041" s="46"/>
      <c r="AN1041" s="46"/>
      <c r="AO1041" s="46"/>
      <c r="AP1041" s="46"/>
      <c r="AQ1041" s="46"/>
      <c r="AR1041" s="46"/>
      <c r="AS1041" s="46"/>
      <c r="AT1041" s="46"/>
      <c r="AU1041" s="46"/>
      <c r="AV1041" s="46"/>
      <c r="AW1041" s="46"/>
      <c r="AX1041" s="46"/>
      <c r="AY1041" s="46"/>
      <c r="AZ1041" s="46"/>
      <c r="BA1041" s="46"/>
      <c r="BB1041" s="46"/>
      <c r="BC1041" s="46"/>
      <c r="BD1041" s="46"/>
      <c r="BE1041" s="46"/>
      <c r="BF1041" s="46"/>
      <c r="BG1041" s="46"/>
      <c r="BH1041" s="46"/>
    </row>
    <row r="1042" spans="1:60" ht="14.25" customHeight="1" x14ac:dyDescent="0.3">
      <c r="A1042" s="46"/>
      <c r="B1042" s="37"/>
      <c r="C1042" s="46"/>
      <c r="D1042" s="46"/>
      <c r="E1042" s="46"/>
      <c r="F1042" s="46"/>
      <c r="G1042" s="46"/>
      <c r="H1042" s="46"/>
      <c r="I1042" s="46"/>
      <c r="J1042" s="46"/>
      <c r="K1042" s="46"/>
      <c r="L1042" s="46"/>
      <c r="M1042" s="46"/>
      <c r="N1042" s="46"/>
      <c r="O1042" s="46"/>
      <c r="P1042" s="46"/>
      <c r="Q1042" s="46"/>
      <c r="R1042" s="46"/>
      <c r="S1042" s="46"/>
      <c r="T1042" s="46"/>
      <c r="U1042" s="46"/>
      <c r="V1042" s="46"/>
      <c r="W1042" s="46"/>
      <c r="X1042" s="46"/>
      <c r="Y1042" s="46"/>
      <c r="Z1042" s="46"/>
      <c r="AA1042" s="46"/>
      <c r="AB1042" s="46"/>
      <c r="AC1042" s="46"/>
      <c r="AD1042" s="46"/>
      <c r="AE1042" s="46"/>
      <c r="AF1042" s="46"/>
      <c r="AG1042" s="46"/>
      <c r="AH1042" s="46"/>
      <c r="AI1042" s="46"/>
      <c r="AJ1042" s="46"/>
      <c r="AK1042" s="46"/>
      <c r="AL1042" s="46"/>
      <c r="AM1042" s="46"/>
      <c r="AN1042" s="46"/>
      <c r="AO1042" s="46"/>
      <c r="AP1042" s="46"/>
      <c r="AQ1042" s="46"/>
      <c r="AR1042" s="46"/>
      <c r="AS1042" s="46"/>
      <c r="AT1042" s="46"/>
      <c r="AU1042" s="46"/>
      <c r="AV1042" s="46"/>
      <c r="AW1042" s="46"/>
      <c r="AX1042" s="46"/>
      <c r="AY1042" s="46"/>
      <c r="AZ1042" s="46"/>
      <c r="BA1042" s="46"/>
      <c r="BB1042" s="46"/>
      <c r="BC1042" s="46"/>
      <c r="BD1042" s="46"/>
      <c r="BE1042" s="46"/>
      <c r="BF1042" s="46"/>
      <c r="BG1042" s="46"/>
      <c r="BH1042" s="46"/>
    </row>
    <row r="1043" spans="1:60" ht="14.25" customHeight="1" x14ac:dyDescent="0.3">
      <c r="A1043" s="46"/>
      <c r="B1043" s="37"/>
      <c r="C1043" s="46"/>
      <c r="D1043" s="46"/>
      <c r="E1043" s="46"/>
      <c r="F1043" s="46"/>
      <c r="G1043" s="46"/>
      <c r="H1043" s="46"/>
      <c r="I1043" s="46"/>
      <c r="J1043" s="46"/>
      <c r="K1043" s="46"/>
      <c r="L1043" s="46"/>
      <c r="M1043" s="46"/>
      <c r="N1043" s="46"/>
      <c r="O1043" s="46"/>
      <c r="P1043" s="46"/>
      <c r="Q1043" s="46"/>
      <c r="R1043" s="46"/>
      <c r="S1043" s="46"/>
      <c r="T1043" s="46"/>
      <c r="U1043" s="46"/>
      <c r="V1043" s="46"/>
      <c r="W1043" s="46"/>
      <c r="X1043" s="46"/>
      <c r="Y1043" s="46"/>
      <c r="Z1043" s="46"/>
      <c r="AA1043" s="46"/>
      <c r="AB1043" s="46"/>
      <c r="AC1043" s="46"/>
      <c r="AD1043" s="46"/>
      <c r="AE1043" s="46"/>
      <c r="AF1043" s="46"/>
      <c r="AG1043" s="46"/>
      <c r="AH1043" s="46"/>
      <c r="AI1043" s="46"/>
      <c r="AJ1043" s="46"/>
      <c r="AK1043" s="46"/>
      <c r="AL1043" s="46"/>
      <c r="AM1043" s="46"/>
      <c r="AN1043" s="46"/>
      <c r="AO1043" s="46"/>
      <c r="AP1043" s="46"/>
      <c r="AQ1043" s="46"/>
      <c r="AR1043" s="46"/>
      <c r="AS1043" s="46"/>
      <c r="AT1043" s="46"/>
      <c r="AU1043" s="46"/>
      <c r="AV1043" s="46"/>
      <c r="AW1043" s="46"/>
      <c r="AX1043" s="46"/>
      <c r="AY1043" s="46"/>
      <c r="AZ1043" s="46"/>
      <c r="BA1043" s="46"/>
      <c r="BB1043" s="46"/>
      <c r="BC1043" s="46"/>
      <c r="BD1043" s="46"/>
      <c r="BE1043" s="46"/>
      <c r="BF1043" s="46"/>
      <c r="BG1043" s="46"/>
      <c r="BH1043" s="46"/>
    </row>
    <row r="1044" spans="1:60" ht="14.25" customHeight="1" x14ac:dyDescent="0.3">
      <c r="A1044" s="46"/>
      <c r="B1044" s="37"/>
      <c r="C1044" s="46"/>
      <c r="D1044" s="46"/>
      <c r="E1044" s="46"/>
      <c r="F1044" s="46"/>
      <c r="G1044" s="46"/>
      <c r="H1044" s="46"/>
      <c r="I1044" s="46"/>
      <c r="J1044" s="46"/>
      <c r="K1044" s="46"/>
      <c r="L1044" s="46"/>
      <c r="M1044" s="46"/>
      <c r="N1044" s="46"/>
      <c r="O1044" s="46"/>
      <c r="P1044" s="46"/>
      <c r="Q1044" s="46"/>
      <c r="R1044" s="46"/>
      <c r="S1044" s="46"/>
      <c r="T1044" s="46"/>
      <c r="U1044" s="46"/>
      <c r="V1044" s="46"/>
      <c r="W1044" s="46"/>
      <c r="X1044" s="46"/>
      <c r="Y1044" s="46"/>
      <c r="Z1044" s="46"/>
      <c r="AA1044" s="46"/>
      <c r="AB1044" s="46"/>
      <c r="AC1044" s="46"/>
      <c r="AD1044" s="46"/>
      <c r="AE1044" s="46"/>
      <c r="AF1044" s="46"/>
      <c r="AG1044" s="46"/>
      <c r="AH1044" s="46"/>
      <c r="AI1044" s="46"/>
      <c r="AJ1044" s="46"/>
      <c r="AK1044" s="46"/>
      <c r="AL1044" s="46"/>
      <c r="AM1044" s="46"/>
      <c r="AN1044" s="46"/>
      <c r="AO1044" s="46"/>
      <c r="AP1044" s="46"/>
      <c r="AQ1044" s="46"/>
      <c r="AR1044" s="46"/>
      <c r="AS1044" s="46"/>
      <c r="AT1044" s="46"/>
      <c r="AU1044" s="46"/>
      <c r="AV1044" s="46"/>
      <c r="AW1044" s="46"/>
      <c r="AX1044" s="46"/>
      <c r="AY1044" s="46"/>
      <c r="AZ1044" s="46"/>
      <c r="BA1044" s="46"/>
      <c r="BB1044" s="46"/>
      <c r="BC1044" s="46"/>
      <c r="BD1044" s="46"/>
      <c r="BE1044" s="46"/>
      <c r="BF1044" s="46"/>
      <c r="BG1044" s="46"/>
      <c r="BH1044" s="46"/>
    </row>
    <row r="1045" spans="1:60" ht="14.25" customHeight="1" x14ac:dyDescent="0.3">
      <c r="A1045" s="46"/>
      <c r="B1045" s="37"/>
      <c r="C1045" s="46"/>
      <c r="D1045" s="46"/>
      <c r="E1045" s="46"/>
      <c r="F1045" s="46"/>
      <c r="G1045" s="46"/>
      <c r="H1045" s="46"/>
      <c r="I1045" s="46"/>
      <c r="J1045" s="46"/>
      <c r="K1045" s="46"/>
      <c r="L1045" s="46"/>
      <c r="M1045" s="46"/>
      <c r="N1045" s="46"/>
      <c r="O1045" s="46"/>
      <c r="P1045" s="46"/>
      <c r="Q1045" s="46"/>
      <c r="R1045" s="46"/>
      <c r="S1045" s="46"/>
      <c r="T1045" s="46"/>
      <c r="U1045" s="46"/>
      <c r="V1045" s="46"/>
      <c r="W1045" s="46"/>
      <c r="X1045" s="46"/>
      <c r="Y1045" s="46"/>
      <c r="Z1045" s="46"/>
      <c r="AA1045" s="46"/>
      <c r="AB1045" s="46"/>
      <c r="AC1045" s="46"/>
      <c r="AD1045" s="46"/>
      <c r="AE1045" s="46"/>
      <c r="AF1045" s="46"/>
      <c r="AG1045" s="46"/>
      <c r="AH1045" s="46"/>
      <c r="AI1045" s="46"/>
      <c r="AJ1045" s="46"/>
      <c r="AK1045" s="46"/>
      <c r="AL1045" s="46"/>
      <c r="AM1045" s="46"/>
      <c r="AN1045" s="46"/>
      <c r="AO1045" s="46"/>
      <c r="AP1045" s="46"/>
      <c r="AQ1045" s="46"/>
      <c r="AR1045" s="46"/>
      <c r="AS1045" s="46"/>
      <c r="AT1045" s="46"/>
      <c r="AU1045" s="46"/>
      <c r="AV1045" s="46"/>
      <c r="AW1045" s="46"/>
      <c r="AX1045" s="46"/>
      <c r="AY1045" s="46"/>
      <c r="AZ1045" s="46"/>
      <c r="BA1045" s="46"/>
      <c r="BB1045" s="46"/>
      <c r="BC1045" s="46"/>
      <c r="BD1045" s="46"/>
      <c r="BE1045" s="46"/>
      <c r="BF1045" s="46"/>
      <c r="BG1045" s="46"/>
      <c r="BH1045" s="46"/>
    </row>
    <row r="1046" spans="1:60" ht="14.25" customHeight="1" x14ac:dyDescent="0.3">
      <c r="A1046" s="46"/>
      <c r="B1046" s="37"/>
      <c r="C1046" s="46"/>
      <c r="D1046" s="46"/>
      <c r="E1046" s="46"/>
      <c r="F1046" s="46"/>
      <c r="G1046" s="46"/>
      <c r="H1046" s="46"/>
      <c r="I1046" s="46"/>
      <c r="J1046" s="46"/>
      <c r="K1046" s="46"/>
      <c r="L1046" s="46"/>
      <c r="M1046" s="46"/>
      <c r="N1046" s="46"/>
      <c r="O1046" s="46"/>
      <c r="P1046" s="46"/>
      <c r="Q1046" s="46"/>
      <c r="R1046" s="46"/>
      <c r="S1046" s="46"/>
      <c r="T1046" s="46"/>
      <c r="U1046" s="46"/>
      <c r="V1046" s="46"/>
      <c r="W1046" s="46"/>
      <c r="X1046" s="46"/>
      <c r="Y1046" s="46"/>
      <c r="Z1046" s="46"/>
      <c r="AA1046" s="46"/>
      <c r="AB1046" s="46"/>
      <c r="AC1046" s="46"/>
      <c r="AD1046" s="46"/>
      <c r="AE1046" s="46"/>
      <c r="AF1046" s="46"/>
      <c r="AG1046" s="46"/>
      <c r="AH1046" s="46"/>
      <c r="AI1046" s="46"/>
      <c r="AJ1046" s="46"/>
      <c r="AK1046" s="46"/>
      <c r="AL1046" s="46"/>
      <c r="AM1046" s="46"/>
      <c r="AN1046" s="46"/>
      <c r="AO1046" s="46"/>
      <c r="AP1046" s="46"/>
      <c r="AQ1046" s="46"/>
      <c r="AR1046" s="46"/>
      <c r="AS1046" s="46"/>
      <c r="AT1046" s="46"/>
      <c r="AU1046" s="46"/>
      <c r="AV1046" s="46"/>
      <c r="AW1046" s="46"/>
      <c r="AX1046" s="46"/>
      <c r="AY1046" s="46"/>
      <c r="AZ1046" s="46"/>
      <c r="BA1046" s="46"/>
      <c r="BB1046" s="46"/>
      <c r="BC1046" s="46"/>
      <c r="BD1046" s="46"/>
      <c r="BE1046" s="46"/>
      <c r="BF1046" s="46"/>
      <c r="BG1046" s="46"/>
      <c r="BH1046" s="46"/>
    </row>
    <row r="1047" spans="1:60" ht="14.25" customHeight="1" x14ac:dyDescent="0.3">
      <c r="A1047" s="46"/>
      <c r="B1047" s="37"/>
      <c r="C1047" s="46"/>
      <c r="D1047" s="46"/>
      <c r="E1047" s="46"/>
      <c r="F1047" s="46"/>
      <c r="G1047" s="46"/>
      <c r="H1047" s="46"/>
      <c r="I1047" s="46"/>
      <c r="J1047" s="46"/>
      <c r="K1047" s="46"/>
      <c r="L1047" s="46"/>
      <c r="M1047" s="46"/>
      <c r="N1047" s="46"/>
      <c r="O1047" s="46"/>
      <c r="P1047" s="46"/>
      <c r="Q1047" s="46"/>
      <c r="R1047" s="46"/>
      <c r="S1047" s="46"/>
      <c r="T1047" s="46"/>
      <c r="U1047" s="46"/>
      <c r="V1047" s="46"/>
      <c r="W1047" s="46"/>
      <c r="X1047" s="46"/>
      <c r="Y1047" s="46"/>
      <c r="Z1047" s="46"/>
      <c r="AA1047" s="46"/>
      <c r="AB1047" s="46"/>
      <c r="AC1047" s="46"/>
      <c r="AD1047" s="46"/>
      <c r="AE1047" s="46"/>
      <c r="AF1047" s="46"/>
      <c r="AG1047" s="46"/>
      <c r="AH1047" s="46"/>
      <c r="AI1047" s="46"/>
      <c r="AJ1047" s="46"/>
      <c r="AK1047" s="46"/>
      <c r="AL1047" s="46"/>
      <c r="AM1047" s="46"/>
      <c r="AN1047" s="46"/>
      <c r="AO1047" s="46"/>
      <c r="AP1047" s="46"/>
      <c r="AQ1047" s="46"/>
      <c r="AR1047" s="46"/>
      <c r="AS1047" s="46"/>
      <c r="AT1047" s="46"/>
      <c r="AU1047" s="46"/>
      <c r="AV1047" s="46"/>
      <c r="AW1047" s="46"/>
      <c r="AX1047" s="46"/>
      <c r="AY1047" s="46"/>
      <c r="AZ1047" s="46"/>
      <c r="BA1047" s="46"/>
      <c r="BB1047" s="46"/>
      <c r="BC1047" s="46"/>
      <c r="BD1047" s="46"/>
      <c r="BE1047" s="46"/>
      <c r="BF1047" s="46"/>
      <c r="BG1047" s="46"/>
      <c r="BH1047" s="46"/>
    </row>
    <row r="1048" spans="1:60" ht="14.25" customHeight="1" x14ac:dyDescent="0.3">
      <c r="A1048" s="46"/>
      <c r="B1048" s="37"/>
      <c r="C1048" s="46"/>
      <c r="D1048" s="46"/>
      <c r="E1048" s="46"/>
      <c r="F1048" s="46"/>
      <c r="G1048" s="46"/>
      <c r="H1048" s="46"/>
      <c r="I1048" s="46"/>
      <c r="J1048" s="46"/>
      <c r="K1048" s="46"/>
      <c r="L1048" s="46"/>
      <c r="M1048" s="46"/>
      <c r="N1048" s="46"/>
      <c r="O1048" s="46"/>
      <c r="P1048" s="46"/>
      <c r="Q1048" s="46"/>
      <c r="R1048" s="46"/>
      <c r="S1048" s="46"/>
      <c r="T1048" s="46"/>
      <c r="U1048" s="46"/>
      <c r="V1048" s="46"/>
      <c r="W1048" s="46"/>
      <c r="X1048" s="46"/>
      <c r="Y1048" s="46"/>
      <c r="Z1048" s="46"/>
      <c r="AA1048" s="46"/>
      <c r="AB1048" s="46"/>
      <c r="AC1048" s="46"/>
      <c r="AD1048" s="46"/>
      <c r="AE1048" s="46"/>
      <c r="AF1048" s="46"/>
      <c r="AG1048" s="46"/>
      <c r="AH1048" s="46"/>
      <c r="AI1048" s="46"/>
      <c r="AJ1048" s="46"/>
      <c r="AK1048" s="46"/>
      <c r="AL1048" s="46"/>
      <c r="AM1048" s="46"/>
      <c r="AN1048" s="46"/>
      <c r="AO1048" s="46"/>
      <c r="AP1048" s="46"/>
      <c r="AQ1048" s="46"/>
      <c r="AR1048" s="46"/>
      <c r="AS1048" s="46"/>
      <c r="AT1048" s="46"/>
      <c r="AU1048" s="46"/>
      <c r="AV1048" s="46"/>
      <c r="AW1048" s="46"/>
      <c r="AX1048" s="46"/>
      <c r="AY1048" s="46"/>
      <c r="AZ1048" s="46"/>
      <c r="BA1048" s="46"/>
      <c r="BB1048" s="46"/>
      <c r="BC1048" s="46"/>
      <c r="BD1048" s="46"/>
      <c r="BE1048" s="46"/>
      <c r="BF1048" s="46"/>
      <c r="BG1048" s="46"/>
      <c r="BH1048" s="46"/>
    </row>
    <row r="1049" spans="1:60" ht="14.25" customHeight="1" x14ac:dyDescent="0.3">
      <c r="A1049" s="46"/>
      <c r="B1049" s="37"/>
      <c r="C1049" s="46"/>
      <c r="D1049" s="46"/>
      <c r="E1049" s="46"/>
      <c r="F1049" s="46"/>
      <c r="G1049" s="46"/>
      <c r="H1049" s="46"/>
      <c r="I1049" s="46"/>
      <c r="J1049" s="46"/>
      <c r="K1049" s="46"/>
      <c r="L1049" s="46"/>
      <c r="M1049" s="46"/>
      <c r="N1049" s="46"/>
      <c r="O1049" s="46"/>
      <c r="P1049" s="46"/>
      <c r="Q1049" s="46"/>
      <c r="R1049" s="46"/>
      <c r="S1049" s="46"/>
      <c r="T1049" s="46"/>
      <c r="U1049" s="46"/>
      <c r="V1049" s="46"/>
      <c r="W1049" s="46"/>
      <c r="X1049" s="46"/>
      <c r="Y1049" s="46"/>
      <c r="Z1049" s="46"/>
      <c r="AA1049" s="46"/>
      <c r="AB1049" s="46"/>
      <c r="AC1049" s="46"/>
      <c r="AD1049" s="46"/>
      <c r="AE1049" s="46"/>
      <c r="AF1049" s="46"/>
      <c r="AG1049" s="46"/>
      <c r="AH1049" s="46"/>
      <c r="AI1049" s="46"/>
      <c r="AJ1049" s="46"/>
      <c r="AK1049" s="46"/>
      <c r="AL1049" s="46"/>
      <c r="AM1049" s="46"/>
      <c r="AN1049" s="46"/>
      <c r="AO1049" s="46"/>
      <c r="AP1049" s="46"/>
      <c r="AQ1049" s="46"/>
      <c r="AR1049" s="46"/>
      <c r="AS1049" s="46"/>
      <c r="AT1049" s="46"/>
      <c r="AU1049" s="46"/>
      <c r="AV1049" s="46"/>
      <c r="AW1049" s="46"/>
      <c r="AX1049" s="46"/>
      <c r="AY1049" s="46"/>
      <c r="AZ1049" s="46"/>
      <c r="BA1049" s="46"/>
      <c r="BB1049" s="46"/>
      <c r="BC1049" s="46"/>
      <c r="BD1049" s="46"/>
      <c r="BE1049" s="46"/>
      <c r="BF1049" s="46"/>
      <c r="BG1049" s="46"/>
      <c r="BH1049" s="46"/>
    </row>
    <row r="1050" spans="1:60" ht="14.25" customHeight="1" x14ac:dyDescent="0.3">
      <c r="A1050" s="46"/>
      <c r="B1050" s="37"/>
      <c r="C1050" s="46"/>
      <c r="D1050" s="46"/>
      <c r="E1050" s="46"/>
      <c r="F1050" s="46"/>
      <c r="G1050" s="46"/>
      <c r="H1050" s="46"/>
      <c r="I1050" s="46"/>
      <c r="J1050" s="46"/>
      <c r="K1050" s="46"/>
      <c r="L1050" s="46"/>
      <c r="M1050" s="46"/>
      <c r="N1050" s="46"/>
      <c r="O1050" s="46"/>
      <c r="P1050" s="46"/>
      <c r="Q1050" s="46"/>
      <c r="R1050" s="46"/>
      <c r="S1050" s="46"/>
      <c r="T1050" s="46"/>
      <c r="U1050" s="46"/>
      <c r="V1050" s="46"/>
      <c r="W1050" s="46"/>
      <c r="X1050" s="46"/>
      <c r="Y1050" s="46"/>
      <c r="Z1050" s="46"/>
      <c r="AA1050" s="46"/>
      <c r="AB1050" s="46"/>
      <c r="AC1050" s="46"/>
      <c r="AD1050" s="46"/>
      <c r="AE1050" s="46"/>
      <c r="AF1050" s="46"/>
      <c r="AG1050" s="46"/>
      <c r="AH1050" s="46"/>
      <c r="AI1050" s="46"/>
      <c r="AJ1050" s="46"/>
      <c r="AK1050" s="46"/>
      <c r="AL1050" s="46"/>
      <c r="AM1050" s="46"/>
      <c r="AN1050" s="46"/>
      <c r="AO1050" s="46"/>
      <c r="AP1050" s="46"/>
      <c r="AQ1050" s="46"/>
      <c r="AR1050" s="46"/>
      <c r="AS1050" s="46"/>
      <c r="AT1050" s="46"/>
      <c r="AU1050" s="46"/>
      <c r="AV1050" s="46"/>
      <c r="AW1050" s="46"/>
      <c r="AX1050" s="46"/>
      <c r="AY1050" s="46"/>
      <c r="AZ1050" s="46"/>
      <c r="BA1050" s="46"/>
      <c r="BB1050" s="46"/>
      <c r="BC1050" s="46"/>
      <c r="BD1050" s="46"/>
      <c r="BE1050" s="46"/>
      <c r="BF1050" s="46"/>
      <c r="BG1050" s="46"/>
      <c r="BH1050" s="46"/>
    </row>
    <row r="1051" spans="1:60" ht="14.25" customHeight="1" x14ac:dyDescent="0.3">
      <c r="A1051" s="46"/>
      <c r="B1051" s="37"/>
      <c r="C1051" s="46"/>
      <c r="D1051" s="46"/>
      <c r="E1051" s="46"/>
      <c r="F1051" s="46"/>
      <c r="G1051" s="46"/>
      <c r="H1051" s="46"/>
      <c r="I1051" s="46"/>
      <c r="J1051" s="46"/>
      <c r="K1051" s="46"/>
      <c r="L1051" s="46"/>
      <c r="M1051" s="46"/>
      <c r="N1051" s="46"/>
      <c r="O1051" s="46"/>
      <c r="P1051" s="46"/>
      <c r="Q1051" s="46"/>
      <c r="R1051" s="46"/>
      <c r="S1051" s="46"/>
      <c r="T1051" s="46"/>
      <c r="U1051" s="46"/>
      <c r="V1051" s="46"/>
      <c r="W1051" s="46"/>
      <c r="X1051" s="46"/>
      <c r="Y1051" s="46"/>
      <c r="Z1051" s="46"/>
      <c r="AA1051" s="46"/>
      <c r="AB1051" s="46"/>
      <c r="AC1051" s="46"/>
      <c r="AD1051" s="46"/>
      <c r="AE1051" s="46"/>
      <c r="AF1051" s="46"/>
      <c r="AG1051" s="46"/>
      <c r="AH1051" s="46"/>
      <c r="AI1051" s="46"/>
      <c r="AJ1051" s="46"/>
      <c r="AK1051" s="46"/>
      <c r="AL1051" s="46"/>
      <c r="AM1051" s="46"/>
      <c r="AN1051" s="46"/>
      <c r="AO1051" s="46"/>
      <c r="AP1051" s="46"/>
      <c r="AQ1051" s="46"/>
      <c r="AR1051" s="46"/>
      <c r="AS1051" s="46"/>
      <c r="AT1051" s="46"/>
      <c r="AU1051" s="46"/>
      <c r="AV1051" s="46"/>
      <c r="AW1051" s="46"/>
      <c r="AX1051" s="46"/>
      <c r="AY1051" s="46"/>
      <c r="AZ1051" s="46"/>
      <c r="BA1051" s="46"/>
      <c r="BB1051" s="46"/>
      <c r="BC1051" s="46"/>
      <c r="BD1051" s="46"/>
      <c r="BE1051" s="46"/>
      <c r="BF1051" s="46"/>
      <c r="BG1051" s="46"/>
      <c r="BH1051" s="46"/>
    </row>
    <row r="1052" spans="1:60" ht="14.25" customHeight="1" x14ac:dyDescent="0.3">
      <c r="A1052" s="46"/>
      <c r="B1052" s="37"/>
      <c r="C1052" s="46"/>
      <c r="D1052" s="46"/>
      <c r="E1052" s="46"/>
      <c r="F1052" s="46"/>
      <c r="G1052" s="46"/>
      <c r="H1052" s="46"/>
      <c r="I1052" s="46"/>
      <c r="J1052" s="46"/>
      <c r="K1052" s="46"/>
      <c r="L1052" s="46"/>
      <c r="M1052" s="46"/>
      <c r="N1052" s="46"/>
      <c r="O1052" s="46"/>
      <c r="P1052" s="46"/>
      <c r="Q1052" s="46"/>
      <c r="R1052" s="46"/>
      <c r="S1052" s="46"/>
      <c r="T1052" s="46"/>
      <c r="U1052" s="46"/>
      <c r="V1052" s="46"/>
      <c r="W1052" s="46"/>
      <c r="X1052" s="46"/>
      <c r="Y1052" s="46"/>
      <c r="Z1052" s="46"/>
      <c r="AA1052" s="46"/>
      <c r="AB1052" s="46"/>
      <c r="AC1052" s="46"/>
      <c r="AD1052" s="46"/>
      <c r="AE1052" s="46"/>
      <c r="AF1052" s="46"/>
      <c r="AG1052" s="46"/>
      <c r="AH1052" s="46"/>
      <c r="AI1052" s="46"/>
      <c r="AJ1052" s="46"/>
      <c r="AK1052" s="46"/>
      <c r="AL1052" s="46"/>
      <c r="AM1052" s="46"/>
      <c r="AN1052" s="46"/>
      <c r="AO1052" s="46"/>
      <c r="AP1052" s="46"/>
      <c r="AQ1052" s="46"/>
      <c r="AR1052" s="46"/>
      <c r="AS1052" s="46"/>
      <c r="AT1052" s="46"/>
      <c r="AU1052" s="46"/>
      <c r="AV1052" s="46"/>
      <c r="AW1052" s="46"/>
      <c r="AX1052" s="46"/>
      <c r="AY1052" s="46"/>
      <c r="AZ1052" s="46"/>
      <c r="BA1052" s="46"/>
      <c r="BB1052" s="46"/>
      <c r="BC1052" s="46"/>
      <c r="BD1052" s="46"/>
      <c r="BE1052" s="46"/>
      <c r="BF1052" s="46"/>
      <c r="BG1052" s="46"/>
      <c r="BH1052" s="46"/>
    </row>
    <row r="1053" spans="1:60" ht="14.25" customHeight="1" x14ac:dyDescent="0.3">
      <c r="A1053" s="46"/>
      <c r="B1053" s="37"/>
      <c r="C1053" s="46"/>
      <c r="D1053" s="46"/>
      <c r="E1053" s="46"/>
      <c r="F1053" s="46"/>
      <c r="G1053" s="46"/>
      <c r="H1053" s="46"/>
      <c r="I1053" s="46"/>
      <c r="J1053" s="46"/>
      <c r="K1053" s="46"/>
      <c r="L1053" s="46"/>
      <c r="M1053" s="46"/>
      <c r="N1053" s="46"/>
      <c r="O1053" s="46"/>
      <c r="P1053" s="46"/>
      <c r="Q1053" s="46"/>
      <c r="R1053" s="46"/>
      <c r="S1053" s="46"/>
      <c r="T1053" s="46"/>
      <c r="U1053" s="46"/>
      <c r="V1053" s="46"/>
      <c r="W1053" s="46"/>
      <c r="X1053" s="46"/>
      <c r="Y1053" s="46"/>
      <c r="Z1053" s="46"/>
      <c r="AA1053" s="46"/>
      <c r="AB1053" s="46"/>
      <c r="AC1053" s="46"/>
      <c r="AD1053" s="46"/>
      <c r="AE1053" s="46"/>
      <c r="AF1053" s="46"/>
      <c r="AG1053" s="46"/>
      <c r="AH1053" s="46"/>
      <c r="AI1053" s="46"/>
      <c r="AJ1053" s="46"/>
      <c r="AK1053" s="46"/>
      <c r="AL1053" s="46"/>
      <c r="AM1053" s="46"/>
      <c r="AN1053" s="46"/>
      <c r="AO1053" s="46"/>
      <c r="AP1053" s="46"/>
      <c r="AQ1053" s="46"/>
      <c r="AR1053" s="46"/>
      <c r="AS1053" s="46"/>
      <c r="AT1053" s="46"/>
      <c r="AU1053" s="46"/>
      <c r="AV1053" s="46"/>
      <c r="AW1053" s="46"/>
      <c r="AX1053" s="46"/>
      <c r="AY1053" s="46"/>
      <c r="AZ1053" s="46"/>
      <c r="BA1053" s="46"/>
      <c r="BB1053" s="46"/>
      <c r="BC1053" s="46"/>
      <c r="BD1053" s="46"/>
      <c r="BE1053" s="46"/>
      <c r="BF1053" s="46"/>
      <c r="BG1053" s="46"/>
      <c r="BH1053" s="46"/>
    </row>
    <row r="1054" spans="1:60" ht="14.25" customHeight="1" x14ac:dyDescent="0.3">
      <c r="A1054" s="46"/>
      <c r="B1054" s="37"/>
      <c r="C1054" s="46"/>
      <c r="D1054" s="46"/>
      <c r="E1054" s="46"/>
      <c r="F1054" s="46"/>
      <c r="G1054" s="46"/>
      <c r="H1054" s="46"/>
      <c r="I1054" s="46"/>
      <c r="J1054" s="46"/>
      <c r="K1054" s="46"/>
      <c r="L1054" s="46"/>
      <c r="M1054" s="46"/>
      <c r="N1054" s="46"/>
      <c r="O1054" s="46"/>
      <c r="P1054" s="46"/>
      <c r="Q1054" s="46"/>
      <c r="R1054" s="46"/>
      <c r="S1054" s="46"/>
      <c r="T1054" s="46"/>
      <c r="U1054" s="46"/>
      <c r="V1054" s="46"/>
      <c r="W1054" s="46"/>
      <c r="X1054" s="46"/>
      <c r="Y1054" s="46"/>
      <c r="Z1054" s="46"/>
      <c r="AA1054" s="46"/>
      <c r="AB1054" s="46"/>
      <c r="AC1054" s="46"/>
      <c r="AD1054" s="46"/>
      <c r="AE1054" s="46"/>
      <c r="AF1054" s="46"/>
      <c r="AG1054" s="46"/>
      <c r="AH1054" s="46"/>
      <c r="AI1054" s="46"/>
      <c r="AJ1054" s="46"/>
      <c r="AK1054" s="46"/>
      <c r="AL1054" s="46"/>
      <c r="AM1054" s="46"/>
      <c r="AN1054" s="46"/>
      <c r="AO1054" s="46"/>
      <c r="AP1054" s="46"/>
      <c r="AQ1054" s="46"/>
      <c r="AR1054" s="46"/>
      <c r="AS1054" s="46"/>
      <c r="AT1054" s="46"/>
      <c r="AU1054" s="46"/>
      <c r="AV1054" s="46"/>
      <c r="AW1054" s="46"/>
      <c r="AX1054" s="46"/>
      <c r="AY1054" s="46"/>
      <c r="AZ1054" s="46"/>
      <c r="BA1054" s="46"/>
      <c r="BB1054" s="46"/>
      <c r="BC1054" s="46"/>
      <c r="BD1054" s="46"/>
      <c r="BE1054" s="46"/>
      <c r="BF1054" s="46"/>
      <c r="BG1054" s="46"/>
      <c r="BH1054" s="46"/>
    </row>
    <row r="1055" spans="1:60" ht="14.25" customHeight="1" x14ac:dyDescent="0.3">
      <c r="A1055" s="46"/>
      <c r="B1055" s="37"/>
      <c r="C1055" s="46"/>
      <c r="D1055" s="46"/>
      <c r="E1055" s="46"/>
      <c r="F1055" s="46"/>
      <c r="G1055" s="46"/>
      <c r="H1055" s="46"/>
      <c r="I1055" s="46"/>
      <c r="J1055" s="46"/>
      <c r="K1055" s="46"/>
      <c r="L1055" s="46"/>
      <c r="M1055" s="46"/>
      <c r="N1055" s="46"/>
      <c r="O1055" s="46"/>
      <c r="P1055" s="46"/>
      <c r="Q1055" s="46"/>
      <c r="R1055" s="46"/>
      <c r="S1055" s="46"/>
      <c r="T1055" s="46"/>
      <c r="U1055" s="46"/>
      <c r="V1055" s="46"/>
      <c r="W1055" s="46"/>
      <c r="X1055" s="46"/>
      <c r="Y1055" s="46"/>
      <c r="Z1055" s="46"/>
      <c r="AA1055" s="46"/>
      <c r="AB1055" s="46"/>
      <c r="AC1055" s="46"/>
      <c r="AD1055" s="46"/>
      <c r="AE1055" s="46"/>
      <c r="AF1055" s="46"/>
      <c r="AG1055" s="46"/>
      <c r="AH1055" s="46"/>
      <c r="AI1055" s="46"/>
      <c r="AJ1055" s="46"/>
      <c r="AK1055" s="46"/>
      <c r="AL1055" s="46"/>
      <c r="AM1055" s="46"/>
      <c r="AN1055" s="46"/>
      <c r="AO1055" s="46"/>
      <c r="AP1055" s="46"/>
      <c r="AQ1055" s="46"/>
      <c r="AR1055" s="46"/>
      <c r="AS1055" s="46"/>
      <c r="AT1055" s="46"/>
      <c r="AU1055" s="46"/>
      <c r="AV1055" s="46"/>
      <c r="AW1055" s="46"/>
      <c r="AX1055" s="46"/>
      <c r="AY1055" s="46"/>
      <c r="AZ1055" s="46"/>
      <c r="BA1055" s="46"/>
      <c r="BB1055" s="46"/>
      <c r="BC1055" s="46"/>
      <c r="BD1055" s="46"/>
      <c r="BE1055" s="46"/>
      <c r="BF1055" s="46"/>
      <c r="BG1055" s="46"/>
      <c r="BH1055" s="46"/>
    </row>
    <row r="1056" spans="1:60" ht="14.25" customHeight="1" x14ac:dyDescent="0.3">
      <c r="A1056" s="46"/>
      <c r="B1056" s="37"/>
      <c r="C1056" s="46"/>
      <c r="D1056" s="46"/>
      <c r="E1056" s="46"/>
      <c r="F1056" s="46"/>
      <c r="G1056" s="46"/>
      <c r="H1056" s="46"/>
      <c r="I1056" s="46"/>
      <c r="J1056" s="46"/>
      <c r="K1056" s="46"/>
      <c r="L1056" s="46"/>
      <c r="M1056" s="46"/>
      <c r="N1056" s="46"/>
      <c r="O1056" s="46"/>
      <c r="P1056" s="46"/>
      <c r="Q1056" s="46"/>
      <c r="R1056" s="46"/>
      <c r="S1056" s="46"/>
      <c r="T1056" s="46"/>
      <c r="U1056" s="46"/>
      <c r="V1056" s="46"/>
      <c r="W1056" s="46"/>
      <c r="X1056" s="46"/>
      <c r="Y1056" s="46"/>
      <c r="Z1056" s="46"/>
      <c r="AA1056" s="46"/>
      <c r="AB1056" s="46"/>
      <c r="AC1056" s="46"/>
      <c r="AD1056" s="46"/>
      <c r="AE1056" s="46"/>
      <c r="AF1056" s="46"/>
      <c r="AG1056" s="46"/>
      <c r="AH1056" s="46"/>
      <c r="AI1056" s="46"/>
      <c r="AJ1056" s="46"/>
      <c r="AK1056" s="46"/>
      <c r="AL1056" s="46"/>
      <c r="AM1056" s="46"/>
      <c r="AN1056" s="46"/>
      <c r="AO1056" s="46"/>
      <c r="AP1056" s="46"/>
      <c r="AQ1056" s="46"/>
      <c r="AR1056" s="46"/>
      <c r="AS1056" s="46"/>
      <c r="AT1056" s="46"/>
      <c r="AU1056" s="46"/>
      <c r="AV1056" s="46"/>
      <c r="AW1056" s="46"/>
      <c r="AX1056" s="46"/>
      <c r="AY1056" s="46"/>
      <c r="AZ1056" s="46"/>
      <c r="BA1056" s="46"/>
      <c r="BB1056" s="46"/>
      <c r="BC1056" s="46"/>
      <c r="BD1056" s="46"/>
      <c r="BE1056" s="46"/>
      <c r="BF1056" s="46"/>
      <c r="BG1056" s="46"/>
      <c r="BH1056" s="46"/>
    </row>
    <row r="1057" spans="1:60" ht="14.25" customHeight="1" x14ac:dyDescent="0.3">
      <c r="A1057" s="46"/>
      <c r="B1057" s="37"/>
      <c r="C1057" s="46"/>
      <c r="D1057" s="46"/>
      <c r="E1057" s="46"/>
      <c r="F1057" s="46"/>
      <c r="G1057" s="46"/>
      <c r="H1057" s="46"/>
      <c r="I1057" s="46"/>
      <c r="J1057" s="46"/>
      <c r="K1057" s="46"/>
      <c r="L1057" s="46"/>
      <c r="M1057" s="46"/>
      <c r="N1057" s="46"/>
      <c r="O1057" s="46"/>
      <c r="P1057" s="46"/>
      <c r="Q1057" s="46"/>
      <c r="R1057" s="46"/>
      <c r="S1057" s="46"/>
      <c r="T1057" s="46"/>
      <c r="U1057" s="46"/>
      <c r="V1057" s="46"/>
      <c r="W1057" s="46"/>
      <c r="X1057" s="46"/>
      <c r="Y1057" s="46"/>
      <c r="Z1057" s="46"/>
      <c r="AA1057" s="46"/>
      <c r="AB1057" s="46"/>
      <c r="AC1057" s="46"/>
      <c r="AD1057" s="46"/>
      <c r="AE1057" s="46"/>
      <c r="AF1057" s="46"/>
      <c r="AG1057" s="46"/>
      <c r="AH1057" s="46"/>
      <c r="AI1057" s="46"/>
      <c r="AJ1057" s="46"/>
      <c r="AK1057" s="46"/>
      <c r="AL1057" s="46"/>
      <c r="AM1057" s="46"/>
      <c r="AN1057" s="46"/>
      <c r="AO1057" s="46"/>
      <c r="AP1057" s="46"/>
      <c r="AQ1057" s="46"/>
      <c r="AR1057" s="46"/>
      <c r="AS1057" s="46"/>
      <c r="AT1057" s="46"/>
      <c r="AU1057" s="46"/>
      <c r="AV1057" s="46"/>
      <c r="AW1057" s="46"/>
      <c r="AX1057" s="46"/>
      <c r="AY1057" s="46"/>
      <c r="AZ1057" s="46"/>
      <c r="BA1057" s="46"/>
      <c r="BB1057" s="46"/>
      <c r="BC1057" s="46"/>
      <c r="BD1057" s="46"/>
      <c r="BE1057" s="46"/>
      <c r="BF1057" s="46"/>
      <c r="BG1057" s="46"/>
      <c r="BH1057" s="46"/>
    </row>
    <row r="1058" spans="1:60" ht="14.25" customHeight="1" x14ac:dyDescent="0.3">
      <c r="A1058" s="46"/>
      <c r="B1058" s="37"/>
      <c r="C1058" s="46"/>
      <c r="D1058" s="46"/>
      <c r="E1058" s="46"/>
      <c r="F1058" s="46"/>
      <c r="G1058" s="46"/>
      <c r="H1058" s="46"/>
      <c r="I1058" s="46"/>
      <c r="J1058" s="46"/>
      <c r="K1058" s="46"/>
      <c r="L1058" s="46"/>
      <c r="M1058" s="46"/>
      <c r="N1058" s="46"/>
      <c r="O1058" s="46"/>
      <c r="P1058" s="46"/>
      <c r="Q1058" s="46"/>
      <c r="R1058" s="46"/>
      <c r="S1058" s="46"/>
      <c r="T1058" s="46"/>
      <c r="U1058" s="46"/>
      <c r="V1058" s="46"/>
      <c r="W1058" s="46"/>
      <c r="X1058" s="46"/>
      <c r="Y1058" s="46"/>
      <c r="Z1058" s="46"/>
      <c r="AA1058" s="46"/>
      <c r="AB1058" s="46"/>
      <c r="AC1058" s="46"/>
      <c r="AD1058" s="46"/>
      <c r="AE1058" s="46"/>
      <c r="AF1058" s="46"/>
      <c r="AG1058" s="46"/>
      <c r="AH1058" s="46"/>
      <c r="AI1058" s="46"/>
      <c r="AJ1058" s="46"/>
      <c r="AK1058" s="46"/>
      <c r="AL1058" s="46"/>
      <c r="AM1058" s="46"/>
      <c r="AN1058" s="46"/>
      <c r="AO1058" s="46"/>
      <c r="AP1058" s="46"/>
      <c r="AQ1058" s="46"/>
      <c r="AR1058" s="46"/>
      <c r="AS1058" s="46"/>
      <c r="AT1058" s="46"/>
      <c r="AU1058" s="46"/>
      <c r="AV1058" s="46"/>
      <c r="AW1058" s="46"/>
      <c r="AX1058" s="46"/>
      <c r="AY1058" s="46"/>
      <c r="AZ1058" s="46"/>
      <c r="BA1058" s="46"/>
      <c r="BB1058" s="46"/>
      <c r="BC1058" s="46"/>
      <c r="BD1058" s="46"/>
      <c r="BE1058" s="46"/>
      <c r="BF1058" s="46"/>
      <c r="BG1058" s="46"/>
      <c r="BH1058" s="46"/>
    </row>
    <row r="1059" spans="1:60" ht="14.25" customHeight="1" x14ac:dyDescent="0.3">
      <c r="A1059" s="46"/>
      <c r="B1059" s="37"/>
      <c r="C1059" s="46"/>
      <c r="D1059" s="46"/>
      <c r="E1059" s="46"/>
      <c r="F1059" s="46"/>
      <c r="G1059" s="46"/>
      <c r="H1059" s="46"/>
      <c r="I1059" s="46"/>
      <c r="J1059" s="46"/>
      <c r="K1059" s="46"/>
      <c r="L1059" s="46"/>
      <c r="M1059" s="46"/>
      <c r="N1059" s="46"/>
      <c r="O1059" s="46"/>
      <c r="P1059" s="46"/>
      <c r="Q1059" s="46"/>
      <c r="R1059" s="46"/>
      <c r="S1059" s="46"/>
      <c r="T1059" s="46"/>
      <c r="U1059" s="46"/>
      <c r="V1059" s="46"/>
      <c r="W1059" s="46"/>
      <c r="X1059" s="46"/>
      <c r="Y1059" s="46"/>
      <c r="Z1059" s="46"/>
      <c r="AA1059" s="46"/>
      <c r="AB1059" s="46"/>
      <c r="AC1059" s="46"/>
      <c r="AD1059" s="46"/>
      <c r="AE1059" s="46"/>
      <c r="AF1059" s="46"/>
      <c r="AG1059" s="46"/>
      <c r="AH1059" s="46"/>
      <c r="AI1059" s="46"/>
      <c r="AJ1059" s="46"/>
      <c r="AK1059" s="46"/>
      <c r="AL1059" s="46"/>
      <c r="AM1059" s="46"/>
      <c r="AN1059" s="46"/>
      <c r="AO1059" s="46"/>
      <c r="AP1059" s="46"/>
      <c r="AQ1059" s="46"/>
      <c r="AR1059" s="46"/>
      <c r="AS1059" s="46"/>
      <c r="AT1059" s="46"/>
      <c r="AU1059" s="46"/>
      <c r="AV1059" s="46"/>
      <c r="AW1059" s="46"/>
      <c r="AX1059" s="46"/>
      <c r="AY1059" s="46"/>
      <c r="AZ1059" s="46"/>
      <c r="BA1059" s="46"/>
      <c r="BB1059" s="46"/>
      <c r="BC1059" s="46"/>
      <c r="BD1059" s="46"/>
      <c r="BE1059" s="46"/>
      <c r="BF1059" s="46"/>
      <c r="BG1059" s="46"/>
      <c r="BH1059" s="46"/>
    </row>
    <row r="1060" spans="1:60" ht="14.25" customHeight="1" x14ac:dyDescent="0.3">
      <c r="A1060" s="46"/>
      <c r="B1060" s="37"/>
      <c r="C1060" s="46"/>
      <c r="D1060" s="46"/>
      <c r="E1060" s="46"/>
      <c r="F1060" s="46"/>
      <c r="G1060" s="46"/>
      <c r="H1060" s="46"/>
      <c r="I1060" s="46"/>
      <c r="J1060" s="46"/>
      <c r="K1060" s="46"/>
      <c r="L1060" s="46"/>
      <c r="M1060" s="46"/>
      <c r="N1060" s="46"/>
      <c r="O1060" s="46"/>
      <c r="P1060" s="46"/>
      <c r="Q1060" s="46"/>
      <c r="R1060" s="46"/>
      <c r="S1060" s="46"/>
      <c r="T1060" s="46"/>
      <c r="U1060" s="46"/>
      <c r="V1060" s="46"/>
      <c r="W1060" s="46"/>
      <c r="X1060" s="46"/>
      <c r="Y1060" s="46"/>
      <c r="Z1060" s="46"/>
      <c r="AA1060" s="46"/>
      <c r="AB1060" s="46"/>
      <c r="AC1060" s="46"/>
      <c r="AD1060" s="46"/>
      <c r="AE1060" s="46"/>
      <c r="AF1060" s="46"/>
      <c r="AG1060" s="46"/>
      <c r="AH1060" s="46"/>
      <c r="AI1060" s="46"/>
      <c r="AJ1060" s="46"/>
      <c r="AK1060" s="46"/>
      <c r="AL1060" s="46"/>
      <c r="AM1060" s="46"/>
      <c r="AN1060" s="46"/>
      <c r="AO1060" s="46"/>
      <c r="AP1060" s="46"/>
      <c r="AQ1060" s="46"/>
      <c r="AR1060" s="46"/>
      <c r="AS1060" s="46"/>
      <c r="AT1060" s="46"/>
      <c r="AU1060" s="46"/>
      <c r="AV1060" s="46"/>
      <c r="AW1060" s="46"/>
      <c r="AX1060" s="46"/>
      <c r="AY1060" s="46"/>
      <c r="AZ1060" s="46"/>
      <c r="BA1060" s="46"/>
      <c r="BB1060" s="46"/>
      <c r="BC1060" s="46"/>
      <c r="BD1060" s="46"/>
      <c r="BE1060" s="46"/>
      <c r="BF1060" s="46"/>
      <c r="BG1060" s="46"/>
      <c r="BH1060" s="46"/>
    </row>
    <row r="1061" spans="1:60" ht="14.25" customHeight="1" x14ac:dyDescent="0.3">
      <c r="A1061" s="46"/>
      <c r="B1061" s="37"/>
      <c r="C1061" s="46"/>
      <c r="D1061" s="46"/>
      <c r="E1061" s="46"/>
      <c r="F1061" s="46"/>
      <c r="G1061" s="46"/>
      <c r="H1061" s="46"/>
      <c r="I1061" s="46"/>
      <c r="J1061" s="46"/>
      <c r="K1061" s="46"/>
      <c r="L1061" s="46"/>
      <c r="M1061" s="46"/>
      <c r="N1061" s="46"/>
      <c r="O1061" s="46"/>
      <c r="P1061" s="46"/>
      <c r="Q1061" s="46"/>
      <c r="R1061" s="46"/>
      <c r="S1061" s="46"/>
      <c r="T1061" s="46"/>
      <c r="U1061" s="46"/>
      <c r="V1061" s="46"/>
      <c r="W1061" s="46"/>
      <c r="X1061" s="46"/>
      <c r="Y1061" s="46"/>
      <c r="Z1061" s="46"/>
      <c r="AA1061" s="46"/>
      <c r="AB1061" s="46"/>
      <c r="AC1061" s="46"/>
      <c r="AD1061" s="46"/>
      <c r="AE1061" s="46"/>
      <c r="AF1061" s="46"/>
      <c r="AG1061" s="46"/>
      <c r="AH1061" s="46"/>
      <c r="AI1061" s="46"/>
      <c r="AJ1061" s="46"/>
      <c r="AK1061" s="46"/>
      <c r="AL1061" s="46"/>
      <c r="AM1061" s="46"/>
      <c r="AN1061" s="46"/>
      <c r="AO1061" s="46"/>
      <c r="AP1061" s="46"/>
      <c r="AQ1061" s="46"/>
      <c r="AR1061" s="46"/>
      <c r="AS1061" s="46"/>
      <c r="AT1061" s="46"/>
      <c r="AU1061" s="46"/>
      <c r="AV1061" s="46"/>
      <c r="AW1061" s="46"/>
      <c r="AX1061" s="46"/>
      <c r="AY1061" s="46"/>
      <c r="AZ1061" s="46"/>
      <c r="BA1061" s="46"/>
      <c r="BB1061" s="46"/>
      <c r="BC1061" s="46"/>
      <c r="BD1061" s="46"/>
      <c r="BE1061" s="46"/>
      <c r="BF1061" s="46"/>
      <c r="BG1061" s="46"/>
      <c r="BH1061" s="46"/>
    </row>
    <row r="1062" spans="1:60" ht="14.25" customHeight="1" x14ac:dyDescent="0.3">
      <c r="A1062" s="46"/>
      <c r="B1062" s="37"/>
      <c r="C1062" s="46"/>
      <c r="D1062" s="46"/>
      <c r="E1062" s="46"/>
      <c r="F1062" s="46"/>
      <c r="G1062" s="46"/>
      <c r="H1062" s="46"/>
      <c r="I1062" s="46"/>
      <c r="J1062" s="46"/>
      <c r="K1062" s="46"/>
      <c r="L1062" s="46"/>
      <c r="M1062" s="46"/>
      <c r="N1062" s="46"/>
      <c r="O1062" s="46"/>
      <c r="P1062" s="46"/>
      <c r="Q1062" s="46"/>
      <c r="R1062" s="46"/>
      <c r="S1062" s="46"/>
      <c r="T1062" s="46"/>
      <c r="U1062" s="46"/>
      <c r="V1062" s="46"/>
      <c r="W1062" s="46"/>
      <c r="X1062" s="46"/>
      <c r="Y1062" s="46"/>
      <c r="Z1062" s="46"/>
      <c r="AA1062" s="46"/>
      <c r="AB1062" s="46"/>
      <c r="AC1062" s="46"/>
      <c r="AD1062" s="46"/>
      <c r="AE1062" s="46"/>
      <c r="AF1062" s="46"/>
      <c r="AG1062" s="46"/>
      <c r="AH1062" s="46"/>
      <c r="AI1062" s="46"/>
      <c r="AJ1062" s="46"/>
      <c r="AK1062" s="46"/>
      <c r="AL1062" s="46"/>
      <c r="AM1062" s="46"/>
      <c r="AN1062" s="46"/>
      <c r="AO1062" s="46"/>
      <c r="AP1062" s="46"/>
      <c r="AQ1062" s="46"/>
      <c r="AR1062" s="46"/>
      <c r="AS1062" s="46"/>
      <c r="AT1062" s="46"/>
      <c r="AU1062" s="46"/>
      <c r="AV1062" s="46"/>
      <c r="AW1062" s="46"/>
      <c r="AX1062" s="46"/>
      <c r="AY1062" s="46"/>
      <c r="AZ1062" s="46"/>
      <c r="BA1062" s="46"/>
      <c r="BB1062" s="46"/>
      <c r="BC1062" s="46"/>
      <c r="BD1062" s="46"/>
      <c r="BE1062" s="46"/>
      <c r="BF1062" s="46"/>
      <c r="BG1062" s="46"/>
      <c r="BH1062" s="46"/>
    </row>
    <row r="1063" spans="1:60" ht="14.25" customHeight="1" x14ac:dyDescent="0.3">
      <c r="A1063" s="46"/>
      <c r="B1063" s="37"/>
      <c r="C1063" s="46"/>
      <c r="D1063" s="46"/>
      <c r="E1063" s="46"/>
      <c r="F1063" s="46"/>
      <c r="G1063" s="46"/>
      <c r="H1063" s="46"/>
      <c r="I1063" s="46"/>
      <c r="J1063" s="46"/>
      <c r="K1063" s="46"/>
      <c r="L1063" s="46"/>
      <c r="M1063" s="46"/>
      <c r="N1063" s="46"/>
      <c r="O1063" s="46"/>
      <c r="P1063" s="46"/>
      <c r="Q1063" s="46"/>
      <c r="R1063" s="46"/>
      <c r="S1063" s="46"/>
      <c r="T1063" s="46"/>
      <c r="U1063" s="46"/>
      <c r="V1063" s="46"/>
      <c r="W1063" s="46"/>
      <c r="X1063" s="46"/>
      <c r="Y1063" s="46"/>
      <c r="Z1063" s="46"/>
      <c r="AA1063" s="46"/>
      <c r="AB1063" s="46"/>
      <c r="AC1063" s="46"/>
      <c r="AD1063" s="46"/>
      <c r="AE1063" s="46"/>
      <c r="AF1063" s="46"/>
      <c r="AG1063" s="46"/>
      <c r="AH1063" s="46"/>
      <c r="AI1063" s="46"/>
      <c r="AJ1063" s="46"/>
      <c r="AK1063" s="46"/>
      <c r="AL1063" s="46"/>
      <c r="AM1063" s="46"/>
      <c r="AN1063" s="46"/>
      <c r="AO1063" s="46"/>
      <c r="AP1063" s="46"/>
      <c r="AQ1063" s="46"/>
      <c r="AR1063" s="46"/>
      <c r="AS1063" s="46"/>
      <c r="AT1063" s="46"/>
      <c r="AU1063" s="46"/>
      <c r="AV1063" s="46"/>
      <c r="AW1063" s="46"/>
      <c r="AX1063" s="46"/>
      <c r="AY1063" s="46"/>
      <c r="AZ1063" s="46"/>
      <c r="BA1063" s="46"/>
      <c r="BB1063" s="46"/>
      <c r="BC1063" s="46"/>
      <c r="BD1063" s="46"/>
      <c r="BE1063" s="46"/>
      <c r="BF1063" s="46"/>
      <c r="BG1063" s="46"/>
      <c r="BH1063" s="46"/>
    </row>
    <row r="1064" spans="1:60" ht="14.25" customHeight="1" x14ac:dyDescent="0.3">
      <c r="A1064" s="46"/>
      <c r="B1064" s="37"/>
      <c r="C1064" s="46"/>
      <c r="D1064" s="46"/>
      <c r="E1064" s="46"/>
      <c r="F1064" s="46"/>
      <c r="G1064" s="46"/>
      <c r="H1064" s="46"/>
      <c r="I1064" s="46"/>
      <c r="J1064" s="46"/>
      <c r="K1064" s="46"/>
      <c r="L1064" s="46"/>
      <c r="M1064" s="46"/>
      <c r="N1064" s="46"/>
      <c r="O1064" s="46"/>
      <c r="P1064" s="46"/>
      <c r="Q1064" s="46"/>
      <c r="R1064" s="46"/>
      <c r="S1064" s="46"/>
      <c r="T1064" s="46"/>
      <c r="U1064" s="46"/>
      <c r="V1064" s="46"/>
      <c r="W1064" s="46"/>
      <c r="X1064" s="46"/>
      <c r="Y1064" s="46"/>
      <c r="Z1064" s="46"/>
      <c r="AA1064" s="46"/>
      <c r="AB1064" s="46"/>
      <c r="AC1064" s="46"/>
      <c r="AD1064" s="46"/>
      <c r="AE1064" s="46"/>
      <c r="AF1064" s="46"/>
      <c r="AG1064" s="46"/>
      <c r="AH1064" s="46"/>
      <c r="AI1064" s="46"/>
      <c r="AJ1064" s="46"/>
      <c r="AK1064" s="46"/>
      <c r="AL1064" s="46"/>
      <c r="AM1064" s="46"/>
      <c r="AN1064" s="46"/>
      <c r="AO1064" s="46"/>
      <c r="AP1064" s="46"/>
      <c r="AQ1064" s="46"/>
      <c r="AR1064" s="46"/>
      <c r="AS1064" s="46"/>
      <c r="AT1064" s="46"/>
      <c r="AU1064" s="46"/>
      <c r="AV1064" s="46"/>
      <c r="AW1064" s="46"/>
      <c r="AX1064" s="46"/>
      <c r="AY1064" s="46"/>
      <c r="AZ1064" s="46"/>
      <c r="BA1064" s="46"/>
      <c r="BB1064" s="46"/>
      <c r="BC1064" s="46"/>
      <c r="BD1064" s="46"/>
      <c r="BE1064" s="46"/>
      <c r="BF1064" s="46"/>
      <c r="BG1064" s="46"/>
      <c r="BH1064" s="46"/>
    </row>
    <row r="1065" spans="1:60" ht="14.25" customHeight="1" x14ac:dyDescent="0.3">
      <c r="A1065" s="46"/>
      <c r="B1065" s="37"/>
      <c r="C1065" s="46"/>
      <c r="D1065" s="46"/>
      <c r="E1065" s="46"/>
      <c r="F1065" s="46"/>
      <c r="G1065" s="46"/>
      <c r="H1065" s="46"/>
      <c r="I1065" s="46"/>
      <c r="J1065" s="46"/>
      <c r="K1065" s="46"/>
      <c r="L1065" s="46"/>
      <c r="M1065" s="46"/>
      <c r="N1065" s="46"/>
      <c r="O1065" s="46"/>
      <c r="P1065" s="46"/>
      <c r="Q1065" s="46"/>
      <c r="R1065" s="46"/>
      <c r="S1065" s="46"/>
      <c r="T1065" s="46"/>
      <c r="U1065" s="46"/>
      <c r="V1065" s="46"/>
      <c r="W1065" s="46"/>
      <c r="X1065" s="46"/>
      <c r="Y1065" s="46"/>
      <c r="Z1065" s="46"/>
      <c r="AA1065" s="46"/>
      <c r="AB1065" s="46"/>
      <c r="AC1065" s="46"/>
      <c r="AD1065" s="46"/>
      <c r="AE1065" s="46"/>
      <c r="AF1065" s="46"/>
      <c r="AG1065" s="46"/>
      <c r="AH1065" s="46"/>
      <c r="AI1065" s="46"/>
      <c r="AJ1065" s="46"/>
      <c r="AK1065" s="46"/>
      <c r="AL1065" s="46"/>
      <c r="AM1065" s="46"/>
      <c r="AN1065" s="46"/>
      <c r="AO1065" s="46"/>
      <c r="AP1065" s="46"/>
      <c r="AQ1065" s="46"/>
      <c r="AR1065" s="46"/>
      <c r="AS1065" s="46"/>
      <c r="AT1065" s="46"/>
      <c r="AU1065" s="46"/>
      <c r="AV1065" s="46"/>
      <c r="AW1065" s="46"/>
      <c r="AX1065" s="46"/>
      <c r="AY1065" s="46"/>
      <c r="AZ1065" s="46"/>
      <c r="BA1065" s="46"/>
      <c r="BB1065" s="46"/>
      <c r="BC1065" s="46"/>
      <c r="BD1065" s="46"/>
      <c r="BE1065" s="46"/>
      <c r="BF1065" s="46"/>
      <c r="BG1065" s="46"/>
      <c r="BH1065" s="46"/>
    </row>
    <row r="1066" spans="1:60" ht="14.25" customHeight="1" x14ac:dyDescent="0.3">
      <c r="A1066" s="46"/>
      <c r="B1066" s="37"/>
      <c r="C1066" s="46"/>
      <c r="D1066" s="46"/>
      <c r="E1066" s="46"/>
      <c r="F1066" s="46"/>
      <c r="G1066" s="46"/>
      <c r="H1066" s="46"/>
      <c r="I1066" s="46"/>
      <c r="J1066" s="46"/>
      <c r="K1066" s="46"/>
      <c r="L1066" s="46"/>
      <c r="M1066" s="46"/>
      <c r="N1066" s="46"/>
      <c r="O1066" s="46"/>
      <c r="P1066" s="46"/>
      <c r="Q1066" s="46"/>
      <c r="R1066" s="46"/>
      <c r="S1066" s="46"/>
      <c r="T1066" s="46"/>
      <c r="U1066" s="46"/>
      <c r="V1066" s="46"/>
      <c r="W1066" s="46"/>
      <c r="X1066" s="46"/>
      <c r="Y1066" s="46"/>
      <c r="Z1066" s="46"/>
      <c r="AA1066" s="46"/>
      <c r="AB1066" s="46"/>
      <c r="AC1066" s="46"/>
      <c r="AD1066" s="46"/>
      <c r="AE1066" s="46"/>
      <c r="AF1066" s="46"/>
      <c r="AG1066" s="46"/>
      <c r="AH1066" s="46"/>
      <c r="AI1066" s="46"/>
      <c r="AJ1066" s="46"/>
      <c r="AK1066" s="46"/>
      <c r="AL1066" s="46"/>
      <c r="AM1066" s="46"/>
      <c r="AN1066" s="46"/>
      <c r="AO1066" s="46"/>
      <c r="AP1066" s="46"/>
      <c r="AQ1066" s="46"/>
      <c r="AR1066" s="46"/>
      <c r="AS1066" s="46"/>
      <c r="AT1066" s="46"/>
      <c r="AU1066" s="46"/>
      <c r="AV1066" s="46"/>
      <c r="AW1066" s="46"/>
      <c r="AX1066" s="46"/>
      <c r="AY1066" s="46"/>
      <c r="AZ1066" s="46"/>
      <c r="BA1066" s="46"/>
      <c r="BB1066" s="46"/>
      <c r="BC1066" s="46"/>
      <c r="BD1066" s="46"/>
      <c r="BE1066" s="46"/>
      <c r="BF1066" s="46"/>
      <c r="BG1066" s="46"/>
      <c r="BH1066" s="46"/>
    </row>
    <row r="1067" spans="1:60" ht="14.25" customHeight="1" x14ac:dyDescent="0.3">
      <c r="A1067" s="46"/>
      <c r="B1067" s="37"/>
      <c r="C1067" s="46"/>
      <c r="D1067" s="46"/>
      <c r="E1067" s="46"/>
      <c r="F1067" s="46"/>
      <c r="G1067" s="46"/>
      <c r="H1067" s="46"/>
      <c r="I1067" s="46"/>
      <c r="J1067" s="46"/>
      <c r="K1067" s="46"/>
      <c r="L1067" s="46"/>
      <c r="M1067" s="46"/>
      <c r="N1067" s="46"/>
      <c r="O1067" s="46"/>
      <c r="P1067" s="46"/>
      <c r="Q1067" s="46"/>
      <c r="R1067" s="46"/>
      <c r="S1067" s="46"/>
      <c r="T1067" s="46"/>
      <c r="U1067" s="46"/>
      <c r="V1067" s="46"/>
      <c r="W1067" s="46"/>
      <c r="X1067" s="46"/>
      <c r="Y1067" s="46"/>
      <c r="Z1067" s="46"/>
      <c r="AA1067" s="46"/>
      <c r="AB1067" s="46"/>
      <c r="AC1067" s="46"/>
      <c r="AD1067" s="46"/>
      <c r="AE1067" s="46"/>
      <c r="AF1067" s="46"/>
      <c r="AG1067" s="46"/>
      <c r="AH1067" s="46"/>
      <c r="AI1067" s="46"/>
      <c r="AJ1067" s="46"/>
      <c r="AK1067" s="46"/>
      <c r="AL1067" s="46"/>
      <c r="AM1067" s="46"/>
      <c r="AN1067" s="46"/>
      <c r="AO1067" s="46"/>
      <c r="AP1067" s="46"/>
      <c r="AQ1067" s="46"/>
      <c r="AR1067" s="46"/>
      <c r="AS1067" s="46"/>
      <c r="AT1067" s="46"/>
      <c r="AU1067" s="46"/>
      <c r="AV1067" s="46"/>
      <c r="AW1067" s="46"/>
      <c r="AX1067" s="46"/>
      <c r="AY1067" s="46"/>
      <c r="AZ1067" s="46"/>
      <c r="BA1067" s="46"/>
      <c r="BB1067" s="46"/>
      <c r="BC1067" s="46"/>
      <c r="BD1067" s="46"/>
      <c r="BE1067" s="46"/>
      <c r="BF1067" s="46"/>
      <c r="BG1067" s="46"/>
      <c r="BH1067" s="46"/>
    </row>
    <row r="1068" spans="1:60" ht="14.25" customHeight="1" x14ac:dyDescent="0.3">
      <c r="A1068" s="46"/>
      <c r="B1068" s="37"/>
      <c r="C1068" s="46"/>
      <c r="D1068" s="46"/>
      <c r="E1068" s="46"/>
      <c r="F1068" s="46"/>
      <c r="G1068" s="46"/>
      <c r="H1068" s="46"/>
      <c r="I1068" s="46"/>
      <c r="J1068" s="46"/>
      <c r="K1068" s="46"/>
      <c r="L1068" s="46"/>
      <c r="M1068" s="46"/>
      <c r="N1068" s="46"/>
      <c r="O1068" s="46"/>
      <c r="P1068" s="46"/>
      <c r="Q1068" s="46"/>
      <c r="R1068" s="46"/>
      <c r="S1068" s="46"/>
      <c r="T1068" s="46"/>
      <c r="U1068" s="46"/>
      <c r="V1068" s="46"/>
      <c r="W1068" s="46"/>
      <c r="X1068" s="46"/>
      <c r="Y1068" s="46"/>
      <c r="Z1068" s="46"/>
      <c r="AA1068" s="46"/>
      <c r="AB1068" s="46"/>
      <c r="AC1068" s="46"/>
      <c r="AD1068" s="46"/>
      <c r="AE1068" s="46"/>
      <c r="AF1068" s="46"/>
      <c r="AG1068" s="46"/>
      <c r="AH1068" s="46"/>
      <c r="AI1068" s="46"/>
      <c r="AJ1068" s="46"/>
      <c r="AK1068" s="46"/>
      <c r="AL1068" s="46"/>
      <c r="AM1068" s="46"/>
      <c r="AN1068" s="46"/>
      <c r="AO1068" s="46"/>
      <c r="AP1068" s="46"/>
      <c r="AQ1068" s="46"/>
      <c r="AR1068" s="46"/>
      <c r="AS1068" s="46"/>
      <c r="AT1068" s="46"/>
      <c r="AU1068" s="46"/>
      <c r="AV1068" s="46"/>
      <c r="AW1068" s="46"/>
      <c r="AX1068" s="46"/>
      <c r="AY1068" s="46"/>
      <c r="AZ1068" s="46"/>
      <c r="BA1068" s="46"/>
      <c r="BB1068" s="46"/>
      <c r="BC1068" s="46"/>
      <c r="BD1068" s="46"/>
      <c r="BE1068" s="46"/>
      <c r="BF1068" s="46"/>
      <c r="BG1068" s="46"/>
      <c r="BH1068" s="46"/>
    </row>
    <row r="1069" spans="1:60" ht="14.25" customHeight="1" x14ac:dyDescent="0.3">
      <c r="A1069" s="46"/>
      <c r="B1069" s="37"/>
      <c r="C1069" s="46"/>
      <c r="D1069" s="46"/>
      <c r="E1069" s="46"/>
      <c r="F1069" s="46"/>
      <c r="G1069" s="46"/>
      <c r="H1069" s="46"/>
      <c r="I1069" s="46"/>
      <c r="J1069" s="46"/>
      <c r="K1069" s="46"/>
      <c r="L1069" s="46"/>
      <c r="M1069" s="46"/>
      <c r="N1069" s="46"/>
      <c r="O1069" s="46"/>
      <c r="P1069" s="46"/>
      <c r="Q1069" s="46"/>
      <c r="R1069" s="46"/>
      <c r="S1069" s="46"/>
      <c r="T1069" s="46"/>
      <c r="U1069" s="46"/>
      <c r="V1069" s="46"/>
      <c r="W1069" s="46"/>
      <c r="X1069" s="46"/>
      <c r="Y1069" s="46"/>
      <c r="Z1069" s="46"/>
      <c r="AA1069" s="46"/>
      <c r="AB1069" s="46"/>
      <c r="AC1069" s="46"/>
      <c r="AD1069" s="46"/>
      <c r="AE1069" s="46"/>
      <c r="AF1069" s="46"/>
      <c r="AG1069" s="46"/>
      <c r="AH1069" s="46"/>
      <c r="AI1069" s="46"/>
      <c r="AJ1069" s="46"/>
      <c r="AK1069" s="46"/>
      <c r="AL1069" s="46"/>
      <c r="AM1069" s="46"/>
      <c r="AN1069" s="46"/>
      <c r="AO1069" s="46"/>
      <c r="AP1069" s="46"/>
      <c r="AQ1069" s="46"/>
      <c r="AR1069" s="46"/>
      <c r="AS1069" s="46"/>
      <c r="AT1069" s="46"/>
      <c r="AU1069" s="46"/>
      <c r="AV1069" s="46"/>
      <c r="AW1069" s="46"/>
      <c r="AX1069" s="46"/>
      <c r="AY1069" s="46"/>
      <c r="AZ1069" s="46"/>
      <c r="BA1069" s="46"/>
      <c r="BB1069" s="46"/>
      <c r="BC1069" s="46"/>
      <c r="BD1069" s="46"/>
      <c r="BE1069" s="46"/>
      <c r="BF1069" s="46"/>
      <c r="BG1069" s="46"/>
      <c r="BH1069" s="46"/>
    </row>
    <row r="1070" spans="1:60" ht="14.25" customHeight="1" x14ac:dyDescent="0.3">
      <c r="A1070" s="46"/>
      <c r="B1070" s="37"/>
      <c r="C1070" s="46"/>
      <c r="D1070" s="46"/>
      <c r="E1070" s="46"/>
      <c r="F1070" s="46"/>
      <c r="G1070" s="46"/>
      <c r="H1070" s="46"/>
      <c r="I1070" s="46"/>
      <c r="J1070" s="46"/>
      <c r="K1070" s="46"/>
      <c r="L1070" s="46"/>
      <c r="M1070" s="46"/>
      <c r="N1070" s="46"/>
      <c r="O1070" s="46"/>
      <c r="P1070" s="46"/>
      <c r="Q1070" s="46"/>
      <c r="R1070" s="46"/>
      <c r="S1070" s="46"/>
      <c r="T1070" s="46"/>
      <c r="U1070" s="46"/>
      <c r="V1070" s="46"/>
      <c r="W1070" s="46"/>
      <c r="X1070" s="46"/>
      <c r="Y1070" s="46"/>
      <c r="Z1070" s="46"/>
      <c r="AA1070" s="46"/>
      <c r="AB1070" s="46"/>
      <c r="AC1070" s="46"/>
      <c r="AD1070" s="46"/>
      <c r="AE1070" s="46"/>
      <c r="AF1070" s="46"/>
      <c r="AG1070" s="46"/>
      <c r="AH1070" s="46"/>
      <c r="AI1070" s="46"/>
      <c r="AJ1070" s="46"/>
      <c r="AK1070" s="46"/>
      <c r="AL1070" s="46"/>
      <c r="AM1070" s="46"/>
      <c r="AN1070" s="46"/>
      <c r="AO1070" s="46"/>
      <c r="AP1070" s="46"/>
      <c r="AQ1070" s="46"/>
      <c r="AR1070" s="46"/>
      <c r="AS1070" s="46"/>
      <c r="AT1070" s="46"/>
      <c r="AU1070" s="46"/>
      <c r="AV1070" s="46"/>
      <c r="AW1070" s="46"/>
      <c r="AX1070" s="46"/>
      <c r="AY1070" s="46"/>
      <c r="AZ1070" s="46"/>
      <c r="BA1070" s="46"/>
      <c r="BB1070" s="46"/>
      <c r="BC1070" s="46"/>
      <c r="BD1070" s="46"/>
      <c r="BE1070" s="46"/>
      <c r="BF1070" s="46"/>
      <c r="BG1070" s="46"/>
      <c r="BH1070" s="46"/>
    </row>
    <row r="1071" spans="1:60" ht="14.25" customHeight="1" x14ac:dyDescent="0.3">
      <c r="A1071" s="46"/>
      <c r="B1071" s="37"/>
      <c r="C1071" s="46"/>
      <c r="D1071" s="46"/>
      <c r="E1071" s="46"/>
      <c r="F1071" s="46"/>
      <c r="G1071" s="46"/>
      <c r="H1071" s="46"/>
      <c r="I1071" s="46"/>
      <c r="J1071" s="46"/>
      <c r="K1071" s="46"/>
      <c r="L1071" s="46"/>
      <c r="M1071" s="46"/>
      <c r="N1071" s="46"/>
      <c r="O1071" s="46"/>
      <c r="P1071" s="46"/>
      <c r="Q1071" s="46"/>
      <c r="R1071" s="46"/>
      <c r="S1071" s="46"/>
      <c r="T1071" s="46"/>
      <c r="U1071" s="46"/>
      <c r="V1071" s="46"/>
      <c r="W1071" s="46"/>
      <c r="X1071" s="46"/>
      <c r="Y1071" s="46"/>
      <c r="Z1071" s="46"/>
      <c r="AA1071" s="46"/>
      <c r="AB1071" s="46"/>
      <c r="AC1071" s="46"/>
      <c r="AD1071" s="46"/>
      <c r="AE1071" s="46"/>
      <c r="AF1071" s="46"/>
      <c r="AG1071" s="46"/>
      <c r="AH1071" s="46"/>
      <c r="AI1071" s="46"/>
      <c r="AJ1071" s="46"/>
      <c r="AK1071" s="46"/>
      <c r="AL1071" s="46"/>
      <c r="AM1071" s="46"/>
      <c r="AN1071" s="46"/>
      <c r="AO1071" s="46"/>
      <c r="AP1071" s="46"/>
      <c r="AQ1071" s="46"/>
      <c r="AR1071" s="46"/>
      <c r="AS1071" s="46"/>
      <c r="AT1071" s="46"/>
      <c r="AU1071" s="46"/>
      <c r="AV1071" s="46"/>
      <c r="AW1071" s="46"/>
      <c r="AX1071" s="46"/>
      <c r="AY1071" s="46"/>
      <c r="AZ1071" s="46"/>
      <c r="BA1071" s="46"/>
      <c r="BB1071" s="46"/>
      <c r="BC1071" s="46"/>
      <c r="BD1071" s="46"/>
      <c r="BE1071" s="46"/>
      <c r="BF1071" s="46"/>
      <c r="BG1071" s="46"/>
      <c r="BH1071" s="46"/>
    </row>
    <row r="1072" spans="1:60" ht="14.25" customHeight="1" x14ac:dyDescent="0.3">
      <c r="A1072" s="46"/>
      <c r="B1072" s="37"/>
      <c r="C1072" s="46"/>
      <c r="D1072" s="46"/>
      <c r="E1072" s="46"/>
      <c r="F1072" s="46"/>
      <c r="G1072" s="46"/>
      <c r="H1072" s="46"/>
      <c r="I1072" s="46"/>
      <c r="J1072" s="46"/>
      <c r="K1072" s="46"/>
      <c r="L1072" s="46"/>
      <c r="M1072" s="46"/>
      <c r="N1072" s="46"/>
      <c r="O1072" s="46"/>
      <c r="P1072" s="46"/>
      <c r="Q1072" s="46"/>
      <c r="R1072" s="46"/>
      <c r="S1072" s="46"/>
      <c r="T1072" s="46"/>
      <c r="U1072" s="46"/>
      <c r="V1072" s="46"/>
      <c r="W1072" s="46"/>
      <c r="X1072" s="46"/>
      <c r="Y1072" s="46"/>
      <c r="Z1072" s="46"/>
      <c r="AA1072" s="46"/>
      <c r="AB1072" s="46"/>
      <c r="AC1072" s="46"/>
      <c r="AD1072" s="46"/>
      <c r="AE1072" s="46"/>
      <c r="AF1072" s="46"/>
      <c r="AG1072" s="46"/>
      <c r="AH1072" s="46"/>
      <c r="AI1072" s="46"/>
      <c r="AJ1072" s="46"/>
      <c r="AK1072" s="46"/>
      <c r="AL1072" s="46"/>
      <c r="AM1072" s="46"/>
      <c r="AN1072" s="46"/>
      <c r="AO1072" s="46"/>
      <c r="AP1072" s="46"/>
      <c r="AQ1072" s="46"/>
      <c r="AR1072" s="46"/>
      <c r="AS1072" s="46"/>
      <c r="AT1072" s="46"/>
      <c r="AU1072" s="46"/>
      <c r="AV1072" s="46"/>
      <c r="AW1072" s="46"/>
      <c r="AX1072" s="46"/>
      <c r="AY1072" s="46"/>
      <c r="AZ1072" s="46"/>
      <c r="BA1072" s="46"/>
      <c r="BB1072" s="46"/>
      <c r="BC1072" s="46"/>
      <c r="BD1072" s="46"/>
      <c r="BE1072" s="46"/>
      <c r="BF1072" s="46"/>
      <c r="BG1072" s="46"/>
      <c r="BH1072" s="46"/>
    </row>
    <row r="1073" spans="1:60" ht="14.25" customHeight="1" x14ac:dyDescent="0.3">
      <c r="A1073" s="46"/>
      <c r="B1073" s="37"/>
      <c r="C1073" s="46"/>
      <c r="D1073" s="46"/>
      <c r="E1073" s="46"/>
      <c r="F1073" s="46"/>
      <c r="G1073" s="46"/>
      <c r="H1073" s="46"/>
      <c r="I1073" s="46"/>
      <c r="J1073" s="46"/>
      <c r="K1073" s="46"/>
      <c r="L1073" s="46"/>
      <c r="M1073" s="46"/>
      <c r="N1073" s="46"/>
      <c r="O1073" s="46"/>
      <c r="P1073" s="46"/>
      <c r="Q1073" s="46"/>
      <c r="R1073" s="46"/>
      <c r="S1073" s="46"/>
      <c r="T1073" s="46"/>
      <c r="U1073" s="46"/>
      <c r="V1073" s="46"/>
      <c r="W1073" s="46"/>
      <c r="X1073" s="46"/>
      <c r="Y1073" s="46"/>
      <c r="Z1073" s="46"/>
      <c r="AA1073" s="46"/>
      <c r="AB1073" s="46"/>
      <c r="AC1073" s="46"/>
      <c r="AD1073" s="46"/>
      <c r="AE1073" s="46"/>
      <c r="AF1073" s="46"/>
      <c r="AG1073" s="46"/>
      <c r="AH1073" s="46"/>
      <c r="AI1073" s="46"/>
      <c r="AJ1073" s="46"/>
      <c r="AK1073" s="46"/>
      <c r="AL1073" s="46"/>
      <c r="AM1073" s="46"/>
      <c r="AN1073" s="46"/>
      <c r="AO1073" s="46"/>
      <c r="AP1073" s="46"/>
      <c r="AQ1073" s="46"/>
      <c r="AR1073" s="46"/>
      <c r="AS1073" s="46"/>
      <c r="AT1073" s="46"/>
      <c r="AU1073" s="46"/>
      <c r="AV1073" s="46"/>
      <c r="AW1073" s="46"/>
      <c r="AX1073" s="46"/>
      <c r="AY1073" s="46"/>
      <c r="AZ1073" s="46"/>
      <c r="BA1073" s="46"/>
      <c r="BB1073" s="46"/>
      <c r="BC1073" s="46"/>
      <c r="BD1073" s="46"/>
      <c r="BE1073" s="46"/>
      <c r="BF1073" s="46"/>
      <c r="BG1073" s="46"/>
      <c r="BH1073" s="46"/>
    </row>
    <row r="1074" spans="1:60" ht="14.25" customHeight="1" x14ac:dyDescent="0.3">
      <c r="A1074" s="46"/>
      <c r="B1074" s="37"/>
      <c r="C1074" s="46"/>
      <c r="D1074" s="46"/>
      <c r="E1074" s="46"/>
      <c r="F1074" s="46"/>
      <c r="G1074" s="46"/>
      <c r="H1074" s="46"/>
      <c r="I1074" s="46"/>
      <c r="J1074" s="46"/>
      <c r="K1074" s="46"/>
      <c r="L1074" s="46"/>
      <c r="M1074" s="46"/>
      <c r="N1074" s="46"/>
      <c r="O1074" s="46"/>
      <c r="P1074" s="46"/>
      <c r="Q1074" s="46"/>
      <c r="R1074" s="46"/>
      <c r="S1074" s="46"/>
      <c r="T1074" s="46"/>
      <c r="U1074" s="46"/>
      <c r="V1074" s="46"/>
      <c r="W1074" s="46"/>
      <c r="X1074" s="46"/>
      <c r="Y1074" s="46"/>
      <c r="Z1074" s="46"/>
      <c r="AA1074" s="46"/>
      <c r="AB1074" s="46"/>
      <c r="AC1074" s="46"/>
      <c r="AD1074" s="46"/>
      <c r="AE1074" s="46"/>
      <c r="AF1074" s="46"/>
      <c r="AG1074" s="46"/>
      <c r="AH1074" s="46"/>
      <c r="AI1074" s="46"/>
      <c r="AJ1074" s="46"/>
      <c r="AK1074" s="46"/>
      <c r="AL1074" s="46"/>
      <c r="AM1074" s="46"/>
      <c r="AN1074" s="46"/>
      <c r="AO1074" s="46"/>
      <c r="AP1074" s="46"/>
      <c r="AQ1074" s="46"/>
      <c r="AR1074" s="46"/>
      <c r="AS1074" s="46"/>
      <c r="AT1074" s="46"/>
      <c r="AU1074" s="46"/>
      <c r="AV1074" s="46"/>
      <c r="AW1074" s="46"/>
      <c r="AX1074" s="46"/>
      <c r="AY1074" s="46"/>
      <c r="AZ1074" s="46"/>
      <c r="BA1074" s="46"/>
      <c r="BB1074" s="46"/>
      <c r="BC1074" s="46"/>
      <c r="BD1074" s="46"/>
      <c r="BE1074" s="46"/>
      <c r="BF1074" s="46"/>
      <c r="BG1074" s="46"/>
      <c r="BH1074" s="46"/>
    </row>
    <row r="1075" spans="1:60" ht="14.25" customHeight="1" x14ac:dyDescent="0.3">
      <c r="A1075" s="46"/>
      <c r="B1075" s="37"/>
      <c r="C1075" s="46"/>
      <c r="D1075" s="46"/>
      <c r="E1075" s="46"/>
      <c r="F1075" s="46"/>
      <c r="G1075" s="46"/>
      <c r="H1075" s="46"/>
      <c r="I1075" s="46"/>
      <c r="J1075" s="46"/>
      <c r="K1075" s="46"/>
      <c r="L1075" s="46"/>
      <c r="M1075" s="46"/>
      <c r="N1075" s="46"/>
      <c r="O1075" s="46"/>
      <c r="P1075" s="46"/>
      <c r="Q1075" s="46"/>
      <c r="R1075" s="46"/>
      <c r="S1075" s="46"/>
      <c r="T1075" s="46"/>
      <c r="U1075" s="46"/>
      <c r="V1075" s="46"/>
      <c r="W1075" s="46"/>
      <c r="X1075" s="46"/>
      <c r="Y1075" s="46"/>
      <c r="Z1075" s="46"/>
      <c r="AA1075" s="46"/>
      <c r="AB1075" s="46"/>
      <c r="AC1075" s="46"/>
      <c r="AD1075" s="46"/>
      <c r="AE1075" s="46"/>
      <c r="AF1075" s="46"/>
      <c r="AG1075" s="46"/>
      <c r="AH1075" s="46"/>
      <c r="AI1075" s="46"/>
      <c r="AJ1075" s="46"/>
      <c r="AK1075" s="46"/>
      <c r="AL1075" s="46"/>
      <c r="AM1075" s="46"/>
      <c r="AN1075" s="46"/>
      <c r="AO1075" s="46"/>
      <c r="AP1075" s="46"/>
      <c r="AQ1075" s="46"/>
      <c r="AR1075" s="46"/>
      <c r="AS1075" s="46"/>
      <c r="AT1075" s="46"/>
      <c r="AU1075" s="46"/>
      <c r="AV1075" s="46"/>
      <c r="AW1075" s="46"/>
      <c r="AX1075" s="46"/>
      <c r="AY1075" s="46"/>
      <c r="AZ1075" s="46"/>
      <c r="BA1075" s="46"/>
      <c r="BB1075" s="46"/>
      <c r="BC1075" s="46"/>
      <c r="BD1075" s="46"/>
      <c r="BE1075" s="46"/>
      <c r="BF1075" s="46"/>
      <c r="BG1075" s="46"/>
      <c r="BH1075" s="46"/>
    </row>
    <row r="1076" spans="1:60" ht="14.25" customHeight="1" x14ac:dyDescent="0.3">
      <c r="A1076" s="46"/>
      <c r="B1076" s="37"/>
      <c r="C1076" s="46"/>
      <c r="D1076" s="46"/>
      <c r="E1076" s="46"/>
      <c r="F1076" s="46"/>
      <c r="G1076" s="46"/>
      <c r="H1076" s="46"/>
      <c r="I1076" s="46"/>
      <c r="J1076" s="46"/>
      <c r="K1076" s="46"/>
      <c r="L1076" s="46"/>
      <c r="M1076" s="46"/>
      <c r="N1076" s="46"/>
      <c r="O1076" s="46"/>
      <c r="P1076" s="46"/>
      <c r="Q1076" s="46"/>
      <c r="R1076" s="46"/>
      <c r="S1076" s="46"/>
      <c r="T1076" s="46"/>
      <c r="U1076" s="46"/>
      <c r="V1076" s="46"/>
      <c r="W1076" s="46"/>
      <c r="X1076" s="46"/>
      <c r="Y1076" s="46"/>
      <c r="Z1076" s="46"/>
      <c r="AA1076" s="46"/>
      <c r="AB1076" s="46"/>
      <c r="AC1076" s="46"/>
      <c r="AD1076" s="46"/>
      <c r="AE1076" s="46"/>
      <c r="AF1076" s="46"/>
      <c r="AG1076" s="46"/>
      <c r="AH1076" s="46"/>
      <c r="AI1076" s="46"/>
      <c r="AJ1076" s="46"/>
      <c r="AK1076" s="46"/>
      <c r="AL1076" s="46"/>
      <c r="AM1076" s="46"/>
      <c r="AN1076" s="46"/>
      <c r="AO1076" s="46"/>
      <c r="AP1076" s="46"/>
      <c r="AQ1076" s="46"/>
      <c r="AR1076" s="46"/>
      <c r="AS1076" s="46"/>
      <c r="AT1076" s="46"/>
      <c r="AU1076" s="46"/>
      <c r="AV1076" s="46"/>
      <c r="AW1076" s="46"/>
      <c r="AX1076" s="46"/>
      <c r="AY1076" s="46"/>
      <c r="AZ1076" s="46"/>
      <c r="BA1076" s="46"/>
      <c r="BB1076" s="46"/>
      <c r="BC1076" s="46"/>
      <c r="BD1076" s="46"/>
      <c r="BE1076" s="46"/>
      <c r="BF1076" s="46"/>
      <c r="BG1076" s="46"/>
      <c r="BH1076" s="46"/>
    </row>
    <row r="1077" spans="1:60" ht="14.25" customHeight="1" x14ac:dyDescent="0.3">
      <c r="A1077" s="46"/>
      <c r="B1077" s="37"/>
      <c r="C1077" s="46"/>
      <c r="D1077" s="46"/>
      <c r="E1077" s="46"/>
      <c r="F1077" s="46"/>
      <c r="G1077" s="46"/>
      <c r="H1077" s="46"/>
      <c r="I1077" s="46"/>
      <c r="J1077" s="46"/>
      <c r="K1077" s="46"/>
      <c r="L1077" s="46"/>
      <c r="M1077" s="46"/>
      <c r="N1077" s="46"/>
      <c r="O1077" s="46"/>
      <c r="P1077" s="46"/>
      <c r="Q1077" s="46"/>
      <c r="R1077" s="46"/>
      <c r="S1077" s="46"/>
      <c r="T1077" s="46"/>
      <c r="U1077" s="46"/>
      <c r="V1077" s="46"/>
      <c r="W1077" s="46"/>
      <c r="X1077" s="46"/>
      <c r="Y1077" s="46"/>
      <c r="Z1077" s="46"/>
      <c r="AA1077" s="46"/>
      <c r="AB1077" s="46"/>
      <c r="AC1077" s="46"/>
      <c r="AD1077" s="46"/>
      <c r="AE1077" s="46"/>
      <c r="AF1077" s="46"/>
      <c r="AG1077" s="46"/>
      <c r="AH1077" s="46"/>
      <c r="AI1077" s="46"/>
      <c r="AJ1077" s="46"/>
      <c r="AK1077" s="46"/>
      <c r="AL1077" s="46"/>
      <c r="AM1077" s="46"/>
      <c r="AN1077" s="46"/>
      <c r="AO1077" s="46"/>
      <c r="AP1077" s="46"/>
      <c r="AQ1077" s="46"/>
      <c r="AR1077" s="46"/>
      <c r="AS1077" s="46"/>
      <c r="AT1077" s="46"/>
      <c r="AU1077" s="46"/>
      <c r="AV1077" s="46"/>
      <c r="AW1077" s="46"/>
      <c r="AX1077" s="46"/>
      <c r="AY1077" s="46"/>
      <c r="AZ1077" s="46"/>
      <c r="BA1077" s="46"/>
      <c r="BB1077" s="46"/>
      <c r="BC1077" s="46"/>
      <c r="BD1077" s="46"/>
      <c r="BE1077" s="46"/>
      <c r="BF1077" s="46"/>
      <c r="BG1077" s="46"/>
      <c r="BH1077" s="46"/>
    </row>
    <row r="1078" spans="1:60" ht="14.25" customHeight="1" x14ac:dyDescent="0.3">
      <c r="A1078" s="46"/>
      <c r="B1078" s="37"/>
      <c r="C1078" s="46"/>
      <c r="D1078" s="46"/>
      <c r="E1078" s="46"/>
      <c r="F1078" s="46"/>
      <c r="G1078" s="46"/>
      <c r="H1078" s="46"/>
      <c r="I1078" s="46"/>
      <c r="J1078" s="46"/>
      <c r="K1078" s="46"/>
      <c r="L1078" s="46"/>
      <c r="M1078" s="46"/>
      <c r="N1078" s="46"/>
      <c r="O1078" s="46"/>
      <c r="P1078" s="46"/>
      <c r="Q1078" s="46"/>
      <c r="R1078" s="46"/>
      <c r="S1078" s="46"/>
      <c r="T1078" s="46"/>
      <c r="U1078" s="46"/>
      <c r="V1078" s="46"/>
      <c r="W1078" s="46"/>
      <c r="X1078" s="46"/>
      <c r="Y1078" s="46"/>
      <c r="Z1078" s="46"/>
      <c r="AA1078" s="46"/>
      <c r="AB1078" s="46"/>
      <c r="AC1078" s="46"/>
      <c r="AD1078" s="46"/>
      <c r="AE1078" s="46"/>
      <c r="AF1078" s="46"/>
      <c r="AG1078" s="46"/>
      <c r="AH1078" s="46"/>
      <c r="AI1078" s="46"/>
      <c r="AJ1078" s="46"/>
      <c r="AK1078" s="46"/>
      <c r="AL1078" s="46"/>
      <c r="AM1078" s="46"/>
      <c r="AN1078" s="46"/>
      <c r="AO1078" s="46"/>
      <c r="AP1078" s="46"/>
      <c r="AQ1078" s="46"/>
      <c r="AR1078" s="46"/>
      <c r="AS1078" s="46"/>
      <c r="AT1078" s="46"/>
      <c r="AU1078" s="46"/>
      <c r="AV1078" s="46"/>
      <c r="AW1078" s="46"/>
      <c r="AX1078" s="46"/>
      <c r="AY1078" s="46"/>
      <c r="AZ1078" s="46"/>
      <c r="BA1078" s="46"/>
      <c r="BB1078" s="46"/>
      <c r="BC1078" s="46"/>
      <c r="BD1078" s="46"/>
      <c r="BE1078" s="46"/>
      <c r="BF1078" s="46"/>
      <c r="BG1078" s="46"/>
      <c r="BH1078" s="46"/>
    </row>
    <row r="1079" spans="1:60" ht="14.25" customHeight="1" x14ac:dyDescent="0.3">
      <c r="A1079" s="46"/>
      <c r="B1079" s="37"/>
      <c r="C1079" s="46"/>
      <c r="D1079" s="46"/>
      <c r="E1079" s="46"/>
      <c r="F1079" s="46"/>
      <c r="G1079" s="46"/>
      <c r="H1079" s="46"/>
      <c r="I1079" s="46"/>
      <c r="J1079" s="46"/>
      <c r="K1079" s="46"/>
      <c r="L1079" s="46"/>
      <c r="M1079" s="46"/>
      <c r="N1079" s="46"/>
      <c r="O1079" s="46"/>
      <c r="P1079" s="46"/>
      <c r="Q1079" s="46"/>
      <c r="R1079" s="46"/>
      <c r="S1079" s="46"/>
      <c r="T1079" s="46"/>
      <c r="U1079" s="46"/>
      <c r="V1079" s="46"/>
      <c r="W1079" s="46"/>
      <c r="X1079" s="46"/>
      <c r="Y1079" s="46"/>
      <c r="Z1079" s="46"/>
      <c r="AA1079" s="46"/>
      <c r="AB1079" s="46"/>
      <c r="AC1079" s="46"/>
      <c r="AD1079" s="46"/>
      <c r="AE1079" s="46"/>
      <c r="AF1079" s="46"/>
      <c r="AG1079" s="46"/>
      <c r="AH1079" s="46"/>
      <c r="AI1079" s="46"/>
      <c r="AJ1079" s="46"/>
      <c r="AK1079" s="46"/>
      <c r="AL1079" s="46"/>
      <c r="AM1079" s="46"/>
      <c r="AN1079" s="46"/>
      <c r="AO1079" s="46"/>
      <c r="AP1079" s="46"/>
      <c r="AQ1079" s="46"/>
      <c r="AR1079" s="46"/>
      <c r="AS1079" s="46"/>
      <c r="AT1079" s="46"/>
      <c r="AU1079" s="46"/>
      <c r="AV1079" s="46"/>
      <c r="AW1079" s="46"/>
      <c r="AX1079" s="46"/>
      <c r="AY1079" s="46"/>
      <c r="AZ1079" s="46"/>
      <c r="BA1079" s="46"/>
      <c r="BB1079" s="46"/>
      <c r="BC1079" s="46"/>
      <c r="BD1079" s="46"/>
      <c r="BE1079" s="46"/>
      <c r="BF1079" s="46"/>
      <c r="BG1079" s="46"/>
      <c r="BH1079" s="46"/>
    </row>
    <row r="1080" spans="1:60" ht="14.25" customHeight="1" x14ac:dyDescent="0.3">
      <c r="A1080" s="46"/>
      <c r="B1080" s="37"/>
      <c r="C1080" s="46"/>
      <c r="D1080" s="46"/>
      <c r="E1080" s="46"/>
      <c r="F1080" s="46"/>
      <c r="G1080" s="46"/>
      <c r="H1080" s="46"/>
      <c r="I1080" s="46"/>
      <c r="J1080" s="46"/>
      <c r="K1080" s="46"/>
      <c r="L1080" s="46"/>
      <c r="M1080" s="46"/>
      <c r="N1080" s="46"/>
      <c r="O1080" s="46"/>
      <c r="P1080" s="46"/>
      <c r="Q1080" s="46"/>
      <c r="R1080" s="46"/>
      <c r="S1080" s="46"/>
      <c r="T1080" s="46"/>
      <c r="U1080" s="46"/>
      <c r="V1080" s="46"/>
      <c r="W1080" s="46"/>
      <c r="X1080" s="46"/>
      <c r="Y1080" s="46"/>
      <c r="Z1080" s="46"/>
      <c r="AA1080" s="46"/>
      <c r="AB1080" s="46"/>
      <c r="AC1080" s="46"/>
      <c r="AD1080" s="46"/>
      <c r="AE1080" s="46"/>
      <c r="AF1080" s="46"/>
      <c r="AG1080" s="46"/>
      <c r="AH1080" s="46"/>
      <c r="AI1080" s="46"/>
      <c r="AJ1080" s="46"/>
      <c r="AK1080" s="46"/>
      <c r="AL1080" s="46"/>
      <c r="AM1080" s="46"/>
      <c r="AN1080" s="46"/>
      <c r="AO1080" s="46"/>
      <c r="AP1080" s="46"/>
      <c r="AQ1080" s="46"/>
      <c r="AR1080" s="46"/>
      <c r="AS1080" s="46"/>
      <c r="AT1080" s="46"/>
      <c r="AU1080" s="46"/>
      <c r="AV1080" s="46"/>
      <c r="AW1080" s="46"/>
      <c r="AX1080" s="46"/>
      <c r="AY1080" s="46"/>
      <c r="AZ1080" s="46"/>
      <c r="BA1080" s="46"/>
      <c r="BB1080" s="46"/>
      <c r="BC1080" s="46"/>
      <c r="BD1080" s="46"/>
      <c r="BE1080" s="46"/>
      <c r="BF1080" s="46"/>
      <c r="BG1080" s="46"/>
      <c r="BH1080" s="46"/>
    </row>
    <row r="1081" spans="1:60" ht="14.25" customHeight="1" x14ac:dyDescent="0.3">
      <c r="A1081" s="46"/>
      <c r="B1081" s="37"/>
      <c r="C1081" s="46"/>
      <c r="D1081" s="46"/>
      <c r="E1081" s="46"/>
      <c r="F1081" s="46"/>
      <c r="G1081" s="46"/>
      <c r="H1081" s="46"/>
      <c r="I1081" s="46"/>
      <c r="J1081" s="46"/>
      <c r="K1081" s="46"/>
      <c r="L1081" s="46"/>
      <c r="M1081" s="46"/>
      <c r="N1081" s="46"/>
      <c r="O1081" s="46"/>
      <c r="P1081" s="46"/>
      <c r="Q1081" s="46"/>
      <c r="R1081" s="46"/>
      <c r="S1081" s="46"/>
      <c r="T1081" s="46"/>
      <c r="U1081" s="46"/>
      <c r="V1081" s="46"/>
      <c r="W1081" s="46"/>
      <c r="X1081" s="46"/>
      <c r="Y1081" s="46"/>
      <c r="Z1081" s="46"/>
      <c r="AA1081" s="46"/>
      <c r="AB1081" s="46"/>
      <c r="AC1081" s="46"/>
      <c r="AD1081" s="46"/>
      <c r="AE1081" s="46"/>
      <c r="AF1081" s="46"/>
      <c r="AG1081" s="46"/>
      <c r="AH1081" s="46"/>
      <c r="AI1081" s="46"/>
      <c r="AJ1081" s="46"/>
      <c r="AK1081" s="46"/>
      <c r="AL1081" s="46"/>
      <c r="AM1081" s="46"/>
      <c r="AN1081" s="46"/>
      <c r="AO1081" s="46"/>
      <c r="AP1081" s="46"/>
      <c r="AQ1081" s="46"/>
      <c r="AR1081" s="46"/>
      <c r="AS1081" s="46"/>
      <c r="AT1081" s="46"/>
      <c r="AU1081" s="46"/>
      <c r="AV1081" s="46"/>
      <c r="AW1081" s="46"/>
      <c r="AX1081" s="46"/>
      <c r="AY1081" s="46"/>
      <c r="AZ1081" s="46"/>
      <c r="BA1081" s="46"/>
      <c r="BB1081" s="46"/>
      <c r="BC1081" s="46"/>
      <c r="BD1081" s="46"/>
      <c r="BE1081" s="46"/>
      <c r="BF1081" s="46"/>
      <c r="BG1081" s="46"/>
      <c r="BH1081" s="46"/>
    </row>
    <row r="1082" spans="1:60" ht="14.25" customHeight="1" x14ac:dyDescent="0.3">
      <c r="A1082" s="46"/>
      <c r="B1082" s="37"/>
      <c r="C1082" s="46"/>
      <c r="D1082" s="46"/>
      <c r="E1082" s="46"/>
      <c r="F1082" s="46"/>
      <c r="G1082" s="46"/>
      <c r="H1082" s="46"/>
      <c r="I1082" s="46"/>
      <c r="J1082" s="46"/>
      <c r="K1082" s="46"/>
      <c r="L1082" s="46"/>
      <c r="M1082" s="46"/>
      <c r="N1082" s="46"/>
      <c r="O1082" s="46"/>
      <c r="P1082" s="46"/>
      <c r="Q1082" s="46"/>
      <c r="R1082" s="46"/>
      <c r="S1082" s="46"/>
      <c r="T1082" s="46"/>
      <c r="U1082" s="46"/>
      <c r="V1082" s="46"/>
      <c r="W1082" s="46"/>
      <c r="X1082" s="46"/>
      <c r="Y1082" s="46"/>
      <c r="Z1082" s="46"/>
      <c r="AA1082" s="46"/>
      <c r="AB1082" s="46"/>
      <c r="AC1082" s="46"/>
      <c r="AD1082" s="46"/>
      <c r="AE1082" s="46"/>
      <c r="AF1082" s="46"/>
      <c r="AG1082" s="46"/>
      <c r="AH1082" s="46"/>
      <c r="AI1082" s="46"/>
      <c r="AJ1082" s="46"/>
      <c r="AK1082" s="46"/>
      <c r="AL1082" s="46"/>
      <c r="AM1082" s="46"/>
      <c r="AN1082" s="46"/>
      <c r="AO1082" s="46"/>
      <c r="AP1082" s="46"/>
      <c r="AQ1082" s="46"/>
      <c r="AR1082" s="46"/>
      <c r="AS1082" s="46"/>
      <c r="AT1082" s="46"/>
      <c r="AU1082" s="46"/>
      <c r="AV1082" s="46"/>
      <c r="AW1082" s="46"/>
      <c r="AX1082" s="46"/>
      <c r="AY1082" s="46"/>
      <c r="AZ1082" s="46"/>
      <c r="BA1082" s="46"/>
      <c r="BB1082" s="46"/>
      <c r="BC1082" s="46"/>
      <c r="BD1082" s="46"/>
      <c r="BE1082" s="46"/>
      <c r="BF1082" s="46"/>
      <c r="BG1082" s="46"/>
      <c r="BH1082" s="46"/>
    </row>
    <row r="1083" spans="1:60" ht="14.25" customHeight="1" x14ac:dyDescent="0.3">
      <c r="A1083" s="46"/>
      <c r="B1083" s="37"/>
      <c r="C1083" s="46"/>
      <c r="D1083" s="46"/>
      <c r="E1083" s="46"/>
      <c r="F1083" s="46"/>
      <c r="G1083" s="46"/>
      <c r="H1083" s="46"/>
      <c r="I1083" s="46"/>
      <c r="J1083" s="46"/>
      <c r="K1083" s="46"/>
      <c r="L1083" s="46"/>
      <c r="M1083" s="46"/>
      <c r="N1083" s="46"/>
      <c r="O1083" s="46"/>
      <c r="P1083" s="46"/>
      <c r="Q1083" s="46"/>
      <c r="R1083" s="46"/>
      <c r="S1083" s="46"/>
      <c r="T1083" s="46"/>
      <c r="U1083" s="46"/>
      <c r="V1083" s="46"/>
      <c r="W1083" s="46"/>
      <c r="X1083" s="46"/>
      <c r="Y1083" s="46"/>
      <c r="Z1083" s="46"/>
      <c r="AA1083" s="46"/>
      <c r="AB1083" s="46"/>
      <c r="AC1083" s="46"/>
      <c r="AD1083" s="46"/>
      <c r="AE1083" s="46"/>
      <c r="AF1083" s="46"/>
      <c r="AG1083" s="46"/>
      <c r="AH1083" s="46"/>
      <c r="AI1083" s="46"/>
      <c r="AJ1083" s="46"/>
      <c r="AK1083" s="46"/>
      <c r="AL1083" s="46"/>
      <c r="AM1083" s="46"/>
      <c r="AN1083" s="46"/>
      <c r="AO1083" s="46"/>
      <c r="AP1083" s="46"/>
      <c r="AQ1083" s="46"/>
      <c r="AR1083" s="46"/>
      <c r="AS1083" s="46"/>
      <c r="AT1083" s="46"/>
      <c r="AU1083" s="46"/>
      <c r="AV1083" s="46"/>
      <c r="AW1083" s="46"/>
      <c r="AX1083" s="46"/>
      <c r="AY1083" s="46"/>
      <c r="AZ1083" s="46"/>
      <c r="BA1083" s="46"/>
      <c r="BB1083" s="46"/>
      <c r="BC1083" s="46"/>
      <c r="BD1083" s="46"/>
      <c r="BE1083" s="46"/>
      <c r="BF1083" s="46"/>
      <c r="BG1083" s="46"/>
      <c r="BH1083" s="46"/>
    </row>
    <row r="1084" spans="1:60" ht="14.25" customHeight="1" x14ac:dyDescent="0.3">
      <c r="A1084" s="46"/>
      <c r="B1084" s="37"/>
      <c r="C1084" s="46"/>
      <c r="D1084" s="46"/>
      <c r="E1084" s="46"/>
      <c r="F1084" s="46"/>
      <c r="G1084" s="46"/>
      <c r="H1084" s="46"/>
      <c r="I1084" s="46"/>
      <c r="J1084" s="46"/>
      <c r="K1084" s="46"/>
      <c r="L1084" s="46"/>
      <c r="M1084" s="46"/>
      <c r="N1084" s="46"/>
      <c r="O1084" s="46"/>
      <c r="P1084" s="46"/>
      <c r="Q1084" s="46"/>
      <c r="R1084" s="46"/>
      <c r="S1084" s="46"/>
      <c r="T1084" s="46"/>
      <c r="U1084" s="46"/>
      <c r="V1084" s="46"/>
      <c r="W1084" s="46"/>
      <c r="X1084" s="46"/>
      <c r="Y1084" s="46"/>
      <c r="Z1084" s="46"/>
      <c r="AA1084" s="46"/>
      <c r="AB1084" s="46"/>
      <c r="AC1084" s="46"/>
      <c r="AD1084" s="46"/>
      <c r="AE1084" s="46"/>
      <c r="AF1084" s="46"/>
      <c r="AG1084" s="46"/>
      <c r="AH1084" s="46"/>
      <c r="AI1084" s="46"/>
      <c r="AJ1084" s="46"/>
      <c r="AK1084" s="46"/>
      <c r="AL1084" s="46"/>
      <c r="AM1084" s="46"/>
      <c r="AN1084" s="46"/>
      <c r="AO1084" s="46"/>
      <c r="AP1084" s="46"/>
      <c r="AQ1084" s="46"/>
      <c r="AR1084" s="46"/>
      <c r="AS1084" s="46"/>
      <c r="AT1084" s="46"/>
      <c r="AU1084" s="46"/>
      <c r="AV1084" s="46"/>
      <c r="AW1084" s="46"/>
      <c r="AX1084" s="46"/>
      <c r="AY1084" s="46"/>
      <c r="AZ1084" s="46"/>
      <c r="BA1084" s="46"/>
      <c r="BB1084" s="46"/>
      <c r="BC1084" s="46"/>
      <c r="BD1084" s="46"/>
      <c r="BE1084" s="46"/>
      <c r="BF1084" s="46"/>
      <c r="BG1084" s="46"/>
      <c r="BH1084" s="46"/>
    </row>
    <row r="1085" spans="1:60" ht="14.25" customHeight="1" x14ac:dyDescent="0.3">
      <c r="A1085" s="46"/>
      <c r="B1085" s="37"/>
      <c r="C1085" s="46"/>
      <c r="D1085" s="46"/>
      <c r="E1085" s="46"/>
      <c r="F1085" s="46"/>
      <c r="G1085" s="46"/>
      <c r="H1085" s="46"/>
      <c r="I1085" s="46"/>
      <c r="J1085" s="46"/>
      <c r="K1085" s="46"/>
      <c r="L1085" s="46"/>
      <c r="M1085" s="46"/>
      <c r="N1085" s="46"/>
      <c r="O1085" s="46"/>
      <c r="P1085" s="46"/>
      <c r="Q1085" s="46"/>
      <c r="R1085" s="46"/>
      <c r="S1085" s="46"/>
      <c r="T1085" s="46"/>
      <c r="U1085" s="46"/>
      <c r="V1085" s="46"/>
      <c r="W1085" s="46"/>
      <c r="X1085" s="46"/>
      <c r="Y1085" s="46"/>
      <c r="Z1085" s="46"/>
      <c r="AA1085" s="46"/>
      <c r="AB1085" s="46"/>
      <c r="AC1085" s="46"/>
      <c r="AD1085" s="46"/>
      <c r="AE1085" s="46"/>
      <c r="AF1085" s="46"/>
      <c r="AG1085" s="46"/>
      <c r="AH1085" s="46"/>
      <c r="AI1085" s="46"/>
      <c r="AJ1085" s="46"/>
      <c r="AK1085" s="46"/>
      <c r="AL1085" s="46"/>
      <c r="AM1085" s="46"/>
      <c r="AN1085" s="46"/>
      <c r="AO1085" s="46"/>
      <c r="AP1085" s="46"/>
      <c r="AQ1085" s="46"/>
      <c r="AR1085" s="46"/>
      <c r="AS1085" s="46"/>
      <c r="AT1085" s="46"/>
      <c r="AU1085" s="46"/>
      <c r="AV1085" s="46"/>
      <c r="AW1085" s="46"/>
      <c r="AX1085" s="46"/>
      <c r="AY1085" s="46"/>
      <c r="AZ1085" s="46"/>
      <c r="BA1085" s="46"/>
      <c r="BB1085" s="46"/>
      <c r="BC1085" s="46"/>
      <c r="BD1085" s="46"/>
      <c r="BE1085" s="46"/>
      <c r="BF1085" s="46"/>
      <c r="BG1085" s="46"/>
      <c r="BH1085" s="46"/>
    </row>
    <row r="1086" spans="1:60" ht="14.25" customHeight="1" x14ac:dyDescent="0.3">
      <c r="A1086" s="46"/>
      <c r="B1086" s="37"/>
      <c r="C1086" s="46"/>
      <c r="D1086" s="46"/>
      <c r="E1086" s="46"/>
      <c r="F1086" s="46"/>
      <c r="G1086" s="46"/>
      <c r="H1086" s="46"/>
      <c r="I1086" s="46"/>
      <c r="J1086" s="46"/>
      <c r="K1086" s="46"/>
      <c r="L1086" s="46"/>
      <c r="M1086" s="46"/>
      <c r="N1086" s="46"/>
      <c r="O1086" s="46"/>
      <c r="P1086" s="46"/>
      <c r="Q1086" s="46"/>
      <c r="R1086" s="46"/>
      <c r="S1086" s="46"/>
      <c r="T1086" s="46"/>
      <c r="U1086" s="46"/>
      <c r="V1086" s="46"/>
      <c r="W1086" s="46"/>
      <c r="X1086" s="46"/>
      <c r="Y1086" s="46"/>
      <c r="Z1086" s="46"/>
      <c r="AA1086" s="46"/>
      <c r="AB1086" s="46"/>
      <c r="AC1086" s="46"/>
      <c r="AD1086" s="46"/>
      <c r="AE1086" s="46"/>
      <c r="AF1086" s="46"/>
      <c r="AG1086" s="46"/>
      <c r="AH1086" s="46"/>
      <c r="AI1086" s="46"/>
      <c r="AJ1086" s="46"/>
      <c r="AK1086" s="46"/>
      <c r="AL1086" s="46"/>
      <c r="AM1086" s="46"/>
      <c r="AN1086" s="46"/>
      <c r="AO1086" s="46"/>
      <c r="AP1086" s="46"/>
      <c r="AQ1086" s="46"/>
      <c r="AR1086" s="46"/>
      <c r="AS1086" s="46"/>
      <c r="AT1086" s="46"/>
      <c r="AU1086" s="46"/>
      <c r="AV1086" s="46"/>
      <c r="AW1086" s="46"/>
      <c r="AX1086" s="46"/>
      <c r="AY1086" s="46"/>
      <c r="AZ1086" s="46"/>
      <c r="BA1086" s="46"/>
      <c r="BB1086" s="46"/>
      <c r="BC1086" s="46"/>
      <c r="BD1086" s="46"/>
      <c r="BE1086" s="46"/>
      <c r="BF1086" s="46"/>
      <c r="BG1086" s="46"/>
      <c r="BH1086" s="46"/>
    </row>
    <row r="1087" spans="1:60" ht="14.25" customHeight="1" x14ac:dyDescent="0.3">
      <c r="A1087" s="46"/>
      <c r="B1087" s="37"/>
      <c r="C1087" s="46"/>
      <c r="D1087" s="46"/>
      <c r="E1087" s="46"/>
      <c r="F1087" s="46"/>
      <c r="G1087" s="46"/>
      <c r="H1087" s="46"/>
      <c r="I1087" s="46"/>
      <c r="J1087" s="46"/>
      <c r="K1087" s="46"/>
      <c r="L1087" s="46"/>
      <c r="M1087" s="46"/>
      <c r="N1087" s="46"/>
      <c r="O1087" s="46"/>
      <c r="P1087" s="46"/>
      <c r="Q1087" s="46"/>
      <c r="R1087" s="46"/>
      <c r="S1087" s="46"/>
      <c r="T1087" s="46"/>
      <c r="U1087" s="46"/>
      <c r="V1087" s="46"/>
      <c r="W1087" s="46"/>
      <c r="X1087" s="46"/>
      <c r="Y1087" s="46"/>
      <c r="Z1087" s="46"/>
      <c r="AA1087" s="46"/>
      <c r="AB1087" s="46"/>
      <c r="AC1087" s="46"/>
      <c r="AD1087" s="46"/>
      <c r="AE1087" s="46"/>
      <c r="AF1087" s="46"/>
      <c r="AG1087" s="46"/>
      <c r="AH1087" s="46"/>
      <c r="AI1087" s="46"/>
      <c r="AJ1087" s="46"/>
      <c r="AK1087" s="46"/>
      <c r="AL1087" s="46"/>
      <c r="AM1087" s="46"/>
      <c r="AN1087" s="46"/>
      <c r="AO1087" s="46"/>
      <c r="AP1087" s="46"/>
      <c r="AQ1087" s="46"/>
      <c r="AR1087" s="46"/>
      <c r="AS1087" s="46"/>
      <c r="AT1087" s="46"/>
      <c r="AU1087" s="46"/>
      <c r="AV1087" s="46"/>
      <c r="AW1087" s="46"/>
      <c r="AX1087" s="46"/>
      <c r="AY1087" s="46"/>
      <c r="AZ1087" s="46"/>
      <c r="BA1087" s="46"/>
      <c r="BB1087" s="46"/>
      <c r="BC1087" s="46"/>
      <c r="BD1087" s="46"/>
      <c r="BE1087" s="46"/>
      <c r="BF1087" s="46"/>
      <c r="BG1087" s="46"/>
      <c r="BH1087" s="46"/>
    </row>
    <row r="1088" spans="1:60" ht="14.25" customHeight="1" x14ac:dyDescent="0.3">
      <c r="A1088" s="46"/>
      <c r="B1088" s="37"/>
      <c r="C1088" s="46"/>
      <c r="D1088" s="46"/>
      <c r="E1088" s="46"/>
      <c r="F1088" s="46"/>
      <c r="G1088" s="46"/>
      <c r="H1088" s="46"/>
      <c r="I1088" s="46"/>
      <c r="J1088" s="46"/>
      <c r="K1088" s="46"/>
      <c r="L1088" s="46"/>
      <c r="M1088" s="46"/>
      <c r="N1088" s="46"/>
      <c r="O1088" s="46"/>
      <c r="P1088" s="46"/>
      <c r="Q1088" s="46"/>
      <c r="R1088" s="46"/>
      <c r="S1088" s="46"/>
      <c r="T1088" s="46"/>
      <c r="U1088" s="46"/>
      <c r="V1088" s="46"/>
      <c r="W1088" s="46"/>
      <c r="X1088" s="46"/>
      <c r="Y1088" s="46"/>
      <c r="Z1088" s="46"/>
      <c r="AA1088" s="46"/>
      <c r="AB1088" s="46"/>
      <c r="AC1088" s="46"/>
      <c r="AD1088" s="46"/>
      <c r="AE1088" s="46"/>
      <c r="AF1088" s="46"/>
      <c r="AG1088" s="46"/>
      <c r="AH1088" s="46"/>
      <c r="AI1088" s="46"/>
      <c r="AJ1088" s="46"/>
      <c r="AK1088" s="46"/>
      <c r="AL1088" s="46"/>
      <c r="AM1088" s="46"/>
      <c r="AN1088" s="46"/>
      <c r="AO1088" s="46"/>
      <c r="AP1088" s="46"/>
      <c r="AQ1088" s="46"/>
      <c r="AR1088" s="46"/>
      <c r="AS1088" s="46"/>
      <c r="AT1088" s="46"/>
      <c r="AU1088" s="46"/>
      <c r="AV1088" s="46"/>
      <c r="AW1088" s="46"/>
      <c r="AX1088" s="46"/>
      <c r="AY1088" s="46"/>
      <c r="AZ1088" s="46"/>
      <c r="BA1088" s="46"/>
      <c r="BB1088" s="46"/>
      <c r="BC1088" s="46"/>
      <c r="BD1088" s="46"/>
      <c r="BE1088" s="46"/>
      <c r="BF1088" s="46"/>
      <c r="BG1088" s="46"/>
      <c r="BH1088" s="46"/>
    </row>
    <row r="1089" spans="1:60" ht="14.25" customHeight="1" x14ac:dyDescent="0.3">
      <c r="A1089" s="46"/>
      <c r="B1089" s="37"/>
      <c r="C1089" s="46"/>
      <c r="D1089" s="46"/>
      <c r="E1089" s="46"/>
      <c r="F1089" s="46"/>
      <c r="G1089" s="46"/>
      <c r="H1089" s="46"/>
      <c r="I1089" s="46"/>
      <c r="J1089" s="46"/>
      <c r="K1089" s="46"/>
      <c r="L1089" s="46"/>
      <c r="M1089" s="46"/>
      <c r="N1089" s="46"/>
      <c r="O1089" s="46"/>
      <c r="P1089" s="46"/>
      <c r="Q1089" s="46"/>
      <c r="R1089" s="46"/>
      <c r="S1089" s="46"/>
      <c r="T1089" s="46"/>
      <c r="U1089" s="46"/>
      <c r="V1089" s="46"/>
      <c r="W1089" s="46"/>
      <c r="X1089" s="46"/>
      <c r="Y1089" s="46"/>
      <c r="Z1089" s="46"/>
      <c r="AA1089" s="46"/>
      <c r="AB1089" s="46"/>
      <c r="AC1089" s="46"/>
      <c r="AD1089" s="46"/>
      <c r="AE1089" s="46"/>
      <c r="AF1089" s="46"/>
      <c r="AG1089" s="46"/>
      <c r="AH1089" s="46"/>
      <c r="AI1089" s="46"/>
      <c r="AJ1089" s="46"/>
      <c r="AK1089" s="46"/>
      <c r="AL1089" s="46"/>
      <c r="AM1089" s="46"/>
      <c r="AN1089" s="46"/>
      <c r="AO1089" s="46"/>
      <c r="AP1089" s="46"/>
      <c r="AQ1089" s="46"/>
      <c r="AR1089" s="46"/>
      <c r="AS1089" s="46"/>
      <c r="AT1089" s="46"/>
      <c r="AU1089" s="46"/>
      <c r="AV1089" s="46"/>
      <c r="AW1089" s="46"/>
      <c r="AX1089" s="46"/>
      <c r="AY1089" s="46"/>
      <c r="AZ1089" s="46"/>
      <c r="BA1089" s="46"/>
      <c r="BB1089" s="46"/>
      <c r="BC1089" s="46"/>
      <c r="BD1089" s="46"/>
      <c r="BE1089" s="46"/>
      <c r="BF1089" s="46"/>
      <c r="BG1089" s="46"/>
      <c r="BH1089" s="46"/>
    </row>
    <row r="1090" spans="1:60" ht="14.25" customHeight="1" x14ac:dyDescent="0.3">
      <c r="A1090" s="46"/>
      <c r="B1090" s="37"/>
      <c r="C1090" s="46"/>
      <c r="D1090" s="46"/>
      <c r="E1090" s="46"/>
      <c r="F1090" s="46"/>
      <c r="G1090" s="46"/>
      <c r="H1090" s="46"/>
      <c r="I1090" s="46"/>
      <c r="J1090" s="46"/>
      <c r="K1090" s="46"/>
      <c r="L1090" s="46"/>
      <c r="M1090" s="46"/>
      <c r="N1090" s="46"/>
      <c r="O1090" s="46"/>
      <c r="P1090" s="46"/>
      <c r="Q1090" s="46"/>
      <c r="R1090" s="46"/>
      <c r="S1090" s="46"/>
      <c r="T1090" s="46"/>
      <c r="U1090" s="46"/>
      <c r="V1090" s="46"/>
      <c r="W1090" s="46"/>
      <c r="X1090" s="46"/>
      <c r="Y1090" s="46"/>
      <c r="Z1090" s="46"/>
      <c r="AA1090" s="46"/>
      <c r="AB1090" s="46"/>
      <c r="AC1090" s="46"/>
      <c r="AD1090" s="46"/>
      <c r="AE1090" s="46"/>
      <c r="AF1090" s="46"/>
      <c r="AG1090" s="46"/>
      <c r="AH1090" s="46"/>
      <c r="AI1090" s="46"/>
      <c r="AJ1090" s="46"/>
      <c r="AK1090" s="46"/>
      <c r="AL1090" s="46"/>
      <c r="AM1090" s="46"/>
      <c r="AN1090" s="46"/>
      <c r="AO1090" s="46"/>
      <c r="AP1090" s="46"/>
      <c r="AQ1090" s="46"/>
      <c r="AR1090" s="46"/>
      <c r="AS1090" s="46"/>
      <c r="AT1090" s="46"/>
      <c r="AU1090" s="46"/>
      <c r="AV1090" s="46"/>
      <c r="AW1090" s="46"/>
      <c r="AX1090" s="46"/>
      <c r="AY1090" s="46"/>
      <c r="AZ1090" s="46"/>
      <c r="BA1090" s="46"/>
      <c r="BB1090" s="46"/>
      <c r="BC1090" s="46"/>
      <c r="BD1090" s="46"/>
      <c r="BE1090" s="46"/>
      <c r="BF1090" s="46"/>
      <c r="BG1090" s="46"/>
      <c r="BH1090" s="46"/>
    </row>
    <row r="1091" spans="1:60" ht="14.25" customHeight="1" x14ac:dyDescent="0.3">
      <c r="A1091" s="46"/>
      <c r="B1091" s="37"/>
      <c r="C1091" s="46"/>
      <c r="D1091" s="46"/>
      <c r="E1091" s="46"/>
      <c r="F1091" s="46"/>
      <c r="G1091" s="46"/>
      <c r="H1091" s="46"/>
      <c r="I1091" s="46"/>
      <c r="J1091" s="46"/>
      <c r="K1091" s="46"/>
      <c r="L1091" s="46"/>
      <c r="M1091" s="46"/>
      <c r="N1091" s="46"/>
      <c r="O1091" s="46"/>
      <c r="P1091" s="46"/>
      <c r="Q1091" s="46"/>
      <c r="R1091" s="46"/>
      <c r="S1091" s="46"/>
      <c r="T1091" s="46"/>
      <c r="U1091" s="46"/>
      <c r="V1091" s="46"/>
      <c r="W1091" s="46"/>
      <c r="X1091" s="46"/>
      <c r="Y1091" s="46"/>
      <c r="Z1091" s="46"/>
      <c r="AA1091" s="46"/>
      <c r="AB1091" s="46"/>
      <c r="AC1091" s="46"/>
      <c r="AD1091" s="46"/>
      <c r="AE1091" s="46"/>
      <c r="AF1091" s="46"/>
      <c r="AG1091" s="46"/>
      <c r="AH1091" s="46"/>
      <c r="AI1091" s="46"/>
      <c r="AJ1091" s="46"/>
      <c r="AK1091" s="46"/>
      <c r="AL1091" s="46"/>
      <c r="AM1091" s="46"/>
      <c r="AN1091" s="46"/>
      <c r="AO1091" s="46"/>
      <c r="AP1091" s="46"/>
      <c r="AQ1091" s="46"/>
      <c r="AR1091" s="46"/>
      <c r="AS1091" s="46"/>
      <c r="AT1091" s="46"/>
      <c r="AU1091" s="46"/>
      <c r="AV1091" s="46"/>
      <c r="AW1091" s="46"/>
      <c r="AX1091" s="46"/>
      <c r="AY1091" s="46"/>
      <c r="AZ1091" s="46"/>
      <c r="BA1091" s="46"/>
      <c r="BB1091" s="46"/>
      <c r="BC1091" s="46"/>
      <c r="BD1091" s="46"/>
      <c r="BE1091" s="46"/>
      <c r="BF1091" s="46"/>
      <c r="BG1091" s="46"/>
      <c r="BH1091" s="46"/>
    </row>
    <row r="1092" spans="1:60" ht="14.25" customHeight="1" x14ac:dyDescent="0.3">
      <c r="A1092" s="46"/>
      <c r="B1092" s="37"/>
      <c r="C1092" s="46"/>
      <c r="D1092" s="46"/>
      <c r="E1092" s="46"/>
      <c r="F1092" s="46"/>
      <c r="G1092" s="46"/>
      <c r="H1092" s="46"/>
      <c r="I1092" s="46"/>
      <c r="J1092" s="46"/>
      <c r="K1092" s="46"/>
      <c r="L1092" s="46"/>
      <c r="M1092" s="46"/>
      <c r="N1092" s="46"/>
      <c r="O1092" s="46"/>
      <c r="P1092" s="46"/>
      <c r="Q1092" s="46"/>
      <c r="R1092" s="46"/>
      <c r="S1092" s="46"/>
      <c r="T1092" s="46"/>
      <c r="U1092" s="46"/>
      <c r="V1092" s="46"/>
      <c r="W1092" s="46"/>
      <c r="X1092" s="46"/>
      <c r="Y1092" s="46"/>
      <c r="Z1092" s="46"/>
      <c r="AA1092" s="46"/>
      <c r="AB1092" s="46"/>
      <c r="AC1092" s="46"/>
      <c r="AD1092" s="46"/>
      <c r="AE1092" s="46"/>
      <c r="AF1092" s="46"/>
      <c r="AG1092" s="46"/>
      <c r="AH1092" s="46"/>
      <c r="AI1092" s="46"/>
      <c r="AJ1092" s="46"/>
      <c r="AK1092" s="46"/>
      <c r="AL1092" s="46"/>
      <c r="AM1092" s="46"/>
      <c r="AN1092" s="46"/>
      <c r="AO1092" s="46"/>
      <c r="AP1092" s="46"/>
      <c r="AQ1092" s="46"/>
      <c r="AR1092" s="46"/>
      <c r="AS1092" s="46"/>
      <c r="AT1092" s="46"/>
      <c r="AU1092" s="46"/>
      <c r="AV1092" s="46"/>
      <c r="AW1092" s="46"/>
      <c r="AX1092" s="46"/>
      <c r="AY1092" s="46"/>
      <c r="AZ1092" s="46"/>
      <c r="BA1092" s="46"/>
      <c r="BB1092" s="46"/>
      <c r="BC1092" s="46"/>
      <c r="BD1092" s="46"/>
      <c r="BE1092" s="46"/>
      <c r="BF1092" s="46"/>
      <c r="BG1092" s="46"/>
      <c r="BH1092" s="46"/>
    </row>
    <row r="1093" spans="1:60" ht="14.25" customHeight="1" x14ac:dyDescent="0.3">
      <c r="A1093" s="46"/>
      <c r="B1093" s="37"/>
      <c r="C1093" s="46"/>
      <c r="D1093" s="46"/>
      <c r="E1093" s="46"/>
      <c r="F1093" s="46"/>
      <c r="G1093" s="46"/>
      <c r="H1093" s="46"/>
      <c r="I1093" s="46"/>
      <c r="J1093" s="46"/>
      <c r="K1093" s="46"/>
      <c r="L1093" s="46"/>
      <c r="M1093" s="46"/>
      <c r="N1093" s="46"/>
      <c r="O1093" s="46"/>
      <c r="P1093" s="46"/>
      <c r="Q1093" s="46"/>
      <c r="R1093" s="46"/>
      <c r="S1093" s="46"/>
      <c r="T1093" s="46"/>
      <c r="U1093" s="46"/>
      <c r="V1093" s="46"/>
      <c r="W1093" s="46"/>
      <c r="X1093" s="46"/>
      <c r="Y1093" s="46"/>
      <c r="Z1093" s="46"/>
      <c r="AA1093" s="46"/>
      <c r="AB1093" s="46"/>
      <c r="AC1093" s="46"/>
      <c r="AD1093" s="46"/>
      <c r="AE1093" s="46"/>
      <c r="AF1093" s="46"/>
      <c r="AG1093" s="46"/>
      <c r="AH1093" s="46"/>
      <c r="AI1093" s="46"/>
      <c r="AJ1093" s="46"/>
      <c r="AK1093" s="46"/>
      <c r="AL1093" s="46"/>
      <c r="AM1093" s="46"/>
      <c r="AN1093" s="46"/>
      <c r="AO1093" s="46"/>
      <c r="AP1093" s="46"/>
      <c r="AQ1093" s="46"/>
      <c r="AR1093" s="46"/>
      <c r="AS1093" s="46"/>
      <c r="AT1093" s="46"/>
      <c r="AU1093" s="46"/>
      <c r="AV1093" s="46"/>
      <c r="AW1093" s="46"/>
      <c r="AX1093" s="46"/>
      <c r="AY1093" s="46"/>
      <c r="AZ1093" s="46"/>
      <c r="BA1093" s="46"/>
      <c r="BB1093" s="46"/>
      <c r="BC1093" s="46"/>
      <c r="BD1093" s="46"/>
      <c r="BE1093" s="46"/>
      <c r="BF1093" s="46"/>
      <c r="BG1093" s="46"/>
      <c r="BH1093" s="46"/>
    </row>
    <row r="1094" spans="1:60" ht="14.25" customHeight="1" x14ac:dyDescent="0.3">
      <c r="A1094" s="46"/>
      <c r="B1094" s="37"/>
      <c r="C1094" s="46"/>
      <c r="D1094" s="46"/>
      <c r="E1094" s="46"/>
      <c r="F1094" s="46"/>
      <c r="G1094" s="46"/>
      <c r="H1094" s="46"/>
      <c r="I1094" s="46"/>
      <c r="J1094" s="46"/>
      <c r="K1094" s="46"/>
      <c r="L1094" s="46"/>
      <c r="M1094" s="46"/>
      <c r="N1094" s="46"/>
      <c r="O1094" s="46"/>
      <c r="P1094" s="46"/>
      <c r="Q1094" s="46"/>
      <c r="R1094" s="46"/>
      <c r="S1094" s="46"/>
      <c r="T1094" s="46"/>
      <c r="U1094" s="46"/>
      <c r="V1094" s="46"/>
      <c r="W1094" s="46"/>
      <c r="X1094" s="46"/>
      <c r="Y1094" s="46"/>
      <c r="Z1094" s="46"/>
      <c r="AA1094" s="46"/>
      <c r="AB1094" s="46"/>
      <c r="AC1094" s="46"/>
      <c r="AD1094" s="46"/>
      <c r="AE1094" s="46"/>
      <c r="AF1094" s="46"/>
      <c r="AG1094" s="46"/>
      <c r="AH1094" s="46"/>
      <c r="AI1094" s="46"/>
      <c r="AJ1094" s="46"/>
      <c r="AK1094" s="46"/>
      <c r="AL1094" s="46"/>
      <c r="AM1094" s="46"/>
      <c r="AN1094" s="46"/>
      <c r="AO1094" s="46"/>
      <c r="AP1094" s="46"/>
      <c r="AQ1094" s="46"/>
      <c r="AR1094" s="46"/>
      <c r="AS1094" s="46"/>
      <c r="AT1094" s="46"/>
      <c r="AU1094" s="46"/>
      <c r="AV1094" s="46"/>
      <c r="AW1094" s="46"/>
      <c r="AX1094" s="46"/>
      <c r="AY1094" s="46"/>
      <c r="AZ1094" s="46"/>
      <c r="BA1094" s="46"/>
      <c r="BB1094" s="46"/>
      <c r="BC1094" s="46"/>
      <c r="BD1094" s="46"/>
      <c r="BE1094" s="46"/>
      <c r="BF1094" s="46"/>
      <c r="BG1094" s="46"/>
      <c r="BH1094" s="46"/>
    </row>
    <row r="1095" spans="1:60" ht="14.25" customHeight="1" x14ac:dyDescent="0.3">
      <c r="A1095" s="46"/>
      <c r="B1095" s="37"/>
      <c r="C1095" s="46"/>
      <c r="D1095" s="46"/>
      <c r="E1095" s="46"/>
      <c r="F1095" s="46"/>
      <c r="G1095" s="46"/>
      <c r="H1095" s="46"/>
      <c r="I1095" s="46"/>
      <c r="J1095" s="46"/>
      <c r="K1095" s="46"/>
      <c r="L1095" s="46"/>
      <c r="M1095" s="46"/>
      <c r="N1095" s="46"/>
      <c r="O1095" s="46"/>
      <c r="P1095" s="46"/>
      <c r="Q1095" s="46"/>
      <c r="R1095" s="46"/>
      <c r="S1095" s="46"/>
      <c r="T1095" s="46"/>
      <c r="U1095" s="46"/>
      <c r="V1095" s="46"/>
      <c r="W1095" s="46"/>
      <c r="X1095" s="46"/>
      <c r="Y1095" s="46"/>
      <c r="Z1095" s="46"/>
      <c r="AA1095" s="46"/>
      <c r="AB1095" s="46"/>
      <c r="AC1095" s="46"/>
      <c r="AD1095" s="46"/>
      <c r="AE1095" s="46"/>
      <c r="AF1095" s="46"/>
      <c r="AG1095" s="46"/>
      <c r="AH1095" s="46"/>
      <c r="AI1095" s="46"/>
      <c r="AJ1095" s="46"/>
      <c r="AK1095" s="46"/>
      <c r="AL1095" s="46"/>
      <c r="AM1095" s="46"/>
      <c r="AN1095" s="46"/>
      <c r="AO1095" s="46"/>
      <c r="AP1095" s="46"/>
      <c r="AQ1095" s="46"/>
      <c r="AR1095" s="46"/>
      <c r="AS1095" s="46"/>
      <c r="AT1095" s="46"/>
      <c r="AU1095" s="46"/>
      <c r="AV1095" s="46"/>
      <c r="AW1095" s="46"/>
      <c r="AX1095" s="46"/>
      <c r="AY1095" s="46"/>
      <c r="AZ1095" s="46"/>
      <c r="BA1095" s="46"/>
      <c r="BB1095" s="46"/>
      <c r="BC1095" s="46"/>
      <c r="BD1095" s="46"/>
      <c r="BE1095" s="46"/>
      <c r="BF1095" s="46"/>
      <c r="BG1095" s="46"/>
      <c r="BH1095" s="46"/>
    </row>
    <row r="1096" spans="1:60" ht="14.25" customHeight="1" x14ac:dyDescent="0.3">
      <c r="A1096" s="46"/>
      <c r="B1096" s="37"/>
      <c r="C1096" s="46"/>
      <c r="D1096" s="46"/>
      <c r="E1096" s="46"/>
      <c r="F1096" s="46"/>
      <c r="G1096" s="46"/>
      <c r="H1096" s="46"/>
      <c r="I1096" s="46"/>
      <c r="J1096" s="46"/>
      <c r="K1096" s="46"/>
      <c r="L1096" s="46"/>
      <c r="M1096" s="46"/>
      <c r="N1096" s="46"/>
      <c r="O1096" s="46"/>
      <c r="P1096" s="46"/>
      <c r="Q1096" s="46"/>
      <c r="R1096" s="46"/>
      <c r="S1096" s="46"/>
      <c r="T1096" s="46"/>
      <c r="U1096" s="46"/>
      <c r="V1096" s="46"/>
      <c r="W1096" s="46"/>
      <c r="X1096" s="46"/>
      <c r="Y1096" s="46"/>
      <c r="Z1096" s="46"/>
      <c r="AA1096" s="46"/>
      <c r="AB1096" s="46"/>
      <c r="AC1096" s="46"/>
      <c r="AD1096" s="46"/>
      <c r="AE1096" s="46"/>
      <c r="AF1096" s="46"/>
      <c r="AG1096" s="46"/>
      <c r="AH1096" s="46"/>
      <c r="AI1096" s="46"/>
      <c r="AJ1096" s="46"/>
      <c r="AK1096" s="46"/>
      <c r="AL1096" s="46"/>
      <c r="AM1096" s="46"/>
      <c r="AN1096" s="46"/>
      <c r="AO1096" s="46"/>
      <c r="AP1096" s="46"/>
      <c r="AQ1096" s="46"/>
      <c r="AR1096" s="46"/>
      <c r="AS1096" s="46"/>
      <c r="AT1096" s="46"/>
      <c r="AU1096" s="46"/>
      <c r="AV1096" s="46"/>
      <c r="AW1096" s="46"/>
      <c r="AX1096" s="46"/>
      <c r="AY1096" s="46"/>
      <c r="AZ1096" s="46"/>
      <c r="BA1096" s="46"/>
      <c r="BB1096" s="46"/>
      <c r="BC1096" s="46"/>
      <c r="BD1096" s="46"/>
      <c r="BE1096" s="46"/>
      <c r="BF1096" s="46"/>
      <c r="BG1096" s="46"/>
      <c r="BH1096" s="46"/>
    </row>
    <row r="1097" spans="1:60" ht="14.25" customHeight="1" x14ac:dyDescent="0.3">
      <c r="A1097" s="46"/>
      <c r="B1097" s="37"/>
      <c r="C1097" s="46"/>
      <c r="D1097" s="46"/>
      <c r="E1097" s="46"/>
      <c r="F1097" s="46"/>
      <c r="G1097" s="46"/>
      <c r="H1097" s="46"/>
      <c r="I1097" s="46"/>
      <c r="J1097" s="46"/>
      <c r="K1097" s="46"/>
      <c r="L1097" s="46"/>
      <c r="M1097" s="46"/>
      <c r="N1097" s="46"/>
      <c r="O1097" s="46"/>
      <c r="P1097" s="46"/>
      <c r="Q1097" s="46"/>
      <c r="R1097" s="46"/>
      <c r="S1097" s="46"/>
      <c r="T1097" s="46"/>
      <c r="U1097" s="46"/>
      <c r="V1097" s="46"/>
      <c r="W1097" s="46"/>
      <c r="X1097" s="46"/>
      <c r="Y1097" s="46"/>
      <c r="Z1097" s="46"/>
      <c r="AA1097" s="46"/>
      <c r="AB1097" s="46"/>
      <c r="AC1097" s="46"/>
      <c r="AD1097" s="46"/>
      <c r="AE1097" s="46"/>
      <c r="AF1097" s="46"/>
      <c r="AG1097" s="46"/>
      <c r="AH1097" s="46"/>
      <c r="AI1097" s="46"/>
      <c r="AJ1097" s="46"/>
      <c r="AK1097" s="46"/>
      <c r="AL1097" s="46"/>
      <c r="AM1097" s="46"/>
      <c r="AN1097" s="46"/>
      <c r="AO1097" s="46"/>
      <c r="AP1097" s="46"/>
      <c r="AQ1097" s="46"/>
      <c r="AR1097" s="46"/>
      <c r="AS1097" s="46"/>
      <c r="AT1097" s="46"/>
      <c r="AU1097" s="46"/>
      <c r="AV1097" s="46"/>
      <c r="AW1097" s="46"/>
      <c r="AX1097" s="46"/>
      <c r="AY1097" s="46"/>
      <c r="AZ1097" s="46"/>
      <c r="BA1097" s="46"/>
      <c r="BB1097" s="46"/>
      <c r="BC1097" s="46"/>
      <c r="BD1097" s="46"/>
      <c r="BE1097" s="46"/>
      <c r="BF1097" s="46"/>
      <c r="BG1097" s="46"/>
      <c r="BH1097" s="46"/>
    </row>
    <row r="1098" spans="1:60" ht="14.25" customHeight="1" x14ac:dyDescent="0.3">
      <c r="A1098" s="46"/>
      <c r="B1098" s="37"/>
      <c r="C1098" s="46"/>
      <c r="D1098" s="46"/>
      <c r="E1098" s="46"/>
      <c r="F1098" s="46"/>
      <c r="G1098" s="46"/>
      <c r="H1098" s="46"/>
      <c r="I1098" s="46"/>
      <c r="J1098" s="46"/>
      <c r="K1098" s="46"/>
      <c r="L1098" s="46"/>
      <c r="M1098" s="46"/>
      <c r="N1098" s="46"/>
      <c r="O1098" s="46"/>
      <c r="P1098" s="46"/>
      <c r="Q1098" s="46"/>
      <c r="R1098" s="46"/>
      <c r="S1098" s="46"/>
      <c r="T1098" s="46"/>
      <c r="U1098" s="46"/>
      <c r="V1098" s="46"/>
      <c r="W1098" s="46"/>
      <c r="X1098" s="46"/>
      <c r="Y1098" s="46"/>
      <c r="Z1098" s="46"/>
      <c r="AA1098" s="46"/>
      <c r="AB1098" s="46"/>
      <c r="AC1098" s="46"/>
      <c r="AD1098" s="46"/>
      <c r="AE1098" s="46"/>
      <c r="AF1098" s="46"/>
      <c r="AG1098" s="46"/>
      <c r="AH1098" s="46"/>
      <c r="AI1098" s="46"/>
      <c r="AJ1098" s="46"/>
      <c r="AK1098" s="46"/>
      <c r="AL1098" s="46"/>
      <c r="AM1098" s="46"/>
      <c r="AN1098" s="46"/>
      <c r="AO1098" s="46"/>
      <c r="AP1098" s="46"/>
      <c r="AQ1098" s="46"/>
      <c r="AR1098" s="46"/>
      <c r="AS1098" s="46"/>
      <c r="AT1098" s="46"/>
      <c r="AU1098" s="46"/>
      <c r="AV1098" s="46"/>
      <c r="AW1098" s="46"/>
      <c r="AX1098" s="46"/>
      <c r="AY1098" s="46"/>
      <c r="AZ1098" s="46"/>
      <c r="BA1098" s="46"/>
      <c r="BB1098" s="46"/>
      <c r="BC1098" s="46"/>
      <c r="BD1098" s="46"/>
      <c r="BE1098" s="46"/>
      <c r="BF1098" s="46"/>
      <c r="BG1098" s="46"/>
      <c r="BH1098" s="46"/>
    </row>
    <row r="1099" spans="1:60" ht="14.25" customHeight="1" x14ac:dyDescent="0.3">
      <c r="A1099" s="46"/>
      <c r="B1099" s="37"/>
      <c r="C1099" s="46"/>
      <c r="D1099" s="46"/>
      <c r="E1099" s="46"/>
      <c r="F1099" s="46"/>
      <c r="G1099" s="46"/>
      <c r="H1099" s="46"/>
      <c r="I1099" s="46"/>
      <c r="J1099" s="46"/>
      <c r="K1099" s="46"/>
      <c r="L1099" s="46"/>
      <c r="M1099" s="46"/>
      <c r="N1099" s="46"/>
      <c r="O1099" s="46"/>
      <c r="P1099" s="46"/>
      <c r="Q1099" s="46"/>
      <c r="R1099" s="46"/>
      <c r="S1099" s="46"/>
      <c r="T1099" s="46"/>
      <c r="U1099" s="46"/>
      <c r="V1099" s="46"/>
      <c r="W1099" s="46"/>
      <c r="X1099" s="46"/>
      <c r="Y1099" s="46"/>
      <c r="Z1099" s="46"/>
      <c r="AA1099" s="46"/>
      <c r="AB1099" s="46"/>
      <c r="AC1099" s="46"/>
      <c r="AD1099" s="46"/>
      <c r="AE1099" s="46"/>
      <c r="AF1099" s="46"/>
      <c r="AG1099" s="46"/>
      <c r="AH1099" s="46"/>
      <c r="AI1099" s="46"/>
      <c r="AJ1099" s="46"/>
      <c r="AK1099" s="46"/>
      <c r="AL1099" s="46"/>
      <c r="AM1099" s="46"/>
      <c r="AN1099" s="46"/>
      <c r="AO1099" s="46"/>
      <c r="AP1099" s="46"/>
      <c r="AQ1099" s="46"/>
      <c r="AR1099" s="46"/>
      <c r="AS1099" s="46"/>
      <c r="AT1099" s="46"/>
      <c r="AU1099" s="46"/>
      <c r="AV1099" s="46"/>
      <c r="AW1099" s="46"/>
      <c r="AX1099" s="46"/>
      <c r="AY1099" s="46"/>
      <c r="AZ1099" s="46"/>
      <c r="BA1099" s="46"/>
      <c r="BB1099" s="46"/>
      <c r="BC1099" s="46"/>
      <c r="BD1099" s="46"/>
      <c r="BE1099" s="46"/>
      <c r="BF1099" s="46"/>
      <c r="BG1099" s="46"/>
      <c r="BH1099" s="46"/>
    </row>
    <row r="1100" spans="1:60" ht="14.25" customHeight="1" x14ac:dyDescent="0.3">
      <c r="A1100" s="46"/>
      <c r="B1100" s="37"/>
      <c r="C1100" s="46"/>
      <c r="D1100" s="46"/>
      <c r="E1100" s="46"/>
      <c r="F1100" s="46"/>
      <c r="G1100" s="46"/>
      <c r="H1100" s="46"/>
      <c r="I1100" s="46"/>
      <c r="J1100" s="46"/>
      <c r="K1100" s="46"/>
      <c r="L1100" s="46"/>
      <c r="M1100" s="46"/>
      <c r="N1100" s="46"/>
      <c r="O1100" s="46"/>
      <c r="P1100" s="46"/>
      <c r="Q1100" s="46"/>
      <c r="R1100" s="46"/>
      <c r="S1100" s="46"/>
      <c r="T1100" s="46"/>
      <c r="U1100" s="46"/>
      <c r="V1100" s="46"/>
      <c r="W1100" s="46"/>
      <c r="X1100" s="46"/>
      <c r="Y1100" s="46"/>
      <c r="Z1100" s="46"/>
      <c r="AA1100" s="46"/>
      <c r="AB1100" s="46"/>
      <c r="AC1100" s="46"/>
      <c r="AD1100" s="46"/>
      <c r="AE1100" s="46"/>
      <c r="AF1100" s="46"/>
      <c r="AG1100" s="46"/>
      <c r="AH1100" s="46"/>
      <c r="AI1100" s="46"/>
      <c r="AJ1100" s="46"/>
      <c r="AK1100" s="46"/>
      <c r="AL1100" s="46"/>
      <c r="AM1100" s="46"/>
      <c r="AN1100" s="46"/>
      <c r="AO1100" s="46"/>
      <c r="AP1100" s="46"/>
      <c r="AQ1100" s="46"/>
      <c r="AR1100" s="46"/>
      <c r="AS1100" s="46"/>
      <c r="AT1100" s="46"/>
      <c r="AU1100" s="46"/>
      <c r="AV1100" s="46"/>
      <c r="AW1100" s="46"/>
      <c r="AX1100" s="46"/>
      <c r="AY1100" s="46"/>
      <c r="AZ1100" s="46"/>
      <c r="BA1100" s="46"/>
      <c r="BB1100" s="46"/>
      <c r="BC1100" s="46"/>
      <c r="BD1100" s="46"/>
      <c r="BE1100" s="46"/>
      <c r="BF1100" s="46"/>
      <c r="BG1100" s="46"/>
      <c r="BH1100" s="46"/>
    </row>
    <row r="1101" spans="1:60" ht="14.25" customHeight="1" x14ac:dyDescent="0.3">
      <c r="A1101" s="46"/>
      <c r="B1101" s="37"/>
      <c r="C1101" s="46"/>
      <c r="D1101" s="46"/>
      <c r="E1101" s="46"/>
      <c r="F1101" s="46"/>
      <c r="G1101" s="46"/>
      <c r="H1101" s="46"/>
      <c r="I1101" s="46"/>
      <c r="J1101" s="46"/>
      <c r="K1101" s="46"/>
      <c r="L1101" s="46"/>
      <c r="M1101" s="46"/>
      <c r="N1101" s="46"/>
      <c r="O1101" s="46"/>
      <c r="P1101" s="46"/>
      <c r="Q1101" s="46"/>
      <c r="R1101" s="46"/>
      <c r="S1101" s="46"/>
      <c r="T1101" s="46"/>
      <c r="U1101" s="46"/>
      <c r="V1101" s="46"/>
      <c r="W1101" s="46"/>
      <c r="X1101" s="46"/>
      <c r="Y1101" s="46"/>
      <c r="Z1101" s="46"/>
      <c r="AA1101" s="46"/>
      <c r="AB1101" s="46"/>
      <c r="AC1101" s="46"/>
      <c r="AD1101" s="46"/>
      <c r="AE1101" s="46"/>
      <c r="AF1101" s="46"/>
      <c r="AG1101" s="46"/>
      <c r="AH1101" s="46"/>
      <c r="AI1101" s="46"/>
      <c r="AJ1101" s="46"/>
      <c r="AK1101" s="46"/>
      <c r="AL1101" s="46"/>
      <c r="AM1101" s="46"/>
      <c r="AN1101" s="46"/>
      <c r="AO1101" s="46"/>
      <c r="AP1101" s="46"/>
      <c r="AQ1101" s="46"/>
      <c r="AR1101" s="46"/>
      <c r="AS1101" s="46"/>
      <c r="AT1101" s="46"/>
      <c r="AU1101" s="46"/>
      <c r="AV1101" s="46"/>
      <c r="AW1101" s="46"/>
      <c r="AX1101" s="46"/>
      <c r="AY1101" s="46"/>
      <c r="AZ1101" s="46"/>
      <c r="BA1101" s="46"/>
      <c r="BB1101" s="46"/>
      <c r="BC1101" s="46"/>
      <c r="BD1101" s="46"/>
      <c r="BE1101" s="46"/>
      <c r="BF1101" s="46"/>
      <c r="BG1101" s="46"/>
      <c r="BH1101" s="46"/>
    </row>
    <row r="1102" spans="1:60" ht="14.25" customHeight="1" x14ac:dyDescent="0.3">
      <c r="A1102" s="46"/>
      <c r="B1102" s="37"/>
      <c r="C1102" s="46"/>
      <c r="D1102" s="46"/>
      <c r="E1102" s="46"/>
      <c r="F1102" s="46"/>
      <c r="G1102" s="46"/>
      <c r="H1102" s="46"/>
      <c r="I1102" s="46"/>
      <c r="J1102" s="46"/>
      <c r="K1102" s="46"/>
      <c r="L1102" s="46"/>
      <c r="M1102" s="46"/>
      <c r="N1102" s="46"/>
      <c r="O1102" s="46"/>
      <c r="P1102" s="46"/>
      <c r="Q1102" s="46"/>
      <c r="R1102" s="46"/>
      <c r="S1102" s="46"/>
      <c r="T1102" s="46"/>
      <c r="U1102" s="46"/>
      <c r="V1102" s="46"/>
      <c r="W1102" s="46"/>
      <c r="X1102" s="46"/>
      <c r="Y1102" s="46"/>
      <c r="Z1102" s="46"/>
      <c r="AA1102" s="46"/>
      <c r="AB1102" s="46"/>
      <c r="AC1102" s="46"/>
      <c r="AD1102" s="46"/>
      <c r="AE1102" s="46"/>
      <c r="AF1102" s="46"/>
      <c r="AG1102" s="46"/>
      <c r="AH1102" s="46"/>
      <c r="AI1102" s="46"/>
      <c r="AJ1102" s="46"/>
      <c r="AK1102" s="46"/>
      <c r="AL1102" s="46"/>
      <c r="AM1102" s="46"/>
      <c r="AN1102" s="46"/>
      <c r="AO1102" s="46"/>
      <c r="AP1102" s="46"/>
      <c r="AQ1102" s="46"/>
      <c r="AR1102" s="46"/>
      <c r="AS1102" s="46"/>
      <c r="AT1102" s="46"/>
      <c r="AU1102" s="46"/>
      <c r="AV1102" s="46"/>
      <c r="AW1102" s="46"/>
      <c r="AX1102" s="46"/>
      <c r="AY1102" s="46"/>
      <c r="AZ1102" s="46"/>
      <c r="BA1102" s="46"/>
      <c r="BB1102" s="46"/>
      <c r="BC1102" s="46"/>
      <c r="BD1102" s="46"/>
      <c r="BE1102" s="46"/>
      <c r="BF1102" s="46"/>
      <c r="BG1102" s="46"/>
      <c r="BH1102" s="46"/>
    </row>
    <row r="1103" spans="1:60" ht="14.25" customHeight="1" x14ac:dyDescent="0.3">
      <c r="A1103" s="46"/>
      <c r="B1103" s="37"/>
      <c r="C1103" s="46"/>
      <c r="D1103" s="46"/>
      <c r="E1103" s="46"/>
      <c r="F1103" s="46"/>
      <c r="G1103" s="46"/>
      <c r="H1103" s="46"/>
      <c r="I1103" s="46"/>
      <c r="J1103" s="46"/>
      <c r="K1103" s="46"/>
      <c r="L1103" s="46"/>
      <c r="M1103" s="46"/>
      <c r="N1103" s="46"/>
      <c r="O1103" s="46"/>
      <c r="P1103" s="46"/>
      <c r="Q1103" s="46"/>
      <c r="R1103" s="46"/>
      <c r="S1103" s="46"/>
      <c r="T1103" s="46"/>
      <c r="U1103" s="46"/>
      <c r="V1103" s="46"/>
      <c r="W1103" s="46"/>
      <c r="X1103" s="46"/>
      <c r="Y1103" s="46"/>
      <c r="Z1103" s="46"/>
      <c r="AA1103" s="46"/>
      <c r="AB1103" s="46"/>
      <c r="AC1103" s="46"/>
      <c r="AD1103" s="46"/>
      <c r="AE1103" s="46"/>
      <c r="AF1103" s="46"/>
      <c r="AG1103" s="46"/>
      <c r="AH1103" s="46"/>
      <c r="AI1103" s="46"/>
      <c r="AJ1103" s="46"/>
      <c r="AK1103" s="46"/>
      <c r="AL1103" s="46"/>
      <c r="AM1103" s="46"/>
      <c r="AN1103" s="46"/>
      <c r="AO1103" s="46"/>
      <c r="AP1103" s="46"/>
      <c r="AQ1103" s="46"/>
      <c r="AR1103" s="46"/>
      <c r="AS1103" s="46"/>
      <c r="AT1103" s="46"/>
      <c r="AU1103" s="46"/>
      <c r="AV1103" s="46"/>
      <c r="AW1103" s="46"/>
      <c r="AX1103" s="46"/>
      <c r="AY1103" s="46"/>
      <c r="AZ1103" s="46"/>
      <c r="BA1103" s="46"/>
      <c r="BB1103" s="46"/>
      <c r="BC1103" s="46"/>
      <c r="BD1103" s="46"/>
      <c r="BE1103" s="46"/>
      <c r="BF1103" s="46"/>
      <c r="BG1103" s="46"/>
      <c r="BH1103" s="46"/>
    </row>
    <row r="1104" spans="1:60" ht="14.25" customHeight="1" x14ac:dyDescent="0.3">
      <c r="A1104" s="46"/>
      <c r="B1104" s="37"/>
      <c r="C1104" s="46"/>
      <c r="D1104" s="46"/>
      <c r="E1104" s="46"/>
      <c r="F1104" s="46"/>
      <c r="G1104" s="46"/>
      <c r="H1104" s="46"/>
      <c r="I1104" s="46"/>
      <c r="J1104" s="46"/>
      <c r="K1104" s="46"/>
      <c r="L1104" s="46"/>
      <c r="M1104" s="46"/>
      <c r="N1104" s="46"/>
      <c r="O1104" s="46"/>
      <c r="P1104" s="46"/>
      <c r="Q1104" s="46"/>
      <c r="R1104" s="46"/>
      <c r="S1104" s="46"/>
      <c r="T1104" s="46"/>
      <c r="U1104" s="46"/>
      <c r="V1104" s="46"/>
      <c r="W1104" s="46"/>
      <c r="X1104" s="46"/>
      <c r="Y1104" s="46"/>
      <c r="Z1104" s="46"/>
      <c r="AA1104" s="46"/>
      <c r="AB1104" s="46"/>
      <c r="AC1104" s="46"/>
      <c r="AD1104" s="46"/>
      <c r="AE1104" s="46"/>
      <c r="AF1104" s="46"/>
      <c r="AG1104" s="46"/>
      <c r="AH1104" s="46"/>
      <c r="AI1104" s="46"/>
      <c r="AJ1104" s="46"/>
      <c r="AK1104" s="46"/>
      <c r="AL1104" s="46"/>
      <c r="AM1104" s="46"/>
      <c r="AN1104" s="46"/>
      <c r="AO1104" s="46"/>
      <c r="AP1104" s="46"/>
      <c r="AQ1104" s="46"/>
      <c r="AR1104" s="46"/>
      <c r="AS1104" s="46"/>
      <c r="AT1104" s="46"/>
      <c r="AU1104" s="46"/>
      <c r="AV1104" s="46"/>
      <c r="AW1104" s="46"/>
      <c r="AX1104" s="46"/>
      <c r="AY1104" s="46"/>
      <c r="AZ1104" s="46"/>
      <c r="BA1104" s="46"/>
      <c r="BB1104" s="46"/>
      <c r="BC1104" s="46"/>
      <c r="BD1104" s="46"/>
      <c r="BE1104" s="46"/>
      <c r="BF1104" s="46"/>
      <c r="BG1104" s="46"/>
      <c r="BH1104" s="46"/>
    </row>
    <row r="1105" spans="1:60" ht="14.25" customHeight="1" x14ac:dyDescent="0.3">
      <c r="A1105" s="46"/>
      <c r="B1105" s="37"/>
      <c r="C1105" s="46"/>
      <c r="D1105" s="46"/>
      <c r="E1105" s="46"/>
      <c r="F1105" s="46"/>
      <c r="G1105" s="46"/>
      <c r="H1105" s="46"/>
      <c r="I1105" s="46"/>
      <c r="J1105" s="46"/>
      <c r="K1105" s="46"/>
      <c r="L1105" s="46"/>
      <c r="M1105" s="46"/>
      <c r="N1105" s="46"/>
      <c r="O1105" s="46"/>
      <c r="P1105" s="46"/>
      <c r="Q1105" s="46"/>
      <c r="R1105" s="46"/>
      <c r="S1105" s="46"/>
      <c r="T1105" s="46"/>
      <c r="U1105" s="46"/>
      <c r="V1105" s="46"/>
      <c r="W1105" s="46"/>
      <c r="X1105" s="46"/>
      <c r="Y1105" s="46"/>
      <c r="Z1105" s="46"/>
      <c r="AA1105" s="46"/>
      <c r="AB1105" s="46"/>
      <c r="AC1105" s="46"/>
      <c r="AD1105" s="46"/>
      <c r="AE1105" s="46"/>
      <c r="AF1105" s="46"/>
      <c r="AG1105" s="46"/>
      <c r="AH1105" s="46"/>
      <c r="AI1105" s="46"/>
      <c r="AJ1105" s="46"/>
      <c r="AK1105" s="46"/>
      <c r="AL1105" s="46"/>
      <c r="AM1105" s="46"/>
      <c r="AN1105" s="46"/>
      <c r="AO1105" s="46"/>
      <c r="AP1105" s="46"/>
      <c r="AQ1105" s="46"/>
      <c r="AR1105" s="46"/>
      <c r="AS1105" s="46"/>
      <c r="AT1105" s="46"/>
      <c r="AU1105" s="46"/>
      <c r="AV1105" s="46"/>
      <c r="AW1105" s="46"/>
      <c r="AX1105" s="46"/>
      <c r="AY1105" s="46"/>
      <c r="AZ1105" s="46"/>
      <c r="BA1105" s="46"/>
      <c r="BB1105" s="46"/>
      <c r="BC1105" s="46"/>
      <c r="BD1105" s="46"/>
      <c r="BE1105" s="46"/>
      <c r="BF1105" s="46"/>
      <c r="BG1105" s="46"/>
      <c r="BH1105" s="46"/>
    </row>
    <row r="1106" spans="1:60" ht="14.25" customHeight="1" x14ac:dyDescent="0.3">
      <c r="A1106" s="46"/>
      <c r="B1106" s="37"/>
      <c r="C1106" s="46"/>
      <c r="D1106" s="46"/>
      <c r="E1106" s="46"/>
      <c r="F1106" s="46"/>
      <c r="G1106" s="46"/>
      <c r="H1106" s="46"/>
      <c r="I1106" s="46"/>
      <c r="J1106" s="46"/>
      <c r="K1106" s="46"/>
      <c r="L1106" s="46"/>
      <c r="M1106" s="46"/>
      <c r="N1106" s="46"/>
      <c r="O1106" s="46"/>
      <c r="P1106" s="46"/>
      <c r="Q1106" s="46"/>
      <c r="R1106" s="46"/>
      <c r="S1106" s="46"/>
      <c r="T1106" s="46"/>
      <c r="U1106" s="46"/>
      <c r="V1106" s="46"/>
      <c r="W1106" s="46"/>
      <c r="X1106" s="46"/>
      <c r="Y1106" s="46"/>
      <c r="Z1106" s="46"/>
      <c r="AA1106" s="46"/>
      <c r="AB1106" s="46"/>
      <c r="AC1106" s="46"/>
      <c r="AD1106" s="46"/>
      <c r="AE1106" s="46"/>
      <c r="AF1106" s="46"/>
      <c r="AG1106" s="46"/>
      <c r="AH1106" s="46"/>
      <c r="AI1106" s="46"/>
      <c r="AJ1106" s="46"/>
      <c r="AK1106" s="46"/>
      <c r="AL1106" s="46"/>
      <c r="AM1106" s="46"/>
      <c r="AN1106" s="46"/>
      <c r="AO1106" s="46"/>
      <c r="AP1106" s="46"/>
      <c r="AQ1106" s="46"/>
      <c r="AR1106" s="46"/>
      <c r="AS1106" s="46"/>
      <c r="AT1106" s="46"/>
      <c r="AU1106" s="46"/>
      <c r="AV1106" s="46"/>
      <c r="AW1106" s="46"/>
      <c r="AX1106" s="46"/>
      <c r="AY1106" s="46"/>
      <c r="AZ1106" s="46"/>
      <c r="BA1106" s="46"/>
      <c r="BB1106" s="46"/>
      <c r="BC1106" s="46"/>
      <c r="BD1106" s="46"/>
      <c r="BE1106" s="46"/>
      <c r="BF1106" s="46"/>
      <c r="BG1106" s="46"/>
      <c r="BH1106" s="46"/>
    </row>
    <row r="1107" spans="1:60" ht="14.25" customHeight="1" x14ac:dyDescent="0.3">
      <c r="A1107" s="46"/>
      <c r="B1107" s="37"/>
      <c r="C1107" s="46"/>
      <c r="D1107" s="46"/>
      <c r="E1107" s="46"/>
      <c r="F1107" s="46"/>
      <c r="G1107" s="46"/>
      <c r="H1107" s="46"/>
      <c r="I1107" s="46"/>
      <c r="J1107" s="46"/>
      <c r="K1107" s="46"/>
      <c r="L1107" s="46"/>
      <c r="M1107" s="46"/>
      <c r="N1107" s="46"/>
      <c r="O1107" s="46"/>
      <c r="P1107" s="46"/>
      <c r="Q1107" s="46"/>
      <c r="R1107" s="46"/>
      <c r="S1107" s="46"/>
      <c r="T1107" s="46"/>
      <c r="U1107" s="46"/>
      <c r="V1107" s="46"/>
      <c r="W1107" s="46"/>
      <c r="X1107" s="46"/>
      <c r="Y1107" s="46"/>
      <c r="Z1107" s="46"/>
      <c r="AA1107" s="46"/>
      <c r="AB1107" s="46"/>
      <c r="AC1107" s="46"/>
      <c r="AD1107" s="46"/>
      <c r="AE1107" s="46"/>
      <c r="AF1107" s="46"/>
      <c r="AG1107" s="46"/>
      <c r="AH1107" s="46"/>
      <c r="AI1107" s="46"/>
      <c r="AJ1107" s="46"/>
      <c r="AK1107" s="46"/>
      <c r="AL1107" s="46"/>
      <c r="AM1107" s="46"/>
      <c r="AN1107" s="46"/>
      <c r="AO1107" s="46"/>
      <c r="AP1107" s="46"/>
      <c r="AQ1107" s="46"/>
      <c r="AR1107" s="46"/>
      <c r="AS1107" s="46"/>
      <c r="AT1107" s="46"/>
      <c r="AU1107" s="46"/>
      <c r="AV1107" s="46"/>
      <c r="AW1107" s="46"/>
      <c r="AX1107" s="46"/>
      <c r="AY1107" s="46"/>
      <c r="AZ1107" s="46"/>
      <c r="BA1107" s="46"/>
      <c r="BB1107" s="46"/>
      <c r="BC1107" s="46"/>
      <c r="BD1107" s="46"/>
      <c r="BE1107" s="46"/>
      <c r="BF1107" s="46"/>
      <c r="BG1107" s="46"/>
      <c r="BH1107" s="46"/>
    </row>
    <row r="1108" spans="1:60" ht="14.25" customHeight="1" x14ac:dyDescent="0.3">
      <c r="A1108" s="46"/>
      <c r="B1108" s="37"/>
      <c r="C1108" s="46"/>
      <c r="D1108" s="46"/>
      <c r="E1108" s="46"/>
      <c r="F1108" s="46"/>
      <c r="G1108" s="46"/>
      <c r="H1108" s="46"/>
      <c r="I1108" s="46"/>
      <c r="J1108" s="46"/>
      <c r="K1108" s="46"/>
      <c r="L1108" s="46"/>
      <c r="M1108" s="46"/>
      <c r="N1108" s="46"/>
      <c r="O1108" s="46"/>
      <c r="P1108" s="46"/>
      <c r="Q1108" s="46"/>
      <c r="R1108" s="46"/>
      <c r="S1108" s="46"/>
      <c r="T1108" s="46"/>
      <c r="U1108" s="46"/>
      <c r="V1108" s="46"/>
      <c r="W1108" s="46"/>
      <c r="X1108" s="46"/>
      <c r="Y1108" s="46"/>
      <c r="Z1108" s="46"/>
      <c r="AA1108" s="46"/>
      <c r="AB1108" s="46"/>
      <c r="AC1108" s="46"/>
      <c r="AD1108" s="46"/>
      <c r="AE1108" s="46"/>
      <c r="AF1108" s="46"/>
      <c r="AG1108" s="46"/>
      <c r="AH1108" s="46"/>
      <c r="AI1108" s="46"/>
      <c r="AJ1108" s="46"/>
      <c r="AK1108" s="46"/>
      <c r="AL1108" s="46"/>
      <c r="AM1108" s="46"/>
      <c r="AN1108" s="46"/>
      <c r="AO1108" s="46"/>
      <c r="AP1108" s="46"/>
      <c r="AQ1108" s="46"/>
      <c r="AR1108" s="46"/>
      <c r="AS1108" s="46"/>
      <c r="AT1108" s="46"/>
      <c r="AU1108" s="46"/>
      <c r="AV1108" s="46"/>
      <c r="AW1108" s="46"/>
      <c r="AX1108" s="46"/>
      <c r="AY1108" s="46"/>
      <c r="AZ1108" s="46"/>
      <c r="BA1108" s="46"/>
      <c r="BB1108" s="46"/>
      <c r="BC1108" s="46"/>
      <c r="BD1108" s="46"/>
      <c r="BE1108" s="46"/>
      <c r="BF1108" s="46"/>
      <c r="BG1108" s="46"/>
      <c r="BH1108" s="46"/>
    </row>
    <row r="1109" spans="1:60" ht="14.25" customHeight="1" x14ac:dyDescent="0.3">
      <c r="A1109" s="46"/>
      <c r="B1109" s="37"/>
      <c r="C1109" s="46"/>
      <c r="D1109" s="46"/>
      <c r="E1109" s="46"/>
      <c r="F1109" s="46"/>
      <c r="G1109" s="46"/>
      <c r="H1109" s="46"/>
      <c r="I1109" s="46"/>
      <c r="J1109" s="46"/>
      <c r="K1109" s="46"/>
      <c r="L1109" s="46"/>
      <c r="M1109" s="46"/>
      <c r="N1109" s="46"/>
      <c r="O1109" s="46"/>
      <c r="P1109" s="46"/>
      <c r="Q1109" s="46"/>
      <c r="R1109" s="46"/>
      <c r="S1109" s="46"/>
      <c r="T1109" s="46"/>
      <c r="U1109" s="46"/>
      <c r="V1109" s="46"/>
      <c r="W1109" s="46"/>
      <c r="X1109" s="46"/>
      <c r="Y1109" s="46"/>
      <c r="Z1109" s="46"/>
      <c r="AA1109" s="46"/>
      <c r="AB1109" s="46"/>
      <c r="AC1109" s="46"/>
      <c r="AD1109" s="46"/>
      <c r="AE1109" s="46"/>
      <c r="AF1109" s="46"/>
      <c r="AG1109" s="46"/>
      <c r="AH1109" s="46"/>
      <c r="AI1109" s="46"/>
      <c r="AJ1109" s="46"/>
      <c r="AK1109" s="46"/>
      <c r="AL1109" s="46"/>
      <c r="AM1109" s="46"/>
      <c r="AN1109" s="46"/>
      <c r="AO1109" s="46"/>
      <c r="AP1109" s="46"/>
      <c r="AQ1109" s="46"/>
      <c r="AR1109" s="46"/>
      <c r="AS1109" s="46"/>
      <c r="AT1109" s="46"/>
      <c r="AU1109" s="46"/>
      <c r="AV1109" s="46"/>
      <c r="AW1109" s="46"/>
      <c r="AX1109" s="46"/>
      <c r="AY1109" s="46"/>
      <c r="AZ1109" s="46"/>
      <c r="BA1109" s="46"/>
      <c r="BB1109" s="46"/>
      <c r="BC1109" s="46"/>
      <c r="BD1109" s="46"/>
      <c r="BE1109" s="46"/>
      <c r="BF1109" s="46"/>
      <c r="BG1109" s="46"/>
      <c r="BH1109" s="46"/>
    </row>
    <row r="1110" spans="1:60" ht="14.25" customHeight="1" x14ac:dyDescent="0.3">
      <c r="A1110" s="46"/>
      <c r="B1110" s="37"/>
      <c r="C1110" s="46"/>
      <c r="D1110" s="46"/>
      <c r="E1110" s="46"/>
      <c r="F1110" s="46"/>
      <c r="G1110" s="46"/>
      <c r="H1110" s="46"/>
      <c r="I1110" s="46"/>
      <c r="J1110" s="46"/>
      <c r="K1110" s="46"/>
      <c r="L1110" s="46"/>
      <c r="M1110" s="46"/>
      <c r="N1110" s="46"/>
      <c r="O1110" s="46"/>
      <c r="P1110" s="46"/>
      <c r="Q1110" s="46"/>
      <c r="R1110" s="46"/>
      <c r="S1110" s="46"/>
      <c r="T1110" s="46"/>
      <c r="U1110" s="46"/>
      <c r="V1110" s="46"/>
      <c r="W1110" s="46"/>
      <c r="X1110" s="46"/>
      <c r="Y1110" s="46"/>
      <c r="Z1110" s="46"/>
      <c r="AA1110" s="46"/>
      <c r="AB1110" s="46"/>
      <c r="AC1110" s="46"/>
      <c r="AD1110" s="46"/>
      <c r="AE1110" s="46"/>
      <c r="AF1110" s="46"/>
      <c r="AG1110" s="46"/>
      <c r="AH1110" s="46"/>
      <c r="AI1110" s="46"/>
      <c r="AJ1110" s="46"/>
      <c r="AK1110" s="46"/>
      <c r="AL1110" s="46"/>
      <c r="AM1110" s="46"/>
      <c r="AN1110" s="46"/>
      <c r="AO1110" s="46"/>
      <c r="AP1110" s="46"/>
      <c r="AQ1110" s="46"/>
      <c r="AR1110" s="46"/>
      <c r="AS1110" s="46"/>
      <c r="AT1110" s="46"/>
      <c r="AU1110" s="46"/>
      <c r="AV1110" s="46"/>
      <c r="AW1110" s="46"/>
      <c r="AX1110" s="46"/>
      <c r="AY1110" s="46"/>
      <c r="AZ1110" s="46"/>
      <c r="BA1110" s="46"/>
      <c r="BB1110" s="46"/>
      <c r="BC1110" s="46"/>
      <c r="BD1110" s="46"/>
      <c r="BE1110" s="46"/>
      <c r="BF1110" s="46"/>
      <c r="BG1110" s="46"/>
      <c r="BH1110" s="46"/>
    </row>
    <row r="1111" spans="1:60" ht="14.25" customHeight="1" x14ac:dyDescent="0.3">
      <c r="A1111" s="46"/>
      <c r="B1111" s="37"/>
      <c r="C1111" s="46"/>
      <c r="D1111" s="46"/>
      <c r="E1111" s="46"/>
      <c r="F1111" s="46"/>
      <c r="G1111" s="46"/>
      <c r="H1111" s="46"/>
      <c r="I1111" s="46"/>
      <c r="J1111" s="46"/>
      <c r="K1111" s="46"/>
      <c r="L1111" s="46"/>
      <c r="M1111" s="46"/>
      <c r="N1111" s="46"/>
      <c r="O1111" s="46"/>
      <c r="P1111" s="46"/>
      <c r="Q1111" s="46"/>
      <c r="R1111" s="46"/>
      <c r="S1111" s="46"/>
      <c r="T1111" s="46"/>
      <c r="U1111" s="46"/>
      <c r="V1111" s="46"/>
      <c r="W1111" s="46"/>
      <c r="X1111" s="46"/>
      <c r="Y1111" s="46"/>
      <c r="Z1111" s="46"/>
      <c r="AA1111" s="46"/>
      <c r="AB1111" s="46"/>
      <c r="AC1111" s="46"/>
      <c r="AD1111" s="46"/>
      <c r="AE1111" s="46"/>
      <c r="AF1111" s="46"/>
      <c r="AG1111" s="46"/>
      <c r="AH1111" s="46"/>
      <c r="AI1111" s="46"/>
      <c r="AJ1111" s="46"/>
      <c r="AK1111" s="46"/>
      <c r="AL1111" s="46"/>
      <c r="AM1111" s="46"/>
      <c r="AN1111" s="46"/>
      <c r="AO1111" s="46"/>
      <c r="AP1111" s="46"/>
      <c r="AQ1111" s="46"/>
      <c r="AR1111" s="46"/>
      <c r="AS1111" s="46"/>
      <c r="AT1111" s="46"/>
      <c r="AU1111" s="46"/>
      <c r="AV1111" s="46"/>
      <c r="AW1111" s="46"/>
      <c r="AX1111" s="46"/>
      <c r="AY1111" s="46"/>
      <c r="AZ1111" s="46"/>
      <c r="BA1111" s="46"/>
      <c r="BB1111" s="46"/>
      <c r="BC1111" s="46"/>
      <c r="BD1111" s="46"/>
      <c r="BE1111" s="46"/>
      <c r="BF1111" s="46"/>
      <c r="BG1111" s="46"/>
      <c r="BH1111" s="46"/>
    </row>
    <row r="1112" spans="1:60" ht="14.25" customHeight="1" x14ac:dyDescent="0.3">
      <c r="A1112" s="46"/>
      <c r="B1112" s="37"/>
      <c r="C1112" s="46"/>
      <c r="D1112" s="46"/>
      <c r="E1112" s="46"/>
      <c r="F1112" s="46"/>
      <c r="G1112" s="46"/>
      <c r="H1112" s="46"/>
      <c r="I1112" s="46"/>
      <c r="J1112" s="46"/>
      <c r="K1112" s="46"/>
      <c r="L1112" s="46"/>
      <c r="M1112" s="46"/>
      <c r="N1112" s="46"/>
      <c r="O1112" s="46"/>
      <c r="P1112" s="46"/>
      <c r="Q1112" s="46"/>
      <c r="R1112" s="46"/>
      <c r="S1112" s="46"/>
      <c r="T1112" s="46"/>
      <c r="U1112" s="46"/>
      <c r="V1112" s="46"/>
      <c r="W1112" s="46"/>
      <c r="X1112" s="46"/>
      <c r="Y1112" s="46"/>
      <c r="Z1112" s="46"/>
      <c r="AA1112" s="46"/>
      <c r="AB1112" s="46"/>
      <c r="AC1112" s="46"/>
      <c r="AD1112" s="46"/>
      <c r="AE1112" s="46"/>
      <c r="AF1112" s="46"/>
      <c r="AG1112" s="46"/>
      <c r="AH1112" s="46"/>
      <c r="AI1112" s="46"/>
      <c r="AJ1112" s="46"/>
      <c r="AK1112" s="46"/>
      <c r="AL1112" s="46"/>
      <c r="AM1112" s="46"/>
      <c r="AN1112" s="46"/>
      <c r="AO1112" s="46"/>
      <c r="AP1112" s="46"/>
      <c r="AQ1112" s="46"/>
      <c r="AR1112" s="46"/>
      <c r="AS1112" s="46"/>
      <c r="AT1112" s="46"/>
      <c r="AU1112" s="46"/>
      <c r="AV1112" s="46"/>
      <c r="AW1112" s="46"/>
      <c r="AX1112" s="46"/>
      <c r="AY1112" s="46"/>
      <c r="AZ1112" s="46"/>
      <c r="BA1112" s="46"/>
      <c r="BB1112" s="46"/>
      <c r="BC1112" s="46"/>
      <c r="BD1112" s="46"/>
      <c r="BE1112" s="46"/>
      <c r="BF1112" s="46"/>
      <c r="BG1112" s="46"/>
      <c r="BH1112" s="46"/>
    </row>
    <row r="1113" spans="1:60" ht="14.25" customHeight="1" x14ac:dyDescent="0.3">
      <c r="A1113" s="46"/>
      <c r="B1113" s="37"/>
      <c r="C1113" s="46"/>
      <c r="D1113" s="46"/>
      <c r="E1113" s="46"/>
      <c r="F1113" s="46"/>
      <c r="G1113" s="46"/>
      <c r="H1113" s="46"/>
      <c r="I1113" s="46"/>
      <c r="J1113" s="46"/>
      <c r="K1113" s="46"/>
      <c r="L1113" s="46"/>
      <c r="M1113" s="46"/>
      <c r="N1113" s="46"/>
      <c r="O1113" s="46"/>
      <c r="P1113" s="46"/>
      <c r="Q1113" s="46"/>
      <c r="R1113" s="46"/>
      <c r="S1113" s="46"/>
      <c r="T1113" s="46"/>
      <c r="U1113" s="46"/>
      <c r="V1113" s="46"/>
      <c r="W1113" s="46"/>
      <c r="X1113" s="46"/>
      <c r="Y1113" s="46"/>
      <c r="Z1113" s="46"/>
      <c r="AA1113" s="46"/>
      <c r="AB1113" s="46"/>
      <c r="AC1113" s="46"/>
      <c r="AD1113" s="46"/>
      <c r="AE1113" s="46"/>
      <c r="AF1113" s="46"/>
      <c r="AG1113" s="46"/>
      <c r="AH1113" s="46"/>
      <c r="AI1113" s="46"/>
      <c r="AJ1113" s="46"/>
      <c r="AK1113" s="46"/>
      <c r="AL1113" s="46"/>
      <c r="AM1113" s="46"/>
      <c r="AN1113" s="46"/>
      <c r="AO1113" s="46"/>
      <c r="AP1113" s="46"/>
      <c r="AQ1113" s="46"/>
      <c r="AR1113" s="46"/>
      <c r="AS1113" s="46"/>
      <c r="AT1113" s="46"/>
      <c r="AU1113" s="46"/>
      <c r="AV1113" s="46"/>
      <c r="AW1113" s="46"/>
      <c r="AX1113" s="46"/>
      <c r="AY1113" s="46"/>
      <c r="AZ1113" s="46"/>
      <c r="BA1113" s="46"/>
      <c r="BB1113" s="46"/>
      <c r="BC1113" s="46"/>
      <c r="BD1113" s="46"/>
      <c r="BE1113" s="46"/>
      <c r="BF1113" s="46"/>
      <c r="BG1113" s="46"/>
      <c r="BH1113" s="46"/>
    </row>
    <row r="1114" spans="1:60" ht="14.25" customHeight="1" x14ac:dyDescent="0.3">
      <c r="A1114" s="46"/>
      <c r="B1114" s="37"/>
      <c r="C1114" s="46"/>
      <c r="D1114" s="46"/>
      <c r="E1114" s="46"/>
      <c r="F1114" s="46"/>
      <c r="G1114" s="46"/>
      <c r="H1114" s="46"/>
      <c r="I1114" s="46"/>
      <c r="J1114" s="46"/>
      <c r="K1114" s="46"/>
      <c r="L1114" s="46"/>
      <c r="M1114" s="46"/>
      <c r="N1114" s="46"/>
      <c r="O1114" s="46"/>
      <c r="P1114" s="46"/>
      <c r="Q1114" s="46"/>
      <c r="R1114" s="46"/>
      <c r="S1114" s="46"/>
      <c r="T1114" s="46"/>
      <c r="U1114" s="46"/>
      <c r="V1114" s="46"/>
      <c r="W1114" s="46"/>
      <c r="X1114" s="46"/>
      <c r="Y1114" s="46"/>
      <c r="Z1114" s="46"/>
      <c r="AA1114" s="46"/>
      <c r="AB1114" s="46"/>
      <c r="AC1114" s="46"/>
      <c r="AD1114" s="46"/>
      <c r="AE1114" s="46"/>
      <c r="AF1114" s="46"/>
      <c r="AG1114" s="46"/>
      <c r="AH1114" s="46"/>
      <c r="AI1114" s="46"/>
      <c r="AJ1114" s="46"/>
      <c r="AK1114" s="46"/>
      <c r="AL1114" s="46"/>
      <c r="AM1114" s="46"/>
      <c r="AN1114" s="46"/>
      <c r="AO1114" s="46"/>
      <c r="AP1114" s="46"/>
      <c r="AQ1114" s="46"/>
      <c r="AR1114" s="46"/>
      <c r="AS1114" s="46"/>
      <c r="AT1114" s="46"/>
      <c r="AU1114" s="46"/>
      <c r="AV1114" s="46"/>
      <c r="AW1114" s="46"/>
      <c r="AX1114" s="46"/>
      <c r="AY1114" s="46"/>
      <c r="AZ1114" s="46"/>
      <c r="BA1114" s="46"/>
      <c r="BB1114" s="46"/>
      <c r="BC1114" s="46"/>
      <c r="BD1114" s="46"/>
      <c r="BE1114" s="46"/>
      <c r="BF1114" s="46"/>
      <c r="BG1114" s="46"/>
      <c r="BH1114" s="46"/>
    </row>
    <row r="1115" spans="1:60" ht="14.25" customHeight="1" x14ac:dyDescent="0.3">
      <c r="A1115" s="46"/>
      <c r="B1115" s="37"/>
      <c r="C1115" s="46"/>
      <c r="D1115" s="46"/>
      <c r="E1115" s="46"/>
      <c r="F1115" s="46"/>
      <c r="G1115" s="46"/>
      <c r="H1115" s="46"/>
      <c r="I1115" s="46"/>
      <c r="J1115" s="46"/>
      <c r="K1115" s="46"/>
      <c r="L1115" s="46"/>
      <c r="M1115" s="46"/>
      <c r="N1115" s="46"/>
      <c r="O1115" s="46"/>
      <c r="P1115" s="46"/>
      <c r="Q1115" s="46"/>
      <c r="R1115" s="46"/>
      <c r="S1115" s="46"/>
      <c r="T1115" s="46"/>
      <c r="U1115" s="46"/>
      <c r="V1115" s="46"/>
      <c r="W1115" s="46"/>
      <c r="X1115" s="46"/>
      <c r="Y1115" s="46"/>
      <c r="Z1115" s="46"/>
      <c r="AA1115" s="46"/>
      <c r="AB1115" s="46"/>
      <c r="AC1115" s="46"/>
      <c r="AD1115" s="46"/>
      <c r="AE1115" s="46"/>
      <c r="AF1115" s="46"/>
      <c r="AG1115" s="46"/>
      <c r="AH1115" s="46"/>
      <c r="AI1115" s="46"/>
      <c r="AJ1115" s="46"/>
      <c r="AK1115" s="46"/>
      <c r="AL1115" s="46"/>
      <c r="AM1115" s="46"/>
      <c r="AN1115" s="46"/>
      <c r="AO1115" s="46"/>
      <c r="AP1115" s="46"/>
      <c r="AQ1115" s="46"/>
      <c r="AR1115" s="46"/>
      <c r="AS1115" s="46"/>
      <c r="AT1115" s="46"/>
      <c r="AU1115" s="46"/>
      <c r="AV1115" s="46"/>
      <c r="AW1115" s="46"/>
      <c r="AX1115" s="46"/>
      <c r="AY1115" s="46"/>
      <c r="AZ1115" s="46"/>
      <c r="BA1115" s="46"/>
      <c r="BB1115" s="46"/>
      <c r="BC1115" s="46"/>
      <c r="BD1115" s="46"/>
      <c r="BE1115" s="46"/>
      <c r="BF1115" s="46"/>
      <c r="BG1115" s="46"/>
      <c r="BH1115" s="46"/>
    </row>
    <row r="1116" spans="1:60" ht="14.25" customHeight="1" x14ac:dyDescent="0.3">
      <c r="A1116" s="46"/>
      <c r="B1116" s="37"/>
      <c r="C1116" s="46"/>
      <c r="D1116" s="46"/>
      <c r="E1116" s="46"/>
      <c r="F1116" s="46"/>
      <c r="G1116" s="46"/>
      <c r="H1116" s="46"/>
      <c r="I1116" s="46"/>
      <c r="J1116" s="46"/>
      <c r="K1116" s="46"/>
      <c r="L1116" s="46"/>
      <c r="M1116" s="46"/>
      <c r="N1116" s="46"/>
      <c r="O1116" s="46"/>
      <c r="P1116" s="46"/>
      <c r="Q1116" s="46"/>
      <c r="R1116" s="46"/>
      <c r="S1116" s="46"/>
      <c r="T1116" s="46"/>
      <c r="U1116" s="46"/>
      <c r="V1116" s="46"/>
      <c r="W1116" s="46"/>
      <c r="X1116" s="46"/>
      <c r="Y1116" s="46"/>
      <c r="Z1116" s="46"/>
      <c r="AA1116" s="46"/>
      <c r="AB1116" s="46"/>
      <c r="AC1116" s="46"/>
      <c r="AD1116" s="46"/>
      <c r="AE1116" s="46"/>
      <c r="AF1116" s="46"/>
      <c r="AG1116" s="46"/>
      <c r="AH1116" s="46"/>
      <c r="AI1116" s="46"/>
      <c r="AJ1116" s="46"/>
      <c r="AK1116" s="46"/>
      <c r="AL1116" s="46"/>
      <c r="AM1116" s="46"/>
      <c r="AN1116" s="46"/>
      <c r="AO1116" s="46"/>
      <c r="AP1116" s="46"/>
      <c r="AQ1116" s="46"/>
      <c r="AR1116" s="46"/>
      <c r="AS1116" s="46"/>
      <c r="AT1116" s="46"/>
      <c r="AU1116" s="46"/>
      <c r="AV1116" s="46"/>
      <c r="AW1116" s="46"/>
      <c r="AX1116" s="46"/>
      <c r="AY1116" s="46"/>
      <c r="AZ1116" s="46"/>
      <c r="BA1116" s="46"/>
      <c r="BB1116" s="46"/>
      <c r="BC1116" s="46"/>
      <c r="BD1116" s="46"/>
      <c r="BE1116" s="46"/>
      <c r="BF1116" s="46"/>
      <c r="BG1116" s="46"/>
      <c r="BH1116" s="46"/>
    </row>
    <row r="1117" spans="1:60" ht="14.25" customHeight="1" x14ac:dyDescent="0.3">
      <c r="A1117" s="46"/>
      <c r="B1117" s="37"/>
      <c r="C1117" s="46"/>
      <c r="D1117" s="46"/>
      <c r="E1117" s="46"/>
      <c r="F1117" s="46"/>
      <c r="G1117" s="46"/>
      <c r="H1117" s="46"/>
      <c r="I1117" s="46"/>
      <c r="J1117" s="46"/>
      <c r="K1117" s="46"/>
      <c r="L1117" s="46"/>
      <c r="M1117" s="46"/>
      <c r="N1117" s="46"/>
      <c r="O1117" s="46"/>
      <c r="P1117" s="46"/>
      <c r="Q1117" s="46"/>
      <c r="R1117" s="46"/>
      <c r="S1117" s="46"/>
      <c r="T1117" s="46"/>
      <c r="U1117" s="46"/>
      <c r="V1117" s="46"/>
      <c r="W1117" s="46"/>
      <c r="X1117" s="46"/>
      <c r="Y1117" s="46"/>
      <c r="Z1117" s="46"/>
      <c r="AA1117" s="46"/>
      <c r="AB1117" s="46"/>
      <c r="AC1117" s="46"/>
      <c r="AD1117" s="46"/>
      <c r="AE1117" s="46"/>
      <c r="AF1117" s="46"/>
      <c r="AG1117" s="46"/>
      <c r="AH1117" s="46"/>
      <c r="AI1117" s="46"/>
      <c r="AJ1117" s="46"/>
      <c r="AK1117" s="46"/>
      <c r="AL1117" s="46"/>
      <c r="AM1117" s="46"/>
      <c r="AN1117" s="46"/>
      <c r="AO1117" s="46"/>
      <c r="AP1117" s="46"/>
      <c r="AQ1117" s="46"/>
      <c r="AR1117" s="46"/>
      <c r="AS1117" s="46"/>
      <c r="AT1117" s="46"/>
      <c r="AU1117" s="46"/>
      <c r="AV1117" s="46"/>
      <c r="AW1117" s="46"/>
      <c r="AX1117" s="46"/>
      <c r="AY1117" s="46"/>
      <c r="AZ1117" s="46"/>
      <c r="BA1117" s="46"/>
      <c r="BB1117" s="46"/>
      <c r="BC1117" s="46"/>
      <c r="BD1117" s="46"/>
      <c r="BE1117" s="46"/>
      <c r="BF1117" s="46"/>
      <c r="BG1117" s="46"/>
      <c r="BH1117" s="46"/>
    </row>
    <row r="1118" spans="1:60" ht="14.25" customHeight="1" x14ac:dyDescent="0.3">
      <c r="A1118" s="46"/>
      <c r="B1118" s="37"/>
      <c r="C1118" s="46"/>
      <c r="D1118" s="46"/>
      <c r="E1118" s="46"/>
      <c r="F1118" s="46"/>
      <c r="G1118" s="46"/>
      <c r="H1118" s="46"/>
      <c r="I1118" s="46"/>
      <c r="J1118" s="46"/>
      <c r="K1118" s="46"/>
      <c r="L1118" s="46"/>
      <c r="M1118" s="46"/>
      <c r="N1118" s="46"/>
      <c r="O1118" s="46"/>
      <c r="P1118" s="46"/>
      <c r="Q1118" s="46"/>
      <c r="R1118" s="46"/>
      <c r="S1118" s="46"/>
      <c r="T1118" s="46"/>
      <c r="U1118" s="46"/>
      <c r="V1118" s="46"/>
      <c r="W1118" s="46"/>
      <c r="X1118" s="46"/>
      <c r="Y1118" s="46"/>
      <c r="Z1118" s="46"/>
      <c r="AA1118" s="46"/>
      <c r="AB1118" s="46"/>
      <c r="AC1118" s="46"/>
      <c r="AD1118" s="46"/>
      <c r="AE1118" s="46"/>
      <c r="AF1118" s="46"/>
      <c r="AG1118" s="46"/>
      <c r="AH1118" s="46"/>
      <c r="AI1118" s="46"/>
      <c r="AJ1118" s="46"/>
      <c r="AK1118" s="46"/>
      <c r="AL1118" s="46"/>
      <c r="AM1118" s="46"/>
      <c r="AN1118" s="46"/>
      <c r="AO1118" s="46"/>
      <c r="AP1118" s="46"/>
      <c r="AQ1118" s="46"/>
      <c r="AR1118" s="46"/>
      <c r="AS1118" s="46"/>
      <c r="AT1118" s="46"/>
      <c r="AU1118" s="46"/>
      <c r="AV1118" s="46"/>
      <c r="AW1118" s="46"/>
      <c r="AX1118" s="46"/>
      <c r="AY1118" s="46"/>
      <c r="AZ1118" s="46"/>
      <c r="BA1118" s="46"/>
      <c r="BB1118" s="46"/>
      <c r="BC1118" s="46"/>
      <c r="BD1118" s="46"/>
      <c r="BE1118" s="46"/>
      <c r="BF1118" s="46"/>
      <c r="BG1118" s="46"/>
      <c r="BH1118" s="46"/>
    </row>
    <row r="1119" spans="1:60" ht="14.25" customHeight="1" x14ac:dyDescent="0.3">
      <c r="A1119" s="46"/>
      <c r="B1119" s="37"/>
      <c r="C1119" s="46"/>
      <c r="D1119" s="46"/>
      <c r="E1119" s="46"/>
      <c r="F1119" s="46"/>
      <c r="G1119" s="46"/>
      <c r="H1119" s="46"/>
      <c r="I1119" s="46"/>
      <c r="J1119" s="46"/>
      <c r="K1119" s="46"/>
      <c r="L1119" s="46"/>
      <c r="M1119" s="46"/>
      <c r="N1119" s="46"/>
      <c r="O1119" s="46"/>
      <c r="P1119" s="46"/>
      <c r="Q1119" s="46"/>
      <c r="R1119" s="46"/>
      <c r="S1119" s="46"/>
      <c r="T1119" s="46"/>
      <c r="U1119" s="46"/>
      <c r="V1119" s="46"/>
      <c r="W1119" s="46"/>
      <c r="X1119" s="46"/>
      <c r="Y1119" s="46"/>
      <c r="Z1119" s="46"/>
      <c r="AA1119" s="46"/>
      <c r="AB1119" s="46"/>
      <c r="AC1119" s="46"/>
      <c r="AD1119" s="46"/>
      <c r="AE1119" s="46"/>
      <c r="AF1119" s="46"/>
      <c r="AG1119" s="46"/>
      <c r="AH1119" s="46"/>
      <c r="AI1119" s="46"/>
      <c r="AJ1119" s="46"/>
      <c r="AK1119" s="46"/>
      <c r="AL1119" s="46"/>
      <c r="AM1119" s="46"/>
      <c r="AN1119" s="46"/>
      <c r="AO1119" s="46"/>
      <c r="AP1119" s="46"/>
      <c r="AQ1119" s="46"/>
      <c r="AR1119" s="46"/>
      <c r="AS1119" s="46"/>
      <c r="AT1119" s="46"/>
      <c r="AU1119" s="46"/>
      <c r="AV1119" s="46"/>
      <c r="AW1119" s="46"/>
      <c r="AX1119" s="46"/>
      <c r="AY1119" s="46"/>
      <c r="AZ1119" s="46"/>
      <c r="BA1119" s="46"/>
      <c r="BB1119" s="46"/>
      <c r="BC1119" s="46"/>
      <c r="BD1119" s="46"/>
      <c r="BE1119" s="46"/>
      <c r="BF1119" s="46"/>
      <c r="BG1119" s="46"/>
      <c r="BH1119" s="46"/>
    </row>
    <row r="1120" spans="1:60" ht="14.25" customHeight="1" x14ac:dyDescent="0.3">
      <c r="A1120" s="46"/>
      <c r="B1120" s="37"/>
      <c r="C1120" s="46"/>
      <c r="D1120" s="46"/>
      <c r="E1120" s="46"/>
      <c r="F1120" s="46"/>
      <c r="G1120" s="46"/>
      <c r="H1120" s="46"/>
      <c r="I1120" s="46"/>
      <c r="J1120" s="46"/>
      <c r="K1120" s="46"/>
      <c r="L1120" s="46"/>
      <c r="M1120" s="46"/>
      <c r="N1120" s="46"/>
      <c r="O1120" s="46"/>
      <c r="P1120" s="46"/>
      <c r="Q1120" s="46"/>
      <c r="R1120" s="46"/>
      <c r="S1120" s="46"/>
      <c r="T1120" s="46"/>
      <c r="U1120" s="46"/>
      <c r="V1120" s="46"/>
      <c r="W1120" s="46"/>
      <c r="X1120" s="46"/>
      <c r="Y1120" s="46"/>
      <c r="Z1120" s="46"/>
      <c r="AA1120" s="46"/>
      <c r="AB1120" s="46"/>
      <c r="AC1120" s="46"/>
      <c r="AD1120" s="46"/>
      <c r="AE1120" s="46"/>
      <c r="AF1120" s="46"/>
      <c r="AG1120" s="46"/>
      <c r="AH1120" s="46"/>
      <c r="AI1120" s="46"/>
      <c r="AJ1120" s="46"/>
      <c r="AK1120" s="46"/>
      <c r="AL1120" s="46"/>
      <c r="AM1120" s="46"/>
      <c r="AN1120" s="46"/>
      <c r="AO1120" s="46"/>
      <c r="AP1120" s="46"/>
      <c r="AQ1120" s="46"/>
      <c r="AR1120" s="46"/>
      <c r="AS1120" s="46"/>
      <c r="AT1120" s="46"/>
      <c r="AU1120" s="46"/>
      <c r="AV1120" s="46"/>
      <c r="AW1120" s="46"/>
      <c r="AX1120" s="46"/>
      <c r="AY1120" s="46"/>
      <c r="AZ1120" s="46"/>
      <c r="BA1120" s="46"/>
      <c r="BB1120" s="46"/>
      <c r="BC1120" s="46"/>
      <c r="BD1120" s="46"/>
      <c r="BE1120" s="46"/>
      <c r="BF1120" s="46"/>
      <c r="BG1120" s="46"/>
      <c r="BH1120" s="46"/>
    </row>
    <row r="1121" spans="1:60" ht="14.25" customHeight="1" x14ac:dyDescent="0.3">
      <c r="A1121" s="46"/>
      <c r="B1121" s="37"/>
      <c r="C1121" s="46"/>
      <c r="D1121" s="46"/>
      <c r="E1121" s="46"/>
      <c r="F1121" s="46"/>
      <c r="G1121" s="46"/>
      <c r="H1121" s="46"/>
      <c r="I1121" s="46"/>
      <c r="J1121" s="46"/>
      <c r="K1121" s="46"/>
      <c r="L1121" s="46"/>
      <c r="M1121" s="46"/>
      <c r="N1121" s="46"/>
      <c r="O1121" s="46"/>
      <c r="P1121" s="46"/>
      <c r="Q1121" s="46"/>
      <c r="R1121" s="46"/>
      <c r="S1121" s="46"/>
      <c r="T1121" s="46"/>
      <c r="U1121" s="46"/>
      <c r="V1121" s="46"/>
      <c r="W1121" s="46"/>
      <c r="X1121" s="46"/>
      <c r="Y1121" s="46"/>
      <c r="Z1121" s="46"/>
      <c r="AA1121" s="46"/>
      <c r="AB1121" s="46"/>
      <c r="AC1121" s="46"/>
      <c r="AD1121" s="46"/>
      <c r="AE1121" s="46"/>
      <c r="AF1121" s="46"/>
      <c r="AG1121" s="46"/>
      <c r="AH1121" s="46"/>
      <c r="AI1121" s="46"/>
      <c r="AJ1121" s="46"/>
      <c r="AK1121" s="46"/>
      <c r="AL1121" s="46"/>
      <c r="AM1121" s="46"/>
      <c r="AN1121" s="46"/>
      <c r="AO1121" s="46"/>
      <c r="AP1121" s="46"/>
      <c r="AQ1121" s="46"/>
      <c r="AR1121" s="46"/>
      <c r="AS1121" s="46"/>
      <c r="AT1121" s="46"/>
      <c r="AU1121" s="46"/>
      <c r="AV1121" s="46"/>
      <c r="AW1121" s="46"/>
      <c r="AX1121" s="46"/>
      <c r="AY1121" s="46"/>
      <c r="AZ1121" s="46"/>
      <c r="BA1121" s="46"/>
      <c r="BB1121" s="46"/>
      <c r="BC1121" s="46"/>
      <c r="BD1121" s="46"/>
      <c r="BE1121" s="46"/>
      <c r="BF1121" s="46"/>
      <c r="BG1121" s="46"/>
      <c r="BH1121" s="46"/>
    </row>
    <row r="1122" spans="1:60" ht="14.25" customHeight="1" x14ac:dyDescent="0.3">
      <c r="A1122" s="46"/>
      <c r="B1122" s="37"/>
      <c r="C1122" s="46"/>
      <c r="D1122" s="46"/>
      <c r="E1122" s="46"/>
      <c r="F1122" s="46"/>
      <c r="G1122" s="46"/>
      <c r="H1122" s="46"/>
      <c r="I1122" s="46"/>
      <c r="J1122" s="46"/>
      <c r="K1122" s="46"/>
      <c r="L1122" s="46"/>
      <c r="M1122" s="46"/>
      <c r="N1122" s="46"/>
      <c r="O1122" s="46"/>
      <c r="P1122" s="46"/>
      <c r="Q1122" s="46"/>
      <c r="R1122" s="46"/>
      <c r="S1122" s="46"/>
      <c r="T1122" s="46"/>
      <c r="U1122" s="46"/>
      <c r="V1122" s="46"/>
      <c r="W1122" s="46"/>
      <c r="X1122" s="46"/>
      <c r="Y1122" s="46"/>
      <c r="Z1122" s="46"/>
      <c r="AA1122" s="46"/>
      <c r="AB1122" s="46"/>
      <c r="AC1122" s="46"/>
      <c r="AD1122" s="46"/>
      <c r="AE1122" s="46"/>
      <c r="AF1122" s="46"/>
      <c r="AG1122" s="46"/>
      <c r="AH1122" s="46"/>
      <c r="AI1122" s="46"/>
      <c r="AJ1122" s="46"/>
      <c r="AK1122" s="46"/>
      <c r="AL1122" s="46"/>
      <c r="AM1122" s="46"/>
      <c r="AN1122" s="46"/>
      <c r="AO1122" s="46"/>
      <c r="AP1122" s="46"/>
      <c r="AQ1122" s="46"/>
      <c r="AR1122" s="46"/>
      <c r="AS1122" s="46"/>
      <c r="AT1122" s="46"/>
      <c r="AU1122" s="46"/>
      <c r="AV1122" s="46"/>
      <c r="AW1122" s="46"/>
      <c r="AX1122" s="46"/>
      <c r="AY1122" s="46"/>
      <c r="AZ1122" s="46"/>
      <c r="BA1122" s="46"/>
      <c r="BB1122" s="46"/>
      <c r="BC1122" s="46"/>
      <c r="BD1122" s="46"/>
      <c r="BE1122" s="46"/>
      <c r="BF1122" s="46"/>
      <c r="BG1122" s="46"/>
      <c r="BH1122" s="46"/>
    </row>
    <row r="1123" spans="1:60" ht="14.25" customHeight="1" x14ac:dyDescent="0.3">
      <c r="A1123" s="46"/>
      <c r="B1123" s="37"/>
      <c r="C1123" s="46"/>
      <c r="D1123" s="46"/>
      <c r="E1123" s="46"/>
      <c r="F1123" s="46"/>
      <c r="G1123" s="46"/>
      <c r="H1123" s="46"/>
      <c r="I1123" s="46"/>
      <c r="J1123" s="46"/>
      <c r="K1123" s="46"/>
      <c r="L1123" s="46"/>
      <c r="M1123" s="46"/>
      <c r="N1123" s="46"/>
      <c r="O1123" s="46"/>
      <c r="P1123" s="46"/>
      <c r="Q1123" s="46"/>
      <c r="R1123" s="46"/>
      <c r="S1123" s="46"/>
      <c r="T1123" s="46"/>
      <c r="U1123" s="46"/>
      <c r="V1123" s="46"/>
      <c r="W1123" s="46"/>
      <c r="X1123" s="46"/>
      <c r="Y1123" s="46"/>
      <c r="Z1123" s="46"/>
      <c r="AA1123" s="46"/>
      <c r="AB1123" s="46"/>
      <c r="AC1123" s="46"/>
      <c r="AD1123" s="46"/>
      <c r="AE1123" s="46"/>
      <c r="AF1123" s="46"/>
      <c r="AG1123" s="46"/>
      <c r="AH1123" s="46"/>
      <c r="AI1123" s="46"/>
      <c r="AJ1123" s="46"/>
      <c r="AK1123" s="46"/>
      <c r="AL1123" s="46"/>
      <c r="AM1123" s="46"/>
      <c r="AN1123" s="46"/>
      <c r="AO1123" s="46"/>
      <c r="AP1123" s="46"/>
      <c r="AQ1123" s="46"/>
      <c r="AR1123" s="46"/>
      <c r="AS1123" s="46"/>
      <c r="AT1123" s="46"/>
      <c r="AU1123" s="46"/>
      <c r="AV1123" s="46"/>
      <c r="AW1123" s="46"/>
      <c r="AX1123" s="46"/>
      <c r="AY1123" s="46"/>
      <c r="AZ1123" s="46"/>
      <c r="BA1123" s="46"/>
      <c r="BB1123" s="46"/>
      <c r="BC1123" s="46"/>
      <c r="BD1123" s="46"/>
      <c r="BE1123" s="46"/>
      <c r="BF1123" s="46"/>
      <c r="BG1123" s="46"/>
      <c r="BH1123" s="46"/>
    </row>
    <row r="1124" spans="1:60" ht="14.25" customHeight="1" x14ac:dyDescent="0.3">
      <c r="A1124" s="46"/>
      <c r="B1124" s="37"/>
      <c r="C1124" s="46"/>
      <c r="D1124" s="46"/>
      <c r="E1124" s="46"/>
      <c r="F1124" s="46"/>
      <c r="G1124" s="46"/>
      <c r="H1124" s="46"/>
      <c r="I1124" s="46"/>
      <c r="J1124" s="46"/>
      <c r="K1124" s="46"/>
      <c r="L1124" s="46"/>
      <c r="M1124" s="46"/>
      <c r="N1124" s="46"/>
      <c r="O1124" s="46"/>
      <c r="P1124" s="46"/>
      <c r="Q1124" s="46"/>
      <c r="R1124" s="46"/>
      <c r="S1124" s="46"/>
      <c r="T1124" s="46"/>
      <c r="U1124" s="46"/>
      <c r="V1124" s="46"/>
      <c r="W1124" s="46"/>
      <c r="X1124" s="46"/>
      <c r="Y1124" s="46"/>
      <c r="Z1124" s="46"/>
      <c r="AA1124" s="46"/>
      <c r="AB1124" s="46"/>
      <c r="AC1124" s="46"/>
      <c r="AD1124" s="46"/>
      <c r="AE1124" s="46"/>
      <c r="AF1124" s="46"/>
      <c r="AG1124" s="46"/>
      <c r="AH1124" s="46"/>
      <c r="AI1124" s="46"/>
      <c r="AJ1124" s="46"/>
      <c r="AK1124" s="46"/>
      <c r="AL1124" s="46"/>
      <c r="AM1124" s="46"/>
      <c r="AN1124" s="46"/>
      <c r="AO1124" s="46"/>
      <c r="AP1124" s="46"/>
      <c r="AQ1124" s="46"/>
      <c r="AR1124" s="46"/>
      <c r="AS1124" s="46"/>
      <c r="AT1124" s="46"/>
      <c r="AU1124" s="46"/>
      <c r="AV1124" s="46"/>
      <c r="AW1124" s="46"/>
      <c r="AX1124" s="46"/>
      <c r="AY1124" s="46"/>
      <c r="AZ1124" s="46"/>
      <c r="BA1124" s="46"/>
      <c r="BB1124" s="46"/>
      <c r="BC1124" s="46"/>
      <c r="BD1124" s="46"/>
      <c r="BE1124" s="46"/>
      <c r="BF1124" s="46"/>
      <c r="BG1124" s="46"/>
      <c r="BH1124" s="46"/>
    </row>
    <row r="1125" spans="1:60" ht="14.25" customHeight="1" x14ac:dyDescent="0.3">
      <c r="A1125" s="46"/>
      <c r="B1125" s="37"/>
      <c r="C1125" s="46"/>
      <c r="D1125" s="46"/>
      <c r="E1125" s="46"/>
      <c r="F1125" s="46"/>
      <c r="G1125" s="46"/>
      <c r="H1125" s="46"/>
      <c r="I1125" s="46"/>
      <c r="J1125" s="46"/>
      <c r="K1125" s="46"/>
      <c r="L1125" s="46"/>
      <c r="M1125" s="46"/>
      <c r="N1125" s="46"/>
      <c r="O1125" s="46"/>
      <c r="P1125" s="46"/>
      <c r="Q1125" s="46"/>
      <c r="R1125" s="46"/>
      <c r="S1125" s="46"/>
      <c r="T1125" s="46"/>
      <c r="U1125" s="46"/>
      <c r="V1125" s="46"/>
      <c r="W1125" s="46"/>
      <c r="X1125" s="46"/>
      <c r="Y1125" s="46"/>
      <c r="Z1125" s="46"/>
      <c r="AA1125" s="46"/>
      <c r="AB1125" s="46"/>
      <c r="AC1125" s="46"/>
      <c r="AD1125" s="46"/>
      <c r="AE1125" s="46"/>
      <c r="AF1125" s="46"/>
      <c r="AG1125" s="46"/>
      <c r="AH1125" s="46"/>
      <c r="AI1125" s="46"/>
      <c r="AJ1125" s="46"/>
      <c r="AK1125" s="46"/>
      <c r="AL1125" s="46"/>
      <c r="AM1125" s="46"/>
      <c r="AN1125" s="46"/>
      <c r="AO1125" s="46"/>
      <c r="AP1125" s="46"/>
      <c r="AQ1125" s="46"/>
      <c r="AR1125" s="46"/>
      <c r="AS1125" s="46"/>
      <c r="AT1125" s="46"/>
      <c r="AU1125" s="46"/>
      <c r="AV1125" s="46"/>
      <c r="AW1125" s="46"/>
      <c r="AX1125" s="46"/>
      <c r="AY1125" s="46"/>
      <c r="AZ1125" s="46"/>
      <c r="BA1125" s="46"/>
      <c r="BB1125" s="46"/>
      <c r="BC1125" s="46"/>
      <c r="BD1125" s="46"/>
      <c r="BE1125" s="46"/>
      <c r="BF1125" s="46"/>
      <c r="BG1125" s="46"/>
      <c r="BH1125" s="46"/>
    </row>
    <row r="1126" spans="1:60" ht="14.25" customHeight="1" x14ac:dyDescent="0.3">
      <c r="A1126" s="46"/>
      <c r="B1126" s="37"/>
      <c r="C1126" s="46"/>
      <c r="D1126" s="46"/>
      <c r="E1126" s="46"/>
      <c r="F1126" s="46"/>
      <c r="G1126" s="46"/>
      <c r="H1126" s="46"/>
      <c r="I1126" s="46"/>
      <c r="J1126" s="46"/>
      <c r="K1126" s="46"/>
      <c r="L1126" s="46"/>
      <c r="M1126" s="46"/>
      <c r="N1126" s="46"/>
      <c r="O1126" s="46"/>
      <c r="P1126" s="46"/>
      <c r="Q1126" s="46"/>
      <c r="R1126" s="46"/>
      <c r="S1126" s="46"/>
      <c r="T1126" s="46"/>
      <c r="U1126" s="46"/>
      <c r="V1126" s="46"/>
      <c r="W1126" s="46"/>
      <c r="X1126" s="46"/>
      <c r="Y1126" s="46"/>
      <c r="Z1126" s="46"/>
      <c r="AA1126" s="46"/>
      <c r="AB1126" s="46"/>
      <c r="AC1126" s="46"/>
      <c r="AD1126" s="46"/>
      <c r="AE1126" s="46"/>
      <c r="AF1126" s="46"/>
      <c r="AG1126" s="46"/>
      <c r="AH1126" s="46"/>
      <c r="AI1126" s="46"/>
      <c r="AJ1126" s="46"/>
      <c r="AK1126" s="46"/>
      <c r="AL1126" s="46"/>
      <c r="AM1126" s="46"/>
      <c r="AN1126" s="46"/>
      <c r="AO1126" s="46"/>
      <c r="AP1126" s="46"/>
      <c r="AQ1126" s="46"/>
      <c r="AR1126" s="46"/>
      <c r="AS1126" s="46"/>
      <c r="AT1126" s="46"/>
      <c r="AU1126" s="46"/>
      <c r="AV1126" s="46"/>
      <c r="AW1126" s="46"/>
      <c r="AX1126" s="46"/>
      <c r="AY1126" s="46"/>
      <c r="AZ1126" s="46"/>
      <c r="BA1126" s="46"/>
      <c r="BB1126" s="46"/>
      <c r="BC1126" s="46"/>
      <c r="BD1126" s="46"/>
      <c r="BE1126" s="46"/>
      <c r="BF1126" s="46"/>
      <c r="BG1126" s="46"/>
      <c r="BH1126" s="46"/>
    </row>
    <row r="1127" spans="1:60" ht="14.25" customHeight="1" x14ac:dyDescent="0.3">
      <c r="A1127" s="46"/>
      <c r="B1127" s="37"/>
      <c r="C1127" s="46"/>
      <c r="D1127" s="46"/>
      <c r="E1127" s="46"/>
      <c r="F1127" s="46"/>
      <c r="G1127" s="46"/>
      <c r="H1127" s="46"/>
      <c r="I1127" s="46"/>
      <c r="J1127" s="46"/>
      <c r="K1127" s="46"/>
      <c r="L1127" s="46"/>
      <c r="M1127" s="46"/>
      <c r="N1127" s="46"/>
      <c r="O1127" s="46"/>
      <c r="P1127" s="46"/>
      <c r="Q1127" s="46"/>
      <c r="R1127" s="46"/>
      <c r="S1127" s="46"/>
      <c r="T1127" s="46"/>
      <c r="U1127" s="46"/>
      <c r="V1127" s="46"/>
      <c r="W1127" s="46"/>
      <c r="X1127" s="46"/>
      <c r="Y1127" s="46"/>
      <c r="Z1127" s="46"/>
      <c r="AA1127" s="46"/>
      <c r="AB1127" s="46"/>
      <c r="AC1127" s="46"/>
      <c r="AD1127" s="46"/>
      <c r="AE1127" s="46"/>
      <c r="AF1127" s="46"/>
      <c r="AG1127" s="46"/>
      <c r="AH1127" s="46"/>
      <c r="AI1127" s="46"/>
      <c r="AJ1127" s="46"/>
      <c r="AK1127" s="46"/>
      <c r="AL1127" s="46"/>
      <c r="AM1127" s="46"/>
      <c r="AN1127" s="46"/>
      <c r="AO1127" s="46"/>
      <c r="AP1127" s="46"/>
      <c r="AQ1127" s="46"/>
      <c r="AR1127" s="46"/>
      <c r="AS1127" s="46"/>
      <c r="AT1127" s="46"/>
      <c r="AU1127" s="46"/>
      <c r="AV1127" s="46"/>
      <c r="AW1127" s="46"/>
      <c r="AX1127" s="46"/>
      <c r="AY1127" s="46"/>
      <c r="AZ1127" s="46"/>
      <c r="BA1127" s="46"/>
      <c r="BB1127" s="46"/>
      <c r="BC1127" s="46"/>
      <c r="BD1127" s="46"/>
      <c r="BE1127" s="46"/>
      <c r="BF1127" s="46"/>
      <c r="BG1127" s="46"/>
      <c r="BH1127" s="46"/>
    </row>
    <row r="1128" spans="1:60" ht="14.25" customHeight="1" x14ac:dyDescent="0.3">
      <c r="A1128" s="46"/>
      <c r="B1128" s="37"/>
      <c r="C1128" s="46"/>
      <c r="D1128" s="46"/>
      <c r="E1128" s="46"/>
      <c r="F1128" s="46"/>
      <c r="G1128" s="46"/>
      <c r="H1128" s="46"/>
      <c r="I1128" s="46"/>
      <c r="J1128" s="46"/>
      <c r="K1128" s="46"/>
      <c r="L1128" s="46"/>
      <c r="M1128" s="46"/>
      <c r="N1128" s="46"/>
      <c r="O1128" s="46"/>
      <c r="P1128" s="46"/>
      <c r="Q1128" s="46"/>
      <c r="R1128" s="46"/>
      <c r="S1128" s="46"/>
      <c r="T1128" s="46"/>
      <c r="U1128" s="46"/>
      <c r="V1128" s="46"/>
      <c r="W1128" s="46"/>
      <c r="X1128" s="46"/>
      <c r="Y1128" s="46"/>
      <c r="Z1128" s="46"/>
      <c r="AA1128" s="46"/>
      <c r="AB1128" s="46"/>
      <c r="AC1128" s="46"/>
      <c r="AD1128" s="46"/>
      <c r="AE1128" s="46"/>
      <c r="AF1128" s="46"/>
      <c r="AG1128" s="46"/>
      <c r="AH1128" s="46"/>
      <c r="AI1128" s="46"/>
      <c r="AJ1128" s="46"/>
      <c r="AK1128" s="46"/>
      <c r="AL1128" s="46"/>
      <c r="AM1128" s="46"/>
      <c r="AN1128" s="46"/>
      <c r="AO1128" s="46"/>
      <c r="AP1128" s="46"/>
      <c r="AQ1128" s="46"/>
      <c r="AR1128" s="46"/>
      <c r="AS1128" s="46"/>
      <c r="AT1128" s="46"/>
      <c r="AU1128" s="46"/>
      <c r="AV1128" s="46"/>
      <c r="AW1128" s="46"/>
      <c r="AX1128" s="46"/>
      <c r="AY1128" s="46"/>
      <c r="AZ1128" s="46"/>
      <c r="BA1128" s="46"/>
      <c r="BB1128" s="46"/>
      <c r="BC1128" s="46"/>
      <c r="BD1128" s="46"/>
      <c r="BE1128" s="46"/>
      <c r="BF1128" s="46"/>
      <c r="BG1128" s="46"/>
      <c r="BH1128" s="46"/>
    </row>
    <row r="1129" spans="1:60" ht="14.25" customHeight="1" x14ac:dyDescent="0.3">
      <c r="A1129" s="46"/>
      <c r="B1129" s="37"/>
      <c r="C1129" s="46"/>
      <c r="D1129" s="46"/>
      <c r="E1129" s="46"/>
      <c r="F1129" s="46"/>
      <c r="G1129" s="46"/>
      <c r="H1129" s="46"/>
      <c r="I1129" s="46"/>
      <c r="J1129" s="46"/>
      <c r="K1129" s="46"/>
      <c r="L1129" s="46"/>
      <c r="M1129" s="46"/>
      <c r="N1129" s="46"/>
      <c r="O1129" s="46"/>
      <c r="P1129" s="46"/>
      <c r="Q1129" s="46"/>
      <c r="R1129" s="46"/>
      <c r="S1129" s="46"/>
      <c r="T1129" s="46"/>
      <c r="U1129" s="46"/>
      <c r="V1129" s="46"/>
      <c r="W1129" s="46"/>
      <c r="X1129" s="46"/>
      <c r="Y1129" s="46"/>
      <c r="Z1129" s="46"/>
      <c r="AA1129" s="46"/>
      <c r="AB1129" s="46"/>
      <c r="AC1129" s="46"/>
      <c r="AD1129" s="46"/>
      <c r="AE1129" s="46"/>
      <c r="AF1129" s="46"/>
      <c r="AG1129" s="46"/>
      <c r="AH1129" s="46"/>
      <c r="AI1129" s="46"/>
      <c r="AJ1129" s="46"/>
      <c r="AK1129" s="46"/>
      <c r="AL1129" s="46"/>
      <c r="AM1129" s="46"/>
      <c r="AN1129" s="46"/>
      <c r="AO1129" s="46"/>
      <c r="AP1129" s="46"/>
      <c r="AQ1129" s="46"/>
      <c r="AR1129" s="46"/>
      <c r="AS1129" s="46"/>
      <c r="AT1129" s="46"/>
      <c r="AU1129" s="46"/>
      <c r="AV1129" s="46"/>
      <c r="AW1129" s="46"/>
      <c r="AX1129" s="46"/>
      <c r="AY1129" s="46"/>
      <c r="AZ1129" s="46"/>
      <c r="BA1129" s="46"/>
      <c r="BB1129" s="46"/>
      <c r="BC1129" s="46"/>
      <c r="BD1129" s="46"/>
      <c r="BE1129" s="46"/>
      <c r="BF1129" s="46"/>
      <c r="BG1129" s="46"/>
      <c r="BH1129" s="46"/>
    </row>
    <row r="1130" spans="1:60" ht="14.25" customHeight="1" x14ac:dyDescent="0.3">
      <c r="A1130" s="46"/>
      <c r="B1130" s="37"/>
      <c r="C1130" s="46"/>
      <c r="D1130" s="46"/>
      <c r="E1130" s="46"/>
      <c r="F1130" s="46"/>
      <c r="G1130" s="46"/>
      <c r="H1130" s="46"/>
      <c r="I1130" s="46"/>
      <c r="J1130" s="46"/>
      <c r="K1130" s="46"/>
      <c r="L1130" s="46"/>
      <c r="M1130" s="46"/>
      <c r="N1130" s="46"/>
      <c r="O1130" s="46"/>
      <c r="P1130" s="46"/>
      <c r="Q1130" s="46"/>
      <c r="R1130" s="46"/>
      <c r="S1130" s="46"/>
      <c r="T1130" s="46"/>
      <c r="U1130" s="46"/>
      <c r="V1130" s="46"/>
      <c r="W1130" s="46"/>
      <c r="X1130" s="46"/>
      <c r="Y1130" s="46"/>
      <c r="Z1130" s="46"/>
      <c r="AA1130" s="46"/>
      <c r="AB1130" s="46"/>
      <c r="AC1130" s="46"/>
      <c r="AD1130" s="46"/>
      <c r="AE1130" s="46"/>
      <c r="AF1130" s="46"/>
      <c r="AG1130" s="46"/>
      <c r="AH1130" s="46"/>
      <c r="AI1130" s="46"/>
      <c r="AJ1130" s="46"/>
      <c r="AK1130" s="46"/>
      <c r="AL1130" s="46"/>
      <c r="AM1130" s="46"/>
      <c r="AN1130" s="46"/>
      <c r="AO1130" s="46"/>
      <c r="AP1130" s="46"/>
      <c r="AQ1130" s="46"/>
      <c r="AR1130" s="46"/>
      <c r="AS1130" s="46"/>
      <c r="AT1130" s="46"/>
      <c r="AU1130" s="46"/>
      <c r="AV1130" s="46"/>
      <c r="AW1130" s="46"/>
      <c r="AX1130" s="46"/>
      <c r="AY1130" s="46"/>
      <c r="AZ1130" s="46"/>
      <c r="BA1130" s="46"/>
      <c r="BB1130" s="46"/>
      <c r="BC1130" s="46"/>
      <c r="BD1130" s="46"/>
      <c r="BE1130" s="46"/>
      <c r="BF1130" s="46"/>
      <c r="BG1130" s="46"/>
      <c r="BH1130" s="46"/>
    </row>
    <row r="1131" spans="1:60" ht="14.25" customHeight="1" x14ac:dyDescent="0.3">
      <c r="A1131" s="46"/>
      <c r="B1131" s="37"/>
      <c r="C1131" s="46"/>
      <c r="D1131" s="46"/>
      <c r="E1131" s="46"/>
      <c r="F1131" s="46"/>
      <c r="G1131" s="46"/>
      <c r="H1131" s="46"/>
      <c r="I1131" s="46"/>
      <c r="J1131" s="46"/>
      <c r="K1131" s="46"/>
      <c r="L1131" s="46"/>
      <c r="M1131" s="46"/>
      <c r="N1131" s="46"/>
      <c r="O1131" s="46"/>
      <c r="P1131" s="46"/>
      <c r="Q1131" s="46"/>
      <c r="R1131" s="46"/>
      <c r="S1131" s="46"/>
      <c r="T1131" s="46"/>
      <c r="U1131" s="46"/>
      <c r="V1131" s="46"/>
      <c r="W1131" s="46"/>
      <c r="X1131" s="46"/>
      <c r="Y1131" s="46"/>
      <c r="Z1131" s="46"/>
      <c r="AA1131" s="46"/>
      <c r="AB1131" s="46"/>
      <c r="AC1131" s="46"/>
      <c r="AD1131" s="46"/>
      <c r="AE1131" s="46"/>
      <c r="AF1131" s="46"/>
      <c r="AG1131" s="46"/>
      <c r="AH1131" s="46"/>
      <c r="AI1131" s="46"/>
      <c r="AJ1131" s="46"/>
      <c r="AK1131" s="46"/>
      <c r="AL1131" s="46"/>
      <c r="AM1131" s="46"/>
      <c r="AN1131" s="46"/>
      <c r="AO1131" s="46"/>
      <c r="AP1131" s="46"/>
      <c r="AQ1131" s="46"/>
      <c r="AR1131" s="46"/>
      <c r="AS1131" s="46"/>
      <c r="AT1131" s="46"/>
      <c r="AU1131" s="46"/>
      <c r="AV1131" s="46"/>
      <c r="AW1131" s="46"/>
      <c r="AX1131" s="46"/>
      <c r="AY1131" s="46"/>
      <c r="AZ1131" s="46"/>
      <c r="BA1131" s="46"/>
      <c r="BB1131" s="46"/>
      <c r="BC1131" s="46"/>
      <c r="BD1131" s="46"/>
      <c r="BE1131" s="46"/>
      <c r="BF1131" s="46"/>
      <c r="BG1131" s="46"/>
      <c r="BH1131" s="46"/>
    </row>
    <row r="1132" spans="1:60" ht="14.25" customHeight="1" x14ac:dyDescent="0.3">
      <c r="A1132" s="46"/>
      <c r="B1132" s="37"/>
      <c r="C1132" s="46"/>
      <c r="D1132" s="46"/>
      <c r="E1132" s="46"/>
      <c r="F1132" s="46"/>
      <c r="G1132" s="46"/>
      <c r="H1132" s="46"/>
      <c r="I1132" s="46"/>
      <c r="J1132" s="46"/>
      <c r="K1132" s="46"/>
      <c r="L1132" s="46"/>
      <c r="M1132" s="46"/>
      <c r="N1132" s="46"/>
      <c r="O1132" s="46"/>
      <c r="P1132" s="46"/>
      <c r="Q1132" s="46"/>
      <c r="R1132" s="46"/>
      <c r="S1132" s="46"/>
      <c r="T1132" s="46"/>
      <c r="U1132" s="46"/>
      <c r="V1132" s="46"/>
      <c r="W1132" s="46"/>
      <c r="X1132" s="46"/>
      <c r="Y1132" s="46"/>
      <c r="Z1132" s="46"/>
      <c r="AA1132" s="46"/>
      <c r="AB1132" s="46"/>
      <c r="AC1132" s="46"/>
      <c r="AD1132" s="46"/>
      <c r="AE1132" s="46"/>
      <c r="AF1132" s="46"/>
      <c r="AG1132" s="46"/>
      <c r="AH1132" s="46"/>
      <c r="AI1132" s="46"/>
      <c r="AJ1132" s="46"/>
      <c r="AK1132" s="46"/>
      <c r="AL1132" s="46"/>
      <c r="AM1132" s="46"/>
      <c r="AN1132" s="46"/>
      <c r="AO1132" s="46"/>
      <c r="AP1132" s="46"/>
      <c r="AQ1132" s="46"/>
      <c r="AR1132" s="46"/>
      <c r="AS1132" s="46"/>
      <c r="AT1132" s="46"/>
      <c r="AU1132" s="46"/>
      <c r="AV1132" s="46"/>
      <c r="AW1132" s="46"/>
      <c r="AX1132" s="46"/>
      <c r="AY1132" s="46"/>
      <c r="AZ1132" s="46"/>
      <c r="BA1132" s="46"/>
      <c r="BB1132" s="46"/>
      <c r="BC1132" s="46"/>
      <c r="BD1132" s="46"/>
      <c r="BE1132" s="46"/>
      <c r="BF1132" s="46"/>
      <c r="BG1132" s="46"/>
      <c r="BH1132" s="46"/>
    </row>
    <row r="1133" spans="1:60" ht="14.25" customHeight="1" x14ac:dyDescent="0.3">
      <c r="A1133" s="46"/>
      <c r="B1133" s="37"/>
      <c r="C1133" s="46"/>
      <c r="D1133" s="46"/>
      <c r="E1133" s="46"/>
      <c r="F1133" s="46"/>
      <c r="G1133" s="46"/>
      <c r="H1133" s="46"/>
      <c r="I1133" s="46"/>
      <c r="J1133" s="46"/>
      <c r="K1133" s="46"/>
      <c r="L1133" s="46"/>
      <c r="M1133" s="46"/>
      <c r="N1133" s="46"/>
      <c r="O1133" s="46"/>
      <c r="P1133" s="46"/>
      <c r="Q1133" s="46"/>
      <c r="R1133" s="46"/>
      <c r="S1133" s="46"/>
      <c r="T1133" s="46"/>
      <c r="U1133" s="46"/>
      <c r="V1133" s="46"/>
      <c r="W1133" s="46"/>
      <c r="X1133" s="46"/>
      <c r="Y1133" s="46"/>
      <c r="Z1133" s="46"/>
      <c r="AA1133" s="46"/>
      <c r="AB1133" s="46"/>
      <c r="AC1133" s="46"/>
      <c r="AD1133" s="46"/>
      <c r="AE1133" s="46"/>
      <c r="AF1133" s="46"/>
      <c r="AG1133" s="46"/>
      <c r="AH1133" s="46"/>
      <c r="AI1133" s="46"/>
      <c r="AJ1133" s="46"/>
      <c r="AK1133" s="46"/>
      <c r="AL1133" s="46"/>
      <c r="AM1133" s="46"/>
      <c r="AN1133" s="46"/>
      <c r="AO1133" s="46"/>
      <c r="AP1133" s="46"/>
      <c r="AQ1133" s="46"/>
      <c r="AR1133" s="46"/>
      <c r="AS1133" s="46"/>
      <c r="AT1133" s="46"/>
      <c r="AU1133" s="46"/>
      <c r="AV1133" s="46"/>
      <c r="AW1133" s="46"/>
      <c r="AX1133" s="46"/>
      <c r="AY1133" s="46"/>
      <c r="AZ1133" s="46"/>
      <c r="BA1133" s="46"/>
      <c r="BB1133" s="46"/>
      <c r="BC1133" s="46"/>
      <c r="BD1133" s="46"/>
      <c r="BE1133" s="46"/>
      <c r="BF1133" s="46"/>
      <c r="BG1133" s="46"/>
      <c r="BH1133" s="46"/>
    </row>
    <row r="1134" spans="1:60" ht="14.25" customHeight="1" x14ac:dyDescent="0.3">
      <c r="A1134" s="46"/>
      <c r="B1134" s="37"/>
      <c r="C1134" s="46"/>
      <c r="D1134" s="46"/>
      <c r="E1134" s="46"/>
      <c r="F1134" s="46"/>
      <c r="G1134" s="46"/>
      <c r="H1134" s="46"/>
      <c r="I1134" s="46"/>
      <c r="J1134" s="46"/>
      <c r="K1134" s="46"/>
      <c r="L1134" s="46"/>
      <c r="M1134" s="46"/>
      <c r="N1134" s="46"/>
      <c r="O1134" s="46"/>
      <c r="P1134" s="46"/>
      <c r="Q1134" s="46"/>
      <c r="R1134" s="46"/>
      <c r="S1134" s="46"/>
      <c r="T1134" s="46"/>
      <c r="U1134" s="46"/>
      <c r="V1134" s="46"/>
      <c r="W1134" s="46"/>
      <c r="X1134" s="46"/>
      <c r="Y1134" s="46"/>
      <c r="Z1134" s="46"/>
      <c r="AA1134" s="46"/>
      <c r="AB1134" s="46"/>
      <c r="AC1134" s="46"/>
      <c r="AD1134" s="46"/>
      <c r="AE1134" s="46"/>
      <c r="AF1134" s="46"/>
      <c r="AG1134" s="46"/>
      <c r="AH1134" s="46"/>
      <c r="AI1134" s="46"/>
      <c r="AJ1134" s="46"/>
      <c r="AK1134" s="46"/>
      <c r="AL1134" s="46"/>
      <c r="AM1134" s="46"/>
      <c r="AN1134" s="46"/>
      <c r="AO1134" s="46"/>
      <c r="AP1134" s="46"/>
      <c r="AQ1134" s="46"/>
      <c r="AR1134" s="46"/>
      <c r="AS1134" s="46"/>
      <c r="AT1134" s="46"/>
      <c r="AU1134" s="46"/>
      <c r="AV1134" s="46"/>
      <c r="AW1134" s="46"/>
      <c r="AX1134" s="46"/>
      <c r="AY1134" s="46"/>
      <c r="AZ1134" s="46"/>
      <c r="BA1134" s="46"/>
      <c r="BB1134" s="46"/>
      <c r="BC1134" s="46"/>
      <c r="BD1134" s="46"/>
      <c r="BE1134" s="46"/>
      <c r="BF1134" s="46"/>
      <c r="BG1134" s="46"/>
      <c r="BH1134" s="46"/>
    </row>
    <row r="1135" spans="1:60" ht="14.25" customHeight="1" x14ac:dyDescent="0.3">
      <c r="A1135" s="46"/>
      <c r="B1135" s="37"/>
      <c r="C1135" s="46"/>
      <c r="D1135" s="46"/>
      <c r="E1135" s="46"/>
      <c r="F1135" s="46"/>
      <c r="G1135" s="46"/>
      <c r="H1135" s="46"/>
      <c r="I1135" s="46"/>
      <c r="J1135" s="46"/>
      <c r="K1135" s="46"/>
      <c r="L1135" s="46"/>
      <c r="M1135" s="46"/>
      <c r="N1135" s="46"/>
      <c r="O1135" s="46"/>
      <c r="P1135" s="46"/>
      <c r="Q1135" s="46"/>
      <c r="R1135" s="46"/>
      <c r="S1135" s="46"/>
      <c r="T1135" s="46"/>
      <c r="U1135" s="46"/>
      <c r="V1135" s="46"/>
      <c r="W1135" s="46"/>
      <c r="X1135" s="46"/>
      <c r="Y1135" s="46"/>
      <c r="Z1135" s="46"/>
      <c r="AA1135" s="46"/>
      <c r="AB1135" s="46"/>
      <c r="AC1135" s="46"/>
      <c r="AD1135" s="46"/>
      <c r="AE1135" s="46"/>
      <c r="AF1135" s="46"/>
      <c r="AG1135" s="46"/>
      <c r="AH1135" s="46"/>
      <c r="AI1135" s="46"/>
      <c r="AJ1135" s="46"/>
      <c r="AK1135" s="46"/>
      <c r="AL1135" s="46"/>
      <c r="AM1135" s="46"/>
      <c r="AN1135" s="46"/>
      <c r="AO1135" s="46"/>
      <c r="AP1135" s="46"/>
      <c r="AQ1135" s="46"/>
      <c r="AR1135" s="46"/>
      <c r="AS1135" s="46"/>
      <c r="AT1135" s="46"/>
      <c r="AU1135" s="46"/>
      <c r="AV1135" s="46"/>
      <c r="AW1135" s="46"/>
      <c r="AX1135" s="46"/>
      <c r="AY1135" s="46"/>
      <c r="AZ1135" s="46"/>
      <c r="BA1135" s="46"/>
      <c r="BB1135" s="46"/>
      <c r="BC1135" s="46"/>
      <c r="BD1135" s="46"/>
      <c r="BE1135" s="46"/>
      <c r="BF1135" s="46"/>
      <c r="BG1135" s="46"/>
      <c r="BH1135" s="46"/>
    </row>
    <row r="1136" spans="1:60" ht="14.25" customHeight="1" x14ac:dyDescent="0.3">
      <c r="A1136" s="46"/>
      <c r="B1136" s="37"/>
      <c r="C1136" s="46"/>
      <c r="D1136" s="46"/>
      <c r="E1136" s="46"/>
      <c r="F1136" s="46"/>
      <c r="G1136" s="46"/>
      <c r="H1136" s="46"/>
      <c r="I1136" s="46"/>
      <c r="J1136" s="46"/>
      <c r="K1136" s="46"/>
      <c r="L1136" s="46"/>
      <c r="M1136" s="46"/>
      <c r="N1136" s="46"/>
      <c r="O1136" s="46"/>
      <c r="P1136" s="46"/>
      <c r="Q1136" s="46"/>
      <c r="R1136" s="46"/>
      <c r="S1136" s="46"/>
      <c r="T1136" s="46"/>
      <c r="U1136" s="46"/>
      <c r="V1136" s="46"/>
      <c r="W1136" s="46"/>
      <c r="X1136" s="46"/>
      <c r="Y1136" s="46"/>
      <c r="Z1136" s="46"/>
      <c r="AA1136" s="46"/>
      <c r="AB1136" s="46"/>
      <c r="AC1136" s="46"/>
      <c r="AD1136" s="46"/>
      <c r="AE1136" s="46"/>
      <c r="AF1136" s="46"/>
      <c r="AG1136" s="46"/>
      <c r="AH1136" s="46"/>
      <c r="AI1136" s="46"/>
      <c r="AJ1136" s="46"/>
      <c r="AK1136" s="46"/>
      <c r="AL1136" s="46"/>
      <c r="AM1136" s="46"/>
      <c r="AN1136" s="46"/>
      <c r="AO1136" s="46"/>
      <c r="AP1136" s="46"/>
      <c r="AQ1136" s="46"/>
      <c r="AR1136" s="46"/>
      <c r="AS1136" s="46"/>
      <c r="AT1136" s="46"/>
      <c r="AU1136" s="46"/>
      <c r="AV1136" s="46"/>
      <c r="AW1136" s="46"/>
      <c r="AX1136" s="46"/>
      <c r="AY1136" s="46"/>
      <c r="AZ1136" s="46"/>
      <c r="BA1136" s="46"/>
      <c r="BB1136" s="46"/>
      <c r="BC1136" s="46"/>
      <c r="BD1136" s="46"/>
      <c r="BE1136" s="46"/>
      <c r="BF1136" s="46"/>
      <c r="BG1136" s="46"/>
      <c r="BH1136" s="46"/>
    </row>
    <row r="1137" spans="1:60" ht="14.25" customHeight="1" x14ac:dyDescent="0.3">
      <c r="A1137" s="46"/>
      <c r="B1137" s="37"/>
      <c r="C1137" s="46"/>
      <c r="D1137" s="46"/>
      <c r="E1137" s="46"/>
      <c r="F1137" s="46"/>
      <c r="G1137" s="46"/>
      <c r="H1137" s="46"/>
      <c r="I1137" s="46"/>
      <c r="J1137" s="46"/>
      <c r="K1137" s="46"/>
      <c r="L1137" s="46"/>
      <c r="M1137" s="46"/>
      <c r="N1137" s="46"/>
      <c r="O1137" s="46"/>
      <c r="P1137" s="46"/>
      <c r="Q1137" s="46"/>
      <c r="R1137" s="46"/>
      <c r="S1137" s="46"/>
      <c r="T1137" s="46"/>
      <c r="U1137" s="46"/>
      <c r="V1137" s="46"/>
      <c r="W1137" s="46"/>
      <c r="X1137" s="46"/>
      <c r="Y1137" s="46"/>
      <c r="Z1137" s="46"/>
      <c r="AA1137" s="46"/>
      <c r="AB1137" s="46"/>
      <c r="AC1137" s="46"/>
      <c r="AD1137" s="46"/>
      <c r="AE1137" s="46"/>
      <c r="AF1137" s="46"/>
      <c r="AG1137" s="46"/>
      <c r="AH1137" s="46"/>
      <c r="AI1137" s="46"/>
      <c r="AJ1137" s="46"/>
      <c r="AK1137" s="46"/>
      <c r="AL1137" s="46"/>
      <c r="AM1137" s="46"/>
      <c r="AN1137" s="46"/>
      <c r="AO1137" s="46"/>
      <c r="AP1137" s="46"/>
      <c r="AQ1137" s="46"/>
      <c r="AR1137" s="46"/>
      <c r="AS1137" s="46"/>
      <c r="AT1137" s="46"/>
      <c r="AU1137" s="46"/>
      <c r="AV1137" s="46"/>
      <c r="AW1137" s="46"/>
      <c r="AX1137" s="46"/>
      <c r="AY1137" s="46"/>
      <c r="AZ1137" s="46"/>
      <c r="BA1137" s="46"/>
      <c r="BB1137" s="46"/>
      <c r="BC1137" s="46"/>
      <c r="BD1137" s="46"/>
      <c r="BE1137" s="46"/>
      <c r="BF1137" s="46"/>
      <c r="BG1137" s="46"/>
      <c r="BH1137" s="46"/>
    </row>
    <row r="1138" spans="1:60" ht="14.25" customHeight="1" x14ac:dyDescent="0.3">
      <c r="A1138" s="46"/>
      <c r="B1138" s="37"/>
      <c r="C1138" s="46"/>
      <c r="D1138" s="46"/>
      <c r="E1138" s="46"/>
      <c r="F1138" s="46"/>
      <c r="G1138" s="46"/>
      <c r="H1138" s="46"/>
      <c r="I1138" s="46"/>
      <c r="J1138" s="46"/>
      <c r="K1138" s="46"/>
      <c r="L1138" s="46"/>
      <c r="M1138" s="46"/>
      <c r="N1138" s="46"/>
      <c r="O1138" s="46"/>
      <c r="P1138" s="46"/>
      <c r="Q1138" s="46"/>
      <c r="R1138" s="46"/>
      <c r="S1138" s="46"/>
      <c r="T1138" s="46"/>
      <c r="U1138" s="46"/>
      <c r="V1138" s="46"/>
      <c r="W1138" s="46"/>
      <c r="X1138" s="46"/>
      <c r="Y1138" s="46"/>
      <c r="Z1138" s="46"/>
      <c r="AA1138" s="46"/>
      <c r="AB1138" s="46"/>
      <c r="AC1138" s="46"/>
      <c r="AD1138" s="46"/>
      <c r="AE1138" s="46"/>
      <c r="AF1138" s="46"/>
      <c r="AG1138" s="46"/>
      <c r="AH1138" s="46"/>
      <c r="AI1138" s="46"/>
      <c r="AJ1138" s="46"/>
      <c r="AK1138" s="46"/>
      <c r="AL1138" s="46"/>
      <c r="AM1138" s="46"/>
      <c r="AN1138" s="46"/>
      <c r="AO1138" s="46"/>
      <c r="AP1138" s="46"/>
      <c r="AQ1138" s="46"/>
      <c r="AR1138" s="46"/>
      <c r="AS1138" s="46"/>
      <c r="AT1138" s="46"/>
      <c r="AU1138" s="46"/>
      <c r="AV1138" s="46"/>
      <c r="AW1138" s="46"/>
      <c r="AX1138" s="46"/>
      <c r="AY1138" s="46"/>
      <c r="AZ1138" s="46"/>
      <c r="BA1138" s="46"/>
      <c r="BB1138" s="46"/>
      <c r="BC1138" s="46"/>
      <c r="BD1138" s="46"/>
      <c r="BE1138" s="46"/>
      <c r="BF1138" s="46"/>
      <c r="BG1138" s="46"/>
      <c r="BH1138" s="46"/>
    </row>
    <row r="1139" spans="1:60" ht="14.25" customHeight="1" x14ac:dyDescent="0.3">
      <c r="A1139" s="46"/>
      <c r="B1139" s="37"/>
      <c r="C1139" s="46"/>
      <c r="D1139" s="46"/>
      <c r="E1139" s="46"/>
      <c r="F1139" s="46"/>
      <c r="G1139" s="46"/>
      <c r="H1139" s="46"/>
      <c r="I1139" s="46"/>
      <c r="J1139" s="46"/>
      <c r="K1139" s="46"/>
      <c r="L1139" s="46"/>
      <c r="M1139" s="46"/>
      <c r="N1139" s="46"/>
      <c r="O1139" s="46"/>
      <c r="P1139" s="46"/>
      <c r="Q1139" s="46"/>
      <c r="R1139" s="46"/>
      <c r="S1139" s="46"/>
      <c r="T1139" s="46"/>
      <c r="U1139" s="46"/>
      <c r="V1139" s="46"/>
      <c r="W1139" s="46"/>
      <c r="X1139" s="46"/>
      <c r="Y1139" s="46"/>
      <c r="Z1139" s="46"/>
      <c r="AA1139" s="46"/>
      <c r="AB1139" s="46"/>
      <c r="AC1139" s="46"/>
      <c r="AD1139" s="46"/>
      <c r="AE1139" s="46"/>
      <c r="AF1139" s="46"/>
      <c r="AG1139" s="46"/>
      <c r="AH1139" s="46"/>
      <c r="AI1139" s="46"/>
      <c r="AJ1139" s="46"/>
      <c r="AK1139" s="46"/>
      <c r="AL1139" s="46"/>
      <c r="AM1139" s="46"/>
      <c r="AN1139" s="46"/>
      <c r="AO1139" s="46"/>
      <c r="AP1139" s="46"/>
      <c r="AQ1139" s="46"/>
      <c r="AR1139" s="46"/>
      <c r="AS1139" s="46"/>
      <c r="AT1139" s="46"/>
      <c r="AU1139" s="46"/>
      <c r="AV1139" s="46"/>
      <c r="AW1139" s="46"/>
      <c r="AX1139" s="46"/>
      <c r="AY1139" s="46"/>
      <c r="AZ1139" s="46"/>
      <c r="BA1139" s="46"/>
      <c r="BB1139" s="46"/>
      <c r="BC1139" s="46"/>
      <c r="BD1139" s="46"/>
      <c r="BE1139" s="46"/>
      <c r="BF1139" s="46"/>
      <c r="BG1139" s="46"/>
      <c r="BH1139" s="46"/>
    </row>
    <row r="1140" spans="1:60" ht="14.25" customHeight="1" x14ac:dyDescent="0.3">
      <c r="A1140" s="46"/>
      <c r="B1140" s="37"/>
      <c r="C1140" s="46"/>
      <c r="D1140" s="46"/>
      <c r="E1140" s="46"/>
      <c r="F1140" s="46"/>
      <c r="G1140" s="46"/>
      <c r="H1140" s="46"/>
      <c r="I1140" s="46"/>
      <c r="J1140" s="46"/>
      <c r="K1140" s="46"/>
      <c r="L1140" s="46"/>
      <c r="M1140" s="46"/>
      <c r="N1140" s="46"/>
      <c r="O1140" s="46"/>
      <c r="P1140" s="46"/>
      <c r="Q1140" s="46"/>
      <c r="R1140" s="46"/>
      <c r="S1140" s="46"/>
      <c r="T1140" s="46"/>
      <c r="U1140" s="46"/>
      <c r="V1140" s="46"/>
      <c r="W1140" s="46"/>
      <c r="X1140" s="46"/>
      <c r="Y1140" s="46"/>
      <c r="Z1140" s="46"/>
      <c r="AA1140" s="46"/>
      <c r="AB1140" s="46"/>
      <c r="AC1140" s="46"/>
      <c r="AD1140" s="46"/>
      <c r="AE1140" s="46"/>
      <c r="AF1140" s="46"/>
      <c r="AG1140" s="46"/>
      <c r="AH1140" s="46"/>
      <c r="AI1140" s="46"/>
      <c r="AJ1140" s="46"/>
      <c r="AK1140" s="46"/>
      <c r="AL1140" s="46"/>
      <c r="AM1140" s="46"/>
      <c r="AN1140" s="46"/>
      <c r="AO1140" s="46"/>
      <c r="AP1140" s="46"/>
      <c r="AQ1140" s="46"/>
      <c r="AR1140" s="46"/>
      <c r="AS1140" s="46"/>
      <c r="AT1140" s="46"/>
      <c r="AU1140" s="46"/>
      <c r="AV1140" s="46"/>
      <c r="AW1140" s="46"/>
      <c r="AX1140" s="46"/>
      <c r="AY1140" s="46"/>
      <c r="AZ1140" s="46"/>
      <c r="BA1140" s="46"/>
      <c r="BB1140" s="46"/>
      <c r="BC1140" s="46"/>
      <c r="BD1140" s="46"/>
      <c r="BE1140" s="46"/>
      <c r="BF1140" s="46"/>
      <c r="BG1140" s="46"/>
      <c r="BH1140" s="46"/>
    </row>
    <row r="1141" spans="1:60" ht="14.25" customHeight="1" x14ac:dyDescent="0.3">
      <c r="A1141" s="46"/>
      <c r="B1141" s="37"/>
      <c r="C1141" s="46"/>
      <c r="D1141" s="46"/>
      <c r="E1141" s="46"/>
      <c r="F1141" s="46"/>
      <c r="G1141" s="46"/>
      <c r="H1141" s="46"/>
      <c r="I1141" s="46"/>
      <c r="J1141" s="46"/>
      <c r="K1141" s="46"/>
      <c r="L1141" s="46"/>
      <c r="M1141" s="46"/>
      <c r="N1141" s="46"/>
      <c r="O1141" s="46"/>
      <c r="P1141" s="46"/>
      <c r="Q1141" s="46"/>
      <c r="R1141" s="46"/>
      <c r="S1141" s="46"/>
      <c r="T1141" s="46"/>
      <c r="U1141" s="46"/>
      <c r="V1141" s="46"/>
      <c r="W1141" s="46"/>
      <c r="X1141" s="46"/>
      <c r="Y1141" s="46"/>
      <c r="Z1141" s="46"/>
      <c r="AA1141" s="46"/>
      <c r="AB1141" s="46"/>
      <c r="AC1141" s="46"/>
      <c r="AD1141" s="46"/>
      <c r="AE1141" s="46"/>
      <c r="AF1141" s="46"/>
      <c r="AG1141" s="46"/>
      <c r="AH1141" s="46"/>
      <c r="AI1141" s="46"/>
      <c r="AJ1141" s="46"/>
      <c r="AK1141" s="46"/>
      <c r="AL1141" s="46"/>
      <c r="AM1141" s="46"/>
      <c r="AN1141" s="46"/>
      <c r="AO1141" s="46"/>
      <c r="AP1141" s="46"/>
      <c r="AQ1141" s="46"/>
      <c r="AR1141" s="46"/>
      <c r="AS1141" s="46"/>
      <c r="AT1141" s="46"/>
      <c r="AU1141" s="46"/>
      <c r="AV1141" s="46"/>
      <c r="AW1141" s="46"/>
      <c r="AX1141" s="46"/>
      <c r="AY1141" s="46"/>
      <c r="AZ1141" s="46"/>
      <c r="BA1141" s="46"/>
      <c r="BB1141" s="46"/>
      <c r="BC1141" s="46"/>
      <c r="BD1141" s="46"/>
      <c r="BE1141" s="46"/>
      <c r="BF1141" s="46"/>
      <c r="BG1141" s="46"/>
      <c r="BH1141" s="46"/>
    </row>
    <row r="1142" spans="1:60" ht="14.25" customHeight="1" x14ac:dyDescent="0.3">
      <c r="A1142" s="46"/>
      <c r="B1142" s="37"/>
      <c r="C1142" s="46"/>
      <c r="D1142" s="46"/>
      <c r="E1142" s="46"/>
      <c r="F1142" s="46"/>
      <c r="G1142" s="46"/>
      <c r="H1142" s="46"/>
      <c r="I1142" s="46"/>
      <c r="J1142" s="46"/>
      <c r="K1142" s="46"/>
      <c r="L1142" s="46"/>
      <c r="M1142" s="46"/>
      <c r="N1142" s="46"/>
      <c r="O1142" s="46"/>
      <c r="P1142" s="46"/>
      <c r="Q1142" s="46"/>
      <c r="R1142" s="46"/>
      <c r="S1142" s="46"/>
      <c r="T1142" s="46"/>
      <c r="U1142" s="46"/>
      <c r="V1142" s="46"/>
      <c r="W1142" s="46"/>
      <c r="X1142" s="46"/>
      <c r="Y1142" s="46"/>
      <c r="Z1142" s="46"/>
      <c r="AA1142" s="46"/>
      <c r="AB1142" s="46"/>
      <c r="AC1142" s="46"/>
      <c r="AD1142" s="46"/>
      <c r="AE1142" s="46"/>
      <c r="AF1142" s="46"/>
      <c r="AG1142" s="46"/>
      <c r="AH1142" s="46"/>
      <c r="AI1142" s="46"/>
      <c r="AJ1142" s="46"/>
      <c r="AK1142" s="46"/>
      <c r="AL1142" s="46"/>
      <c r="AM1142" s="46"/>
      <c r="AN1142" s="46"/>
      <c r="AO1142" s="46"/>
      <c r="AP1142" s="46"/>
      <c r="AQ1142" s="46"/>
      <c r="AR1142" s="46"/>
      <c r="AS1142" s="46"/>
      <c r="AT1142" s="46"/>
      <c r="AU1142" s="46"/>
      <c r="AV1142" s="46"/>
      <c r="AW1142" s="46"/>
      <c r="AX1142" s="46"/>
      <c r="AY1142" s="46"/>
      <c r="AZ1142" s="46"/>
      <c r="BA1142" s="46"/>
      <c r="BB1142" s="46"/>
      <c r="BC1142" s="46"/>
      <c r="BD1142" s="46"/>
      <c r="BE1142" s="46"/>
      <c r="BF1142" s="46"/>
      <c r="BG1142" s="46"/>
      <c r="BH1142" s="46"/>
    </row>
    <row r="1143" spans="1:60" ht="14.25" customHeight="1" x14ac:dyDescent="0.3">
      <c r="A1143" s="46"/>
      <c r="B1143" s="37"/>
      <c r="C1143" s="46"/>
      <c r="D1143" s="46"/>
      <c r="E1143" s="46"/>
      <c r="F1143" s="46"/>
      <c r="G1143" s="46"/>
      <c r="H1143" s="46"/>
      <c r="I1143" s="46"/>
      <c r="J1143" s="46"/>
      <c r="K1143" s="46"/>
      <c r="L1143" s="46"/>
      <c r="M1143" s="46"/>
      <c r="N1143" s="46"/>
      <c r="O1143" s="46"/>
      <c r="P1143" s="46"/>
      <c r="Q1143" s="46"/>
      <c r="R1143" s="46"/>
      <c r="S1143" s="46"/>
      <c r="T1143" s="46"/>
      <c r="U1143" s="46"/>
      <c r="V1143" s="46"/>
      <c r="W1143" s="46"/>
      <c r="X1143" s="46"/>
      <c r="Y1143" s="46"/>
      <c r="Z1143" s="46"/>
      <c r="AA1143" s="46"/>
      <c r="AB1143" s="46"/>
      <c r="AC1143" s="46"/>
      <c r="AD1143" s="46"/>
      <c r="AE1143" s="46"/>
      <c r="AF1143" s="46"/>
      <c r="AG1143" s="46"/>
      <c r="AH1143" s="46"/>
      <c r="AI1143" s="46"/>
      <c r="AJ1143" s="46"/>
      <c r="AK1143" s="46"/>
      <c r="AL1143" s="46"/>
      <c r="AM1143" s="46"/>
      <c r="AN1143" s="46"/>
      <c r="AO1143" s="46"/>
      <c r="AP1143" s="46"/>
      <c r="AQ1143" s="46"/>
      <c r="AR1143" s="46"/>
      <c r="AS1143" s="46"/>
      <c r="AT1143" s="46"/>
      <c r="AU1143" s="46"/>
      <c r="AV1143" s="46"/>
      <c r="AW1143" s="46"/>
      <c r="AX1143" s="46"/>
      <c r="AY1143" s="46"/>
      <c r="AZ1143" s="46"/>
      <c r="BA1143" s="46"/>
      <c r="BB1143" s="46"/>
      <c r="BC1143" s="46"/>
      <c r="BD1143" s="46"/>
      <c r="BE1143" s="46"/>
      <c r="BF1143" s="46"/>
      <c r="BG1143" s="46"/>
      <c r="BH1143" s="46"/>
    </row>
    <row r="1144" spans="1:60" ht="14.25" customHeight="1" x14ac:dyDescent="0.3">
      <c r="A1144" s="46"/>
      <c r="B1144" s="37"/>
      <c r="C1144" s="46"/>
      <c r="D1144" s="46"/>
      <c r="E1144" s="46"/>
      <c r="F1144" s="46"/>
      <c r="G1144" s="46"/>
      <c r="H1144" s="46"/>
      <c r="I1144" s="46"/>
      <c r="J1144" s="46"/>
      <c r="K1144" s="46"/>
      <c r="L1144" s="46"/>
      <c r="M1144" s="46"/>
      <c r="N1144" s="46"/>
      <c r="O1144" s="46"/>
      <c r="P1144" s="46"/>
      <c r="Q1144" s="46"/>
      <c r="R1144" s="46"/>
      <c r="S1144" s="46"/>
      <c r="T1144" s="46"/>
      <c r="U1144" s="46"/>
      <c r="V1144" s="46"/>
      <c r="W1144" s="46"/>
      <c r="X1144" s="46"/>
      <c r="Y1144" s="46"/>
      <c r="Z1144" s="46"/>
      <c r="AA1144" s="46"/>
      <c r="AB1144" s="46"/>
      <c r="AC1144" s="46"/>
      <c r="AD1144" s="46"/>
      <c r="AE1144" s="46"/>
      <c r="AF1144" s="46"/>
      <c r="AG1144" s="46"/>
      <c r="AH1144" s="46"/>
      <c r="AI1144" s="46"/>
      <c r="AJ1144" s="46"/>
      <c r="AK1144" s="46"/>
      <c r="AL1144" s="46"/>
      <c r="AM1144" s="46"/>
      <c r="AN1144" s="46"/>
      <c r="AO1144" s="46"/>
      <c r="AP1144" s="46"/>
      <c r="AQ1144" s="46"/>
      <c r="AR1144" s="46"/>
      <c r="AS1144" s="46"/>
      <c r="AT1144" s="46"/>
      <c r="AU1144" s="46"/>
      <c r="AV1144" s="46"/>
      <c r="AW1144" s="46"/>
      <c r="AX1144" s="46"/>
      <c r="AY1144" s="46"/>
      <c r="AZ1144" s="46"/>
      <c r="BA1144" s="46"/>
      <c r="BB1144" s="46"/>
      <c r="BC1144" s="46"/>
      <c r="BD1144" s="46"/>
      <c r="BE1144" s="46"/>
      <c r="BF1144" s="46"/>
      <c r="BG1144" s="46"/>
      <c r="BH1144" s="46"/>
    </row>
    <row r="1145" spans="1:60" ht="14.25" customHeight="1" x14ac:dyDescent="0.3">
      <c r="A1145" s="46"/>
      <c r="B1145" s="37"/>
      <c r="C1145" s="46"/>
      <c r="D1145" s="46"/>
      <c r="E1145" s="46"/>
      <c r="F1145" s="46"/>
      <c r="G1145" s="46"/>
      <c r="H1145" s="46"/>
      <c r="I1145" s="46"/>
      <c r="J1145" s="46"/>
      <c r="K1145" s="46"/>
      <c r="L1145" s="46"/>
      <c r="M1145" s="46"/>
      <c r="N1145" s="46"/>
      <c r="O1145" s="46"/>
      <c r="P1145" s="46"/>
      <c r="Q1145" s="46"/>
      <c r="R1145" s="46"/>
      <c r="S1145" s="46"/>
      <c r="T1145" s="46"/>
      <c r="U1145" s="46"/>
      <c r="V1145" s="46"/>
      <c r="W1145" s="46"/>
      <c r="X1145" s="46"/>
      <c r="Y1145" s="46"/>
      <c r="Z1145" s="46"/>
      <c r="AA1145" s="46"/>
      <c r="AB1145" s="46"/>
      <c r="AC1145" s="46"/>
      <c r="AD1145" s="46"/>
      <c r="AE1145" s="46"/>
      <c r="AF1145" s="46"/>
      <c r="AG1145" s="46"/>
      <c r="AH1145" s="46"/>
      <c r="AI1145" s="46"/>
      <c r="AJ1145" s="46"/>
      <c r="AK1145" s="46"/>
      <c r="AL1145" s="46"/>
      <c r="AM1145" s="46"/>
      <c r="AN1145" s="46"/>
      <c r="AO1145" s="46"/>
      <c r="AP1145" s="46"/>
      <c r="AQ1145" s="46"/>
      <c r="AR1145" s="46"/>
      <c r="AS1145" s="46"/>
      <c r="AT1145" s="46"/>
      <c r="AU1145" s="46"/>
      <c r="AV1145" s="46"/>
      <c r="AW1145" s="46"/>
      <c r="AX1145" s="46"/>
      <c r="AY1145" s="46"/>
      <c r="AZ1145" s="46"/>
      <c r="BA1145" s="46"/>
      <c r="BB1145" s="46"/>
      <c r="BC1145" s="46"/>
      <c r="BD1145" s="46"/>
      <c r="BE1145" s="46"/>
      <c r="BF1145" s="46"/>
      <c r="BG1145" s="46"/>
      <c r="BH1145" s="46"/>
    </row>
    <row r="1146" spans="1:60" ht="14.25" customHeight="1" x14ac:dyDescent="0.3">
      <c r="A1146" s="46"/>
      <c r="B1146" s="37"/>
      <c r="C1146" s="46"/>
      <c r="D1146" s="46"/>
      <c r="E1146" s="46"/>
      <c r="F1146" s="46"/>
      <c r="G1146" s="46"/>
      <c r="H1146" s="46"/>
      <c r="I1146" s="46"/>
      <c r="J1146" s="46"/>
      <c r="K1146" s="46"/>
      <c r="L1146" s="46"/>
      <c r="M1146" s="46"/>
      <c r="N1146" s="46"/>
      <c r="O1146" s="46"/>
      <c r="P1146" s="46"/>
      <c r="Q1146" s="46"/>
      <c r="R1146" s="46"/>
      <c r="S1146" s="46"/>
      <c r="T1146" s="46"/>
      <c r="U1146" s="46"/>
      <c r="V1146" s="46"/>
      <c r="W1146" s="46"/>
      <c r="X1146" s="46"/>
      <c r="Y1146" s="46"/>
      <c r="Z1146" s="46"/>
      <c r="AA1146" s="46"/>
      <c r="AB1146" s="46"/>
      <c r="AC1146" s="46"/>
      <c r="AD1146" s="46"/>
      <c r="AE1146" s="46"/>
      <c r="AF1146" s="46"/>
      <c r="AG1146" s="46"/>
      <c r="AH1146" s="46"/>
      <c r="AI1146" s="46"/>
      <c r="AJ1146" s="46"/>
      <c r="AK1146" s="46"/>
      <c r="AL1146" s="46"/>
      <c r="AM1146" s="46"/>
      <c r="AN1146" s="46"/>
      <c r="AO1146" s="46"/>
      <c r="AP1146" s="46"/>
      <c r="AQ1146" s="46"/>
      <c r="AR1146" s="46"/>
      <c r="AS1146" s="46"/>
      <c r="AT1146" s="46"/>
      <c r="AU1146" s="46"/>
      <c r="AV1146" s="46"/>
      <c r="AW1146" s="46"/>
      <c r="AX1146" s="46"/>
      <c r="AY1146" s="46"/>
      <c r="AZ1146" s="46"/>
      <c r="BA1146" s="46"/>
      <c r="BB1146" s="46"/>
      <c r="BC1146" s="46"/>
      <c r="BD1146" s="46"/>
      <c r="BE1146" s="46"/>
      <c r="BF1146" s="46"/>
      <c r="BG1146" s="46"/>
      <c r="BH1146" s="46"/>
    </row>
    <row r="1147" spans="1:60" ht="14.25" customHeight="1" x14ac:dyDescent="0.3">
      <c r="A1147" s="46"/>
      <c r="B1147" s="37"/>
      <c r="C1147" s="46"/>
      <c r="D1147" s="46"/>
      <c r="E1147" s="46"/>
      <c r="F1147" s="46"/>
      <c r="G1147" s="46"/>
      <c r="H1147" s="46"/>
      <c r="I1147" s="46"/>
      <c r="J1147" s="46"/>
      <c r="K1147" s="46"/>
      <c r="L1147" s="46"/>
      <c r="M1147" s="46"/>
      <c r="N1147" s="46"/>
      <c r="O1147" s="46"/>
      <c r="P1147" s="46"/>
      <c r="Q1147" s="46"/>
      <c r="R1147" s="46"/>
      <c r="S1147" s="46"/>
      <c r="T1147" s="46"/>
      <c r="U1147" s="46"/>
      <c r="V1147" s="46"/>
      <c r="W1147" s="46"/>
      <c r="X1147" s="46"/>
      <c r="Y1147" s="46"/>
      <c r="Z1147" s="46"/>
      <c r="AA1147" s="46"/>
      <c r="AB1147" s="46"/>
      <c r="AC1147" s="46"/>
      <c r="AD1147" s="46"/>
      <c r="AE1147" s="46"/>
      <c r="AF1147" s="46"/>
      <c r="AG1147" s="46"/>
      <c r="AH1147" s="46"/>
      <c r="AI1147" s="46"/>
      <c r="AJ1147" s="46"/>
      <c r="AK1147" s="46"/>
      <c r="AL1147" s="46"/>
      <c r="AM1147" s="46"/>
      <c r="AN1147" s="46"/>
      <c r="AO1147" s="46"/>
      <c r="AP1147" s="46"/>
      <c r="AQ1147" s="46"/>
      <c r="AR1147" s="46"/>
      <c r="AS1147" s="46"/>
      <c r="AT1147" s="46"/>
      <c r="AU1147" s="46"/>
      <c r="AV1147" s="46"/>
      <c r="AW1147" s="46"/>
      <c r="AX1147" s="46"/>
      <c r="AY1147" s="46"/>
      <c r="AZ1147" s="46"/>
      <c r="BA1147" s="46"/>
      <c r="BB1147" s="46"/>
      <c r="BC1147" s="46"/>
      <c r="BD1147" s="46"/>
      <c r="BE1147" s="46"/>
      <c r="BF1147" s="46"/>
      <c r="BG1147" s="46"/>
      <c r="BH1147" s="46"/>
    </row>
    <row r="1148" spans="1:60" ht="14.25" customHeight="1" x14ac:dyDescent="0.3">
      <c r="A1148" s="46"/>
      <c r="B1148" s="37"/>
      <c r="C1148" s="46"/>
      <c r="D1148" s="46"/>
      <c r="E1148" s="46"/>
      <c r="F1148" s="46"/>
      <c r="G1148" s="46"/>
      <c r="H1148" s="46"/>
      <c r="I1148" s="46"/>
      <c r="J1148" s="46"/>
      <c r="K1148" s="46"/>
      <c r="L1148" s="46"/>
      <c r="M1148" s="46"/>
      <c r="N1148" s="46"/>
      <c r="O1148" s="46"/>
      <c r="P1148" s="46"/>
      <c r="Q1148" s="46"/>
      <c r="R1148" s="46"/>
      <c r="S1148" s="46"/>
      <c r="T1148" s="46"/>
      <c r="U1148" s="46"/>
      <c r="V1148" s="46"/>
      <c r="W1148" s="46"/>
      <c r="X1148" s="46"/>
      <c r="Y1148" s="46"/>
      <c r="Z1148" s="46"/>
      <c r="AA1148" s="46"/>
      <c r="AB1148" s="46"/>
      <c r="AC1148" s="46"/>
      <c r="AD1148" s="46"/>
      <c r="AE1148" s="46"/>
      <c r="AF1148" s="46"/>
      <c r="AG1148" s="46"/>
      <c r="AH1148" s="46"/>
      <c r="AI1148" s="46"/>
      <c r="AJ1148" s="46"/>
      <c r="AK1148" s="46"/>
      <c r="AL1148" s="46"/>
      <c r="AM1148" s="46"/>
      <c r="AN1148" s="46"/>
      <c r="AO1148" s="46"/>
      <c r="AP1148" s="46"/>
      <c r="AQ1148" s="46"/>
      <c r="AR1148" s="46"/>
      <c r="AS1148" s="46"/>
      <c r="AT1148" s="46"/>
      <c r="AU1148" s="46"/>
      <c r="AV1148" s="46"/>
      <c r="AW1148" s="46"/>
      <c r="AX1148" s="46"/>
      <c r="AY1148" s="46"/>
      <c r="AZ1148" s="46"/>
      <c r="BA1148" s="46"/>
      <c r="BB1148" s="46"/>
      <c r="BC1148" s="46"/>
      <c r="BD1148" s="46"/>
      <c r="BE1148" s="46"/>
      <c r="BF1148" s="46"/>
      <c r="BG1148" s="46"/>
      <c r="BH1148" s="46"/>
    </row>
    <row r="1149" spans="1:60" ht="14.25" customHeight="1" x14ac:dyDescent="0.3">
      <c r="A1149" s="46"/>
      <c r="B1149" s="37"/>
      <c r="C1149" s="46"/>
      <c r="D1149" s="46"/>
      <c r="E1149" s="46"/>
      <c r="F1149" s="46"/>
      <c r="G1149" s="46"/>
      <c r="H1149" s="46"/>
      <c r="I1149" s="46"/>
      <c r="J1149" s="46"/>
      <c r="K1149" s="46"/>
      <c r="L1149" s="46"/>
      <c r="M1149" s="46"/>
      <c r="N1149" s="46"/>
      <c r="O1149" s="46"/>
      <c r="P1149" s="46"/>
      <c r="Q1149" s="46"/>
      <c r="R1149" s="46"/>
      <c r="S1149" s="46"/>
      <c r="T1149" s="46"/>
      <c r="U1149" s="46"/>
      <c r="V1149" s="46"/>
      <c r="W1149" s="46"/>
      <c r="X1149" s="46"/>
      <c r="Y1149" s="46"/>
      <c r="Z1149" s="46"/>
      <c r="AA1149" s="46"/>
      <c r="AB1149" s="46"/>
      <c r="AC1149" s="46"/>
      <c r="AD1149" s="46"/>
      <c r="AE1149" s="46"/>
      <c r="AF1149" s="46"/>
      <c r="AG1149" s="46"/>
      <c r="AH1149" s="46"/>
      <c r="AI1149" s="46"/>
      <c r="AJ1149" s="46"/>
      <c r="AK1149" s="46"/>
      <c r="AL1149" s="46"/>
      <c r="AM1149" s="46"/>
      <c r="AN1149" s="46"/>
      <c r="AO1149" s="46"/>
      <c r="AP1149" s="46"/>
      <c r="AQ1149" s="46"/>
      <c r="AR1149" s="46"/>
      <c r="AS1149" s="46"/>
      <c r="AT1149" s="46"/>
      <c r="AU1149" s="46"/>
      <c r="AV1149" s="46"/>
      <c r="AW1149" s="46"/>
      <c r="AX1149" s="46"/>
      <c r="AY1149" s="46"/>
      <c r="AZ1149" s="46"/>
      <c r="BA1149" s="46"/>
      <c r="BB1149" s="46"/>
      <c r="BC1149" s="46"/>
      <c r="BD1149" s="46"/>
      <c r="BE1149" s="46"/>
      <c r="BF1149" s="46"/>
      <c r="BG1149" s="46"/>
      <c r="BH1149" s="46"/>
    </row>
    <row r="1150" spans="1:60" ht="14.25" customHeight="1" x14ac:dyDescent="0.3">
      <c r="A1150" s="46"/>
      <c r="B1150" s="37"/>
      <c r="C1150" s="46"/>
      <c r="D1150" s="46"/>
      <c r="E1150" s="46"/>
      <c r="F1150" s="46"/>
      <c r="G1150" s="46"/>
      <c r="H1150" s="46"/>
      <c r="I1150" s="46"/>
      <c r="J1150" s="46"/>
      <c r="K1150" s="46"/>
      <c r="L1150" s="46"/>
      <c r="M1150" s="46"/>
      <c r="N1150" s="46"/>
      <c r="O1150" s="46"/>
      <c r="P1150" s="46"/>
      <c r="Q1150" s="46"/>
      <c r="R1150" s="46"/>
      <c r="S1150" s="46"/>
      <c r="T1150" s="46"/>
      <c r="U1150" s="46"/>
      <c r="V1150" s="46"/>
      <c r="W1150" s="46"/>
      <c r="X1150" s="46"/>
      <c r="Y1150" s="46"/>
      <c r="Z1150" s="46"/>
      <c r="AA1150" s="46"/>
      <c r="AB1150" s="46"/>
      <c r="AC1150" s="46"/>
      <c r="AD1150" s="46"/>
      <c r="AE1150" s="46"/>
      <c r="AF1150" s="46"/>
      <c r="AG1150" s="46"/>
      <c r="AH1150" s="46"/>
      <c r="AI1150" s="46"/>
      <c r="AJ1150" s="46"/>
      <c r="AK1150" s="46"/>
      <c r="AL1150" s="46"/>
      <c r="AM1150" s="46"/>
      <c r="AN1150" s="46"/>
      <c r="AO1150" s="46"/>
      <c r="AP1150" s="46"/>
      <c r="AQ1150" s="46"/>
      <c r="AR1150" s="46"/>
      <c r="AS1150" s="46"/>
      <c r="AT1150" s="46"/>
      <c r="AU1150" s="46"/>
      <c r="AV1150" s="46"/>
      <c r="AW1150" s="46"/>
      <c r="AX1150" s="46"/>
      <c r="AY1150" s="46"/>
      <c r="AZ1150" s="46"/>
      <c r="BA1150" s="46"/>
      <c r="BB1150" s="46"/>
      <c r="BC1150" s="46"/>
      <c r="BD1150" s="46"/>
      <c r="BE1150" s="46"/>
      <c r="BF1150" s="46"/>
      <c r="BG1150" s="46"/>
      <c r="BH1150" s="46"/>
    </row>
    <row r="1151" spans="1:60" ht="14.25" customHeight="1" x14ac:dyDescent="0.3">
      <c r="A1151" s="46"/>
      <c r="B1151" s="37"/>
      <c r="C1151" s="46"/>
      <c r="D1151" s="46"/>
      <c r="E1151" s="46"/>
      <c r="F1151" s="46"/>
      <c r="G1151" s="46"/>
      <c r="H1151" s="46"/>
      <c r="I1151" s="46"/>
      <c r="J1151" s="46"/>
      <c r="K1151" s="46"/>
      <c r="L1151" s="46"/>
      <c r="M1151" s="46"/>
      <c r="N1151" s="46"/>
      <c r="O1151" s="46"/>
      <c r="P1151" s="46"/>
      <c r="Q1151" s="46"/>
      <c r="R1151" s="46"/>
      <c r="S1151" s="46"/>
      <c r="T1151" s="46"/>
      <c r="U1151" s="46"/>
      <c r="V1151" s="46"/>
      <c r="W1151" s="46"/>
      <c r="X1151" s="46"/>
      <c r="Y1151" s="46"/>
      <c r="Z1151" s="46"/>
      <c r="AA1151" s="46"/>
      <c r="AB1151" s="46"/>
      <c r="AC1151" s="46"/>
      <c r="AD1151" s="46"/>
      <c r="AE1151" s="46"/>
      <c r="AF1151" s="46"/>
      <c r="AG1151" s="46"/>
      <c r="AH1151" s="46"/>
      <c r="AI1151" s="46"/>
      <c r="AJ1151" s="46"/>
      <c r="AK1151" s="46"/>
      <c r="AL1151" s="46"/>
      <c r="AM1151" s="46"/>
      <c r="AN1151" s="46"/>
      <c r="AO1151" s="46"/>
      <c r="AP1151" s="46"/>
      <c r="AQ1151" s="46"/>
      <c r="AR1151" s="46"/>
      <c r="AS1151" s="46"/>
      <c r="AT1151" s="46"/>
      <c r="AU1151" s="46"/>
      <c r="AV1151" s="46"/>
      <c r="AW1151" s="46"/>
      <c r="AX1151" s="46"/>
      <c r="AY1151" s="46"/>
      <c r="AZ1151" s="46"/>
      <c r="BA1151" s="46"/>
      <c r="BB1151" s="46"/>
      <c r="BC1151" s="46"/>
      <c r="BD1151" s="46"/>
      <c r="BE1151" s="46"/>
      <c r="BF1151" s="46"/>
      <c r="BG1151" s="46"/>
      <c r="BH1151" s="46"/>
    </row>
    <row r="1152" spans="1:60" ht="14.25" customHeight="1" x14ac:dyDescent="0.3">
      <c r="A1152" s="46"/>
      <c r="B1152" s="37"/>
      <c r="C1152" s="46"/>
      <c r="D1152" s="46"/>
      <c r="E1152" s="46"/>
      <c r="F1152" s="46"/>
      <c r="G1152" s="46"/>
      <c r="H1152" s="46"/>
      <c r="I1152" s="46"/>
      <c r="J1152" s="46"/>
      <c r="K1152" s="46"/>
      <c r="L1152" s="46"/>
      <c r="M1152" s="46"/>
      <c r="N1152" s="46"/>
      <c r="O1152" s="46"/>
      <c r="P1152" s="46"/>
      <c r="Q1152" s="46"/>
      <c r="R1152" s="46"/>
      <c r="S1152" s="46"/>
      <c r="T1152" s="46"/>
      <c r="U1152" s="46"/>
      <c r="V1152" s="46"/>
      <c r="W1152" s="46"/>
      <c r="X1152" s="46"/>
      <c r="Y1152" s="46"/>
      <c r="Z1152" s="46"/>
      <c r="AA1152" s="46"/>
      <c r="AB1152" s="46"/>
      <c r="AC1152" s="46"/>
      <c r="AD1152" s="46"/>
      <c r="AE1152" s="46"/>
      <c r="AF1152" s="46"/>
      <c r="AG1152" s="46"/>
      <c r="AH1152" s="46"/>
      <c r="AI1152" s="46"/>
      <c r="AJ1152" s="46"/>
      <c r="AK1152" s="46"/>
      <c r="AL1152" s="46"/>
      <c r="AM1152" s="46"/>
      <c r="AN1152" s="46"/>
      <c r="AO1152" s="46"/>
      <c r="AP1152" s="46"/>
      <c r="AQ1152" s="46"/>
      <c r="AR1152" s="46"/>
      <c r="AS1152" s="46"/>
      <c r="AT1152" s="46"/>
      <c r="AU1152" s="46"/>
      <c r="AV1152" s="46"/>
      <c r="AW1152" s="46"/>
      <c r="AX1152" s="46"/>
      <c r="AY1152" s="46"/>
      <c r="AZ1152" s="46"/>
      <c r="BA1152" s="46"/>
      <c r="BB1152" s="46"/>
      <c r="BC1152" s="46"/>
      <c r="BD1152" s="46"/>
      <c r="BE1152" s="46"/>
      <c r="BF1152" s="46"/>
      <c r="BG1152" s="46"/>
      <c r="BH1152" s="46"/>
    </row>
  </sheetData>
  <conditionalFormatting sqref="J368:BH368">
    <cfRule type="cellIs" dxfId="2" priority="1" operator="lessThan">
      <formula>0</formula>
    </cfRule>
  </conditionalFormatting>
  <conditionalFormatting sqref="J382:BH382">
    <cfRule type="cellIs" dxfId="1" priority="2" operator="lessThan">
      <formula>0</formula>
    </cfRule>
  </conditionalFormatting>
  <conditionalFormatting sqref="J388:BH388">
    <cfRule type="cellIs" dxfId="0" priority="3" operator="lessThan">
      <formula>0</formula>
    </cfRule>
  </conditionalFormatting>
  <pageMargins left="0.7" right="0.7" top="0.75" bottom="0.75" header="0.511811023622047" footer="0.511811023622047"/>
  <pageSetup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 P &amp; L</vt:lpstr>
      <vt:lpstr>Combined</vt:lpstr>
      <vt:lpstr>SA V2</vt:lpstr>
      <vt:lpstr>UK P &amp; L</vt:lpstr>
      <vt:lpstr>UK V4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Alida Wiese</dc:creator>
  <cp:lastModifiedBy>Alida Wiese</cp:lastModifiedBy>
  <cp:lastPrinted>2025-06-13T06:14:15Z</cp:lastPrinted>
  <dcterms:created xsi:type="dcterms:W3CDTF">2025-06-12T06:24:51Z</dcterms:created>
  <dcterms:modified xsi:type="dcterms:W3CDTF">2025-12-03T08:30:02Z</dcterms:modified>
</cp:coreProperties>
</file>