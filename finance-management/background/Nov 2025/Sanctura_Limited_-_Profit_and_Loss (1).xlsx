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<sst xmlns="http://schemas.openxmlformats.org/spreadsheetml/2006/main" count="61" uniqueCount="61">
  <si>
    <t>Profit and Loss</t>
  </si>
  <si>
    <t>Sanctura Limited</t>
  </si>
  <si>
    <t>For the month ended 30 November 2025</t>
  </si>
  <si>
    <t>Account</t>
  </si>
  <si>
    <t>Nov 2025</t>
  </si>
  <si>
    <t>Oct 2025</t>
  </si>
  <si>
    <t>Sept 2025</t>
  </si>
  <si>
    <t>Aug 2025</t>
  </si>
  <si>
    <t>Jul 2025</t>
  </si>
  <si>
    <t>Jun 2025</t>
  </si>
  <si>
    <t>May 2025</t>
  </si>
  <si>
    <t>Apr 2025</t>
  </si>
  <si>
    <t>Mar 2025</t>
  </si>
  <si>
    <t>Year to date</t>
  </si>
  <si>
    <t>Turnover</t>
  </si>
  <si>
    <t>Sales</t>
  </si>
  <si>
    <t>Agency Fees</t>
  </si>
  <si>
    <t>Sales - Pathology</t>
  </si>
  <si>
    <t>Total Turnover</t>
  </si>
  <si>
    <t>Cost of Sales</t>
  </si>
  <si>
    <t>Cost of Goods Sold</t>
  </si>
  <si>
    <t>Agency Fees COS</t>
  </si>
  <si>
    <t>Pathology COS</t>
  </si>
  <si>
    <t>Total Cost of Sales</t>
  </si>
  <si>
    <t>Gross Profit</t>
  </si>
  <si>
    <t>Administrative Costs</t>
  </si>
  <si>
    <t>Advertising &amp; Marketing</t>
  </si>
  <si>
    <t>Bank Fees</t>
  </si>
  <si>
    <t>Cleaning &amp; Office Expenses</t>
  </si>
  <si>
    <t>Computer Expenses</t>
  </si>
  <si>
    <t>Consulting, Accounting and Administrative Fees</t>
  </si>
  <si>
    <t>Donations</t>
  </si>
  <si>
    <t>Directors' Remuneration</t>
  </si>
  <si>
    <t>Casual Wages</t>
  </si>
  <si>
    <t>PAYE</t>
  </si>
  <si>
    <t>Pension</t>
  </si>
  <si>
    <t>Salaries</t>
  </si>
  <si>
    <t>Insurance</t>
  </si>
  <si>
    <t>Legal Expenses</t>
  </si>
  <si>
    <t>Medical Waste</t>
  </si>
  <si>
    <t>Minor Assets</t>
  </si>
  <si>
    <t>Postage, Freight &amp; Courier</t>
  </si>
  <si>
    <t>Printing &amp; Stationery</t>
  </si>
  <si>
    <t>Realised Currency Gains</t>
  </si>
  <si>
    <t>Rent</t>
  </si>
  <si>
    <t>Rental Equipment</t>
  </si>
  <si>
    <t>Repairs &amp; Maintenance</t>
  </si>
  <si>
    <t>Staff Training &amp; Conferences</t>
  </si>
  <si>
    <t>Staff Welfare</t>
  </si>
  <si>
    <t>Subscriptions</t>
  </si>
  <si>
    <t>Telephone &amp; Internet</t>
  </si>
  <si>
    <t>Travel - National</t>
  </si>
  <si>
    <t>Unrealised Currency Gains</t>
  </si>
  <si>
    <t>Utilities</t>
  </si>
  <si>
    <t>Total Administrative Costs</t>
  </si>
  <si>
    <t>Operating Profit</t>
  </si>
  <si>
    <t>Other Income</t>
  </si>
  <si>
    <t>Discount Received</t>
  </si>
  <si>
    <t>Total Other Income</t>
  </si>
  <si>
    <t>Profit on Ordinary Activities Before Taxation</t>
  </si>
  <si>
    <t>Profit after Taxation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</si>
</sst>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(#,##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60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44.33203125" customWidth="1"/>
    <col min="2" max="2" width="11" customWidth="1"/>
    <col min="3" max="3" width="10.66015625" customWidth="1"/>
    <col min="4" max="4" width="11.33203125" customWidth="1"/>
    <col min="5" max="5" width="11.16015625" customWidth="1"/>
    <col min="6" max="6" width="10.16015625" customWidth="1"/>
    <col min="7" max="7" width="10.66015625" customWidth="1"/>
    <col min="8" max="8" width="11.5" customWidth="1"/>
    <col min="9" max="9" width="11" customWidth="1"/>
    <col min="10" max="10" width="11.33203125" customWidth="1"/>
    <col min="11" max="11" width="14.1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</row>
    <row r="6" ht="13.35" customHeight="true"/>
    <row r="7" ht="12.1" customHeight="true" customFormat="true" s="5">
      <c r="A7" s="8" t="s">
        <v>14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ht="10.95" customHeight="true" customFormat="true" s="9">
      <c r="A8" s="10" t="s">
        <v>15</v>
      </c>
      <c r="B8" s="11">
        <v>87973.5600</v>
      </c>
      <c r="C8" s="11">
        <v>85213.8300</v>
      </c>
      <c r="D8" s="11">
        <v>86131.8000</v>
      </c>
      <c r="E8" s="11">
        <v>75622.9400</v>
      </c>
      <c r="F8" s="11">
        <v>67035.6400</v>
      </c>
      <c r="G8" s="11">
        <v>50142.1300</v>
      </c>
      <c r="H8" s="11">
        <v>23357.5700</v>
      </c>
      <c r="I8" s="11">
        <v>5219.0000</v>
      </c>
      <c r="J8" s="11">
        <v>12118.6500</v>
      </c>
      <c r="K8" s="11">
        <v>492815.1200</v>
      </c>
    </row>
    <row r="9" ht="10.95" customHeight="true" customFormat="true" s="9">
      <c r="A9" s="12" t="s">
        <v>16</v>
      </c>
      <c r="B9" s="13">
        <v>209.7000</v>
      </c>
      <c r="C9" s="13">
        <v>18085.4300</v>
      </c>
      <c r="D9" s="13">
        <v>21745.8800</v>
      </c>
      <c r="E9" s="13">
        <v>28096.5100</v>
      </c>
      <c r="F9" s="13">
        <v>37090.0300</v>
      </c>
      <c r="G9" s="13">
        <v>48194.8300</v>
      </c>
      <c r="H9" s="13">
        <v>27202.8300</v>
      </c>
      <c r="I9" s="13">
        <v>0</v>
      </c>
      <c r="J9" s="13">
        <v>0</v>
      </c>
      <c r="K9" s="13">
        <v>180625.2100</v>
      </c>
    </row>
    <row r="10" ht="10.95" customHeight="true" customFormat="true" s="9">
      <c r="A10" s="12" t="s">
        <v>17</v>
      </c>
      <c r="B10" s="13">
        <v>3711.4800</v>
      </c>
      <c r="C10" s="13">
        <v>1538.3200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5249.8000</v>
      </c>
    </row>
    <row r="11" ht="10.95" customHeight="true" customFormat="true" s="9">
      <c r="A11" s="14" t="s">
        <v>18</v>
      </c>
      <c r="B11" s="15">
        <f ca="1">SUM(B8:B10)</f>
        <v>0</v>
      </c>
      <c r="C11" s="15">
        <f ca="1">SUM(C8:C10)</f>
        <v>0</v>
      </c>
      <c r="D11" s="15">
        <f ca="1">SUM(D8:D10)</f>
        <v>0</v>
      </c>
      <c r="E11" s="15">
        <f ca="1">SUM(E8:E10)</f>
        <v>0</v>
      </c>
      <c r="F11" s="15">
        <f ca="1">SUM(F8:F10)</f>
        <v>0</v>
      </c>
      <c r="G11" s="15">
        <f ca="1">SUM(G8:G10)</f>
        <v>0</v>
      </c>
      <c r="H11" s="15">
        <f ca="1">SUM(H8:H10)</f>
        <v>0</v>
      </c>
      <c r="I11" s="15">
        <f ca="1">SUM(I8:I10)</f>
        <v>0</v>
      </c>
      <c r="J11" s="15">
        <f ca="1">SUM(J8:J10)</f>
        <v>0</v>
      </c>
      <c r="K11" s="15">
        <f ca="1">SUM(K8:K10)</f>
        <v>0</v>
      </c>
    </row>
    <row r="12" ht="13.35" customHeight="true"/>
    <row r="13" ht="12.1" customHeight="true" customFormat="true" s="5">
      <c r="A13" s="8" t="s">
        <v>19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10.95" customHeight="true" customFormat="true" s="9">
      <c r="A14" s="10" t="s">
        <v>20</v>
      </c>
      <c r="B14" s="11">
        <v>7302.0800</v>
      </c>
      <c r="C14" s="11">
        <v>6651.5700</v>
      </c>
      <c r="D14" s="11">
        <v>6007.0300</v>
      </c>
      <c r="E14" s="11">
        <v>5819.4500</v>
      </c>
      <c r="F14" s="11">
        <v>18404.8600</v>
      </c>
      <c r="G14" s="11">
        <v>5675.1600</v>
      </c>
      <c r="H14" s="11">
        <v>15094.9900</v>
      </c>
      <c r="I14" s="11">
        <v>454.6500</v>
      </c>
      <c r="J14" s="11">
        <v>3296.6300</v>
      </c>
      <c r="K14" s="11">
        <v>68706.4200</v>
      </c>
    </row>
    <row r="15" ht="10.95" customHeight="true" customFormat="true" s="9">
      <c r="A15" s="12" t="s">
        <v>21</v>
      </c>
      <c r="B15" s="13">
        <v>2557.0000</v>
      </c>
      <c r="C15" s="13">
        <v>1172.2200</v>
      </c>
      <c r="D15" s="13">
        <v>14269.0000</v>
      </c>
      <c r="E15" s="13">
        <v>46313.5000</v>
      </c>
      <c r="F15" s="13">
        <v>11957.0000</v>
      </c>
      <c r="G15" s="13">
        <v>73503.9600</v>
      </c>
      <c r="H15" s="13">
        <v>26791.9800</v>
      </c>
      <c r="I15" s="13">
        <v>0</v>
      </c>
      <c r="J15" s="13">
        <v>0</v>
      </c>
      <c r="K15" s="13">
        <v>176564.6600</v>
      </c>
    </row>
    <row r="16" ht="10.95" customHeight="true" customFormat="true" s="9">
      <c r="A16" s="12" t="s">
        <v>22</v>
      </c>
      <c r="B16" s="13">
        <v>0</v>
      </c>
      <c r="C16" s="13">
        <v>1249.7200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1249.7200</v>
      </c>
    </row>
    <row r="17" ht="10.95" customHeight="true" customFormat="true" s="9">
      <c r="A17" s="14" t="s">
        <v>23</v>
      </c>
      <c r="B17" s="15">
        <f ca="1">SUM(B14:B16)</f>
        <v>0</v>
      </c>
      <c r="C17" s="15">
        <f ca="1">SUM(C14:C16)</f>
        <v>0</v>
      </c>
      <c r="D17" s="15">
        <f ca="1">SUM(D14:D16)</f>
        <v>0</v>
      </c>
      <c r="E17" s="15">
        <f ca="1">SUM(E14:E16)</f>
        <v>0</v>
      </c>
      <c r="F17" s="15">
        <f ca="1">SUM(F14:F16)</f>
        <v>0</v>
      </c>
      <c r="G17" s="15">
        <f ca="1">SUM(G14:G16)</f>
        <v>0</v>
      </c>
      <c r="H17" s="15">
        <f ca="1">SUM(H14:H16)</f>
        <v>0</v>
      </c>
      <c r="I17" s="15">
        <f ca="1">SUM(I14:I16)</f>
        <v>0</v>
      </c>
      <c r="J17" s="15">
        <f ca="1">SUM(J14:J16)</f>
        <v>0</v>
      </c>
      <c r="K17" s="15">
        <f ca="1">SUM(K14:K16)</f>
        <v>0</v>
      </c>
    </row>
    <row r="18" ht="13.35" customHeight="true"/>
    <row r="19" ht="10.95" customHeight="true" customFormat="true" s="9">
      <c r="A19" s="16" t="s">
        <v>24</v>
      </c>
      <c r="B19" s="17">
        <f ca="1">(B11 - B17)</f>
        <v>0</v>
      </c>
      <c r="C19" s="17">
        <f ca="1">(C11 - C17)</f>
        <v>0</v>
      </c>
      <c r="D19" s="17">
        <f ca="1">(D11 - D17)</f>
        <v>0</v>
      </c>
      <c r="E19" s="17">
        <f ca="1">(E11 - E17)</f>
        <v>0</v>
      </c>
      <c r="F19" s="17">
        <f ca="1">(F11 - F17)</f>
        <v>0</v>
      </c>
      <c r="G19" s="17">
        <f ca="1">(G11 - G17)</f>
        <v>0</v>
      </c>
      <c r="H19" s="17">
        <f ca="1">(H11 - H17)</f>
        <v>0</v>
      </c>
      <c r="I19" s="17">
        <f ca="1">(I11 - I17)</f>
        <v>0</v>
      </c>
      <c r="J19" s="17">
        <f ca="1">(J11 - J17)</f>
        <v>0</v>
      </c>
      <c r="K19" s="17">
        <f ca="1">(K11 - K17)</f>
        <v>0</v>
      </c>
    </row>
    <row r="20" ht="13.35" customHeight="true"/>
    <row r="21" ht="12.1" customHeight="true" customFormat="true" s="5">
      <c r="A21" s="8" t="s">
        <v>25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10.95" customHeight="true" customFormat="true" s="9">
      <c r="A22" s="10" t="s">
        <v>26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1000.0000</v>
      </c>
      <c r="H22" s="11">
        <v>0</v>
      </c>
      <c r="I22" s="11">
        <v>0</v>
      </c>
      <c r="J22" s="11">
        <v>0</v>
      </c>
      <c r="K22" s="11">
        <v>1000.0000</v>
      </c>
    </row>
    <row r="23" ht="10.95" customHeight="true" customFormat="true" s="9">
      <c r="A23" s="12" t="s">
        <v>27</v>
      </c>
      <c r="B23" s="13">
        <v>924.5100</v>
      </c>
      <c r="C23" s="13">
        <v>602.4000</v>
      </c>
      <c r="D23" s="13">
        <v>419.1900</v>
      </c>
      <c r="E23" s="13">
        <v>133.5400</v>
      </c>
      <c r="F23" s="13">
        <v>175.7600</v>
      </c>
      <c r="G23" s="13">
        <v>143.1500</v>
      </c>
      <c r="H23" s="13">
        <v>58.7500</v>
      </c>
      <c r="I23" s="13">
        <v>8.5000</v>
      </c>
      <c r="J23" s="13">
        <v>8.5000</v>
      </c>
      <c r="K23" s="13">
        <v>2474.3000</v>
      </c>
    </row>
    <row r="24" ht="10.95" customHeight="true" customFormat="true" s="9">
      <c r="A24" s="12" t="s">
        <v>28</v>
      </c>
      <c r="B24" s="13">
        <v>3152.8900</v>
      </c>
      <c r="C24" s="13">
        <v>3169.8700</v>
      </c>
      <c r="D24" s="13">
        <v>3306.6200</v>
      </c>
      <c r="E24" s="13">
        <v>1288.9300</v>
      </c>
      <c r="F24" s="13">
        <v>3506.6700</v>
      </c>
      <c r="G24" s="13">
        <v>4637.9700</v>
      </c>
      <c r="H24" s="13">
        <v>106.6800</v>
      </c>
      <c r="I24" s="13">
        <v>0</v>
      </c>
      <c r="J24" s="13">
        <v>0</v>
      </c>
      <c r="K24" s="13">
        <v>19169.6300</v>
      </c>
    </row>
    <row r="25" ht="10.95" customHeight="true" customFormat="true" s="9">
      <c r="A25" s="12" t="s">
        <v>29</v>
      </c>
      <c r="B25" s="13">
        <v>0</v>
      </c>
      <c r="C25" s="13">
        <v>22.8500</v>
      </c>
      <c r="D25" s="13">
        <v>0</v>
      </c>
      <c r="E25" s="13">
        <v>0</v>
      </c>
      <c r="F25" s="13">
        <v>0</v>
      </c>
      <c r="G25" s="13">
        <v>146.9500</v>
      </c>
      <c r="H25" s="13">
        <v>0</v>
      </c>
      <c r="I25" s="13">
        <v>0</v>
      </c>
      <c r="J25" s="13">
        <v>0</v>
      </c>
      <c r="K25" s="13">
        <v>169.8000</v>
      </c>
    </row>
    <row r="26" ht="10.95" customHeight="true" customFormat="true" s="9">
      <c r="A26" s="12" t="s">
        <v>30</v>
      </c>
      <c r="B26" s="13">
        <v>21305.0000</v>
      </c>
      <c r="C26" s="13">
        <v>6880.0000</v>
      </c>
      <c r="D26" s="13">
        <v>8512.2400</v>
      </c>
      <c r="E26" s="13">
        <v>6596.3700</v>
      </c>
      <c r="F26" s="13">
        <v>3375.3400</v>
      </c>
      <c r="G26" s="13">
        <v>3500.4000</v>
      </c>
      <c r="H26" s="13">
        <v>5456.9800</v>
      </c>
      <c r="I26" s="13">
        <v>4194.9400</v>
      </c>
      <c r="J26" s="13">
        <v>3557.9500</v>
      </c>
      <c r="K26" s="13">
        <v>63379.2200</v>
      </c>
    </row>
    <row r="27" ht="10.95" customHeight="true" customFormat="true" s="9">
      <c r="A27" s="12" t="s">
        <v>31</v>
      </c>
      <c r="B27" s="13">
        <v>1000.0000</v>
      </c>
      <c r="C27" s="13">
        <v>0</v>
      </c>
      <c r="D27" s="13">
        <v>1200.0000</v>
      </c>
      <c r="E27" s="13">
        <v>0</v>
      </c>
      <c r="F27" s="13">
        <v>0</v>
      </c>
      <c r="G27" s="13">
        <v>3800.0000</v>
      </c>
      <c r="H27" s="13">
        <v>0</v>
      </c>
      <c r="I27" s="13">
        <v>0</v>
      </c>
      <c r="J27" s="13">
        <v>0</v>
      </c>
      <c r="K27" s="13">
        <v>6000.0000</v>
      </c>
    </row>
    <row r="28" ht="10.95" customHeight="true" customFormat="true" s="9">
      <c r="A28" s="12" t="s">
        <v>32</v>
      </c>
      <c r="B28" s="13">
        <v>3775.0000</v>
      </c>
      <c r="C28" s="13">
        <v>3775.0000</v>
      </c>
      <c r="D28" s="13">
        <v>3775.0000</v>
      </c>
      <c r="E28" s="13">
        <v>3775.0000</v>
      </c>
      <c r="F28" s="13">
        <v>3775.0000</v>
      </c>
      <c r="G28" s="13">
        <v>3775.0000</v>
      </c>
      <c r="H28" s="13">
        <v>3775.0000</v>
      </c>
      <c r="I28" s="13">
        <v>3775.0000</v>
      </c>
      <c r="J28" s="13">
        <v>3775.0000</v>
      </c>
      <c r="K28" s="13">
        <v>33975.0000</v>
      </c>
    </row>
    <row r="29" ht="10.95" customHeight="true" customFormat="true" s="9">
      <c r="A29" s="12" t="s">
        <v>33</v>
      </c>
      <c r="B29" s="13">
        <v>3107.1700</v>
      </c>
      <c r="C29" s="13">
        <v>4496.0000</v>
      </c>
      <c r="D29" s="13">
        <v>9691.2500</v>
      </c>
      <c r="E29" s="13">
        <v>2664.0000</v>
      </c>
      <c r="F29" s="13">
        <v>1728.0000</v>
      </c>
      <c r="G29" s="13">
        <v>0</v>
      </c>
      <c r="H29" s="13">
        <v>2550.0000</v>
      </c>
      <c r="I29" s="13">
        <v>2600.0000</v>
      </c>
      <c r="J29" s="13">
        <v>3240.1500</v>
      </c>
      <c r="K29" s="13">
        <v>30076.5700</v>
      </c>
    </row>
    <row r="30" ht="10.95" customHeight="true" customFormat="true" s="9">
      <c r="A30" s="12" t="s">
        <v>34</v>
      </c>
      <c r="B30" s="13">
        <v>4918.1200</v>
      </c>
      <c r="C30" s="13">
        <v>4918.1200</v>
      </c>
      <c r="D30" s="13">
        <v>4276.9100</v>
      </c>
      <c r="E30" s="13">
        <v>4182.1700</v>
      </c>
      <c r="F30" s="13">
        <v>4055.4300</v>
      </c>
      <c r="G30" s="13">
        <v>3733.0600</v>
      </c>
      <c r="H30" s="13">
        <v>2136.4200</v>
      </c>
      <c r="I30" s="13">
        <v>2136.0100</v>
      </c>
      <c r="J30" s="13">
        <v>2491.0400</v>
      </c>
      <c r="K30" s="13">
        <v>32847.2800</v>
      </c>
    </row>
    <row r="31" ht="10.95" customHeight="true" customFormat="true" s="9">
      <c r="A31" s="12" t="s">
        <v>35</v>
      </c>
      <c r="B31" s="13">
        <v>309.2200</v>
      </c>
      <c r="C31" s="13">
        <v>309.2200</v>
      </c>
      <c r="D31" s="13">
        <v>256.8300</v>
      </c>
      <c r="E31" s="13">
        <v>256.8300</v>
      </c>
      <c r="F31" s="13">
        <v>256.8300</v>
      </c>
      <c r="G31" s="13">
        <v>256.8300</v>
      </c>
      <c r="H31" s="13">
        <v>256.8300</v>
      </c>
      <c r="I31" s="13">
        <v>256.8300</v>
      </c>
      <c r="J31" s="13">
        <v>0</v>
      </c>
      <c r="K31" s="13">
        <v>2159.4200</v>
      </c>
    </row>
    <row r="32" ht="10.95" customHeight="true" customFormat="true" s="9">
      <c r="A32" s="12" t="s">
        <v>36</v>
      </c>
      <c r="B32" s="13">
        <v>13986.9400</v>
      </c>
      <c r="C32" s="13">
        <v>11949.5200</v>
      </c>
      <c r="D32" s="13">
        <v>8987.6800</v>
      </c>
      <c r="E32" s="13">
        <v>9074.0900</v>
      </c>
      <c r="F32" s="13">
        <v>8866.2100</v>
      </c>
      <c r="G32" s="13">
        <v>6871.2500</v>
      </c>
      <c r="H32" s="13">
        <v>3429.2700</v>
      </c>
      <c r="I32" s="13">
        <v>3429.6800</v>
      </c>
      <c r="J32" s="13">
        <v>3581.3400</v>
      </c>
      <c r="K32" s="13">
        <v>70175.9800</v>
      </c>
    </row>
    <row r="33" ht="10.95" customHeight="true" customFormat="true" s="9">
      <c r="A33" s="12" t="s">
        <v>37</v>
      </c>
      <c r="B33" s="13">
        <v>902.2500</v>
      </c>
      <c r="C33" s="13">
        <v>2122.2500</v>
      </c>
      <c r="D33" s="13">
        <v>902.2500</v>
      </c>
      <c r="E33" s="13">
        <v>902.2500</v>
      </c>
      <c r="F33" s="13">
        <v>1281.2100</v>
      </c>
      <c r="G33" s="13">
        <v>902.2500</v>
      </c>
      <c r="H33" s="13">
        <v>902.2500</v>
      </c>
      <c r="I33" s="13">
        <v>902.2600</v>
      </c>
      <c r="J33" s="13">
        <v>1292.1900</v>
      </c>
      <c r="K33" s="13">
        <v>10109.1600</v>
      </c>
    </row>
    <row r="34" ht="10.95" customHeight="true" customFormat="true" s="9">
      <c r="A34" s="12" t="s">
        <v>38</v>
      </c>
      <c r="B34" s="13">
        <v>0</v>
      </c>
      <c r="C34" s="13">
        <v>0</v>
      </c>
      <c r="D34" s="13">
        <v>0</v>
      </c>
      <c r="E34" s="13">
        <v>2160.0000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2160.0000</v>
      </c>
    </row>
    <row r="35" ht="10.95" customHeight="true" customFormat="true" s="9">
      <c r="A35" s="12" t="s">
        <v>39</v>
      </c>
      <c r="B35" s="13">
        <v>0</v>
      </c>
      <c r="C35" s="13">
        <v>197.3000</v>
      </c>
      <c r="D35" s="13">
        <v>209.9000</v>
      </c>
      <c r="E35" s="13">
        <v>172.1000</v>
      </c>
      <c r="F35" s="13">
        <v>184.7000</v>
      </c>
      <c r="G35" s="13">
        <v>159.5000</v>
      </c>
      <c r="H35" s="13">
        <v>60.0000</v>
      </c>
      <c r="I35" s="13">
        <v>0</v>
      </c>
      <c r="J35" s="13">
        <v>0</v>
      </c>
      <c r="K35" s="13">
        <v>983.5000</v>
      </c>
    </row>
    <row r="36" ht="10.95" customHeight="true" customFormat="true" s="9">
      <c r="A36" s="12" t="s">
        <v>40</v>
      </c>
      <c r="B36" s="13">
        <v>277.0000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277.0000</v>
      </c>
    </row>
    <row r="37" ht="10.95" customHeight="true" customFormat="true" s="9">
      <c r="A37" s="12" t="s">
        <v>41</v>
      </c>
      <c r="B37" s="13">
        <v>3177.5100</v>
      </c>
      <c r="C37" s="13">
        <v>2843.8800</v>
      </c>
      <c r="D37" s="13">
        <v>1392.5500</v>
      </c>
      <c r="E37" s="13">
        <v>1570.7300</v>
      </c>
      <c r="F37" s="13">
        <v>4042.1500</v>
      </c>
      <c r="G37" s="13">
        <v>716.1900</v>
      </c>
      <c r="H37" s="13">
        <v>1485.3400</v>
      </c>
      <c r="I37" s="13">
        <v>0</v>
      </c>
      <c r="J37" s="13">
        <v>945.4100</v>
      </c>
      <c r="K37" s="13">
        <v>16173.7600</v>
      </c>
    </row>
    <row r="38" ht="10.95" customHeight="true" customFormat="true" s="9">
      <c r="A38" s="12" t="s">
        <v>42</v>
      </c>
      <c r="B38" s="13">
        <v>0</v>
      </c>
      <c r="C38" s="13">
        <v>96.4900</v>
      </c>
      <c r="D38" s="13">
        <v>0</v>
      </c>
      <c r="E38" s="13">
        <v>58.7100</v>
      </c>
      <c r="F38" s="13">
        <v>108.4300</v>
      </c>
      <c r="G38" s="13">
        <v>345.0200</v>
      </c>
      <c r="H38" s="13">
        <v>0</v>
      </c>
      <c r="I38" s="13">
        <v>0</v>
      </c>
      <c r="J38" s="13">
        <v>0</v>
      </c>
      <c r="K38" s="13">
        <v>608.6500</v>
      </c>
    </row>
    <row r="39" ht="10.95" customHeight="true" customFormat="true" s="9">
      <c r="A39" s="12" t="s">
        <v>43</v>
      </c>
      <c r="B39" s="13">
        <v>131.2200</v>
      </c>
      <c r="C39" s="13">
        <v>101.5400</v>
      </c>
      <c r="D39" s="13">
        <v>-365.4100</v>
      </c>
      <c r="E39" s="13">
        <v>139.9700</v>
      </c>
      <c r="F39" s="13">
        <v>50.6100</v>
      </c>
      <c r="G39" s="13">
        <v>574.1900</v>
      </c>
      <c r="H39" s="13">
        <v>0</v>
      </c>
      <c r="I39" s="13">
        <v>0</v>
      </c>
      <c r="J39" s="13">
        <v>97.9000</v>
      </c>
      <c r="K39" s="13">
        <v>730.0200</v>
      </c>
    </row>
    <row r="40" ht="10.95" customHeight="true" customFormat="true" s="9">
      <c r="A40" s="12" t="s">
        <v>44</v>
      </c>
      <c r="B40" s="13">
        <v>23750.0000</v>
      </c>
      <c r="C40" s="13">
        <v>23750.0000</v>
      </c>
      <c r="D40" s="13">
        <v>23750.0000</v>
      </c>
      <c r="E40" s="13">
        <v>23750.0000</v>
      </c>
      <c r="F40" s="13">
        <v>23750.0000</v>
      </c>
      <c r="G40" s="13">
        <v>23750.0000</v>
      </c>
      <c r="H40" s="13">
        <v>23750.0000</v>
      </c>
      <c r="I40" s="13">
        <v>23750.0000</v>
      </c>
      <c r="J40" s="13">
        <v>23750.0000</v>
      </c>
      <c r="K40" s="13">
        <v>213750.0000</v>
      </c>
    </row>
    <row r="41" ht="10.95" customHeight="true" customFormat="true" s="9">
      <c r="A41" s="12" t="s">
        <v>45</v>
      </c>
      <c r="B41" s="13">
        <v>0</v>
      </c>
      <c r="C41" s="13">
        <v>0</v>
      </c>
      <c r="D41" s="13">
        <v>0</v>
      </c>
      <c r="E41" s="13">
        <v>216.0000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216.0000</v>
      </c>
    </row>
    <row r="42" ht="10.95" customHeight="true" customFormat="true" s="9">
      <c r="A42" s="12" t="s">
        <v>46</v>
      </c>
      <c r="B42" s="13">
        <v>0</v>
      </c>
      <c r="C42" s="13">
        <v>0</v>
      </c>
      <c r="D42" s="13">
        <v>1380.0000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1380.0000</v>
      </c>
    </row>
    <row r="43" ht="10.95" customHeight="true" customFormat="true" s="9">
      <c r="A43" s="12" t="s">
        <v>47</v>
      </c>
      <c r="B43" s="13">
        <v>0</v>
      </c>
      <c r="C43" s="13">
        <v>105.5800</v>
      </c>
      <c r="D43" s="13">
        <v>0</v>
      </c>
      <c r="E43" s="13">
        <v>39.9700</v>
      </c>
      <c r="F43" s="13">
        <v>158.3600</v>
      </c>
      <c r="G43" s="13">
        <v>54.9900</v>
      </c>
      <c r="H43" s="13">
        <v>0</v>
      </c>
      <c r="I43" s="13">
        <v>0</v>
      </c>
      <c r="J43" s="13">
        <v>0</v>
      </c>
      <c r="K43" s="13">
        <v>358.9000</v>
      </c>
    </row>
    <row r="44" ht="10.95" customHeight="true" customFormat="true" s="9">
      <c r="A44" s="12" t="s">
        <v>48</v>
      </c>
      <c r="B44" s="13">
        <v>0</v>
      </c>
      <c r="C44" s="13">
        <v>0</v>
      </c>
      <c r="D44" s="13">
        <v>83.9600</v>
      </c>
      <c r="E44" s="13">
        <v>83.7000</v>
      </c>
      <c r="F44" s="13">
        <v>136.7500</v>
      </c>
      <c r="G44" s="13">
        <v>95.4500</v>
      </c>
      <c r="H44" s="13">
        <v>0</v>
      </c>
      <c r="I44" s="13">
        <v>0</v>
      </c>
      <c r="J44" s="13">
        <v>0</v>
      </c>
      <c r="K44" s="13">
        <v>399.8600</v>
      </c>
    </row>
    <row r="45" ht="10.95" customHeight="true" customFormat="true" s="9">
      <c r="A45" s="12" t="s">
        <v>49</v>
      </c>
      <c r="B45" s="13">
        <v>1867.0000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1867.0000</v>
      </c>
    </row>
    <row r="46" ht="10.95" customHeight="true" customFormat="true" s="9">
      <c r="A46" s="12" t="s">
        <v>50</v>
      </c>
      <c r="B46" s="13">
        <v>0</v>
      </c>
      <c r="C46" s="13">
        <v>0</v>
      </c>
      <c r="D46" s="13">
        <v>0</v>
      </c>
      <c r="E46" s="13">
        <v>10.0000</v>
      </c>
      <c r="F46" s="13">
        <v>20.0000</v>
      </c>
      <c r="G46" s="13">
        <v>0</v>
      </c>
      <c r="H46" s="13">
        <v>20.0000</v>
      </c>
      <c r="I46" s="13">
        <v>0</v>
      </c>
      <c r="J46" s="13">
        <v>0</v>
      </c>
      <c r="K46" s="13">
        <v>50.0000</v>
      </c>
    </row>
    <row r="47" ht="10.95" customHeight="true" customFormat="true" s="9">
      <c r="A47" s="12" t="s">
        <v>51</v>
      </c>
      <c r="B47" s="13">
        <v>0</v>
      </c>
      <c r="C47" s="13">
        <v>0</v>
      </c>
      <c r="D47" s="13">
        <v>0</v>
      </c>
      <c r="E47" s="13">
        <v>109.7200</v>
      </c>
      <c r="F47" s="13">
        <v>10.4000</v>
      </c>
      <c r="G47" s="13">
        <v>56.4400</v>
      </c>
      <c r="H47" s="13">
        <v>0</v>
      </c>
      <c r="I47" s="13">
        <v>0</v>
      </c>
      <c r="J47" s="13">
        <v>0</v>
      </c>
      <c r="K47" s="13">
        <v>176.5600</v>
      </c>
    </row>
    <row r="48" ht="10.95" customHeight="true" customFormat="true" s="9">
      <c r="A48" s="12" t="s">
        <v>52</v>
      </c>
      <c r="B48" s="13">
        <v>-29.3500</v>
      </c>
      <c r="C48" s="13">
        <v>49.9100</v>
      </c>
      <c r="D48" s="13">
        <v>-188.4700</v>
      </c>
      <c r="E48" s="13">
        <v>-18.4600</v>
      </c>
      <c r="F48" s="13">
        <v>98.0700</v>
      </c>
      <c r="G48" s="13">
        <v>257.8400</v>
      </c>
      <c r="H48" s="13">
        <v>-130.9600</v>
      </c>
      <c r="I48" s="13">
        <v>0</v>
      </c>
      <c r="J48" s="13">
        <v>0</v>
      </c>
      <c r="K48" s="13">
        <v>38.5800</v>
      </c>
    </row>
    <row r="49" ht="10.95" customHeight="true" customFormat="true" s="9">
      <c r="A49" s="12" t="s">
        <v>53</v>
      </c>
      <c r="B49" s="13">
        <v>13250.6200</v>
      </c>
      <c r="C49" s="13">
        <v>13250.6200</v>
      </c>
      <c r="D49" s="13">
        <v>13250.6200</v>
      </c>
      <c r="E49" s="13">
        <v>11270.5900</v>
      </c>
      <c r="F49" s="13">
        <v>14090.4000</v>
      </c>
      <c r="G49" s="13">
        <v>11666.6900</v>
      </c>
      <c r="H49" s="13">
        <v>13487.1800</v>
      </c>
      <c r="I49" s="13">
        <v>13324.6700</v>
      </c>
      <c r="J49" s="13">
        <v>11048.5900</v>
      </c>
      <c r="K49" s="13">
        <v>114639.9800</v>
      </c>
    </row>
    <row r="50" ht="10.95" customHeight="true" customFormat="true" s="9">
      <c r="A50" s="14" t="s">
        <v>54</v>
      </c>
      <c r="B50" s="15">
        <f ca="1">SUM(B22:B49)</f>
        <v>0</v>
      </c>
      <c r="C50" s="15">
        <f ca="1">SUM(C22:C49)</f>
        <v>0</v>
      </c>
      <c r="D50" s="15">
        <f ca="1">SUM(D22:D49)</f>
        <v>0</v>
      </c>
      <c r="E50" s="15">
        <f ca="1">SUM(E22:E49)</f>
        <v>0</v>
      </c>
      <c r="F50" s="15">
        <f ca="1">SUM(F22:F49)</f>
        <v>0</v>
      </c>
      <c r="G50" s="15">
        <f ca="1">SUM(G22:G49)</f>
        <v>0</v>
      </c>
      <c r="H50" s="15">
        <f ca="1">SUM(H22:H49)</f>
        <v>0</v>
      </c>
      <c r="I50" s="15">
        <f ca="1">SUM(I22:I49)</f>
        <v>0</v>
      </c>
      <c r="J50" s="15">
        <f ca="1">SUM(J22:J49)</f>
        <v>0</v>
      </c>
      <c r="K50" s="15">
        <f ca="1">SUM(K22:K49)</f>
        <v>0</v>
      </c>
    </row>
    <row r="51" ht="13.35" customHeight="true"/>
    <row r="52" ht="10.95" customHeight="true" customFormat="true" s="9">
      <c r="A52" s="16" t="s">
        <v>55</v>
      </c>
      <c r="B52" s="17">
        <f ca="1">((B19 + 0) - (0 + B50))</f>
        <v>0</v>
      </c>
      <c r="C52" s="17">
        <f ca="1">((C19 + 0) - (0 + C50))</f>
        <v>0</v>
      </c>
      <c r="D52" s="17">
        <f ca="1">((D19 + 0) - (0 + D50))</f>
        <v>0</v>
      </c>
      <c r="E52" s="17">
        <f ca="1">((E19 + 0) - (0 + E50))</f>
        <v>0</v>
      </c>
      <c r="F52" s="17">
        <f ca="1">((F19 + 0) - (0 + F50))</f>
        <v>0</v>
      </c>
      <c r="G52" s="17">
        <f ca="1">((G19 + 0) - (0 + G50))</f>
        <v>0</v>
      </c>
      <c r="H52" s="17">
        <f ca="1">((H19 + 0) - (0 + H50))</f>
        <v>0</v>
      </c>
      <c r="I52" s="17">
        <f ca="1">((I19 + 0) - (0 + I50))</f>
        <v>0</v>
      </c>
      <c r="J52" s="17">
        <f ca="1">((J19 + 0) - (0 + J50))</f>
        <v>0</v>
      </c>
      <c r="K52" s="17">
        <f ca="1">((K19 + 0) - (0 + K50))</f>
        <v>0</v>
      </c>
    </row>
    <row r="53" ht="13.35" customHeight="true"/>
    <row r="54" ht="12.1" customHeight="true" customFormat="true" s="5">
      <c r="A54" s="8" t="s">
        <v>56</v>
      </c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10.95" customHeight="true" customFormat="true" s="9">
      <c r="A55" s="10" t="s">
        <v>57</v>
      </c>
      <c r="B55" s="11">
        <v>0</v>
      </c>
      <c r="C55" s="11">
        <v>420.6600</v>
      </c>
      <c r="D55" s="11">
        <v>0</v>
      </c>
      <c r="E55" s="11">
        <v>212.7500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633.4100</v>
      </c>
    </row>
    <row r="56" ht="10.95" customHeight="true" customFormat="true" s="9">
      <c r="A56" s="14" t="s">
        <v>58</v>
      </c>
      <c r="B56" s="15">
        <f ca="1">B55</f>
        <v>0</v>
      </c>
      <c r="C56" s="15">
        <f ca="1">C55</f>
        <v>0</v>
      </c>
      <c r="D56" s="15">
        <f ca="1">D55</f>
        <v>0</v>
      </c>
      <c r="E56" s="15">
        <f ca="1">E55</f>
        <v>0</v>
      </c>
      <c r="F56" s="15">
        <f ca="1">F55</f>
        <v>0</v>
      </c>
      <c r="G56" s="15">
        <f ca="1">G55</f>
        <v>0</v>
      </c>
      <c r="H56" s="15">
        <f ca="1">H55</f>
        <v>0</v>
      </c>
      <c r="I56" s="15">
        <f ca="1">I55</f>
        <v>0</v>
      </c>
      <c r="J56" s="15">
        <f ca="1">J55</f>
        <v>0</v>
      </c>
      <c r="K56" s="15">
        <f ca="1">K55</f>
        <v>0</v>
      </c>
    </row>
    <row r="57" ht="13.35" customHeight="true"/>
    <row r="58" ht="10.95" customHeight="true" customFormat="true" s="9">
      <c r="A58" s="16" t="s">
        <v>59</v>
      </c>
      <c r="B58" s="17">
        <f ca="1">(B52 + B56)</f>
        <v>0</v>
      </c>
      <c r="C58" s="17">
        <f ca="1">(C52 + C56)</f>
        <v>0</v>
      </c>
      <c r="D58" s="17">
        <f ca="1">(D52 + D56)</f>
        <v>0</v>
      </c>
      <c r="E58" s="17">
        <f ca="1">(E52 + E56)</f>
        <v>0</v>
      </c>
      <c r="F58" s="17">
        <f ca="1">(F52 + F56)</f>
        <v>0</v>
      </c>
      <c r="G58" s="17">
        <f ca="1">(G52 + G56)</f>
        <v>0</v>
      </c>
      <c r="H58" s="17">
        <f ca="1">(H52 + H56)</f>
        <v>0</v>
      </c>
      <c r="I58" s="17">
        <f ca="1">(I52 + I56)</f>
        <v>0</v>
      </c>
      <c r="J58" s="17">
        <f ca="1">(J52 + J56)</f>
        <v>0</v>
      </c>
      <c r="K58" s="17">
        <f ca="1">(K52 + K56)</f>
        <v>0</v>
      </c>
    </row>
    <row r="59" ht="13.35" customHeight="true"/>
    <row r="60" ht="10.95" customHeight="true" customFormat="true" s="9">
      <c r="A60" s="16" t="s">
        <v>60</v>
      </c>
      <c r="B60" s="17">
        <f ca="1">(B58 - 0)</f>
        <v>0</v>
      </c>
      <c r="C60" s="17">
        <f ca="1">(C58 - 0)</f>
        <v>0</v>
      </c>
      <c r="D60" s="17">
        <f ca="1">(D58 - 0)</f>
        <v>0</v>
      </c>
      <c r="E60" s="17">
        <f ca="1">(E58 - 0)</f>
        <v>0</v>
      </c>
      <c r="F60" s="17">
        <f ca="1">(F58 - 0)</f>
        <v>0</v>
      </c>
      <c r="G60" s="17">
        <f ca="1">(G58 - 0)</f>
        <v>0</v>
      </c>
      <c r="H60" s="17">
        <f ca="1">(H58 - 0)</f>
        <v>0</v>
      </c>
      <c r="I60" s="17">
        <f ca="1">(I58 - 0)</f>
        <v>0</v>
      </c>
      <c r="J60" s="17">
        <f ca="1">(J58 - 0)</f>
        <v>0</v>
      </c>
      <c r="K60" s="17">
        <f ca="1">(K58 - 0)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