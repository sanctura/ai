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<sst xmlns="http://schemas.openxmlformats.org/spreadsheetml/2006/main" count="54" uniqueCount="54">
  <si>
    <t>Profit and Loss</t>
  </si>
  <si>
    <t>Saint Raphael PtyLtd t/a Sanctura</t>
  </si>
  <si>
    <t>For the month ended 30 November 2025</t>
  </si>
  <si>
    <t>Account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</si>
  <si>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</si>
  <si>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</si>
  <si>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</si>
  <si>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</si>
  <si>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</si>
  <si>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</si>
  <si>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</si>
  <si>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</si>
  <si>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</si>
  <si>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Year to date</t>
  </si>
  <si>
    <t>Trading Income</t>
  </si>
  <si>
    <t>Interest Income</t>
  </si>
  <si>
    <t>Other Revenue</t>
  </si>
  <si>
    <t>Sales</t>
  </si>
  <si>
    <t>Total Trading Income</t>
  </si>
  <si>
    <t>Cost of Sales</t>
  </si>
  <si>
    <t>Cost of Goods Sold</t>
  </si>
  <si>
    <t>Total Cost of Sales</t>
  </si>
  <si>
    <t>Gross Profit</t>
  </si>
  <si>
    <t>Operating Expenses</t>
  </si>
  <si>
    <t>Advertising</t>
  </si>
  <si>
    <t>Bank Fees</t>
  </si>
  <si>
    <t>Casual Wages</t>
  </si>
  <si>
    <t>Cleaning &amp; Office Expenses</t>
  </si>
  <si>
    <t>Consulting, Accounting &amp; Administrative Fees</t>
  </si>
  <si>
    <t>Depreciation</t>
  </si>
  <si>
    <t>Donations</t>
  </si>
  <si>
    <t>Legal expenses</t>
  </si>
  <si>
    <t>Medical Waste</t>
  </si>
  <si>
    <t>Minor Assets</t>
  </si>
  <si>
    <t>Motor Vehicle Expenses &amp; Fuel</t>
  </si>
  <si>
    <t>Payroll : Director Nett</t>
  </si>
  <si>
    <t>Payroll: Director PAYE</t>
  </si>
  <si>
    <t>Payroll: Employee Nett</t>
  </si>
  <si>
    <t>Payroll: Employee PAYE</t>
  </si>
  <si>
    <t>Payroll: Employer UIF and SDL</t>
  </si>
  <si>
    <t>Postage, Freight &amp; Courier</t>
  </si>
  <si>
    <t>Printing &amp; Stationery</t>
  </si>
  <si>
    <t>Realised Currency Gains</t>
  </si>
  <si>
    <t>Rent</t>
  </si>
  <si>
    <t>Repairs and Maintenance</t>
  </si>
  <si>
    <t>Staff Training &amp; Conferences</t>
  </si>
  <si>
    <t>Staff Welfare</t>
  </si>
  <si>
    <t>Subscriptions</t>
  </si>
  <si>
    <t>Travel - International</t>
  </si>
  <si>
    <t>Travel - National</t>
  </si>
  <si>
    <t>Unrealised Currency Gains</t>
  </si>
  <si>
    <t>Utilities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</si>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</sst>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(#,##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50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42.83203125" customWidth="1"/>
    <col min="2" max="2" width="11" customWidth="1"/>
    <col min="3" max="4" width="10.66015625" customWidth="1"/>
    <col min="5" max="5" width="11.16015625" customWidth="1"/>
    <col min="6" max="6" width="10.16015625" customWidth="1"/>
    <col min="7" max="7" width="10.66015625" customWidth="1"/>
    <col min="8" max="8" width="11.5" customWidth="1"/>
    <col min="9" max="9" width="11" customWidth="1"/>
    <col min="10" max="10" width="11.33203125" customWidth="1"/>
    <col min="11" max="11" width="14.1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</row>
    <row r="6" ht="13.35" customHeight="true"/>
    <row r="7" ht="12.1" customHeight="true" customFormat="true" s="5">
      <c r="A7" s="8" t="s">
        <v>14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ht="10.95" customHeight="true" customFormat="true" s="9">
      <c r="A8" s="10" t="s">
        <v>15</v>
      </c>
      <c r="B8" s="11">
        <v>297.1900</v>
      </c>
      <c r="C8" s="11">
        <v>225.9600</v>
      </c>
      <c r="D8" s="11">
        <v>223.8300</v>
      </c>
      <c r="E8" s="11">
        <v>325.9900</v>
      </c>
      <c r="F8" s="11">
        <v>309.6100</v>
      </c>
      <c r="G8" s="11">
        <v>233.4700</v>
      </c>
      <c r="H8" s="11">
        <v>491.3600</v>
      </c>
      <c r="I8" s="11">
        <v>606.0700</v>
      </c>
      <c r="J8" s="11">
        <v>885.1000</v>
      </c>
      <c r="K8" s="11">
        <v>3598.5800</v>
      </c>
    </row>
    <row r="9" ht="10.95" customHeight="true" customFormat="true" s="9">
      <c r="A9" s="12" t="s">
        <v>16</v>
      </c>
      <c r="B9" s="13">
        <v>226590.8900</v>
      </c>
      <c r="C9" s="13">
        <v>227857.3900</v>
      </c>
      <c r="D9" s="13">
        <v>232162.9200</v>
      </c>
      <c r="E9" s="13">
        <v>715957.9900</v>
      </c>
      <c r="F9" s="13">
        <v>0</v>
      </c>
      <c r="G9" s="13">
        <v>0</v>
      </c>
      <c r="H9" s="13">
        <v>673482.9700</v>
      </c>
      <c r="I9" s="13">
        <v>0</v>
      </c>
      <c r="J9" s="13">
        <v>0</v>
      </c>
      <c r="K9" s="13">
        <v>2076052.1600</v>
      </c>
    </row>
    <row r="10" ht="10.95" customHeight="true" customFormat="true" s="9">
      <c r="A10" s="12" t="s">
        <v>17</v>
      </c>
      <c r="B10" s="13">
        <v>1571884.9000</v>
      </c>
      <c r="C10" s="13">
        <v>1830943.7600</v>
      </c>
      <c r="D10" s="13">
        <v>1841449.6700</v>
      </c>
      <c r="E10" s="13">
        <v>1842120.9100</v>
      </c>
      <c r="F10" s="13">
        <v>1867678.9800</v>
      </c>
      <c r="G10" s="13">
        <v>1590706.2400</v>
      </c>
      <c r="H10" s="13">
        <v>1611732.3000</v>
      </c>
      <c r="I10" s="13">
        <v>1878388.3600</v>
      </c>
      <c r="J10" s="13">
        <v>1423966.7700</v>
      </c>
      <c r="K10" s="13">
        <v>15458871.8900</v>
      </c>
    </row>
    <row r="11" ht="10.95" customHeight="true" customFormat="true" s="9">
      <c r="A11" s="14" t="s">
        <v>18</v>
      </c>
      <c r="B11" s="15">
        <f ca="1">SUM(B8:B10)</f>
        <v>0</v>
      </c>
      <c r="C11" s="15">
        <f ca="1">SUM(C8:C10)</f>
        <v>0</v>
      </c>
      <c r="D11" s="15">
        <f ca="1">SUM(D8:D10)</f>
        <v>0</v>
      </c>
      <c r="E11" s="15">
        <f ca="1">SUM(E8:E10)</f>
        <v>0</v>
      </c>
      <c r="F11" s="15">
        <f ca="1">SUM(F8:F10)</f>
        <v>0</v>
      </c>
      <c r="G11" s="15">
        <f ca="1">SUM(G8:G10)</f>
        <v>0</v>
      </c>
      <c r="H11" s="15">
        <f ca="1">SUM(H8:H10)</f>
        <v>0</v>
      </c>
      <c r="I11" s="15">
        <f ca="1">SUM(I8:I10)</f>
        <v>0</v>
      </c>
      <c r="J11" s="15">
        <f ca="1">SUM(J8:J10)</f>
        <v>0</v>
      </c>
      <c r="K11" s="15">
        <f ca="1">SUM(K8:K10)</f>
        <v>0</v>
      </c>
    </row>
    <row r="12" ht="13.35" customHeight="true"/>
    <row r="13" ht="12.1" customHeight="true" customFormat="true" s="5">
      <c r="A13" s="8" t="s">
        <v>19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10.95" customHeight="true" customFormat="true" s="9">
      <c r="A14" s="10" t="s">
        <v>20</v>
      </c>
      <c r="B14" s="11">
        <v>138381.1700</v>
      </c>
      <c r="C14" s="11">
        <v>145285.2300</v>
      </c>
      <c r="D14" s="11">
        <v>118177.2200</v>
      </c>
      <c r="E14" s="11">
        <v>110366.1800</v>
      </c>
      <c r="F14" s="11">
        <v>155657.0700</v>
      </c>
      <c r="G14" s="11">
        <v>138604.7300</v>
      </c>
      <c r="H14" s="11">
        <v>191313.0400</v>
      </c>
      <c r="I14" s="11">
        <v>291245.5300</v>
      </c>
      <c r="J14" s="11">
        <v>556561.6500</v>
      </c>
      <c r="K14" s="11">
        <v>1845591.8200</v>
      </c>
    </row>
    <row r="15" ht="10.95" customHeight="true" customFormat="true" s="9">
      <c r="A15" s="14" t="s">
        <v>21</v>
      </c>
      <c r="B15" s="15">
        <f ca="1">B14</f>
        <v>0</v>
      </c>
      <c r="C15" s="15">
        <f ca="1">C14</f>
        <v>0</v>
      </c>
      <c r="D15" s="15">
        <f ca="1">D14</f>
        <v>0</v>
      </c>
      <c r="E15" s="15">
        <f ca="1">E14</f>
        <v>0</v>
      </c>
      <c r="F15" s="15">
        <f ca="1">F14</f>
        <v>0</v>
      </c>
      <c r="G15" s="15">
        <f ca="1">G14</f>
        <v>0</v>
      </c>
      <c r="H15" s="15">
        <f ca="1">H14</f>
        <v>0</v>
      </c>
      <c r="I15" s="15">
        <f ca="1">I14</f>
        <v>0</v>
      </c>
      <c r="J15" s="15">
        <f ca="1">J14</f>
        <v>0</v>
      </c>
      <c r="K15" s="15">
        <f ca="1">K14</f>
        <v>0</v>
      </c>
    </row>
    <row r="16" ht="13.35" customHeight="true"/>
    <row r="17" ht="10.95" customHeight="true" customFormat="true" s="9">
      <c r="A17" s="16" t="s">
        <v>22</v>
      </c>
      <c r="B17" s="17">
        <f ca="1">(B11 - B15)</f>
        <v>0</v>
      </c>
      <c r="C17" s="17">
        <f ca="1">(C11 - C15)</f>
        <v>0</v>
      </c>
      <c r="D17" s="17">
        <f ca="1">(D11 - D15)</f>
        <v>0</v>
      </c>
      <c r="E17" s="17">
        <f ca="1">(E11 - E15)</f>
        <v>0</v>
      </c>
      <c r="F17" s="17">
        <f ca="1">(F11 - F15)</f>
        <v>0</v>
      </c>
      <c r="G17" s="17">
        <f ca="1">(G11 - G15)</f>
        <v>0</v>
      </c>
      <c r="H17" s="17">
        <f ca="1">(H11 - H15)</f>
        <v>0</v>
      </c>
      <c r="I17" s="17">
        <f ca="1">(I11 - I15)</f>
        <v>0</v>
      </c>
      <c r="J17" s="17">
        <f ca="1">(J11 - J15)</f>
        <v>0</v>
      </c>
      <c r="K17" s="17">
        <f ca="1">(K11 - K15)</f>
        <v>0</v>
      </c>
    </row>
    <row r="18" ht="13.35" customHeight="true"/>
    <row r="19" ht="12.1" customHeight="true" customFormat="true" s="5">
      <c r="A19" s="8" t="s">
        <v>23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ht="10.95" customHeight="true" customFormat="true" s="9">
      <c r="A20" s="10" t="s">
        <v>24</v>
      </c>
      <c r="B20" s="11">
        <v>53660.3700</v>
      </c>
      <c r="C20" s="11">
        <v>98096.9500</v>
      </c>
      <c r="D20" s="11">
        <v>76471.7200</v>
      </c>
      <c r="E20" s="11">
        <v>85156.5100</v>
      </c>
      <c r="F20" s="11">
        <v>79744.1100</v>
      </c>
      <c r="G20" s="11">
        <v>76913.5800</v>
      </c>
      <c r="H20" s="11">
        <v>124981.4700</v>
      </c>
      <c r="I20" s="11">
        <v>61843.8300</v>
      </c>
      <c r="J20" s="11">
        <v>96761.0000</v>
      </c>
      <c r="K20" s="11">
        <v>753629.5400</v>
      </c>
    </row>
    <row r="21" ht="10.95" customHeight="true" customFormat="true" s="9">
      <c r="A21" s="12" t="s">
        <v>25</v>
      </c>
      <c r="B21" s="13">
        <v>1422.6900</v>
      </c>
      <c r="C21" s="13">
        <v>773.7900</v>
      </c>
      <c r="D21" s="13">
        <v>1688.7400</v>
      </c>
      <c r="E21" s="13">
        <v>1705.1000</v>
      </c>
      <c r="F21" s="13">
        <v>1801.3500</v>
      </c>
      <c r="G21" s="13">
        <v>1958.2800</v>
      </c>
      <c r="H21" s="13">
        <v>1407.0400</v>
      </c>
      <c r="I21" s="13">
        <v>2097.8700</v>
      </c>
      <c r="J21" s="13">
        <v>713.4000</v>
      </c>
      <c r="K21" s="13">
        <v>13568.2600</v>
      </c>
    </row>
    <row r="22" ht="10.95" customHeight="true" customFormat="true" s="9">
      <c r="A22" s="12" t="s">
        <v>26</v>
      </c>
      <c r="B22" s="13">
        <v>0</v>
      </c>
      <c r="C22" s="13">
        <v>0</v>
      </c>
      <c r="D22" s="13">
        <v>0</v>
      </c>
      <c r="E22" s="13">
        <v>0</v>
      </c>
      <c r="F22" s="13">
        <v>2000.0000</v>
      </c>
      <c r="G22" s="13">
        <v>0</v>
      </c>
      <c r="H22" s="13">
        <v>0</v>
      </c>
      <c r="I22" s="13">
        <v>18806.5400</v>
      </c>
      <c r="J22" s="13">
        <v>24000.0000</v>
      </c>
      <c r="K22" s="13">
        <v>44806.5400</v>
      </c>
    </row>
    <row r="23" ht="10.95" customHeight="true" customFormat="true" s="9">
      <c r="A23" s="12" t="s">
        <v>27</v>
      </c>
      <c r="B23" s="13">
        <v>2550.2200</v>
      </c>
      <c r="C23" s="13">
        <v>14706.1800</v>
      </c>
      <c r="D23" s="13">
        <v>11153.7600</v>
      </c>
      <c r="E23" s="13">
        <v>12754.3100</v>
      </c>
      <c r="F23" s="13">
        <v>8488.7900</v>
      </c>
      <c r="G23" s="13">
        <v>9645.7000</v>
      </c>
      <c r="H23" s="13">
        <v>9122.5800</v>
      </c>
      <c r="I23" s="13">
        <v>20457.1500</v>
      </c>
      <c r="J23" s="13">
        <v>7152.9900</v>
      </c>
      <c r="K23" s="13">
        <v>96031.6800</v>
      </c>
    </row>
    <row r="24" ht="10.95" customHeight="true" customFormat="true" s="9">
      <c r="A24" s="12" t="s">
        <v>28</v>
      </c>
      <c r="B24" s="13">
        <v>22945.0000</v>
      </c>
      <c r="C24" s="13">
        <v>23950.3900</v>
      </c>
      <c r="D24" s="13">
        <v>9542.0000</v>
      </c>
      <c r="E24" s="13">
        <v>9542.0000</v>
      </c>
      <c r="F24" s="13">
        <v>31669.5000</v>
      </c>
      <c r="G24" s="13">
        <v>10571.2500</v>
      </c>
      <c r="H24" s="13">
        <v>9542.0000</v>
      </c>
      <c r="I24" s="13">
        <v>9542.0000</v>
      </c>
      <c r="J24" s="13">
        <v>11094.5000</v>
      </c>
      <c r="K24" s="13">
        <v>138398.6400</v>
      </c>
    </row>
    <row r="25" ht="10.95" customHeight="true" customFormat="true" s="9">
      <c r="A25" s="12" t="s">
        <v>29</v>
      </c>
      <c r="B25" s="13">
        <v>277684.3800</v>
      </c>
      <c r="C25" s="13">
        <v>277684.3600</v>
      </c>
      <c r="D25" s="13">
        <v>277684.3200</v>
      </c>
      <c r="E25" s="13">
        <v>277684.3100</v>
      </c>
      <c r="F25" s="13">
        <v>277746.8700</v>
      </c>
      <c r="G25" s="13">
        <v>277749.4700</v>
      </c>
      <c r="H25" s="13">
        <v>277749.4700</v>
      </c>
      <c r="I25" s="13">
        <v>277749.5200</v>
      </c>
      <c r="J25" s="13">
        <v>277749.4500</v>
      </c>
      <c r="K25" s="13">
        <v>2499482.1500</v>
      </c>
    </row>
    <row r="26" ht="10.95" customHeight="true" customFormat="true" s="9">
      <c r="A26" s="12" t="s">
        <v>30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7000.0000</v>
      </c>
      <c r="H26" s="13">
        <v>0</v>
      </c>
      <c r="I26" s="13">
        <v>0</v>
      </c>
      <c r="J26" s="13">
        <v>0</v>
      </c>
      <c r="K26" s="13">
        <v>7000.0000</v>
      </c>
    </row>
    <row r="27" ht="10.95" customHeight="true" customFormat="true" s="9">
      <c r="A27" s="12" t="s">
        <v>31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4561.8800</v>
      </c>
      <c r="J27" s="13">
        <v>2108.3400</v>
      </c>
      <c r="K27" s="13">
        <v>6670.2200</v>
      </c>
    </row>
    <row r="28" ht="10.95" customHeight="true" customFormat="true" s="9">
      <c r="A28" s="12" t="s">
        <v>32</v>
      </c>
      <c r="B28" s="13">
        <v>0</v>
      </c>
      <c r="C28" s="13">
        <v>1122.5200</v>
      </c>
      <c r="D28" s="13">
        <v>10182.1200</v>
      </c>
      <c r="E28" s="13">
        <v>7514.7200</v>
      </c>
      <c r="F28" s="13">
        <v>812.4900</v>
      </c>
      <c r="G28" s="13">
        <v>633.6600</v>
      </c>
      <c r="H28" s="13">
        <v>807.3200</v>
      </c>
      <c r="I28" s="13">
        <v>6566.5400</v>
      </c>
      <c r="J28" s="13">
        <v>1980.9000</v>
      </c>
      <c r="K28" s="13">
        <v>29620.2700</v>
      </c>
    </row>
    <row r="29" ht="10.95" customHeight="true" customFormat="true" s="9">
      <c r="A29" s="12" t="s">
        <v>33</v>
      </c>
      <c r="B29" s="13">
        <v>3477.3900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10004.0000</v>
      </c>
      <c r="K29" s="13">
        <v>13481.3900</v>
      </c>
    </row>
    <row r="30" ht="10.95" customHeight="true" customFormat="true" s="9">
      <c r="A30" s="12" t="s">
        <v>34</v>
      </c>
      <c r="B30" s="13">
        <v>0</v>
      </c>
      <c r="C30" s="13">
        <v>1150.0000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1150.0000</v>
      </c>
    </row>
    <row r="31" ht="10.95" customHeight="true" customFormat="true" s="9">
      <c r="A31" s="12" t="s">
        <v>35</v>
      </c>
      <c r="B31" s="13">
        <v>31983.5500</v>
      </c>
      <c r="C31" s="13">
        <v>31983.5500</v>
      </c>
      <c r="D31" s="13">
        <v>31983.5500</v>
      </c>
      <c r="E31" s="13">
        <v>31983.5500</v>
      </c>
      <c r="F31" s="13">
        <v>31983.5400</v>
      </c>
      <c r="G31" s="13">
        <v>31983.5500</v>
      </c>
      <c r="H31" s="13">
        <v>31983.5500</v>
      </c>
      <c r="I31" s="13">
        <v>31983.5400</v>
      </c>
      <c r="J31" s="13">
        <v>31983.5500</v>
      </c>
      <c r="K31" s="13">
        <v>287851.9300</v>
      </c>
    </row>
    <row r="32" ht="10.95" customHeight="true" customFormat="true" s="9">
      <c r="A32" s="12" t="s">
        <v>36</v>
      </c>
      <c r="B32" s="13">
        <v>8016.4500</v>
      </c>
      <c r="C32" s="13">
        <v>8016.4600</v>
      </c>
      <c r="D32" s="13">
        <v>8016.4500</v>
      </c>
      <c r="E32" s="13">
        <v>8016.4500</v>
      </c>
      <c r="F32" s="13">
        <v>8016.4500</v>
      </c>
      <c r="G32" s="13">
        <v>8016.4500</v>
      </c>
      <c r="H32" s="13">
        <v>8016.4500</v>
      </c>
      <c r="I32" s="13">
        <v>8016.4600</v>
      </c>
      <c r="J32" s="13">
        <v>8016.4500</v>
      </c>
      <c r="K32" s="13">
        <v>72148.0700</v>
      </c>
    </row>
    <row r="33" ht="10.95" customHeight="true" customFormat="true" s="9">
      <c r="A33" s="12" t="s">
        <v>37</v>
      </c>
      <c r="B33" s="13">
        <v>463789.2600</v>
      </c>
      <c r="C33" s="13">
        <v>585839.4300</v>
      </c>
      <c r="D33" s="13">
        <v>578942.6400</v>
      </c>
      <c r="E33" s="13">
        <v>512386.0600</v>
      </c>
      <c r="F33" s="13">
        <v>634583.1100</v>
      </c>
      <c r="G33" s="13">
        <v>499839.1900</v>
      </c>
      <c r="H33" s="13">
        <v>463908.3300</v>
      </c>
      <c r="I33" s="13">
        <v>464674.9200</v>
      </c>
      <c r="J33" s="13">
        <v>432835.9300</v>
      </c>
      <c r="K33" s="13">
        <v>4636798.8700</v>
      </c>
    </row>
    <row r="34" ht="10.95" customHeight="true" customFormat="true" s="9">
      <c r="A34" s="12" t="s">
        <v>38</v>
      </c>
      <c r="B34" s="13">
        <v>176302.0600</v>
      </c>
      <c r="C34" s="13">
        <v>229607.4700</v>
      </c>
      <c r="D34" s="13">
        <v>204548.7300</v>
      </c>
      <c r="E34" s="13">
        <v>189776.3300</v>
      </c>
      <c r="F34" s="13">
        <v>271237.0300</v>
      </c>
      <c r="G34" s="13">
        <v>192614.6500</v>
      </c>
      <c r="H34" s="13">
        <v>180350.6300</v>
      </c>
      <c r="I34" s="13">
        <v>180884.1400</v>
      </c>
      <c r="J34" s="13">
        <v>171686.7000</v>
      </c>
      <c r="K34" s="13">
        <v>1797007.7400</v>
      </c>
    </row>
    <row r="35" ht="10.95" customHeight="true" customFormat="true" s="9">
      <c r="A35" s="12" t="s">
        <v>39</v>
      </c>
      <c r="B35" s="13">
        <v>8779.9400</v>
      </c>
      <c r="C35" s="13">
        <v>10993.6800</v>
      </c>
      <c r="D35" s="13">
        <v>10357.8000</v>
      </c>
      <c r="E35" s="13">
        <v>9588.2700</v>
      </c>
      <c r="F35" s="13">
        <v>11676.8500</v>
      </c>
      <c r="G35" s="13">
        <v>9314.0700</v>
      </c>
      <c r="H35" s="13">
        <v>8660.0000</v>
      </c>
      <c r="I35" s="13">
        <v>8673.0000</v>
      </c>
      <c r="J35" s="13">
        <v>8080.5200</v>
      </c>
      <c r="K35" s="13">
        <v>86124.1300</v>
      </c>
    </row>
    <row r="36" ht="10.95" customHeight="true" customFormat="true" s="9">
      <c r="A36" s="12" t="s">
        <v>40</v>
      </c>
      <c r="B36" s="13">
        <v>751.5200</v>
      </c>
      <c r="C36" s="13">
        <v>173.9100</v>
      </c>
      <c r="D36" s="13">
        <v>726.3600</v>
      </c>
      <c r="E36" s="13">
        <v>672.3600</v>
      </c>
      <c r="F36" s="13">
        <v>1146.8500</v>
      </c>
      <c r="G36" s="13">
        <v>6408.5700</v>
      </c>
      <c r="H36" s="13">
        <v>938.1800</v>
      </c>
      <c r="I36" s="13">
        <v>1194.8700</v>
      </c>
      <c r="J36" s="13">
        <v>0</v>
      </c>
      <c r="K36" s="13">
        <v>12012.6200</v>
      </c>
    </row>
    <row r="37" ht="10.95" customHeight="true" customFormat="true" s="9">
      <c r="A37" s="12" t="s">
        <v>41</v>
      </c>
      <c r="B37" s="13">
        <v>3049.3800</v>
      </c>
      <c r="C37" s="13">
        <v>0</v>
      </c>
      <c r="D37" s="13">
        <v>964.5000</v>
      </c>
      <c r="E37" s="13">
        <v>3301.2300</v>
      </c>
      <c r="F37" s="13">
        <v>0</v>
      </c>
      <c r="G37" s="13">
        <v>6597.2000</v>
      </c>
      <c r="H37" s="13">
        <v>0</v>
      </c>
      <c r="I37" s="13">
        <v>4029.7500</v>
      </c>
      <c r="J37" s="13">
        <v>3479.5700</v>
      </c>
      <c r="K37" s="13">
        <v>21421.6300</v>
      </c>
    </row>
    <row r="38" ht="10.95" customHeight="true" customFormat="true" s="9">
      <c r="A38" s="12" t="s">
        <v>42</v>
      </c>
      <c r="B38" s="13">
        <v>13096.3100</v>
      </c>
      <c r="C38" s="13">
        <v>0</v>
      </c>
      <c r="D38" s="13">
        <v>0</v>
      </c>
      <c r="E38" s="13">
        <v>12291.5300</v>
      </c>
      <c r="F38" s="13">
        <v>3699.2600</v>
      </c>
      <c r="G38" s="13">
        <v>500.0000</v>
      </c>
      <c r="H38" s="13">
        <v>0</v>
      </c>
      <c r="I38" s="13">
        <v>-43362.0700</v>
      </c>
      <c r="J38" s="13">
        <v>0</v>
      </c>
      <c r="K38" s="13">
        <v>-13774.9700</v>
      </c>
    </row>
    <row r="39" ht="10.95" customHeight="true" customFormat="true" s="9">
      <c r="A39" s="12" t="s">
        <v>43</v>
      </c>
      <c r="B39" s="13">
        <v>79674.0300</v>
      </c>
      <c r="C39" s="13">
        <v>82669.5100</v>
      </c>
      <c r="D39" s="13">
        <v>86444.9400</v>
      </c>
      <c r="E39" s="13">
        <v>86071.6900</v>
      </c>
      <c r="F39" s="13">
        <v>89293.2200</v>
      </c>
      <c r="G39" s="13">
        <v>96665.3100</v>
      </c>
      <c r="H39" s="13">
        <v>98779.3000</v>
      </c>
      <c r="I39" s="13">
        <v>97898.8900</v>
      </c>
      <c r="J39" s="13">
        <v>97434.5100</v>
      </c>
      <c r="K39" s="13">
        <v>814931.4000</v>
      </c>
    </row>
    <row r="40" ht="10.95" customHeight="true" customFormat="true" s="9">
      <c r="A40" s="12" t="s">
        <v>44</v>
      </c>
      <c r="B40" s="13">
        <v>21556.0500</v>
      </c>
      <c r="C40" s="13">
        <v>11400.8000</v>
      </c>
      <c r="D40" s="13">
        <v>102587.9200</v>
      </c>
      <c r="E40" s="13">
        <v>6802.5000</v>
      </c>
      <c r="F40" s="13">
        <v>5839.0000</v>
      </c>
      <c r="G40" s="13">
        <v>6669.0000</v>
      </c>
      <c r="H40" s="13">
        <v>5364.0000</v>
      </c>
      <c r="I40" s="13">
        <v>23385.4200</v>
      </c>
      <c r="J40" s="13">
        <v>60858.4500</v>
      </c>
      <c r="K40" s="13">
        <v>244463.1400</v>
      </c>
    </row>
    <row r="41" ht="10.95" customHeight="true" customFormat="true" s="9">
      <c r="A41" s="12" t="s">
        <v>45</v>
      </c>
      <c r="B41" s="13">
        <v>-20052.1800</v>
      </c>
      <c r="C41" s="13">
        <v>10542.6100</v>
      </c>
      <c r="D41" s="13">
        <v>10886.6200</v>
      </c>
      <c r="E41" s="13">
        <v>10912.9100</v>
      </c>
      <c r="F41" s="13">
        <v>10882.1300</v>
      </c>
      <c r="G41" s="13">
        <v>10838.6800</v>
      </c>
      <c r="H41" s="13">
        <v>15366.3500</v>
      </c>
      <c r="I41" s="13">
        <v>11953.0400</v>
      </c>
      <c r="J41" s="13">
        <v>11163.5300</v>
      </c>
      <c r="K41" s="13">
        <v>72493.6900</v>
      </c>
    </row>
    <row r="42" ht="10.95" customHeight="true" customFormat="true" s="9">
      <c r="A42" s="12" t="s">
        <v>46</v>
      </c>
      <c r="B42" s="13">
        <v>15450.0000</v>
      </c>
      <c r="C42" s="13">
        <v>153.0000</v>
      </c>
      <c r="D42" s="13">
        <v>826.3500</v>
      </c>
      <c r="E42" s="13">
        <v>0</v>
      </c>
      <c r="F42" s="13">
        <v>121.0000</v>
      </c>
      <c r="G42" s="13">
        <v>0</v>
      </c>
      <c r="H42" s="13">
        <v>76.0000</v>
      </c>
      <c r="I42" s="13">
        <v>0</v>
      </c>
      <c r="J42" s="13">
        <v>0</v>
      </c>
      <c r="K42" s="13">
        <v>16626.3500</v>
      </c>
    </row>
    <row r="43" ht="10.95" customHeight="true" customFormat="true" s="9">
      <c r="A43" s="12" t="s">
        <v>47</v>
      </c>
      <c r="B43" s="13">
        <v>30262.2000</v>
      </c>
      <c r="C43" s="13">
        <v>38834.0400</v>
      </c>
      <c r="D43" s="13">
        <v>24493.8700</v>
      </c>
      <c r="E43" s="13">
        <v>28648.9800</v>
      </c>
      <c r="F43" s="13">
        <v>15560.6200</v>
      </c>
      <c r="G43" s="13">
        <v>16194.5700</v>
      </c>
      <c r="H43" s="13">
        <v>19132.0000</v>
      </c>
      <c r="I43" s="13">
        <v>19232.8000</v>
      </c>
      <c r="J43" s="13">
        <v>20811.8800</v>
      </c>
      <c r="K43" s="13">
        <v>213170.9600</v>
      </c>
    </row>
    <row r="44" ht="10.95" customHeight="true" customFormat="true" s="9">
      <c r="A44" s="12" t="s">
        <v>48</v>
      </c>
      <c r="B44" s="13">
        <v>72397.3900</v>
      </c>
      <c r="C44" s="13">
        <v>0</v>
      </c>
      <c r="D44" s="13">
        <v>1917.8500</v>
      </c>
      <c r="E44" s="13">
        <v>139418.9700</v>
      </c>
      <c r="F44" s="13">
        <v>121638.4000</v>
      </c>
      <c r="G44" s="13">
        <v>178400.7500</v>
      </c>
      <c r="H44" s="13">
        <v>166947.8800</v>
      </c>
      <c r="I44" s="13">
        <v>150068.2800</v>
      </c>
      <c r="J44" s="13">
        <v>63082.4000</v>
      </c>
      <c r="K44" s="13">
        <v>893871.9200</v>
      </c>
    </row>
    <row r="45" ht="10.95" customHeight="true" customFormat="true" s="9">
      <c r="A45" s="12" t="s">
        <v>49</v>
      </c>
      <c r="B45" s="13">
        <v>0</v>
      </c>
      <c r="C45" s="13">
        <v>0</v>
      </c>
      <c r="D45" s="13">
        <v>2939.6400</v>
      </c>
      <c r="E45" s="13">
        <v>5886.7800</v>
      </c>
      <c r="F45" s="13">
        <v>0</v>
      </c>
      <c r="G45" s="13">
        <v>237.0000</v>
      </c>
      <c r="H45" s="13">
        <v>0</v>
      </c>
      <c r="I45" s="13">
        <v>0</v>
      </c>
      <c r="J45" s="13">
        <v>0</v>
      </c>
      <c r="K45" s="13">
        <v>9063.4200</v>
      </c>
    </row>
    <row r="46" ht="10.95" customHeight="true" customFormat="true" s="9">
      <c r="A46" s="12" t="s">
        <v>50</v>
      </c>
      <c r="B46" s="13">
        <v>-4305.5300</v>
      </c>
      <c r="C46" s="13">
        <v>4305.5300</v>
      </c>
      <c r="D46" s="13">
        <v>0</v>
      </c>
      <c r="E46" s="13">
        <v>0</v>
      </c>
      <c r="F46" s="13">
        <v>3209.6700</v>
      </c>
      <c r="G46" s="13">
        <v>-3209.6700</v>
      </c>
      <c r="H46" s="13">
        <v>0</v>
      </c>
      <c r="I46" s="13">
        <v>4315.7900</v>
      </c>
      <c r="J46" s="13">
        <v>-4315.7900</v>
      </c>
      <c r="K46" s="13">
        <v>0</v>
      </c>
    </row>
    <row r="47" ht="10.95" customHeight="true" customFormat="true" s="9">
      <c r="A47" s="12" t="s">
        <v>51</v>
      </c>
      <c r="B47" s="13">
        <v>1739.1300</v>
      </c>
      <c r="C47" s="13">
        <v>13043.4900</v>
      </c>
      <c r="D47" s="13">
        <v>5000.0000</v>
      </c>
      <c r="E47" s="13">
        <v>5000.0000</v>
      </c>
      <c r="F47" s="13">
        <v>4000.0000</v>
      </c>
      <c r="G47" s="13">
        <v>2100.0000</v>
      </c>
      <c r="H47" s="13">
        <v>0</v>
      </c>
      <c r="I47" s="13">
        <v>0</v>
      </c>
      <c r="J47" s="13">
        <v>0</v>
      </c>
      <c r="K47" s="13">
        <v>30882.6200</v>
      </c>
    </row>
    <row r="48" ht="10.95" customHeight="true" customFormat="true" s="9">
      <c r="A48" s="14" t="s">
        <v>52</v>
      </c>
      <c r="B48" s="15">
        <f ca="1">SUM(B20:B47)</f>
        <v>0</v>
      </c>
      <c r="C48" s="15">
        <f ca="1">SUM(C20:C47)</f>
        <v>0</v>
      </c>
      <c r="D48" s="15">
        <f ca="1">SUM(D20:D47)</f>
        <v>0</v>
      </c>
      <c r="E48" s="15">
        <f ca="1">SUM(E20:E47)</f>
        <v>0</v>
      </c>
      <c r="F48" s="15">
        <f ca="1">SUM(F20:F47)</f>
        <v>0</v>
      </c>
      <c r="G48" s="15">
        <f ca="1">SUM(G20:G47)</f>
        <v>0</v>
      </c>
      <c r="H48" s="15">
        <f ca="1">SUM(H20:H47)</f>
        <v>0</v>
      </c>
      <c r="I48" s="15">
        <f ca="1">SUM(I20:I47)</f>
        <v>0</v>
      </c>
      <c r="J48" s="15">
        <f ca="1">SUM(J20:J47)</f>
        <v>0</v>
      </c>
      <c r="K48" s="15">
        <f ca="1">SUM(K20:K47)</f>
        <v>0</v>
      </c>
    </row>
    <row r="49" ht="13.35" customHeight="true"/>
    <row r="50" ht="10.95" customHeight="true" customFormat="true" s="9">
      <c r="A50" s="16" t="s">
        <v>53</v>
      </c>
      <c r="B50" s="17">
        <f ca="1">((B17 + 0) - B48)</f>
        <v>0</v>
      </c>
      <c r="C50" s="17">
        <f ca="1">((C17 + 0) - C48)</f>
        <v>0</v>
      </c>
      <c r="D50" s="17">
        <f ca="1">((D17 + 0) - D48)</f>
        <v>0</v>
      </c>
      <c r="E50" s="17">
        <f ca="1">((E17 + 0) - E48)</f>
        <v>0</v>
      </c>
      <c r="F50" s="17">
        <f ca="1">((F17 + 0) - F48)</f>
        <v>0</v>
      </c>
      <c r="G50" s="17">
        <f ca="1">((G17 + 0) - G48)</f>
        <v>0</v>
      </c>
      <c r="H50" s="17">
        <f ca="1">((H17 + 0) - H48)</f>
        <v>0</v>
      </c>
      <c r="I50" s="17">
        <f ca="1">((I17 + 0) - I48)</f>
        <v>0</v>
      </c>
      <c r="J50" s="17">
        <f ca="1">((J17 + 0) - J48)</f>
        <v>0</v>
      </c>
      <c r="K50" s="17">
        <f ca="1">((K17 + 0) - K48)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