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optiworx-my.sharepoint.com/personal/siraaj_optiworx_co_za/Documents/Desktop/Personal/OptiWorx360/OptiWorx360/Sanctuary Dr rooms/"/>
    </mc:Choice>
  </mc:AlternateContent>
  <xr:revisionPtr revIDLastSave="0" documentId="8_{4395139C-CD4E-4296-9922-218B007326BF}" xr6:coauthVersionLast="47" xr6:coauthVersionMax="47" xr10:uidLastSave="{00000000-0000-0000-0000-000000000000}"/>
  <bookViews>
    <workbookView xWindow="-28920" yWindow="-120" windowWidth="29040" windowHeight="15720" xr2:uid="{1C64B50B-AB04-4EBE-AF4C-AED54D667C6A}"/>
  </bookViews>
  <sheets>
    <sheet name=" IMPLEMENTATION | PAYROLL MNGT" sheetId="5" r:id="rId1"/>
    <sheet name="HR CONSULTING SERVICES " sheetId="1" r:id="rId2"/>
    <sheet name="ER MNGT SERVICES " sheetId="4" r:id="rId3"/>
    <sheet name="RECRUIT MNGT SERVICES " sheetId="3" r:id="rId4"/>
    <sheet name="CHRO ADVISORY SERVICES " sheetId="7" r:id="rId5"/>
    <sheet name="FRACTIONAL HR 360 DELIVERY " sheetId="8" r:id="rId6"/>
    <sheet name="Drop Down" sheetId="2" state="hidden"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0" i="5" l="1"/>
  <c r="E20" i="5" s="1"/>
  <c r="E11" i="5"/>
  <c r="E17" i="5" s="1"/>
  <c r="G22" i="4"/>
  <c r="H17" i="7"/>
  <c r="F20" i="5" l="1"/>
  <c r="F21" i="5" s="1"/>
  <c r="E21" i="5"/>
  <c r="H35" i="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<sst xmlns="http://schemas.openxmlformats.org/spreadsheetml/2006/main" count="228" uniqueCount="145">
  <si>
    <t>DELIVERY</t>
  </si>
  <si>
    <t>DESCRIPTION | OUTCOME</t>
  </si>
  <si>
    <t>Org Review and Design</t>
  </si>
  <si>
    <t>Yes</t>
  </si>
  <si>
    <t>Performance Management</t>
  </si>
  <si>
    <t>Any performance management or variable pay will be driven by clear Company Strategic objectives.</t>
  </si>
  <si>
    <t>Design Management and employee performance reviews</t>
  </si>
  <si>
    <t>Sets the guidance for base pay salary vs variable pay</t>
  </si>
  <si>
    <t>Link performance management goals to incentives and variable pay</t>
  </si>
  <si>
    <t>Recruitment</t>
  </si>
  <si>
    <t>Role job profiling</t>
  </si>
  <si>
    <t>Advertising</t>
  </si>
  <si>
    <t>Shortlist</t>
  </si>
  <si>
    <t>Screen</t>
  </si>
  <si>
    <t>Reference and checks</t>
  </si>
  <si>
    <t>Offer</t>
  </si>
  <si>
    <t>Meeting Management</t>
  </si>
  <si>
    <t>EMPLOYEE RELATIONS IS COSTED SEPARATELY (EST)</t>
  </si>
  <si>
    <t xml:space="preserve">EMPLOYEE RELATIONS  </t>
  </si>
  <si>
    <t>Grievance management</t>
  </si>
  <si>
    <t>CCMA</t>
  </si>
  <si>
    <t>Disciplinary and CCMA prep</t>
  </si>
  <si>
    <t>General meeting facilitation</t>
  </si>
  <si>
    <t>Onboarding design and implementation</t>
  </si>
  <si>
    <t>Set/ review Company  Strategic objectives</t>
  </si>
  <si>
    <t>BUSINESS PRIORITIES</t>
  </si>
  <si>
    <t>Business Org Design sign off</t>
  </si>
  <si>
    <t>Contract design (FTC, PFTC, PPC, FPC)</t>
  </si>
  <si>
    <t>Template/s design, SOP workflow review</t>
  </si>
  <si>
    <t>Employee Onboarding</t>
  </si>
  <si>
    <t>Probation review template</t>
  </si>
  <si>
    <t>90 day Induction</t>
  </si>
  <si>
    <t>Compensation committees</t>
  </si>
  <si>
    <t>Leadership Meetings</t>
  </si>
  <si>
    <t>Board Meetings</t>
  </si>
  <si>
    <t>Monthly | Quaterly &amp; Annual meetings</t>
  </si>
  <si>
    <t>Retirement fund committee meetings</t>
  </si>
  <si>
    <t>Medical Aid committee metings</t>
  </si>
  <si>
    <t>EE &amp; WSP meeting faciliation</t>
  </si>
  <si>
    <t>OTHER IDENTIFIED BUSINESS REQUIREMENTS</t>
  </si>
  <si>
    <t>MANDATORY REQUIREMENT</t>
  </si>
  <si>
    <t>Supports policy implementation, creating efficiencies &amp; simplified clear processes/ Supports any workflow challenges</t>
  </si>
  <si>
    <t>360 candidate journey process to ensure we have identified, reviewed &amp; checked profile &amp; culture fit.</t>
  </si>
  <si>
    <t>HR DELIVERABLES</t>
  </si>
  <si>
    <t>Ensure the onboarding &amp; the induction experience has clear expectations, ensuring accelerated  learning &amp; training and manage any concerns timeously.</t>
  </si>
  <si>
    <t>Strategic Business advisory support. Proven experience on the various committees and boards, locally and globally.</t>
  </si>
  <si>
    <t>Pay for role-specific requirements, reward for performance-driven outcomes</t>
  </si>
  <si>
    <t>No</t>
  </si>
  <si>
    <t>Not sure</t>
  </si>
  <si>
    <t>Yes - short term</t>
  </si>
  <si>
    <t>Yes - but at a later stage</t>
  </si>
  <si>
    <t>No - not needed</t>
  </si>
  <si>
    <t>Existing complete</t>
  </si>
  <si>
    <t>Existing needs work</t>
  </si>
  <si>
    <t>New - We don’t have it in place</t>
  </si>
  <si>
    <t>N/A</t>
  </si>
  <si>
    <t>Business Name</t>
  </si>
  <si>
    <t>Number of Employees</t>
  </si>
  <si>
    <t># of Legal Entities</t>
  </si>
  <si>
    <t>Policy/ ies review | Implementation (Employee Handbook, Disciplinary, other)</t>
  </si>
  <si>
    <t>Role grade &amp; benchmark</t>
  </si>
  <si>
    <t>Role salary benchmark</t>
  </si>
  <si>
    <t>RoadMap</t>
  </si>
  <si>
    <t>Placement Type</t>
  </si>
  <si>
    <t>Onsite</t>
  </si>
  <si>
    <t>Hybrid</t>
  </si>
  <si>
    <t>Remote</t>
  </si>
  <si>
    <t>Payroll Management (Outsourced)</t>
  </si>
  <si>
    <t>Whatsapp Pacey, ESS, Unlimited Conversations, RSA</t>
  </si>
  <si>
    <t>Master, Performance Management</t>
  </si>
  <si>
    <t>Master, Workforce Planning</t>
  </si>
  <si>
    <t>Org Chart</t>
  </si>
  <si>
    <t>Breezy, Growth recruitment</t>
  </si>
  <si>
    <t>Power BI</t>
  </si>
  <si>
    <t>Set up current | go to (scaling) | Gap structure</t>
  </si>
  <si>
    <t>Ensure the current structure supports current and future growth ambitions</t>
  </si>
  <si>
    <t>COMMENTS</t>
  </si>
  <si>
    <t>BUDGETED</t>
  </si>
  <si>
    <t>HOURS</t>
  </si>
  <si>
    <t>Business Review</t>
  </si>
  <si>
    <t>Business Approval</t>
  </si>
  <si>
    <t>Strucure, risk, recommendation and implementation plan</t>
  </si>
  <si>
    <t>Formal approval</t>
  </si>
  <si>
    <t>UNIT/ COMPONENT BUDGETED</t>
  </si>
  <si>
    <t>Design variable pay (Salary,  incentives &amp; benefits)</t>
  </si>
  <si>
    <t>HOURS | HEADCOUNT</t>
  </si>
  <si>
    <t># Unique roles</t>
  </si>
  <si>
    <t xml:space="preserve">Position </t>
  </si>
  <si>
    <t>UNIT/ COMPONENT BUDGETED | MONTHS</t>
  </si>
  <si>
    <t>Employer Organisation</t>
  </si>
  <si>
    <t>MEETINGS</t>
  </si>
  <si>
    <t xml:space="preserve"> HEADCOUNT </t>
  </si>
  <si>
    <t>ER Management</t>
  </si>
  <si>
    <t>HR Management</t>
  </si>
  <si>
    <t>PLACEMENT FEE</t>
  </si>
  <si>
    <t>Performance Improvement Plans</t>
  </si>
  <si>
    <t>Internal mediation</t>
  </si>
  <si>
    <t>Disciplinaries (investigation or Chairing)</t>
  </si>
  <si>
    <t>Labour law guidance</t>
  </si>
  <si>
    <t>Applicable law updates</t>
  </si>
  <si>
    <t>Incapacity chairing and guidance</t>
  </si>
  <si>
    <t>Support and guidance with Section 189 (retrenchment) matters</t>
  </si>
  <si>
    <t>Collective employment and union engagement</t>
  </si>
  <si>
    <t>Policies and Governance</t>
  </si>
  <si>
    <t xml:space="preserve">DESCRIPTION </t>
  </si>
  <si>
    <t>OUTCOME</t>
  </si>
  <si>
    <t>HOURS PM</t>
  </si>
  <si>
    <t>HRIS Subscription</t>
  </si>
  <si>
    <t>ESTIMATED BUDGET</t>
  </si>
  <si>
    <t>Refer to ER Implementation Management</t>
  </si>
  <si>
    <t>Full Suite HR Management</t>
  </si>
  <si>
    <r>
      <rPr>
        <b/>
        <sz val="11"/>
        <color theme="1"/>
        <rFont val="Aptos Narrow"/>
        <family val="2"/>
        <scheme val="minor"/>
      </rPr>
      <t>Compliance | Statutory | Employment Contracts | Policy | Payroll | Business Practice revie</t>
    </r>
    <r>
      <rPr>
        <sz val="11"/>
        <color theme="1"/>
        <rFont val="Aptos Narrow"/>
        <family val="2"/>
        <scheme val="minor"/>
      </rPr>
      <t>w</t>
    </r>
  </si>
  <si>
    <t>ESTIMATED VACANCIES</t>
  </si>
  <si>
    <t>Interview</t>
  </si>
  <si>
    <t>St Raphael (Pty) Ltd</t>
  </si>
  <si>
    <t>Current Payroll Platform</t>
  </si>
  <si>
    <t>Simple Pay</t>
  </si>
  <si>
    <t xml:space="preserve">Payroll Take on and Implementation </t>
  </si>
  <si>
    <t xml:space="preserve">* Collate periodic payroll data for input 
* Potential software configuration for payroll components
* Process all payroll data
* Review payroll data, balance, and checks
* Address exceptions / critical late queries
* Reconcile third-party payments to billing statements
* Run reports for final verification of all data
* Send reports for review to finance and HR
* Address potential amendments after management review
* Issue EFT files after payroll approval
* Generating payslips
* Address payroll queries
* Run the full final set of reports for management and record keeping
* Complete and submit all third-party and statutory submissions
</t>
  </si>
  <si>
    <t>1. Scoping of Leave balance set up, accruals, and process flow scoping, including full setup of all BCEA leave types, leave rules, and employee transactions loaded
2. Activate the leave automated module (Laptops and mobile)35. Project Management, Training and Change Management Plan and execution.</t>
  </si>
  <si>
    <t>1. Payroll process set up review (all earnings, deductions, and taxable codes)
2. Payroll scoping linked to policy, contract, and practice.
3. Onboarding of active and terminated employees in tax year YTD
4. Parallel payroll run
5. Report set up for monthly payments and link to all statutory &amp; 3rd party bodies.
6. Project Management,Training and Change Management Plan and execution</t>
  </si>
  <si>
    <t>Set up or transition of all statutory payments and registrations</t>
  </si>
  <si>
    <t>Set Up of monthly business reporting</t>
  </si>
  <si>
    <t>Recurring monthly business payroll reports</t>
  </si>
  <si>
    <t>Efficiency and compliance set up</t>
  </si>
  <si>
    <t>ESTIMATED ANNUAL COST (EX VAT) (calculated on actual headcount)</t>
  </si>
  <si>
    <t>DESCRIPTION</t>
  </si>
  <si>
    <t>PaySpace master Edition</t>
  </si>
  <si>
    <t>New Payroll Platform Quoted</t>
  </si>
  <si>
    <t xml:space="preserve">* Collate periodic payroll data for input 
* Potential software configuration for payroll components
* Process all payroll data
* Review payroll data, balance, and checks
* Address exceptions / critical late queries
* Reconcile third-party payments to billing statements
* Run reports for final verification of all data
* Send reports for review to Business
* Address potential amendments after management review
* Issue EFT files after payroll approval
* Generating payslips
* Address payroll queries
* Run the full final set of reports for management and record keeping
* Complete and submit all third-party and statutory submissions
</t>
  </si>
  <si>
    <t xml:space="preserve">Employee Self Service (ESS) Leave Management Creation take on and Implementation </t>
  </si>
  <si>
    <t>Statutory (EE, WSP, PAYE, COIDA) if required</t>
  </si>
  <si>
    <t>Creation of a monthly calendar indicating payroll cut-off, submissions, approvals and payment timelines and accountability areas.</t>
  </si>
  <si>
    <t>Payrolls submissions and Accountability Areas</t>
  </si>
  <si>
    <t>Payroll Template &amp; SOPs</t>
  </si>
  <si>
    <t>Once off Cost for scoping and full implementation of payroll and leave.</t>
  </si>
  <si>
    <t>ESTIMATED COST</t>
  </si>
  <si>
    <t>Payroll Frequency</t>
  </si>
  <si>
    <t>Monthly</t>
  </si>
  <si>
    <t>Costs are calculated using active monthly headcount, plus two additional months' payments for mid-year and year-end tax submissions.</t>
  </si>
  <si>
    <t>Review for any statutory, contractual, and business risks, as well as identify inconsistencies. Has an overall impact on current &amp; future business delivery. (Attraction, retention, disciplinary, exits, employee structures, remuneration &amp; benefits.)</t>
  </si>
  <si>
    <t>Generally required where business reporting is critical for Boards and Management reports. Less silo'd approach for people manages as all people movements are integrated for efficient people management</t>
  </si>
  <si>
    <t>Proposed Go Live Date</t>
  </si>
  <si>
    <t>2 calendar months from the date of Contracting</t>
  </si>
  <si>
    <t>ESTIMATED MONTHLY (EX VAT) RECURRING COSTS (14 payments per annum)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</si>
</sst>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0_-;\-* #,##0.0_-;_-* &quot;-&quot;??_-;_-@_-"/>
    <numFmt numFmtId="165" formatCode="_-* #,##0_-;\-* #,##0_-;_-* &quot;-&quot;??_-;_-@_-"/>
    <numFmt numFmtId="168" formatCode="_-[$R-1C09]* #,##0_-;\-[$R-1C09]* #,##0_-;_-[$R-1C09]* &quot;-&quot;??_-;_-@_-"/>
  </numFmts>
  <fonts count="10" x14ac:knownFonts="1">
    <font>
      <sz val="11"/>
      <color theme="1"/>
      <name val="Aptos Narrow"/>
      <family val="2"/>
      <scheme val="minor"/>
    </font>
    <font>
      <b/>
      <sz val="11"/>
      <color theme="1"/>
      <name val="Aptos Narrow"/>
      <family val="2"/>
      <scheme val="minor"/>
    </font>
    <font>
      <sz val="11"/>
      <color rgb="FF2D2D5B"/>
      <name val="Aptos Narrow"/>
      <family val="2"/>
      <scheme val="minor"/>
    </font>
    <font>
      <b/>
      <sz val="10"/>
      <color theme="1"/>
      <name val="Aptos Narrow"/>
      <family val="2"/>
      <scheme val="minor"/>
    </font>
    <font>
      <sz val="10"/>
      <color theme="1"/>
      <name val="Aptos Narrow"/>
      <family val="2"/>
      <scheme val="minor"/>
    </font>
    <font>
      <b/>
      <sz val="10"/>
      <color theme="0"/>
      <name val="Aptos Narrow"/>
      <family val="2"/>
      <scheme val="minor"/>
    </font>
    <font>
      <sz val="10"/>
      <color rgb="FF2D2D5B"/>
      <name val="Aptos Narrow"/>
      <family val="2"/>
      <scheme val="minor"/>
    </font>
    <font>
      <sz val="11"/>
      <color theme="1"/>
      <name val="Aptos Narrow"/>
      <family val="2"/>
      <scheme val="minor"/>
    </font>
    <font>
      <b/>
      <sz val="10"/>
      <name val="Aptos Narrow"/>
      <family val="2"/>
      <scheme val="minor"/>
    </font>
    <font>
      <sz val="10"/>
      <name val="Aptos Narrow"/>
      <family val="2"/>
      <scheme val="minor"/>
    </font>
  </fonts>
  <fills count="6">
    <fill>
      <patternFill patternType="none"/>
    </fill>
    <fill>
      <patternFill patternType="gray125"/>
    </fill>
    <fill>
      <patternFill patternType="solid">
        <fgColor theme="0"/>
        <bgColor indexed="64"/>
      </patternFill>
    </fill>
    <fill>
      <patternFill patternType="solid">
        <fgColor theme="3" tint="9.9978637043366805E-2"/>
        <bgColor indexed="64"/>
      </patternFill>
    </fill>
    <fill>
      <patternFill patternType="solid">
        <fgColor rgb="FFCEDDF2"/>
        <bgColor indexed="64"/>
      </patternFill>
    </fill>
    <fill>
      <patternFill patternType="solid">
        <fgColor rgb="FFFFFF00"/>
        <bgColor indexed="64"/>
      </patternFill>
    </fill>
  </fills>
  <borders count="34">
    <border>
      <left/>
      <right/>
      <top/>
      <bottom/>
      <diagonal/>
    </border>
    <border>
      <left style="medium">
        <color indexed="64"/>
      </left>
      <right style="thin">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2">
    <xf numFmtId="0" fontId="0" fillId="0" borderId="0"/>
    <xf numFmtId="43" fontId="7" fillId="0" borderId="0" applyFont="0" applyFill="0" applyBorder="0" applyAlignment="0" applyProtection="0"/>
  </cellStyleXfs>
  <cellXfs count="222">
    <xf numFmtId="0" fontId="0" fillId="0" borderId="0" xfId="0"/>
    <xf numFmtId="0" fontId="0" fillId="2" borderId="0" xfId="0" applyFill="1"/>
    <xf numFmtId="0" fontId="0" fillId="2" borderId="0" xfId="0" applyFill="1" applyAlignment="1">
      <alignment horizontal="center"/>
    </xf>
    <xf numFmtId="0" fontId="1" fillId="0" borderId="0" xfId="0" applyFont="1" applyAlignment="1">
      <alignment horizontal="center" vertical="center"/>
    </xf>
    <xf numFmtId="0" fontId="2" fillId="0" borderId="0" xfId="0" applyFont="1" applyAlignment="1">
      <alignment vertical="center" readingOrder="1"/>
    </xf>
    <xf numFmtId="0" fontId="0" fillId="2" borderId="0" xfId="0" applyFill="1" applyAlignment="1">
      <alignment horizontal="left"/>
    </xf>
    <xf numFmtId="0" fontId="4" fillId="0" borderId="2" xfId="0" applyFont="1" applyBorder="1" applyAlignment="1">
      <alignment vertical="center" wrapText="1"/>
    </xf>
    <xf numFmtId="0" fontId="3" fillId="2" borderId="0" xfId="0" applyFont="1" applyFill="1" applyAlignment="1">
      <alignment vertical="center" wrapText="1"/>
    </xf>
    <xf numFmtId="0" fontId="4" fillId="2" borderId="0" xfId="0" applyFont="1" applyFill="1" applyAlignment="1">
      <alignment vertical="center" wrapText="1"/>
    </xf>
    <xf numFmtId="0" fontId="5" fillId="2" borderId="0" xfId="0" applyFont="1" applyFill="1" applyAlignment="1">
      <alignment vertical="center" wrapText="1"/>
    </xf>
    <xf numFmtId="0" fontId="0" fillId="2" borderId="0" xfId="0" applyFill="1" applyAlignment="1">
      <alignment horizontal="left" indent="1"/>
    </xf>
    <xf numFmtId="0" fontId="5" fillId="3" borderId="2" xfId="0" applyFont="1" applyFill="1" applyBorder="1" applyAlignment="1">
      <alignment horizontal="left" vertical="center" wrapText="1" indent="1"/>
    </xf>
    <xf numFmtId="0" fontId="0" fillId="2" borderId="0" xfId="0" applyFill="1" applyAlignment="1">
      <alignment vertical="center"/>
    </xf>
    <xf numFmtId="0" fontId="5" fillId="2" borderId="0" xfId="0" applyFont="1" applyFill="1" applyAlignment="1">
      <alignment horizontal="left" vertical="center" indent="1"/>
    </xf>
    <xf numFmtId="0" fontId="3" fillId="2" borderId="0" xfId="0" applyFont="1" applyFill="1" applyAlignment="1">
      <alignment horizontal="left" vertical="center" indent="1"/>
    </xf>
    <xf numFmtId="0" fontId="4" fillId="2" borderId="0" xfId="0" applyFont="1" applyFill="1" applyAlignment="1">
      <alignment horizontal="left" vertical="center" indent="1"/>
    </xf>
    <xf numFmtId="0" fontId="4" fillId="2" borderId="2" xfId="0" applyFont="1" applyFill="1" applyBorder="1" applyAlignment="1">
      <alignment horizontal="left" vertical="center" indent="1"/>
    </xf>
    <xf numFmtId="0" fontId="4" fillId="2" borderId="6" xfId="0" applyFont="1" applyFill="1" applyBorder="1" applyAlignment="1">
      <alignment horizontal="left" vertical="center" wrapText="1" indent="1"/>
    </xf>
    <xf numFmtId="0" fontId="4" fillId="2" borderId="2" xfId="0" applyFont="1" applyFill="1" applyBorder="1" applyAlignment="1">
      <alignment horizontal="left" vertical="center" wrapText="1" indent="1"/>
    </xf>
    <xf numFmtId="0" fontId="4" fillId="2" borderId="2" xfId="0" applyFont="1" applyFill="1" applyBorder="1" applyAlignment="1">
      <alignment vertical="center" wrapText="1"/>
    </xf>
    <xf numFmtId="0" fontId="4" fillId="2" borderId="11" xfId="0" applyFont="1" applyFill="1" applyBorder="1" applyAlignment="1">
      <alignment horizontal="left" vertical="center" wrapText="1" indent="1"/>
    </xf>
    <xf numFmtId="0" fontId="4" fillId="2" borderId="11" xfId="0" applyFont="1" applyFill="1" applyBorder="1" applyAlignment="1">
      <alignment vertical="center" wrapText="1"/>
    </xf>
    <xf numFmtId="0" fontId="4" fillId="2" borderId="11" xfId="0" applyFont="1" applyFill="1" applyBorder="1" applyAlignment="1">
      <alignment horizontal="left" vertical="center" indent="1"/>
    </xf>
    <xf numFmtId="0" fontId="4" fillId="0" borderId="0" xfId="0" applyFont="1" applyAlignment="1">
      <alignment horizontal="left" vertical="center" indent="1"/>
    </xf>
    <xf numFmtId="0" fontId="3" fillId="2" borderId="2" xfId="0" applyFont="1" applyFill="1" applyBorder="1" applyAlignment="1">
      <alignment vertical="center" wrapText="1"/>
    </xf>
    <xf numFmtId="0" fontId="6" fillId="2" borderId="2" xfId="0" applyFont="1" applyFill="1" applyBorder="1" applyAlignment="1">
      <alignment vertical="center" wrapText="1" readingOrder="1"/>
    </xf>
    <xf numFmtId="0" fontId="5" fillId="2" borderId="0" xfId="0" applyFont="1" applyFill="1" applyAlignment="1">
      <alignment horizontal="center" vertical="center" wrapText="1"/>
    </xf>
    <xf numFmtId="165" fontId="0" fillId="2" borderId="0" xfId="0" applyNumberFormat="1" applyFill="1"/>
    <xf numFmtId="0" fontId="4" fillId="2" borderId="3" xfId="0" applyFont="1" applyFill="1" applyBorder="1" applyAlignment="1">
      <alignment vertical="center" wrapText="1"/>
    </xf>
    <xf numFmtId="0" fontId="3" fillId="4" borderId="2" xfId="0" applyFont="1" applyFill="1" applyBorder="1" applyAlignment="1">
      <alignment horizontal="center" vertical="center" wrapText="1"/>
    </xf>
    <xf numFmtId="0" fontId="4" fillId="2" borderId="0" xfId="0" applyFont="1" applyFill="1" applyAlignment="1">
      <alignment horizontal="left" vertical="center" wrapText="1" indent="1"/>
    </xf>
    <xf numFmtId="0" fontId="5" fillId="3" borderId="1" xfId="0" applyFont="1" applyFill="1" applyBorder="1" applyAlignment="1">
      <alignment horizontal="left" vertical="center" wrapText="1" indent="1"/>
    </xf>
    <xf numFmtId="0" fontId="5" fillId="3" borderId="16" xfId="0" applyFont="1" applyFill="1" applyBorder="1" applyAlignment="1">
      <alignment horizontal="left" vertical="center" wrapText="1" indent="1"/>
    </xf>
    <xf numFmtId="0" fontId="5" fillId="3" borderId="20" xfId="0" applyFont="1" applyFill="1" applyBorder="1" applyAlignment="1">
      <alignment horizontal="left" vertical="center" wrapText="1" indent="1"/>
    </xf>
    <xf numFmtId="0" fontId="5" fillId="3" borderId="20" xfId="0" applyFont="1" applyFill="1" applyBorder="1" applyAlignment="1">
      <alignment horizontal="center" vertical="center" wrapText="1"/>
    </xf>
    <xf numFmtId="0" fontId="4" fillId="0" borderId="2" xfId="0" applyFont="1" applyBorder="1" applyAlignment="1">
      <alignment horizontal="left" vertical="center" wrapText="1" indent="1"/>
    </xf>
    <xf numFmtId="0" fontId="5" fillId="0" borderId="2" xfId="0" applyFont="1" applyBorder="1" applyAlignment="1">
      <alignment horizontal="left" vertical="center" wrapText="1" indent="1"/>
    </xf>
    <xf numFmtId="0" fontId="3" fillId="0" borderId="2" xfId="0" applyFont="1" applyBorder="1" applyAlignment="1">
      <alignment horizontal="left" vertical="center" wrapText="1" indent="1"/>
    </xf>
    <xf numFmtId="0" fontId="4" fillId="0" borderId="2" xfId="0" applyFont="1" applyBorder="1" applyAlignment="1">
      <alignment horizontal="center" vertical="center" wrapText="1"/>
    </xf>
    <xf numFmtId="43" fontId="4" fillId="0" borderId="2" xfId="1" applyFont="1" applyFill="1" applyBorder="1" applyAlignment="1">
      <alignment horizontal="center" vertical="center" wrapText="1"/>
    </xf>
    <xf numFmtId="0" fontId="0" fillId="2" borderId="2" xfId="0" applyFill="1" applyBorder="1" applyAlignment="1">
      <alignment horizontal="center"/>
    </xf>
    <xf numFmtId="0" fontId="0" fillId="2" borderId="2" xfId="0" applyFill="1" applyBorder="1" applyAlignment="1">
      <alignment horizontal="center" wrapText="1"/>
    </xf>
    <xf numFmtId="43" fontId="0" fillId="2" borderId="0" xfId="0" applyNumberFormat="1" applyFill="1"/>
    <xf numFmtId="0" fontId="0" fillId="2" borderId="2" xfId="0" applyFill="1" applyBorder="1"/>
    <xf numFmtId="165" fontId="0" fillId="2" borderId="2" xfId="1" applyNumberFormat="1" applyFont="1" applyFill="1" applyBorder="1"/>
    <xf numFmtId="0" fontId="0" fillId="2" borderId="3" xfId="0" applyFill="1" applyBorder="1"/>
    <xf numFmtId="0" fontId="0" fillId="0" borderId="2" xfId="0" applyBorder="1"/>
    <xf numFmtId="43" fontId="4" fillId="0" borderId="6" xfId="1" applyFont="1" applyFill="1" applyBorder="1" applyAlignment="1">
      <alignment horizontal="center" vertical="center" wrapText="1"/>
    </xf>
    <xf numFmtId="0" fontId="4" fillId="2" borderId="8" xfId="0" applyFont="1" applyFill="1" applyBorder="1" applyAlignment="1">
      <alignment horizontal="left" vertical="center" wrapText="1" indent="1" readingOrder="1"/>
    </xf>
    <xf numFmtId="0" fontId="0" fillId="2" borderId="9" xfId="0" applyFill="1" applyBorder="1"/>
    <xf numFmtId="0" fontId="4" fillId="2" borderId="10" xfId="0" applyFont="1" applyFill="1" applyBorder="1" applyAlignment="1">
      <alignment horizontal="left" vertical="center" wrapText="1" indent="1" readingOrder="1"/>
    </xf>
    <xf numFmtId="0" fontId="0" fillId="2" borderId="11" xfId="0" applyFill="1" applyBorder="1"/>
    <xf numFmtId="0" fontId="0" fillId="2" borderId="12" xfId="0" applyFill="1" applyBorder="1"/>
    <xf numFmtId="165" fontId="0" fillId="0" borderId="2" xfId="0" applyNumberFormat="1" applyBorder="1"/>
    <xf numFmtId="0" fontId="0" fillId="2" borderId="7" xfId="0" applyFill="1" applyBorder="1"/>
    <xf numFmtId="0" fontId="3" fillId="2" borderId="8" xfId="0" applyFont="1" applyFill="1" applyBorder="1" applyAlignment="1">
      <alignment vertical="center" wrapText="1"/>
    </xf>
    <xf numFmtId="0" fontId="3" fillId="2" borderId="10" xfId="0" applyFont="1" applyFill="1" applyBorder="1" applyAlignment="1">
      <alignment vertical="center" wrapText="1"/>
    </xf>
    <xf numFmtId="0" fontId="6" fillId="2" borderId="11" xfId="0" applyFont="1" applyFill="1" applyBorder="1" applyAlignment="1">
      <alignment vertical="center" wrapText="1" readingOrder="1"/>
    </xf>
    <xf numFmtId="0" fontId="3" fillId="2" borderId="0" xfId="0" applyFont="1" applyFill="1" applyAlignment="1">
      <alignment horizontal="left" vertical="center" wrapText="1" indent="1"/>
    </xf>
    <xf numFmtId="0" fontId="4" fillId="2" borderId="0" xfId="0" applyFont="1" applyFill="1" applyAlignment="1">
      <alignment horizontal="left" vertical="center" wrapText="1" indent="1" readingOrder="1"/>
    </xf>
    <xf numFmtId="0" fontId="9" fillId="0" borderId="2" xfId="0" applyFont="1" applyBorder="1" applyAlignment="1">
      <alignment horizontal="left" vertical="center" wrapText="1" indent="1"/>
    </xf>
    <xf numFmtId="0" fontId="3" fillId="2" borderId="0" xfId="0" applyFont="1" applyFill="1" applyAlignment="1">
      <alignment horizontal="center" vertical="center" wrapText="1"/>
    </xf>
    <xf numFmtId="165" fontId="0" fillId="2" borderId="2" xfId="1" applyNumberFormat="1" applyFont="1" applyFill="1" applyBorder="1" applyAlignment="1">
      <alignment horizontal="center" vertical="center"/>
    </xf>
    <xf numFmtId="0" fontId="0" fillId="0" borderId="11" xfId="0" applyBorder="1"/>
    <xf numFmtId="165" fontId="1" fillId="2" borderId="0" xfId="0" applyNumberFormat="1" applyFont="1" applyFill="1"/>
    <xf numFmtId="0" fontId="0" fillId="2" borderId="9" xfId="0" applyFill="1" applyBorder="1" applyAlignment="1">
      <alignment horizontal="center" vertical="center" wrapText="1"/>
    </xf>
    <xf numFmtId="0" fontId="4" fillId="0" borderId="8" xfId="0" applyFont="1" applyBorder="1" applyAlignment="1">
      <alignment horizontal="left" vertical="center" wrapText="1" indent="1"/>
    </xf>
    <xf numFmtId="9" fontId="4" fillId="2" borderId="6" xfId="0" applyNumberFormat="1" applyFont="1" applyFill="1" applyBorder="1" applyAlignment="1">
      <alignment horizontal="left" vertical="center" wrapText="1" indent="1"/>
    </xf>
    <xf numFmtId="165" fontId="0" fillId="2" borderId="7" xfId="0" applyNumberFormat="1" applyFill="1" applyBorder="1" applyAlignment="1">
      <alignment horizontal="left" wrapText="1"/>
    </xf>
    <xf numFmtId="165" fontId="0" fillId="2" borderId="9" xfId="0" applyNumberFormat="1" applyFill="1" applyBorder="1"/>
    <xf numFmtId="165" fontId="0" fillId="0" borderId="6" xfId="1" applyNumberFormat="1" applyFont="1" applyBorder="1" applyAlignment="1">
      <alignment horizontal="center" vertical="center"/>
    </xf>
    <xf numFmtId="0" fontId="6" fillId="2" borderId="3" xfId="0" applyFont="1" applyFill="1" applyBorder="1" applyAlignment="1">
      <alignment vertical="center" wrapText="1" readingOrder="1"/>
    </xf>
    <xf numFmtId="0" fontId="3" fillId="2" borderId="3" xfId="0" applyFont="1" applyFill="1" applyBorder="1" applyAlignment="1">
      <alignment vertical="center" wrapText="1"/>
    </xf>
    <xf numFmtId="0" fontId="5" fillId="3" borderId="14" xfId="0" applyFont="1" applyFill="1" applyBorder="1" applyAlignment="1">
      <alignment horizontal="center" vertical="center" wrapText="1"/>
    </xf>
    <xf numFmtId="0" fontId="5" fillId="3" borderId="15" xfId="0" applyFont="1" applyFill="1" applyBorder="1" applyAlignment="1">
      <alignment horizontal="center" vertical="center" wrapText="1"/>
    </xf>
    <xf numFmtId="165" fontId="0" fillId="2" borderId="3" xfId="1" applyNumberFormat="1" applyFont="1" applyFill="1" applyBorder="1"/>
    <xf numFmtId="165" fontId="0" fillId="0" borderId="2" xfId="1" applyNumberFormat="1" applyFont="1" applyFill="1" applyBorder="1"/>
    <xf numFmtId="0" fontId="0" fillId="2" borderId="2" xfId="0" applyFill="1" applyBorder="1" applyAlignment="1">
      <alignment wrapText="1"/>
    </xf>
    <xf numFmtId="164" fontId="0" fillId="2" borderId="0" xfId="1" applyNumberFormat="1" applyFont="1" applyFill="1" applyBorder="1"/>
    <xf numFmtId="0" fontId="0" fillId="2" borderId="0" xfId="0" applyFill="1" applyAlignment="1">
      <alignment wrapText="1"/>
    </xf>
    <xf numFmtId="0" fontId="0" fillId="2" borderId="2" xfId="0" applyFill="1" applyBorder="1" applyAlignment="1">
      <alignment vertical="center"/>
    </xf>
    <xf numFmtId="0" fontId="0" fillId="2" borderId="6" xfId="0" applyFill="1" applyBorder="1" applyAlignment="1">
      <alignment horizontal="left" vertical="center" wrapText="1" indent="1" readingOrder="1"/>
    </xf>
    <xf numFmtId="0" fontId="0" fillId="2" borderId="6" xfId="0" applyFill="1" applyBorder="1" applyAlignment="1">
      <alignment horizontal="left" vertical="center" wrapText="1" indent="1"/>
    </xf>
    <xf numFmtId="0" fontId="0" fillId="2" borderId="2" xfId="0" applyFill="1" applyBorder="1" applyAlignment="1">
      <alignment horizontal="left" vertical="center" wrapText="1" indent="1" readingOrder="1"/>
    </xf>
    <xf numFmtId="0" fontId="0" fillId="2" borderId="2" xfId="0" applyFill="1" applyBorder="1" applyAlignment="1">
      <alignment horizontal="left" vertical="center" wrapText="1" indent="1"/>
    </xf>
    <xf numFmtId="0" fontId="0" fillId="2" borderId="18" xfId="0" applyFill="1" applyBorder="1" applyAlignment="1">
      <alignment horizontal="left" vertical="center" wrapText="1" indent="1" readingOrder="1"/>
    </xf>
    <xf numFmtId="0" fontId="0" fillId="2" borderId="18" xfId="0" applyFill="1" applyBorder="1" applyAlignment="1">
      <alignment horizontal="left" vertical="center" wrapText="1" indent="1"/>
    </xf>
    <xf numFmtId="0" fontId="0" fillId="2" borderId="19" xfId="0" applyFill="1" applyBorder="1"/>
    <xf numFmtId="0" fontId="0" fillId="2" borderId="11" xfId="0" applyFill="1" applyBorder="1" applyAlignment="1">
      <alignment horizontal="left" vertical="center" wrapText="1" indent="1" readingOrder="1"/>
    </xf>
    <xf numFmtId="0" fontId="0" fillId="2" borderId="7" xfId="0" applyFill="1" applyBorder="1" applyAlignment="1">
      <alignment wrapText="1"/>
    </xf>
    <xf numFmtId="0" fontId="0" fillId="2" borderId="9" xfId="0" applyFill="1" applyBorder="1" applyAlignment="1">
      <alignment wrapText="1"/>
    </xf>
    <xf numFmtId="0" fontId="0" fillId="2" borderId="12" xfId="0" applyFill="1" applyBorder="1" applyAlignment="1">
      <alignment wrapText="1"/>
    </xf>
    <xf numFmtId="0" fontId="0" fillId="2" borderId="6" xfId="0" applyFill="1" applyBorder="1" applyAlignment="1">
      <alignment horizontal="center"/>
    </xf>
    <xf numFmtId="0" fontId="0" fillId="2" borderId="18" xfId="0" applyFill="1" applyBorder="1" applyAlignment="1">
      <alignment horizontal="center"/>
    </xf>
    <xf numFmtId="0" fontId="0" fillId="2" borderId="11" xfId="0" applyFill="1" applyBorder="1" applyAlignment="1">
      <alignment horizontal="center"/>
    </xf>
    <xf numFmtId="164" fontId="0" fillId="2" borderId="6" xfId="1" applyNumberFormat="1" applyFont="1" applyFill="1" applyBorder="1" applyAlignment="1">
      <alignment horizontal="center"/>
    </xf>
    <xf numFmtId="164" fontId="0" fillId="2" borderId="2" xfId="1" applyNumberFormat="1" applyFont="1" applyFill="1" applyBorder="1" applyAlignment="1">
      <alignment horizontal="center"/>
    </xf>
    <xf numFmtId="164" fontId="0" fillId="2" borderId="11" xfId="1" applyNumberFormat="1" applyFont="1" applyFill="1" applyBorder="1" applyAlignment="1">
      <alignment horizontal="center"/>
    </xf>
    <xf numFmtId="0" fontId="0" fillId="2" borderId="3" xfId="0" applyFill="1" applyBorder="1" applyAlignment="1">
      <alignment horizontal="left"/>
    </xf>
    <xf numFmtId="0" fontId="5" fillId="3" borderId="13" xfId="0" applyFont="1" applyFill="1" applyBorder="1" applyAlignment="1">
      <alignment horizontal="left" vertical="center" wrapText="1" indent="1"/>
    </xf>
    <xf numFmtId="0" fontId="5" fillId="3" borderId="14" xfId="0" applyFont="1" applyFill="1" applyBorder="1" applyAlignment="1">
      <alignment horizontal="left" vertical="center" wrapText="1" indent="1"/>
    </xf>
    <xf numFmtId="165" fontId="0" fillId="0" borderId="6" xfId="1" applyNumberFormat="1" applyFont="1" applyFill="1" applyBorder="1"/>
    <xf numFmtId="165" fontId="0" fillId="0" borderId="18" xfId="1" applyNumberFormat="1" applyFont="1" applyFill="1" applyBorder="1"/>
    <xf numFmtId="165" fontId="0" fillId="0" borderId="11" xfId="1" applyNumberFormat="1" applyFont="1" applyFill="1" applyBorder="1"/>
    <xf numFmtId="164" fontId="0" fillId="0" borderId="6" xfId="1" applyNumberFormat="1" applyFont="1" applyFill="1" applyBorder="1"/>
    <xf numFmtId="164" fontId="0" fillId="0" borderId="2" xfId="1" applyNumberFormat="1" applyFont="1" applyFill="1" applyBorder="1"/>
    <xf numFmtId="164" fontId="0" fillId="0" borderId="11" xfId="1" applyNumberFormat="1" applyFont="1" applyFill="1" applyBorder="1"/>
    <xf numFmtId="0" fontId="4" fillId="0" borderId="6" xfId="0" applyFont="1" applyBorder="1" applyAlignment="1">
      <alignment horizontal="center" vertical="center" wrapText="1"/>
    </xf>
    <xf numFmtId="0" fontId="0" fillId="0" borderId="6" xfId="0" applyBorder="1"/>
    <xf numFmtId="0" fontId="0" fillId="0" borderId="7" xfId="0" applyBorder="1" applyAlignment="1">
      <alignment horizontal="center" wrapText="1"/>
    </xf>
    <xf numFmtId="0" fontId="0" fillId="0" borderId="6" xfId="0" applyBorder="1" applyAlignment="1">
      <alignment horizontal="center"/>
    </xf>
    <xf numFmtId="0" fontId="4" fillId="0" borderId="6" xfId="0" applyFont="1" applyBorder="1" applyAlignment="1">
      <alignment horizontal="left" vertical="center" wrapText="1" indent="1" readingOrder="1"/>
    </xf>
    <xf numFmtId="0" fontId="4" fillId="0" borderId="2" xfId="0" applyFont="1" applyBorder="1" applyAlignment="1">
      <alignment horizontal="left" vertical="center" wrapText="1" indent="1" readingOrder="1"/>
    </xf>
    <xf numFmtId="0" fontId="4" fillId="0" borderId="11" xfId="0" applyFont="1" applyBorder="1" applyAlignment="1">
      <alignment horizontal="left" vertical="center" wrapText="1" indent="1" readingOrder="1"/>
    </xf>
    <xf numFmtId="0" fontId="4" fillId="5" borderId="6" xfId="0" applyFont="1" applyFill="1" applyBorder="1" applyAlignment="1">
      <alignment vertical="center" wrapText="1"/>
    </xf>
    <xf numFmtId="0" fontId="4" fillId="5" borderId="2" xfId="0" applyFont="1" applyFill="1" applyBorder="1" applyAlignment="1">
      <alignment vertical="center" wrapText="1"/>
    </xf>
    <xf numFmtId="0" fontId="4" fillId="5" borderId="11" xfId="0" applyFont="1" applyFill="1" applyBorder="1" applyAlignment="1">
      <alignment vertical="center" wrapText="1"/>
    </xf>
    <xf numFmtId="0" fontId="4" fillId="5" borderId="2" xfId="0" applyFont="1" applyFill="1" applyBorder="1" applyAlignment="1">
      <alignment horizontal="left" vertical="center" indent="1"/>
    </xf>
    <xf numFmtId="0" fontId="4" fillId="2" borderId="5" xfId="0" applyFont="1" applyFill="1" applyBorder="1" applyAlignment="1">
      <alignment horizontal="left" vertical="center" indent="1"/>
    </xf>
    <xf numFmtId="0" fontId="4" fillId="5" borderId="6" xfId="0" applyFont="1" applyFill="1" applyBorder="1" applyAlignment="1">
      <alignment horizontal="left" vertical="center" indent="1"/>
    </xf>
    <xf numFmtId="0" fontId="4" fillId="2" borderId="8" xfId="0" applyFont="1" applyFill="1" applyBorder="1" applyAlignment="1">
      <alignment horizontal="left" vertical="center" indent="1" readingOrder="1"/>
    </xf>
    <xf numFmtId="0" fontId="4" fillId="2" borderId="10" xfId="0" applyFont="1" applyFill="1" applyBorder="1" applyAlignment="1">
      <alignment horizontal="left" vertical="center" indent="1" readingOrder="1"/>
    </xf>
    <xf numFmtId="0" fontId="4" fillId="5" borderId="11" xfId="0" applyFont="1" applyFill="1" applyBorder="1" applyAlignment="1">
      <alignment horizontal="left" vertical="center" indent="1"/>
    </xf>
    <xf numFmtId="0" fontId="0" fillId="5" borderId="6" xfId="0" applyFill="1" applyBorder="1" applyAlignment="1">
      <alignment vertical="center" wrapText="1"/>
    </xf>
    <xf numFmtId="0" fontId="0" fillId="5" borderId="2" xfId="0" applyFill="1" applyBorder="1" applyAlignment="1">
      <alignment vertical="center" wrapText="1"/>
    </xf>
    <xf numFmtId="0" fontId="0" fillId="5" borderId="11" xfId="0" applyFill="1" applyBorder="1" applyAlignment="1">
      <alignment vertical="center" wrapText="1"/>
    </xf>
    <xf numFmtId="0" fontId="0" fillId="0" borderId="6" xfId="0" applyBorder="1" applyAlignment="1">
      <alignment horizontal="left" vertical="center" wrapText="1" indent="1" readingOrder="1"/>
    </xf>
    <xf numFmtId="0" fontId="0" fillId="0" borderId="6" xfId="0" applyBorder="1" applyAlignment="1">
      <alignment horizontal="left" vertical="center" wrapText="1" indent="1"/>
    </xf>
    <xf numFmtId="0" fontId="0" fillId="0" borderId="7" xfId="0" applyBorder="1"/>
    <xf numFmtId="0" fontId="0" fillId="0" borderId="2" xfId="0" applyBorder="1" applyAlignment="1">
      <alignment horizontal="left" vertical="center" wrapText="1" indent="1" readingOrder="1"/>
    </xf>
    <xf numFmtId="0" fontId="0" fillId="0" borderId="2" xfId="0" applyBorder="1" applyAlignment="1">
      <alignment horizontal="left" vertical="center" wrapText="1" indent="1"/>
    </xf>
    <xf numFmtId="0" fontId="0" fillId="0" borderId="2" xfId="0" applyBorder="1" applyAlignment="1">
      <alignment horizontal="center"/>
    </xf>
    <xf numFmtId="0" fontId="0" fillId="0" borderId="9" xfId="0" applyBorder="1"/>
    <xf numFmtId="0" fontId="0" fillId="0" borderId="11" xfId="0" applyBorder="1" applyAlignment="1">
      <alignment horizontal="left" vertical="center" wrapText="1" indent="1" readingOrder="1"/>
    </xf>
    <xf numFmtId="0" fontId="0" fillId="0" borderId="11" xfId="0" applyBorder="1" applyAlignment="1">
      <alignment horizontal="left" vertical="center" wrapText="1" indent="1"/>
    </xf>
    <xf numFmtId="0" fontId="0" fillId="0" borderId="11" xfId="0" applyBorder="1" applyAlignment="1">
      <alignment horizontal="center"/>
    </xf>
    <xf numFmtId="0" fontId="0" fillId="0" borderId="12" xfId="0" applyBorder="1"/>
    <xf numFmtId="0" fontId="0" fillId="5" borderId="18" xfId="0" applyFill="1" applyBorder="1" applyAlignment="1">
      <alignment vertical="center" wrapText="1"/>
    </xf>
    <xf numFmtId="0" fontId="5" fillId="3" borderId="24" xfId="0" applyFont="1" applyFill="1" applyBorder="1" applyAlignment="1">
      <alignment horizontal="center" vertical="center" wrapText="1"/>
    </xf>
    <xf numFmtId="0" fontId="5" fillId="3" borderId="13" xfId="0" applyFont="1" applyFill="1" applyBorder="1" applyAlignment="1">
      <alignment horizontal="center" vertical="center" wrapText="1"/>
    </xf>
    <xf numFmtId="0" fontId="8" fillId="2" borderId="0" xfId="0" applyFont="1" applyFill="1" applyAlignment="1">
      <alignment horizontal="center" vertical="center" wrapText="1"/>
    </xf>
    <xf numFmtId="165" fontId="0" fillId="2" borderId="0" xfId="1" applyNumberFormat="1" applyFont="1" applyFill="1"/>
    <xf numFmtId="0" fontId="5" fillId="3" borderId="24" xfId="0" applyFont="1" applyFill="1" applyBorder="1" applyAlignment="1">
      <alignment horizontal="center" vertical="center" wrapText="1"/>
    </xf>
    <xf numFmtId="0" fontId="5" fillId="3" borderId="25" xfId="0" applyFont="1" applyFill="1" applyBorder="1" applyAlignment="1">
      <alignment horizontal="center" vertical="center" wrapText="1"/>
    </xf>
    <xf numFmtId="0" fontId="5" fillId="3" borderId="26" xfId="0" applyFont="1" applyFill="1" applyBorder="1" applyAlignment="1">
      <alignment horizontal="center" vertical="center" wrapText="1"/>
    </xf>
    <xf numFmtId="0" fontId="1" fillId="4" borderId="5" xfId="0" applyFont="1" applyFill="1" applyBorder="1" applyAlignment="1">
      <alignment horizontal="left" vertical="center" wrapText="1" indent="1"/>
    </xf>
    <xf numFmtId="0" fontId="5" fillId="2" borderId="4" xfId="0" applyFont="1" applyFill="1" applyBorder="1" applyAlignment="1">
      <alignment horizontal="center" vertical="center" wrapText="1"/>
    </xf>
    <xf numFmtId="0" fontId="5" fillId="2" borderId="0" xfId="0" applyFont="1" applyFill="1" applyAlignment="1">
      <alignment horizontal="center" vertical="center" wrapText="1"/>
    </xf>
    <xf numFmtId="0" fontId="0" fillId="4" borderId="5" xfId="0" applyFill="1" applyBorder="1" applyAlignment="1">
      <alignment horizontal="center" vertical="center" wrapText="1"/>
    </xf>
    <xf numFmtId="0" fontId="0" fillId="4" borderId="8" xfId="0" applyFill="1" applyBorder="1" applyAlignment="1">
      <alignment horizontal="center" vertical="center" wrapText="1"/>
    </xf>
    <xf numFmtId="0" fontId="0" fillId="4" borderId="17" xfId="0" applyFill="1" applyBorder="1" applyAlignment="1">
      <alignment horizontal="center" vertical="center" wrapText="1"/>
    </xf>
    <xf numFmtId="0" fontId="1" fillId="4" borderId="5" xfId="0" applyFont="1" applyFill="1" applyBorder="1" applyAlignment="1">
      <alignment horizontal="center" vertical="center" wrapText="1"/>
    </xf>
    <xf numFmtId="0" fontId="1" fillId="4" borderId="8" xfId="0" applyFont="1" applyFill="1" applyBorder="1" applyAlignment="1">
      <alignment horizontal="center" vertical="center" wrapText="1"/>
    </xf>
    <xf numFmtId="0" fontId="1" fillId="4" borderId="17" xfId="0" applyFont="1" applyFill="1" applyBorder="1" applyAlignment="1">
      <alignment horizontal="center" vertical="center" wrapText="1"/>
    </xf>
    <xf numFmtId="0" fontId="0" fillId="2" borderId="6" xfId="0" applyFill="1" applyBorder="1" applyAlignment="1">
      <alignment horizontal="center" vertical="center" wrapText="1"/>
    </xf>
    <xf numFmtId="0" fontId="0" fillId="2" borderId="2" xfId="0" applyFill="1" applyBorder="1" applyAlignment="1">
      <alignment horizontal="center" vertical="center" wrapText="1"/>
    </xf>
    <xf numFmtId="0" fontId="0" fillId="2" borderId="18" xfId="0" applyFill="1" applyBorder="1" applyAlignment="1">
      <alignment horizontal="center" vertical="center" wrapText="1"/>
    </xf>
    <xf numFmtId="0" fontId="1" fillId="4" borderId="8" xfId="0" applyFont="1" applyFill="1" applyBorder="1" applyAlignment="1">
      <alignment horizontal="left" vertical="center" wrapText="1" indent="1"/>
    </xf>
    <xf numFmtId="0" fontId="1" fillId="4" borderId="10" xfId="0" applyFont="1" applyFill="1" applyBorder="1" applyAlignment="1">
      <alignment horizontal="left" vertical="center" wrapText="1" indent="1"/>
    </xf>
    <xf numFmtId="0" fontId="0" fillId="2" borderId="6" xfId="0" applyFill="1" applyBorder="1" applyAlignment="1">
      <alignment horizontal="left" vertical="center" wrapText="1" indent="1"/>
    </xf>
    <xf numFmtId="0" fontId="0" fillId="2" borderId="2" xfId="0" applyFill="1" applyBorder="1" applyAlignment="1">
      <alignment horizontal="left" vertical="center" wrapText="1" indent="1"/>
    </xf>
    <xf numFmtId="0" fontId="0" fillId="2" borderId="11" xfId="0" applyFill="1" applyBorder="1" applyAlignment="1">
      <alignment horizontal="left" vertical="center" wrapText="1" indent="1"/>
    </xf>
    <xf numFmtId="0" fontId="0" fillId="0" borderId="2" xfId="0" applyBorder="1" applyAlignment="1">
      <alignment horizontal="left" vertical="center" wrapText="1" indent="1"/>
    </xf>
    <xf numFmtId="0" fontId="1" fillId="4" borderId="10" xfId="0" applyFont="1" applyFill="1" applyBorder="1" applyAlignment="1">
      <alignment horizontal="center" vertical="center" wrapText="1"/>
    </xf>
    <xf numFmtId="0" fontId="5" fillId="3" borderId="14" xfId="0" applyFont="1" applyFill="1" applyBorder="1" applyAlignment="1">
      <alignment horizontal="center" vertical="center" wrapText="1"/>
    </xf>
    <xf numFmtId="0" fontId="5" fillId="3" borderId="15" xfId="0" applyFont="1" applyFill="1" applyBorder="1" applyAlignment="1">
      <alignment horizontal="center" vertical="center" wrapText="1"/>
    </xf>
    <xf numFmtId="0" fontId="8" fillId="2" borderId="0" xfId="0" applyFont="1" applyFill="1" applyAlignment="1">
      <alignment horizontal="center" vertical="center" wrapText="1"/>
    </xf>
    <xf numFmtId="0" fontId="5" fillId="2" borderId="0" xfId="0" applyFont="1" applyFill="1" applyAlignment="1">
      <alignment horizontal="center" vertical="center"/>
    </xf>
    <xf numFmtId="0" fontId="3" fillId="4" borderId="21" xfId="0" applyFont="1" applyFill="1" applyBorder="1" applyAlignment="1">
      <alignment horizontal="center" vertical="center" wrapText="1"/>
    </xf>
    <xf numFmtId="0" fontId="3" fillId="4" borderId="22" xfId="0" applyFont="1" applyFill="1" applyBorder="1" applyAlignment="1">
      <alignment horizontal="center" vertical="center" wrapText="1"/>
    </xf>
    <xf numFmtId="0" fontId="3" fillId="4" borderId="23" xfId="0" applyFont="1" applyFill="1" applyBorder="1" applyAlignment="1">
      <alignment horizontal="center" vertical="center" wrapText="1"/>
    </xf>
    <xf numFmtId="0" fontId="5" fillId="2" borderId="0" xfId="0" applyFont="1" applyFill="1" applyAlignment="1">
      <alignment horizontal="right" vertical="center"/>
    </xf>
    <xf numFmtId="0" fontId="4" fillId="2" borderId="6" xfId="0" applyFont="1" applyFill="1" applyBorder="1" applyAlignment="1">
      <alignment horizontal="left" vertical="center" wrapText="1" indent="1"/>
    </xf>
    <xf numFmtId="0" fontId="4" fillId="2" borderId="2" xfId="0" applyFont="1" applyFill="1" applyBorder="1" applyAlignment="1">
      <alignment horizontal="left" vertical="center" wrapText="1" indent="1"/>
    </xf>
    <xf numFmtId="0" fontId="4" fillId="2" borderId="11" xfId="0" applyFont="1" applyFill="1" applyBorder="1" applyAlignment="1">
      <alignment horizontal="left" vertical="center" wrapText="1" indent="1"/>
    </xf>
    <xf numFmtId="0" fontId="3" fillId="4" borderId="27" xfId="0" applyFont="1" applyFill="1" applyBorder="1" applyAlignment="1">
      <alignment horizontal="left" vertical="center" wrapText="1" indent="1"/>
    </xf>
    <xf numFmtId="0" fontId="3" fillId="4" borderId="28" xfId="0" applyFont="1" applyFill="1" applyBorder="1" applyAlignment="1">
      <alignment horizontal="left" vertical="center" wrapText="1" indent="1"/>
    </xf>
    <xf numFmtId="0" fontId="3" fillId="4" borderId="29" xfId="0" applyFont="1" applyFill="1" applyBorder="1" applyAlignment="1">
      <alignment horizontal="left" vertical="center" wrapText="1" indent="1"/>
    </xf>
    <xf numFmtId="0" fontId="8" fillId="0" borderId="4" xfId="0" applyFont="1" applyBorder="1" applyAlignment="1">
      <alignment horizontal="center" vertical="center"/>
    </xf>
    <xf numFmtId="0" fontId="8" fillId="0" borderId="0" xfId="0" applyFont="1" applyAlignment="1">
      <alignment horizontal="center" vertical="center"/>
    </xf>
    <xf numFmtId="0" fontId="3" fillId="4" borderId="5" xfId="0" applyFont="1" applyFill="1" applyBorder="1" applyAlignment="1">
      <alignment horizontal="left" vertical="center" wrapText="1" indent="1"/>
    </xf>
    <xf numFmtId="0" fontId="3" fillId="4" borderId="8" xfId="0" applyFont="1" applyFill="1" applyBorder="1" applyAlignment="1">
      <alignment horizontal="left" vertical="center" wrapText="1" indent="1"/>
    </xf>
    <xf numFmtId="0" fontId="3" fillId="4" borderId="10" xfId="0" applyFont="1" applyFill="1" applyBorder="1" applyAlignment="1">
      <alignment horizontal="left" vertical="center" wrapText="1" indent="1"/>
    </xf>
    <xf numFmtId="0" fontId="4" fillId="0" borderId="6" xfId="0" applyFont="1" applyBorder="1" applyAlignment="1">
      <alignment horizontal="left" vertical="center" wrapText="1" indent="1"/>
    </xf>
    <xf numFmtId="0" fontId="4" fillId="0" borderId="2" xfId="0" applyFont="1" applyBorder="1" applyAlignment="1">
      <alignment horizontal="left" vertical="center" wrapText="1" indent="1"/>
    </xf>
    <xf numFmtId="0" fontId="4" fillId="0" borderId="11" xfId="0" applyFont="1" applyBorder="1" applyAlignment="1">
      <alignment horizontal="left" vertical="center" wrapText="1" indent="1"/>
    </xf>
    <xf numFmtId="0" fontId="0" fillId="2" borderId="0" xfId="0" applyFill="1" applyBorder="1" applyAlignment="1">
      <alignment horizontal="center"/>
    </xf>
    <xf numFmtId="0" fontId="3" fillId="2" borderId="0" xfId="0" applyFont="1" applyFill="1" applyBorder="1" applyAlignment="1">
      <alignment horizontal="center" vertical="center" wrapText="1"/>
    </xf>
    <xf numFmtId="0" fontId="4" fillId="2" borderId="0" xfId="0" applyFont="1" applyFill="1" applyBorder="1" applyAlignment="1">
      <alignment horizontal="left" vertical="center" wrapText="1" indent="1"/>
    </xf>
    <xf numFmtId="0" fontId="4" fillId="2" borderId="0" xfId="0" applyFont="1" applyFill="1" applyBorder="1" applyAlignment="1">
      <alignment vertical="center" wrapText="1"/>
    </xf>
    <xf numFmtId="0" fontId="3" fillId="2" borderId="0" xfId="0" applyFont="1" applyFill="1" applyBorder="1" applyAlignment="1">
      <alignment horizontal="left" vertical="center" wrapText="1" indent="1"/>
    </xf>
    <xf numFmtId="165" fontId="0" fillId="2" borderId="0" xfId="1" applyNumberFormat="1" applyFont="1" applyFill="1" applyBorder="1" applyAlignment="1">
      <alignment horizontal="center" vertical="center"/>
    </xf>
    <xf numFmtId="0" fontId="5" fillId="2" borderId="0" xfId="0" applyFont="1" applyFill="1" applyBorder="1" applyAlignment="1">
      <alignment horizontal="center" vertical="center" wrapText="1"/>
    </xf>
    <xf numFmtId="168" fontId="4" fillId="0" borderId="11" xfId="1" applyNumberFormat="1" applyFont="1" applyBorder="1" applyAlignment="1">
      <alignment horizontal="center" vertical="center" wrapText="1"/>
    </xf>
    <xf numFmtId="0" fontId="3" fillId="0" borderId="2" xfId="0" applyFont="1" applyBorder="1" applyAlignment="1">
      <alignment horizontal="center" vertical="center" wrapText="1"/>
    </xf>
    <xf numFmtId="168" fontId="0" fillId="2" borderId="0" xfId="1" applyNumberFormat="1" applyFont="1" applyFill="1" applyBorder="1" applyAlignment="1">
      <alignment horizontal="center" vertical="center"/>
    </xf>
    <xf numFmtId="0" fontId="0" fillId="2" borderId="0" xfId="0" applyFill="1" applyBorder="1" applyAlignment="1">
      <alignment horizontal="left" vertical="center" wrapText="1"/>
    </xf>
    <xf numFmtId="0" fontId="3" fillId="0" borderId="13" xfId="0" applyFont="1" applyBorder="1" applyAlignment="1">
      <alignment horizontal="center" vertical="center" wrapText="1"/>
    </xf>
    <xf numFmtId="168" fontId="0" fillId="2" borderId="14" xfId="1" applyNumberFormat="1" applyFont="1" applyFill="1" applyBorder="1" applyAlignment="1">
      <alignment horizontal="center" vertical="center"/>
    </xf>
    <xf numFmtId="168" fontId="0" fillId="2" borderId="14" xfId="0" applyNumberFormat="1" applyFill="1" applyBorder="1" applyAlignment="1">
      <alignment horizontal="left" vertical="center" wrapText="1"/>
    </xf>
    <xf numFmtId="0" fontId="0" fillId="2" borderId="15" xfId="0" applyFill="1" applyBorder="1" applyAlignment="1">
      <alignment horizontal="left" vertical="center" wrapText="1"/>
    </xf>
    <xf numFmtId="0" fontId="4" fillId="0" borderId="30" xfId="0" applyFont="1" applyBorder="1" applyAlignment="1">
      <alignment horizontal="left" vertical="center" wrapText="1"/>
    </xf>
    <xf numFmtId="168" fontId="4" fillId="0" borderId="2" xfId="1" applyNumberFormat="1" applyFont="1" applyBorder="1" applyAlignment="1">
      <alignment horizontal="center" vertical="center" wrapText="1"/>
    </xf>
    <xf numFmtId="0" fontId="4" fillId="0" borderId="5" xfId="0" applyFont="1" applyBorder="1" applyAlignment="1">
      <alignment horizontal="left" vertical="center" wrapText="1" indent="1"/>
    </xf>
    <xf numFmtId="0" fontId="9" fillId="0" borderId="6" xfId="0" applyFont="1" applyBorder="1" applyAlignment="1">
      <alignment horizontal="left" vertical="center" wrapText="1" indent="1"/>
    </xf>
    <xf numFmtId="168" fontId="4" fillId="0" borderId="6" xfId="1" applyNumberFormat="1" applyFont="1" applyBorder="1" applyAlignment="1">
      <alignment horizontal="center" vertical="center" wrapText="1"/>
    </xf>
    <xf numFmtId="0" fontId="0" fillId="2" borderId="7" xfId="0" applyFill="1" applyBorder="1" applyAlignment="1">
      <alignment horizontal="center" vertical="center" wrapText="1"/>
    </xf>
    <xf numFmtId="0" fontId="0" fillId="2" borderId="9" xfId="0" applyFill="1" applyBorder="1" applyAlignment="1">
      <alignment horizontal="center" vertical="center" wrapText="1"/>
    </xf>
    <xf numFmtId="0" fontId="4" fillId="0" borderId="10" xfId="0" applyFont="1" applyBorder="1" applyAlignment="1">
      <alignment horizontal="left" vertical="center" wrapText="1" indent="1"/>
    </xf>
    <xf numFmtId="0" fontId="0" fillId="2" borderId="11" xfId="0" applyFill="1" applyBorder="1" applyAlignment="1">
      <alignment horizontal="center" vertical="center" wrapText="1"/>
    </xf>
    <xf numFmtId="0" fontId="0" fillId="2" borderId="12" xfId="0" applyFill="1" applyBorder="1" applyAlignment="1">
      <alignment horizontal="center" vertical="center" wrapText="1"/>
    </xf>
    <xf numFmtId="0" fontId="8" fillId="2" borderId="0" xfId="0" applyFont="1" applyFill="1" applyBorder="1" applyAlignment="1">
      <alignment horizontal="center" vertical="center" wrapText="1"/>
    </xf>
    <xf numFmtId="168" fontId="1" fillId="2" borderId="0" xfId="0" applyNumberFormat="1" applyFont="1" applyFill="1"/>
    <xf numFmtId="168" fontId="3" fillId="2" borderId="0" xfId="0" applyNumberFormat="1" applyFont="1" applyFill="1" applyBorder="1" applyAlignment="1">
      <alignment horizontal="left" vertical="center" wrapText="1" indent="1"/>
    </xf>
    <xf numFmtId="0" fontId="8" fillId="2" borderId="0" xfId="0" applyFont="1" applyFill="1" applyBorder="1" applyAlignment="1">
      <alignment horizontal="center" vertical="center" wrapText="1"/>
    </xf>
    <xf numFmtId="0" fontId="9" fillId="0" borderId="11" xfId="0" applyFont="1" applyBorder="1" applyAlignment="1">
      <alignment horizontal="left" vertical="center" wrapText="1" indent="1"/>
    </xf>
    <xf numFmtId="0" fontId="3" fillId="4" borderId="31" xfId="0" applyFont="1" applyFill="1" applyBorder="1" applyAlignment="1">
      <alignment horizontal="center" vertical="center" wrapText="1"/>
    </xf>
    <xf numFmtId="0" fontId="3" fillId="4" borderId="32" xfId="0" applyFont="1" applyFill="1" applyBorder="1" applyAlignment="1">
      <alignment horizontal="center" vertical="center" wrapText="1"/>
    </xf>
    <xf numFmtId="0" fontId="3" fillId="4" borderId="33" xfId="0" applyFont="1" applyFill="1" applyBorder="1" applyAlignment="1">
      <alignment horizontal="center" vertical="center" wrapText="1"/>
    </xf>
    <xf numFmtId="0" fontId="3" fillId="4" borderId="24" xfId="0" applyFont="1" applyFill="1" applyBorder="1" applyAlignment="1">
      <alignment horizontal="center" vertical="center" wrapText="1"/>
    </xf>
    <xf numFmtId="0" fontId="5" fillId="3" borderId="24" xfId="0" applyFont="1" applyFill="1" applyBorder="1" applyAlignment="1">
      <alignment horizontal="left" vertical="center" wrapText="1" indent="1"/>
    </xf>
    <xf numFmtId="0" fontId="0" fillId="0" borderId="3" xfId="0" applyFill="1" applyBorder="1"/>
  </cellXfs>
  <cellStyles count="2">
    <cellStyle name="Comma" xfId="1" builtinId="3"/>
    <cellStyle name="Normal" xfId="0" builtinId="0"/>
  </cellStyles>
  <dxfs count="0"/>
  <tableStyles count="0" defaultTableStyle="TableStyleMedium2" defaultPivotStyle="PivotStyleLight16"/>
  <colors>
    <mruColors>
      <color rgb="FFCEDDF2"/>
      <color rgb="FFB6CCEC"/>
      <color rgb="FFA3C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microsoft.com/office/2017/06/relationships/rdRichValue" Target="richData/rdrichvalue.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22/10/relationships/richValueRel" Target="richData/richValueRel.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microsoft.com/office/2017/06/relationships/rdRichValueTypes" Target="richData/rdRichValueTypes.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microsoft.com/office/2017/06/relationships/rdRichValueStructure" Target="richData/rdrichvaluestructure.xml"/></Relationships>
</file>

<file path=xl/persons/person.xml><?xml version="1.0" encoding="utf-8"?>
<personList xmlns="http://schemas.microsoft.com/office/spreadsheetml/2018/threadedcomments" xmlns:x="http://schemas.openxmlformats.org/spreadsheetml/2006/mai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1B403-A4F5-461D-8116-CE7076B65D56}">
  <sheetPr>
    <tabColor rgb="FF00B0F0"/>
  </sheetPr>
  <dimension ref="B2:I21"/>
  <sheetViews>
    <sheetView tabSelected="1" topLeftCell="B14" zoomScale="120" zoomScaleNormal="120" workbookViewId="0">
      <selection activeCell="E19" sqref="E19"/>
    </sheetView>
  </sheetViews>
  <sheetFormatPr defaultColWidth="8.7265625" defaultRowHeight="14.5" x14ac:dyDescent="0.35"/>
  <cols>
    <col min="1" max="1" width="3.26953125" style="1" customWidth="1"/>
    <col min="2" max="2" width="30.7265625" style="5" customWidth="1"/>
    <col min="3" max="3" width="42.81640625" style="1" customWidth="1"/>
    <col min="4" max="4" width="58.6328125" style="1" customWidth="1"/>
    <col min="5" max="5" width="15.7265625" style="1" customWidth="1"/>
    <col min="6" max="6" width="14.90625" style="1" customWidth="1"/>
    <col min="7" max="7" width="18.26953125" style="1" customWidth="1"/>
    <col min="8" max="8" width="29.1796875" style="1" customWidth="1"/>
    <col min="9" max="9" width="22.36328125" style="1" customWidth="1"/>
    <col min="10" max="16384" width="8.7265625" style="1"/>
  </cols>
  <sheetData>
    <row r="2" spans="2:9" x14ac:dyDescent="0.35">
      <c r="B2" s="11" t="s">
        <v>56</v>
      </c>
      <c r="C2" s="38" t="s">
        <v>114</v>
      </c>
      <c r="D2" s="214"/>
      <c r="E2" s="166"/>
      <c r="I2" s="9"/>
    </row>
    <row r="3" spans="2:9" x14ac:dyDescent="0.35">
      <c r="B3" s="11" t="s">
        <v>57</v>
      </c>
      <c r="C3" s="38">
        <v>15</v>
      </c>
      <c r="D3" s="214"/>
      <c r="E3" s="166"/>
      <c r="H3" s="9"/>
      <c r="I3" s="9"/>
    </row>
    <row r="4" spans="2:9" x14ac:dyDescent="0.35">
      <c r="B4" s="11" t="s">
        <v>115</v>
      </c>
      <c r="C4" s="38" t="s">
        <v>116</v>
      </c>
      <c r="D4" s="214"/>
      <c r="E4" s="166"/>
      <c r="H4" s="9"/>
      <c r="I4" s="9"/>
    </row>
    <row r="5" spans="2:9" x14ac:dyDescent="0.35">
      <c r="B5" s="11" t="s">
        <v>128</v>
      </c>
      <c r="C5" s="38" t="s">
        <v>127</v>
      </c>
      <c r="D5" s="211"/>
      <c r="E5" s="140"/>
      <c r="F5" s="9"/>
      <c r="G5" s="9"/>
      <c r="H5" s="9"/>
      <c r="I5" s="9"/>
    </row>
    <row r="6" spans="2:9" x14ac:dyDescent="0.35">
      <c r="B6" s="11" t="s">
        <v>58</v>
      </c>
      <c r="C6" s="38">
        <v>1</v>
      </c>
      <c r="D6" s="9"/>
      <c r="E6" s="9"/>
      <c r="F6" s="147" t="e" vm="1">
        <v>#VALUE!</v>
      </c>
      <c r="G6" s="147"/>
    </row>
    <row r="7" spans="2:9" x14ac:dyDescent="0.35">
      <c r="B7" s="11" t="s">
        <v>137</v>
      </c>
      <c r="C7" s="38" t="s">
        <v>138</v>
      </c>
      <c r="D7" s="9"/>
      <c r="E7" s="9"/>
      <c r="F7" s="147"/>
      <c r="G7" s="147"/>
    </row>
    <row r="8" spans="2:9" x14ac:dyDescent="0.35">
      <c r="B8" s="11" t="s">
        <v>142</v>
      </c>
      <c r="C8" s="38" t="s">
        <v>143</v>
      </c>
      <c r="D8" s="9"/>
      <c r="E8" s="9"/>
      <c r="F8" s="147"/>
      <c r="G8" s="147"/>
    </row>
    <row r="9" spans="2:9" ht="15" thickBot="1" x14ac:dyDescent="0.4">
      <c r="B9" s="7"/>
      <c r="C9" s="8"/>
      <c r="D9" s="9"/>
      <c r="E9" s="9"/>
      <c r="F9" s="9"/>
      <c r="G9" s="9"/>
    </row>
    <row r="10" spans="2:9" s="2" customFormat="1" ht="40" customHeight="1" thickBot="1" x14ac:dyDescent="0.4">
      <c r="B10" s="138" t="s">
        <v>43</v>
      </c>
      <c r="C10" s="139" t="s">
        <v>104</v>
      </c>
      <c r="D10" s="73" t="s">
        <v>105</v>
      </c>
      <c r="E10" s="73" t="s">
        <v>136</v>
      </c>
      <c r="F10" s="164" t="s">
        <v>126</v>
      </c>
      <c r="G10" s="165"/>
      <c r="H10" s="192"/>
    </row>
    <row r="11" spans="2:9" s="2" customFormat="1" ht="92" customHeight="1" x14ac:dyDescent="0.35">
      <c r="B11" s="216" t="s">
        <v>67</v>
      </c>
      <c r="C11" s="203" t="s">
        <v>117</v>
      </c>
      <c r="D11" s="204" t="s">
        <v>120</v>
      </c>
      <c r="E11" s="205">
        <f>(C3*175)*3</f>
        <v>7875</v>
      </c>
      <c r="F11" s="154" t="s">
        <v>135</v>
      </c>
      <c r="G11" s="206"/>
      <c r="H11" s="186"/>
    </row>
    <row r="12" spans="2:9" s="2" customFormat="1" ht="84" customHeight="1" x14ac:dyDescent="0.35">
      <c r="B12" s="217"/>
      <c r="C12" s="66" t="s">
        <v>130</v>
      </c>
      <c r="D12" s="60" t="s">
        <v>119</v>
      </c>
      <c r="E12" s="202"/>
      <c r="F12" s="155"/>
      <c r="G12" s="207"/>
      <c r="H12" s="186"/>
    </row>
    <row r="13" spans="2:9" s="2" customFormat="1" x14ac:dyDescent="0.35">
      <c r="B13" s="217"/>
      <c r="C13" s="66" t="s">
        <v>131</v>
      </c>
      <c r="D13" s="60" t="s">
        <v>121</v>
      </c>
      <c r="E13" s="202"/>
      <c r="F13" s="155"/>
      <c r="G13" s="207"/>
      <c r="H13" s="186"/>
    </row>
    <row r="14" spans="2:9" s="2" customFormat="1" x14ac:dyDescent="0.35">
      <c r="B14" s="217"/>
      <c r="C14" s="66" t="s">
        <v>122</v>
      </c>
      <c r="D14" s="60" t="s">
        <v>123</v>
      </c>
      <c r="E14" s="202"/>
      <c r="F14" s="155"/>
      <c r="G14" s="207"/>
      <c r="H14" s="186"/>
    </row>
    <row r="15" spans="2:9" s="2" customFormat="1" ht="26" x14ac:dyDescent="0.35">
      <c r="B15" s="217"/>
      <c r="C15" s="66" t="s">
        <v>133</v>
      </c>
      <c r="D15" s="60" t="s">
        <v>132</v>
      </c>
      <c r="E15" s="202"/>
      <c r="F15" s="155"/>
      <c r="G15" s="207"/>
      <c r="H15" s="186"/>
    </row>
    <row r="16" spans="2:9" s="2" customFormat="1" ht="15" thickBot="1" x14ac:dyDescent="0.4">
      <c r="B16" s="218"/>
      <c r="C16" s="208" t="s">
        <v>134</v>
      </c>
      <c r="D16" s="215" t="s">
        <v>124</v>
      </c>
      <c r="E16" s="193"/>
      <c r="F16" s="209"/>
      <c r="G16" s="210"/>
      <c r="H16" s="186"/>
    </row>
    <row r="17" spans="2:9" x14ac:dyDescent="0.35">
      <c r="E17" s="212">
        <f>SUM(E11)</f>
        <v>7875</v>
      </c>
      <c r="G17" s="141"/>
      <c r="H17" s="141"/>
    </row>
    <row r="18" spans="2:9" ht="15" thickBot="1" x14ac:dyDescent="0.4">
      <c r="G18" s="141"/>
      <c r="H18" s="141"/>
    </row>
    <row r="19" spans="2:9" s="2" customFormat="1" ht="68.5" customHeight="1" thickBot="1" x14ac:dyDescent="0.4">
      <c r="B19" s="220" t="s">
        <v>43</v>
      </c>
      <c r="C19" s="99" t="s">
        <v>1</v>
      </c>
      <c r="D19" s="74" t="s">
        <v>91</v>
      </c>
      <c r="E19" s="74" t="s">
        <v>144</v>
      </c>
      <c r="F19" s="74" t="s">
        <v>125</v>
      </c>
      <c r="G19" s="74" t="s">
        <v>126</v>
      </c>
      <c r="H19" s="192"/>
      <c r="I19" s="192"/>
    </row>
    <row r="20" spans="2:9" s="2" customFormat="1" ht="247.5" customHeight="1" thickBot="1" x14ac:dyDescent="0.4">
      <c r="B20" s="219" t="s">
        <v>67</v>
      </c>
      <c r="C20" s="201" t="s">
        <v>129</v>
      </c>
      <c r="D20" s="197">
        <f>C3</f>
        <v>15</v>
      </c>
      <c r="E20" s="198">
        <f>D20*175</f>
        <v>2625</v>
      </c>
      <c r="F20" s="199">
        <f>E20*14</f>
        <v>36750</v>
      </c>
      <c r="G20" s="200" t="s">
        <v>139</v>
      </c>
      <c r="H20" s="195"/>
      <c r="I20" s="196"/>
    </row>
    <row r="21" spans="2:9" s="186" customFormat="1" ht="23" customHeight="1" x14ac:dyDescent="0.35">
      <c r="B21" s="187"/>
      <c r="C21" s="188"/>
      <c r="D21" s="189"/>
      <c r="E21" s="213">
        <f>SUM(E20)</f>
        <v>2625</v>
      </c>
      <c r="F21" s="213">
        <f>SUM(F20)</f>
        <v>36750</v>
      </c>
      <c r="G21" s="190"/>
      <c r="H21" s="191"/>
    </row>
  </sheetData>
  <mergeCells count="6">
    <mergeCell ref="B11:B16"/>
    <mergeCell ref="D2:E4"/>
    <mergeCell ref="F6:G8"/>
    <mergeCell ref="E11:E16"/>
    <mergeCell ref="F11:G16"/>
    <mergeCell ref="F10:G10"/>
  </mergeCells>
  <pageMargins left="0.7" right="0.7" top="0.75" bottom="0.75" header="0.3" footer="0.3"/>
  <pageSetup paperSize="9" orientation="landscape" horizontalDpi="4294967293" verticalDpi="0" r:id="rId1"/>
  <extLst>
    <ext xmlns:x14="http://schemas.microsoft.com/office/spreadsheetml/2009/9/main" uri="{CCE6A557-97BC-4b89-ADB6-D9C93CAAB3DF}">
      <x14:dataValidations xmlns:xm="http://schemas.microsoft.com/office/excel/2006/main" count="1">
        <x14:dataValidation type="list" allowBlank="1" showInputMessage="1" showErrorMessage="1" xr:uid="{BD0262A2-090F-4CFC-A8FB-30F11C4BA5CB}">
          <x14:formula1>
            <xm:f>'Drop Down'!$B$1:$B$5</xm:f>
          </x14:formula1>
          <xm:sqref>D21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3F7F9-4FD7-45CA-8FEA-13A76969D611}">
  <sheetPr>
    <tabColor theme="6" tint="0.79998168889431442"/>
  </sheetPr>
  <dimension ref="B2:I41"/>
  <sheetViews>
    <sheetView zoomScale="110" zoomScaleNormal="110" workbookViewId="0">
      <pane ySplit="8" topLeftCell="A12" activePane="bottomLeft" state="frozen"/>
      <selection pane="bottomLeft" activeCell="G5" sqref="G5"/>
    </sheetView>
  </sheetViews>
  <sheetFormatPr defaultColWidth="8.7265625" defaultRowHeight="14.5" x14ac:dyDescent="0.35"/>
  <cols>
    <col min="1" max="1" width="8.7265625" style="1"/>
    <col min="2" max="2" width="30.7265625" style="5" customWidth="1"/>
    <col min="3" max="3" width="30.7265625" style="1" customWidth="1"/>
    <col min="4" max="4" width="44.08984375" style="1" customWidth="1"/>
    <col min="5" max="5" width="15.7265625" style="1" customWidth="1"/>
    <col min="6" max="6" width="14.81640625" style="2" customWidth="1"/>
    <col min="7" max="7" width="11.36328125" style="2" customWidth="1"/>
    <col min="8" max="8" width="16.54296875" style="1" customWidth="1"/>
    <col min="9" max="9" width="22.08984375" style="1" customWidth="1"/>
    <col min="10" max="10" width="9" style="1" bestFit="1" customWidth="1"/>
    <col min="11" max="16384" width="8.7265625" style="1"/>
  </cols>
  <sheetData>
    <row r="2" spans="2:9" x14ac:dyDescent="0.35">
      <c r="B2" s="11" t="s">
        <v>56</v>
      </c>
      <c r="C2" s="38">
        <v>15</v>
      </c>
      <c r="D2" s="146"/>
      <c r="H2" s="147" t="e" vm="1">
        <v>#VALUE!</v>
      </c>
      <c r="I2" s="147"/>
    </row>
    <row r="3" spans="2:9" ht="20.149999999999999" customHeight="1" x14ac:dyDescent="0.35">
      <c r="B3" s="11" t="s">
        <v>57</v>
      </c>
      <c r="C3" s="6"/>
      <c r="D3" s="146"/>
      <c r="H3" s="147"/>
      <c r="I3" s="147"/>
    </row>
    <row r="4" spans="2:9" ht="20.149999999999999" customHeight="1" x14ac:dyDescent="0.35">
      <c r="B4" s="11" t="s">
        <v>86</v>
      </c>
      <c r="C4" s="6"/>
      <c r="D4" s="146"/>
      <c r="H4" s="147"/>
      <c r="I4" s="147"/>
    </row>
    <row r="5" spans="2:9" x14ac:dyDescent="0.35">
      <c r="B5" s="11" t="s">
        <v>58</v>
      </c>
      <c r="C5" s="6"/>
      <c r="D5" s="26"/>
      <c r="E5" s="26"/>
    </row>
    <row r="6" spans="2:9" x14ac:dyDescent="0.35">
      <c r="B6" s="7"/>
      <c r="C6" s="8"/>
      <c r="D6" s="9"/>
      <c r="E6" s="9"/>
    </row>
    <row r="7" spans="2:9" ht="15" thickBot="1" x14ac:dyDescent="0.4">
      <c r="B7" s="7"/>
      <c r="C7" s="8"/>
      <c r="D7" s="9"/>
      <c r="E7" s="9"/>
    </row>
    <row r="8" spans="2:9" s="2" customFormat="1" ht="40" customHeight="1" thickBot="1" x14ac:dyDescent="0.4">
      <c r="B8" s="31" t="s">
        <v>0</v>
      </c>
      <c r="C8" s="32" t="s">
        <v>43</v>
      </c>
      <c r="D8" s="32" t="s">
        <v>1</v>
      </c>
      <c r="E8" s="33" t="s">
        <v>25</v>
      </c>
      <c r="F8" s="34" t="s">
        <v>83</v>
      </c>
      <c r="G8" s="34" t="s">
        <v>85</v>
      </c>
      <c r="H8" s="34" t="s">
        <v>108</v>
      </c>
      <c r="I8" s="34" t="s">
        <v>76</v>
      </c>
    </row>
    <row r="9" spans="2:9" ht="29" x14ac:dyDescent="0.35">
      <c r="B9" s="151" t="s">
        <v>2</v>
      </c>
      <c r="C9" s="81" t="s">
        <v>74</v>
      </c>
      <c r="D9" s="82" t="s">
        <v>75</v>
      </c>
      <c r="E9" s="123"/>
      <c r="F9" s="92"/>
      <c r="G9" s="92"/>
      <c r="H9" s="101"/>
      <c r="I9" s="54"/>
    </row>
    <row r="10" spans="2:9" ht="32" customHeight="1" x14ac:dyDescent="0.35">
      <c r="B10" s="149"/>
      <c r="C10" s="83" t="s">
        <v>79</v>
      </c>
      <c r="D10" s="84" t="s">
        <v>81</v>
      </c>
      <c r="E10" s="124"/>
      <c r="F10" s="40"/>
      <c r="G10" s="40"/>
      <c r="H10" s="76"/>
      <c r="I10" s="49"/>
    </row>
    <row r="11" spans="2:9" ht="15" thickBot="1" x14ac:dyDescent="0.4">
      <c r="B11" s="150"/>
      <c r="C11" s="85" t="s">
        <v>26</v>
      </c>
      <c r="D11" s="86" t="s">
        <v>82</v>
      </c>
      <c r="E11" s="137"/>
      <c r="F11" s="93"/>
      <c r="G11" s="93"/>
      <c r="H11" s="102"/>
      <c r="I11" s="87"/>
    </row>
    <row r="12" spans="2:9" ht="43.5" x14ac:dyDescent="0.35">
      <c r="B12" s="148" t="s">
        <v>111</v>
      </c>
      <c r="C12" s="81" t="s">
        <v>59</v>
      </c>
      <c r="D12" s="159" t="s">
        <v>140</v>
      </c>
      <c r="E12" s="123"/>
      <c r="F12" s="92"/>
      <c r="G12" s="92"/>
      <c r="H12" s="101"/>
      <c r="I12" s="54"/>
    </row>
    <row r="13" spans="2:9" ht="29" x14ac:dyDescent="0.35">
      <c r="B13" s="149"/>
      <c r="C13" s="83" t="s">
        <v>27</v>
      </c>
      <c r="D13" s="160"/>
      <c r="E13" s="124"/>
      <c r="F13" s="40"/>
      <c r="G13" s="40"/>
      <c r="H13" s="76"/>
      <c r="I13" s="49"/>
    </row>
    <row r="14" spans="2:9" ht="43.5" x14ac:dyDescent="0.35">
      <c r="B14" s="149"/>
      <c r="C14" s="83" t="s">
        <v>28</v>
      </c>
      <c r="D14" s="84" t="s">
        <v>41</v>
      </c>
      <c r="E14" s="124"/>
      <c r="F14" s="40"/>
      <c r="G14" s="40"/>
      <c r="H14" s="76"/>
      <c r="I14" s="49"/>
    </row>
    <row r="15" spans="2:9" x14ac:dyDescent="0.35">
      <c r="B15" s="149"/>
      <c r="C15" s="83" t="s">
        <v>79</v>
      </c>
      <c r="D15" s="84"/>
      <c r="E15" s="124"/>
      <c r="F15" s="40"/>
      <c r="G15" s="40"/>
      <c r="H15" s="76"/>
      <c r="I15" s="49"/>
    </row>
    <row r="16" spans="2:9" ht="15" thickBot="1" x14ac:dyDescent="0.4">
      <c r="B16" s="150"/>
      <c r="C16" s="85" t="s">
        <v>80</v>
      </c>
      <c r="D16" s="86"/>
      <c r="E16" s="137"/>
      <c r="F16" s="93"/>
      <c r="G16" s="93"/>
      <c r="H16" s="102"/>
      <c r="I16" s="87"/>
    </row>
    <row r="17" spans="2:9" ht="30" customHeight="1" x14ac:dyDescent="0.35">
      <c r="B17" s="151" t="s">
        <v>29</v>
      </c>
      <c r="C17" s="81" t="s">
        <v>23</v>
      </c>
      <c r="D17" s="154" t="s">
        <v>44</v>
      </c>
      <c r="E17" s="123"/>
      <c r="F17" s="92"/>
      <c r="G17" s="92"/>
      <c r="H17" s="101"/>
      <c r="I17" s="54"/>
    </row>
    <row r="18" spans="2:9" ht="30" customHeight="1" x14ac:dyDescent="0.35">
      <c r="B18" s="152"/>
      <c r="C18" s="83" t="s">
        <v>31</v>
      </c>
      <c r="D18" s="155"/>
      <c r="E18" s="124"/>
      <c r="F18" s="40"/>
      <c r="G18" s="40"/>
      <c r="H18" s="76"/>
      <c r="I18" s="49"/>
    </row>
    <row r="19" spans="2:9" ht="30" customHeight="1" x14ac:dyDescent="0.35">
      <c r="B19" s="152"/>
      <c r="C19" s="83" t="s">
        <v>30</v>
      </c>
      <c r="D19" s="155"/>
      <c r="E19" s="124"/>
      <c r="F19" s="40"/>
      <c r="G19" s="40"/>
      <c r="H19" s="76"/>
      <c r="I19" s="49"/>
    </row>
    <row r="20" spans="2:9" ht="30" customHeight="1" x14ac:dyDescent="0.35">
      <c r="B20" s="152"/>
      <c r="C20" s="83" t="s">
        <v>79</v>
      </c>
      <c r="D20" s="155"/>
      <c r="E20" s="124"/>
      <c r="F20" s="40"/>
      <c r="G20" s="40"/>
      <c r="H20" s="76"/>
      <c r="I20" s="49"/>
    </row>
    <row r="21" spans="2:9" ht="30" customHeight="1" thickBot="1" x14ac:dyDescent="0.4">
      <c r="B21" s="153"/>
      <c r="C21" s="85" t="s">
        <v>80</v>
      </c>
      <c r="D21" s="156"/>
      <c r="E21" s="137"/>
      <c r="F21" s="93"/>
      <c r="G21" s="93"/>
      <c r="H21" s="102"/>
      <c r="I21" s="87"/>
    </row>
    <row r="22" spans="2:9" ht="40" customHeight="1" x14ac:dyDescent="0.35">
      <c r="B22" s="151" t="s">
        <v>4</v>
      </c>
      <c r="C22" s="126" t="s">
        <v>24</v>
      </c>
      <c r="D22" s="127" t="s">
        <v>5</v>
      </c>
      <c r="E22" s="123"/>
      <c r="F22" s="110"/>
      <c r="G22" s="110"/>
      <c r="H22" s="101"/>
      <c r="I22" s="128"/>
    </row>
    <row r="23" spans="2:9" ht="40" customHeight="1" x14ac:dyDescent="0.35">
      <c r="B23" s="152"/>
      <c r="C23" s="129" t="s">
        <v>6</v>
      </c>
      <c r="D23" s="130" t="s">
        <v>7</v>
      </c>
      <c r="E23" s="124"/>
      <c r="F23" s="131"/>
      <c r="G23" s="131"/>
      <c r="H23" s="76"/>
      <c r="I23" s="132"/>
    </row>
    <row r="24" spans="2:9" ht="40" customHeight="1" x14ac:dyDescent="0.35">
      <c r="B24" s="152"/>
      <c r="C24" s="129" t="s">
        <v>84</v>
      </c>
      <c r="D24" s="162" t="s">
        <v>46</v>
      </c>
      <c r="E24" s="124"/>
      <c r="F24" s="131"/>
      <c r="G24" s="131"/>
      <c r="H24" s="76"/>
      <c r="I24" s="132"/>
    </row>
    <row r="25" spans="2:9" ht="40" customHeight="1" x14ac:dyDescent="0.35">
      <c r="B25" s="152"/>
      <c r="C25" s="129" t="s">
        <v>8</v>
      </c>
      <c r="D25" s="162"/>
      <c r="E25" s="124"/>
      <c r="F25" s="131"/>
      <c r="G25" s="131"/>
      <c r="H25" s="76"/>
      <c r="I25" s="132"/>
    </row>
    <row r="26" spans="2:9" ht="40" customHeight="1" x14ac:dyDescent="0.35">
      <c r="B26" s="152"/>
      <c r="C26" s="129" t="s">
        <v>79</v>
      </c>
      <c r="D26" s="130"/>
      <c r="E26" s="124"/>
      <c r="F26" s="131"/>
      <c r="G26" s="131"/>
      <c r="H26" s="76"/>
      <c r="I26" s="132"/>
    </row>
    <row r="27" spans="2:9" ht="40" customHeight="1" thickBot="1" x14ac:dyDescent="0.4">
      <c r="B27" s="163"/>
      <c r="C27" s="133" t="s">
        <v>80</v>
      </c>
      <c r="D27" s="134"/>
      <c r="E27" s="125"/>
      <c r="F27" s="135"/>
      <c r="G27" s="135"/>
      <c r="H27" s="103"/>
      <c r="I27" s="136"/>
    </row>
    <row r="28" spans="2:9" ht="25" customHeight="1" x14ac:dyDescent="0.35">
      <c r="B28" s="145" t="s">
        <v>107</v>
      </c>
      <c r="C28" s="81" t="s">
        <v>69</v>
      </c>
      <c r="D28" s="159" t="s">
        <v>141</v>
      </c>
      <c r="E28" s="123"/>
      <c r="F28" s="95"/>
      <c r="G28" s="92"/>
      <c r="H28" s="104"/>
      <c r="I28" s="89"/>
    </row>
    <row r="29" spans="2:9" ht="25" customHeight="1" x14ac:dyDescent="0.35">
      <c r="B29" s="157"/>
      <c r="C29" s="83" t="s">
        <v>70</v>
      </c>
      <c r="D29" s="160"/>
      <c r="E29" s="124"/>
      <c r="F29" s="96"/>
      <c r="G29" s="40"/>
      <c r="H29" s="105"/>
      <c r="I29" s="90"/>
    </row>
    <row r="30" spans="2:9" ht="32.5" customHeight="1" x14ac:dyDescent="0.35">
      <c r="B30" s="157"/>
      <c r="C30" s="83" t="s">
        <v>68</v>
      </c>
      <c r="D30" s="160"/>
      <c r="E30" s="124"/>
      <c r="F30" s="96"/>
      <c r="G30" s="40"/>
      <c r="H30" s="105"/>
      <c r="I30" s="90"/>
    </row>
    <row r="31" spans="2:9" ht="25" customHeight="1" x14ac:dyDescent="0.35">
      <c r="B31" s="157"/>
      <c r="C31" s="83" t="s">
        <v>71</v>
      </c>
      <c r="D31" s="160"/>
      <c r="E31" s="124"/>
      <c r="F31" s="96"/>
      <c r="G31" s="40"/>
      <c r="H31" s="105"/>
      <c r="I31" s="90"/>
    </row>
    <row r="32" spans="2:9" ht="25" customHeight="1" x14ac:dyDescent="0.35">
      <c r="B32" s="157"/>
      <c r="C32" s="83" t="s">
        <v>72</v>
      </c>
      <c r="D32" s="160"/>
      <c r="E32" s="124"/>
      <c r="F32" s="96"/>
      <c r="G32" s="40"/>
      <c r="H32" s="105"/>
      <c r="I32" s="90"/>
    </row>
    <row r="33" spans="2:9" ht="25" customHeight="1" thickBot="1" x14ac:dyDescent="0.4">
      <c r="B33" s="158"/>
      <c r="C33" s="88" t="s">
        <v>73</v>
      </c>
      <c r="D33" s="161"/>
      <c r="E33" s="125"/>
      <c r="F33" s="97"/>
      <c r="G33" s="94"/>
      <c r="H33" s="106"/>
      <c r="I33" s="91"/>
    </row>
    <row r="34" spans="2:9" x14ac:dyDescent="0.35">
      <c r="B34" s="58"/>
      <c r="C34" s="59"/>
      <c r="D34" s="30"/>
      <c r="E34" s="8"/>
      <c r="F34" s="78"/>
      <c r="G34" s="1"/>
      <c r="H34" s="78"/>
      <c r="I34" s="79"/>
    </row>
    <row r="35" spans="2:9" x14ac:dyDescent="0.35">
      <c r="B35" s="58"/>
      <c r="C35" s="59"/>
      <c r="D35" s="30"/>
      <c r="E35" s="8"/>
      <c r="F35" s="1"/>
      <c r="G35" s="1"/>
      <c r="H35" s="64">
        <f>SUM(H9:H33)</f>
        <v>0</v>
      </c>
    </row>
    <row r="36" spans="2:9" ht="15" thickBot="1" x14ac:dyDescent="0.4">
      <c r="B36" s="58"/>
      <c r="C36" s="59"/>
      <c r="D36" s="30"/>
      <c r="E36" s="8"/>
      <c r="F36" s="1"/>
      <c r="G36" s="1"/>
      <c r="H36" s="64"/>
    </row>
    <row r="37" spans="2:9" ht="29.15" customHeight="1" thickBot="1" x14ac:dyDescent="0.4">
      <c r="B37" s="142" t="s">
        <v>39</v>
      </c>
      <c r="C37" s="143"/>
      <c r="D37" s="143"/>
      <c r="E37" s="143"/>
      <c r="F37" s="143"/>
      <c r="G37" s="143"/>
      <c r="H37" s="143"/>
      <c r="I37" s="144"/>
    </row>
    <row r="38" spans="2:9" x14ac:dyDescent="0.35">
      <c r="B38" s="55"/>
      <c r="C38" s="25"/>
      <c r="D38" s="19"/>
      <c r="E38" s="19"/>
      <c r="F38" s="43"/>
      <c r="G38" s="43"/>
      <c r="H38" s="43"/>
      <c r="I38" s="49"/>
    </row>
    <row r="39" spans="2:9" x14ac:dyDescent="0.35">
      <c r="B39" s="55"/>
      <c r="C39" s="25"/>
      <c r="D39" s="19"/>
      <c r="E39" s="19"/>
      <c r="F39" s="43"/>
      <c r="G39" s="43"/>
      <c r="H39" s="43"/>
      <c r="I39" s="49"/>
    </row>
    <row r="40" spans="2:9" ht="15" thickBot="1" x14ac:dyDescent="0.4">
      <c r="B40" s="56"/>
      <c r="C40" s="57"/>
      <c r="D40" s="21"/>
      <c r="E40" s="21"/>
      <c r="F40" s="51"/>
      <c r="G40" s="51"/>
      <c r="H40" s="51"/>
      <c r="I40" s="52"/>
    </row>
    <row r="41" spans="2:9" x14ac:dyDescent="0.35">
      <c r="B41" s="3"/>
      <c r="C41" s="4"/>
      <c r="F41" s="1"/>
      <c r="G41" s="1"/>
    </row>
  </sheetData>
  <mergeCells count="12">
    <mergeCell ref="B37:I37"/>
    <mergeCell ref="B9:B11"/>
    <mergeCell ref="D2:D4"/>
    <mergeCell ref="H2:I4"/>
    <mergeCell ref="B12:B16"/>
    <mergeCell ref="B17:B21"/>
    <mergeCell ref="D17:D21"/>
    <mergeCell ref="B28:B33"/>
    <mergeCell ref="D12:D13"/>
    <mergeCell ref="D28:D33"/>
    <mergeCell ref="D24:D25"/>
    <mergeCell ref="B22:B27"/>
  </mergeCells>
  <pageMargins left="0.7" right="0.7" top="0.75" bottom="0.75" header="0.3" footer="0.3"/>
  <pageSetup paperSize="9" orientation="landscape" horizontalDpi="4294967293" verticalDpi="0" r:id="rId1"/>
  <extLst>
    <ext xmlns:x14="http://schemas.microsoft.com/office/spreadsheetml/2009/9/main" uri="{CCE6A557-97BC-4b89-ADB6-D9C93CAAB3DF}">
      <x14:dataValidations xmlns:xm="http://schemas.microsoft.com/office/excel/2006/main" count="1">
        <x14:dataValidation type="list" allowBlank="1" showInputMessage="1" showErrorMessage="1" xr:uid="{E098E0EF-234D-4F1D-8754-57E08B128FDD}">
          <x14:formula1>
            <xm:f>'Drop Down'!$B$1:$B$5</xm:f>
          </x14:formula1>
          <xm:sqref>E9:E36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DD35B-071F-4E6F-87E3-41A6830DF5D9}">
  <sheetPr>
    <tabColor theme="6" tint="0.79998168889431442"/>
  </sheetPr>
  <dimension ref="B2:H27"/>
  <sheetViews>
    <sheetView zoomScale="120" zoomScaleNormal="120" workbookViewId="0">
      <selection activeCell="F2" sqref="F2:H4"/>
    </sheetView>
  </sheetViews>
  <sheetFormatPr defaultColWidth="8.7265625" defaultRowHeight="14.5" x14ac:dyDescent="0.35"/>
  <cols>
    <col min="1" max="1" width="8.7265625" style="1"/>
    <col min="2" max="2" width="30.7265625" style="5" customWidth="1"/>
    <col min="3" max="3" width="35.26953125" style="1" customWidth="1"/>
    <col min="4" max="4" width="11.26953125" style="1" bestFit="1" customWidth="1"/>
    <col min="5" max="6" width="15.7265625" style="1" customWidth="1"/>
    <col min="7" max="7" width="11.7265625" style="1" customWidth="1"/>
    <col min="8" max="8" width="21.7265625" style="2" customWidth="1"/>
    <col min="9" max="9" width="40.26953125" style="1" customWidth="1"/>
    <col min="10" max="16384" width="8.7265625" style="1"/>
  </cols>
  <sheetData>
    <row r="2" spans="2:8" ht="20.149999999999999" customHeight="1" x14ac:dyDescent="0.35">
      <c r="B2" s="11" t="s">
        <v>56</v>
      </c>
      <c r="C2" s="6"/>
      <c r="D2" s="167"/>
      <c r="F2" s="171" t="e" vm="1">
        <v>#VALUE!</v>
      </c>
      <c r="G2" s="171"/>
      <c r="H2" s="171"/>
    </row>
    <row r="3" spans="2:8" ht="20.149999999999999" customHeight="1" x14ac:dyDescent="0.35">
      <c r="B3" s="11" t="s">
        <v>57</v>
      </c>
      <c r="C3" s="6"/>
      <c r="D3" s="167"/>
      <c r="F3" s="171"/>
      <c r="G3" s="171"/>
      <c r="H3" s="171"/>
    </row>
    <row r="4" spans="2:8" ht="20.149999999999999" customHeight="1" x14ac:dyDescent="0.35">
      <c r="B4" s="11" t="s">
        <v>86</v>
      </c>
      <c r="C4" s="6"/>
      <c r="D4" s="167"/>
      <c r="F4" s="171"/>
      <c r="G4" s="171"/>
      <c r="H4" s="171"/>
    </row>
    <row r="5" spans="2:8" x14ac:dyDescent="0.35">
      <c r="B5" s="11" t="s">
        <v>58</v>
      </c>
      <c r="C5" s="6"/>
      <c r="D5" s="13"/>
      <c r="E5" s="13"/>
      <c r="F5" s="13"/>
    </row>
    <row r="6" spans="2:8" ht="15" thickBot="1" x14ac:dyDescent="0.4">
      <c r="B6" s="14"/>
      <c r="C6" s="23"/>
      <c r="D6" s="13"/>
      <c r="E6" s="13"/>
      <c r="F6" s="13"/>
    </row>
    <row r="7" spans="2:8" ht="40" customHeight="1" thickBot="1" x14ac:dyDescent="0.4">
      <c r="B7" s="31" t="s">
        <v>17</v>
      </c>
      <c r="C7" s="32" t="s">
        <v>1</v>
      </c>
      <c r="D7" s="33" t="s">
        <v>25</v>
      </c>
      <c r="E7" s="34" t="s">
        <v>88</v>
      </c>
      <c r="F7" s="34" t="s">
        <v>78</v>
      </c>
      <c r="G7" s="34" t="s">
        <v>108</v>
      </c>
      <c r="H7" s="34" t="s">
        <v>76</v>
      </c>
    </row>
    <row r="8" spans="2:8" x14ac:dyDescent="0.35">
      <c r="B8" s="168" t="s">
        <v>18</v>
      </c>
      <c r="C8" s="203" t="s">
        <v>89</v>
      </c>
      <c r="D8" s="123"/>
      <c r="E8" s="107"/>
      <c r="F8" s="108"/>
      <c r="G8" s="47"/>
      <c r="H8" s="109"/>
    </row>
    <row r="9" spans="2:8" x14ac:dyDescent="0.35">
      <c r="B9" s="169"/>
      <c r="C9" s="48" t="s">
        <v>97</v>
      </c>
      <c r="D9" s="124"/>
      <c r="E9" s="38"/>
      <c r="F9" s="38"/>
      <c r="G9" s="39"/>
      <c r="H9" s="65"/>
    </row>
    <row r="10" spans="2:8" ht="31.5" customHeight="1" x14ac:dyDescent="0.35">
      <c r="B10" s="169"/>
      <c r="C10" s="48" t="s">
        <v>101</v>
      </c>
      <c r="D10" s="124"/>
      <c r="E10" s="38"/>
      <c r="F10" s="38"/>
      <c r="G10" s="39"/>
      <c r="H10" s="65"/>
    </row>
    <row r="11" spans="2:8" ht="32.5" customHeight="1" x14ac:dyDescent="0.35">
      <c r="B11" s="169"/>
      <c r="C11" s="48" t="s">
        <v>102</v>
      </c>
      <c r="D11" s="124"/>
      <c r="E11" s="38"/>
      <c r="F11" s="38"/>
      <c r="G11" s="39"/>
      <c r="H11" s="65"/>
    </row>
    <row r="12" spans="2:8" ht="19" customHeight="1" x14ac:dyDescent="0.35">
      <c r="B12" s="169"/>
      <c r="C12" s="66" t="s">
        <v>96</v>
      </c>
      <c r="D12" s="124"/>
      <c r="E12" s="38"/>
      <c r="F12" s="38"/>
      <c r="G12" s="39"/>
      <c r="H12" s="65"/>
    </row>
    <row r="13" spans="2:8" ht="19" customHeight="1" x14ac:dyDescent="0.35">
      <c r="B13" s="169"/>
      <c r="C13" s="66" t="s">
        <v>95</v>
      </c>
      <c r="D13" s="124"/>
      <c r="E13" s="38"/>
      <c r="F13" s="38"/>
      <c r="G13" s="39"/>
      <c r="H13" s="65"/>
    </row>
    <row r="14" spans="2:8" ht="19" customHeight="1" x14ac:dyDescent="0.35">
      <c r="B14" s="169"/>
      <c r="C14" s="66" t="s">
        <v>100</v>
      </c>
      <c r="D14" s="124"/>
      <c r="E14" s="38"/>
      <c r="F14" s="38"/>
      <c r="G14" s="39"/>
      <c r="H14" s="65"/>
    </row>
    <row r="15" spans="2:8" ht="19" customHeight="1" x14ac:dyDescent="0.35">
      <c r="B15" s="169"/>
      <c r="C15" s="66" t="s">
        <v>103</v>
      </c>
      <c r="D15" s="124"/>
      <c r="E15" s="38"/>
      <c r="F15" s="38"/>
      <c r="G15" s="39"/>
      <c r="H15" s="65"/>
    </row>
    <row r="16" spans="2:8" ht="19" customHeight="1" x14ac:dyDescent="0.35">
      <c r="B16" s="169"/>
      <c r="C16" s="48" t="s">
        <v>19</v>
      </c>
      <c r="D16" s="124"/>
      <c r="E16" s="38"/>
      <c r="F16" s="38"/>
      <c r="G16" s="39"/>
      <c r="H16" s="65"/>
    </row>
    <row r="17" spans="2:8" ht="19" customHeight="1" x14ac:dyDescent="0.35">
      <c r="B17" s="169"/>
      <c r="C17" s="48" t="s">
        <v>98</v>
      </c>
      <c r="D17" s="124"/>
      <c r="E17" s="16"/>
      <c r="F17" s="16"/>
      <c r="G17" s="43"/>
      <c r="H17" s="49"/>
    </row>
    <row r="18" spans="2:8" ht="19" customHeight="1" x14ac:dyDescent="0.35">
      <c r="B18" s="169"/>
      <c r="C18" s="48" t="s">
        <v>99</v>
      </c>
      <c r="D18" s="124"/>
      <c r="E18" s="16"/>
      <c r="F18" s="16"/>
      <c r="G18" s="43"/>
      <c r="H18" s="49"/>
    </row>
    <row r="19" spans="2:8" ht="19" customHeight="1" x14ac:dyDescent="0.35">
      <c r="B19" s="169"/>
      <c r="C19" s="48" t="s">
        <v>20</v>
      </c>
      <c r="D19" s="124"/>
      <c r="E19" s="16"/>
      <c r="F19" s="16"/>
      <c r="G19" s="43"/>
      <c r="H19" s="49"/>
    </row>
    <row r="20" spans="2:8" ht="19" customHeight="1" thickBot="1" x14ac:dyDescent="0.4">
      <c r="B20" s="170"/>
      <c r="C20" s="50" t="s">
        <v>21</v>
      </c>
      <c r="D20" s="125"/>
      <c r="E20" s="22"/>
      <c r="F20" s="22"/>
      <c r="G20" s="51"/>
      <c r="H20" s="52"/>
    </row>
    <row r="21" spans="2:8" ht="19" customHeight="1" x14ac:dyDescent="0.35">
      <c r="B21" s="61"/>
      <c r="C21" s="59"/>
      <c r="D21" s="15"/>
      <c r="E21" s="15"/>
      <c r="F21" s="15"/>
      <c r="H21" s="1"/>
    </row>
    <row r="22" spans="2:8" x14ac:dyDescent="0.35">
      <c r="G22" s="42">
        <f>SUM(G9)</f>
        <v>0</v>
      </c>
    </row>
    <row r="23" spans="2:8" ht="15" thickBot="1" x14ac:dyDescent="0.4"/>
    <row r="24" spans="2:8" ht="28" customHeight="1" thickBot="1" x14ac:dyDescent="0.4">
      <c r="B24" s="142" t="s">
        <v>39</v>
      </c>
      <c r="C24" s="143"/>
      <c r="D24" s="143"/>
      <c r="E24" s="143"/>
      <c r="F24" s="143"/>
      <c r="G24" s="143"/>
      <c r="H24" s="144"/>
    </row>
    <row r="25" spans="2:8" x14ac:dyDescent="0.35">
      <c r="B25" s="72"/>
      <c r="C25" s="71"/>
      <c r="D25" s="28"/>
      <c r="E25" s="28"/>
      <c r="F25" s="45"/>
      <c r="G25" s="45"/>
      <c r="H25" s="45"/>
    </row>
    <row r="26" spans="2:8" x14ac:dyDescent="0.35">
      <c r="B26" s="24"/>
      <c r="C26" s="25"/>
      <c r="D26" s="19"/>
      <c r="E26" s="19"/>
      <c r="F26" s="43"/>
      <c r="G26" s="43"/>
      <c r="H26" s="43"/>
    </row>
    <row r="27" spans="2:8" x14ac:dyDescent="0.35">
      <c r="B27" s="24"/>
      <c r="C27" s="25"/>
      <c r="D27" s="19"/>
      <c r="E27" s="19"/>
      <c r="F27" s="43"/>
      <c r="G27" s="43"/>
      <c r="H27" s="43"/>
    </row>
  </sheetData>
  <mergeCells count="4">
    <mergeCell ref="D2:D4"/>
    <mergeCell ref="B8:B20"/>
    <mergeCell ref="B24:H24"/>
    <mergeCell ref="F2:H4"/>
  </mergeCells>
  <pageMargins left="0.7" right="0.7" top="0.75" bottom="0.75" header="0.3" footer="0.3"/>
  <pageSetup paperSize="9" orientation="landscape" horizontalDpi="4294967293" verticalDpi="0" r:id="rId1"/>
  <extLst>
    <ext xmlns:x14="http://schemas.microsoft.com/office/spreadsheetml/2009/9/main" uri="{CCE6A557-97BC-4b89-ADB6-D9C93CAAB3DF}">
      <x14:dataValidations xmlns:xm="http://schemas.microsoft.com/office/excel/2006/main" count="1">
        <x14:dataValidation type="list" allowBlank="1" showInputMessage="1" showErrorMessage="1" xr:uid="{C7E938CC-10E7-4FDB-B853-0067E626F242}">
          <x14:formula1>
            <xm:f>'Drop Down'!$B$1:$B$5</xm:f>
          </x14:formula1>
          <xm:sqref>D8:D20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1FCFA-399E-411B-B82A-E86C85CA4E28}">
  <sheetPr>
    <tabColor theme="6" tint="0.79998168889431442"/>
  </sheetPr>
  <dimension ref="B2:I24"/>
  <sheetViews>
    <sheetView showGridLines="0" topLeftCell="A3" zoomScale="110" zoomScaleNormal="110" workbookViewId="0">
      <selection activeCell="D8" sqref="D8:D18"/>
    </sheetView>
  </sheetViews>
  <sheetFormatPr defaultColWidth="8.7265625" defaultRowHeight="14.5" x14ac:dyDescent="0.35"/>
  <cols>
    <col min="1" max="1" width="8.7265625" style="1"/>
    <col min="2" max="2" width="30.7265625" style="5" customWidth="1"/>
    <col min="3" max="4" width="30.7265625" style="1" customWidth="1"/>
    <col min="5" max="6" width="15.7265625" style="1" customWidth="1"/>
    <col min="7" max="7" width="10.6328125" style="1" customWidth="1"/>
    <col min="8" max="8" width="12.36328125" style="1" bestFit="1" customWidth="1"/>
    <col min="9" max="9" width="48.1796875" style="2" customWidth="1"/>
    <col min="10" max="16384" width="8.7265625" style="1"/>
  </cols>
  <sheetData>
    <row r="2" spans="2:9" s="12" customFormat="1" ht="20.149999999999999" customHeight="1" x14ac:dyDescent="0.35">
      <c r="B2" s="11" t="s">
        <v>56</v>
      </c>
      <c r="C2" s="6"/>
      <c r="D2" s="178"/>
      <c r="E2" s="179"/>
      <c r="I2" s="171" t="e" vm="1">
        <v>#VALUE!</v>
      </c>
    </row>
    <row r="3" spans="2:9" s="12" customFormat="1" ht="20.149999999999999" customHeight="1" x14ac:dyDescent="0.35">
      <c r="B3" s="11" t="s">
        <v>57</v>
      </c>
      <c r="C3" s="6"/>
      <c r="D3" s="178"/>
      <c r="E3" s="179"/>
      <c r="I3" s="171"/>
    </row>
    <row r="4" spans="2:9" s="12" customFormat="1" ht="20.149999999999999" customHeight="1" x14ac:dyDescent="0.35">
      <c r="B4" s="11" t="s">
        <v>86</v>
      </c>
      <c r="C4" s="6"/>
      <c r="D4" s="178"/>
      <c r="E4" s="179"/>
      <c r="I4" s="171"/>
    </row>
    <row r="5" spans="2:9" x14ac:dyDescent="0.35">
      <c r="B5" s="11" t="s">
        <v>58</v>
      </c>
      <c r="C5" s="6"/>
      <c r="D5" s="13"/>
      <c r="E5" s="13"/>
      <c r="F5" s="13"/>
      <c r="G5" s="13"/>
    </row>
    <row r="6" spans="2:9" ht="15" thickBot="1" x14ac:dyDescent="0.4">
      <c r="B6" s="14"/>
      <c r="C6" s="15"/>
      <c r="D6" s="13"/>
      <c r="E6" s="13"/>
      <c r="F6" s="13"/>
      <c r="G6" s="13"/>
    </row>
    <row r="7" spans="2:9" s="2" customFormat="1" ht="40" customHeight="1" thickBot="1" x14ac:dyDescent="0.4">
      <c r="B7" s="32" t="s">
        <v>43</v>
      </c>
      <c r="C7" s="32" t="s">
        <v>1</v>
      </c>
      <c r="D7" s="32" t="s">
        <v>40</v>
      </c>
      <c r="E7" s="33" t="s">
        <v>25</v>
      </c>
      <c r="F7" s="34" t="s">
        <v>112</v>
      </c>
      <c r="G7" s="34" t="s">
        <v>94</v>
      </c>
      <c r="H7" s="34" t="s">
        <v>108</v>
      </c>
      <c r="I7" s="34" t="s">
        <v>76</v>
      </c>
    </row>
    <row r="8" spans="2:9" s="2" customFormat="1" ht="61.5" customHeight="1" x14ac:dyDescent="0.35">
      <c r="B8" s="175" t="s">
        <v>9</v>
      </c>
      <c r="C8" s="118" t="s">
        <v>87</v>
      </c>
      <c r="D8" s="172" t="s">
        <v>42</v>
      </c>
      <c r="E8" s="119"/>
      <c r="F8" s="17"/>
      <c r="G8" s="67"/>
      <c r="H8" s="70"/>
      <c r="I8" s="68"/>
    </row>
    <row r="9" spans="2:9" ht="20.149999999999999" customHeight="1" x14ac:dyDescent="0.35">
      <c r="B9" s="176"/>
      <c r="C9" s="120" t="s">
        <v>10</v>
      </c>
      <c r="D9" s="173"/>
      <c r="E9" s="117"/>
      <c r="F9" s="16"/>
      <c r="G9" s="18"/>
      <c r="H9" s="53"/>
      <c r="I9" s="69"/>
    </row>
    <row r="10" spans="2:9" ht="20.149999999999999" customHeight="1" x14ac:dyDescent="0.35">
      <c r="B10" s="176"/>
      <c r="C10" s="120" t="s">
        <v>60</v>
      </c>
      <c r="D10" s="173"/>
      <c r="E10" s="117"/>
      <c r="F10" s="16"/>
      <c r="G10" s="18"/>
      <c r="H10" s="46"/>
      <c r="I10" s="49"/>
    </row>
    <row r="11" spans="2:9" ht="20.149999999999999" customHeight="1" x14ac:dyDescent="0.35">
      <c r="B11" s="176"/>
      <c r="C11" s="120" t="s">
        <v>61</v>
      </c>
      <c r="D11" s="173"/>
      <c r="E11" s="117"/>
      <c r="F11" s="16"/>
      <c r="G11" s="18"/>
      <c r="H11" s="46"/>
      <c r="I11" s="49"/>
    </row>
    <row r="12" spans="2:9" ht="20.149999999999999" customHeight="1" x14ac:dyDescent="0.35">
      <c r="B12" s="176"/>
      <c r="C12" s="120" t="s">
        <v>11</v>
      </c>
      <c r="D12" s="173"/>
      <c r="E12" s="117"/>
      <c r="F12" s="16"/>
      <c r="G12" s="18"/>
      <c r="H12" s="46"/>
      <c r="I12" s="49"/>
    </row>
    <row r="13" spans="2:9" ht="20.149999999999999" customHeight="1" x14ac:dyDescent="0.35">
      <c r="B13" s="176"/>
      <c r="C13" s="120" t="s">
        <v>62</v>
      </c>
      <c r="D13" s="173"/>
      <c r="E13" s="117"/>
      <c r="F13" s="16"/>
      <c r="G13" s="18"/>
      <c r="H13" s="46"/>
      <c r="I13" s="49"/>
    </row>
    <row r="14" spans="2:9" ht="20.149999999999999" customHeight="1" x14ac:dyDescent="0.35">
      <c r="B14" s="176"/>
      <c r="C14" s="120" t="s">
        <v>12</v>
      </c>
      <c r="D14" s="173"/>
      <c r="E14" s="117"/>
      <c r="F14" s="16"/>
      <c r="G14" s="18"/>
      <c r="H14" s="46"/>
      <c r="I14" s="49"/>
    </row>
    <row r="15" spans="2:9" ht="20.149999999999999" customHeight="1" x14ac:dyDescent="0.35">
      <c r="B15" s="176"/>
      <c r="C15" s="120" t="s">
        <v>13</v>
      </c>
      <c r="D15" s="173"/>
      <c r="E15" s="117"/>
      <c r="F15" s="16"/>
      <c r="G15" s="18"/>
      <c r="H15" s="46"/>
      <c r="I15" s="49"/>
    </row>
    <row r="16" spans="2:9" ht="20.149999999999999" customHeight="1" x14ac:dyDescent="0.35">
      <c r="B16" s="176"/>
      <c r="C16" s="120" t="s">
        <v>113</v>
      </c>
      <c r="D16" s="173"/>
      <c r="E16" s="117"/>
      <c r="F16" s="16"/>
      <c r="G16" s="18"/>
      <c r="H16" s="46"/>
      <c r="I16" s="49"/>
    </row>
    <row r="17" spans="2:9" ht="20.149999999999999" customHeight="1" x14ac:dyDescent="0.35">
      <c r="B17" s="176"/>
      <c r="C17" s="120" t="s">
        <v>14</v>
      </c>
      <c r="D17" s="173"/>
      <c r="E17" s="117"/>
      <c r="F17" s="16"/>
      <c r="G17" s="18"/>
      <c r="H17" s="46"/>
      <c r="I17" s="49"/>
    </row>
    <row r="18" spans="2:9" ht="20.149999999999999" customHeight="1" thickBot="1" x14ac:dyDescent="0.4">
      <c r="B18" s="177"/>
      <c r="C18" s="121" t="s">
        <v>15</v>
      </c>
      <c r="D18" s="174"/>
      <c r="E18" s="122"/>
      <c r="F18" s="22"/>
      <c r="G18" s="20"/>
      <c r="H18" s="63"/>
      <c r="I18" s="52"/>
    </row>
    <row r="19" spans="2:9" x14ac:dyDescent="0.35">
      <c r="B19" s="15"/>
      <c r="C19" s="15"/>
      <c r="D19" s="15"/>
      <c r="E19" s="15"/>
      <c r="F19" s="15"/>
      <c r="G19" s="15"/>
      <c r="H19" s="27"/>
    </row>
    <row r="20" spans="2:9" ht="15" thickBot="1" x14ac:dyDescent="0.4"/>
    <row r="21" spans="2:9" ht="25.5" customHeight="1" thickBot="1" x14ac:dyDescent="0.4">
      <c r="B21" s="142" t="s">
        <v>39</v>
      </c>
      <c r="C21" s="143"/>
      <c r="D21" s="143"/>
      <c r="E21" s="143"/>
      <c r="F21" s="143"/>
      <c r="G21" s="143"/>
      <c r="H21" s="143"/>
      <c r="I21" s="144"/>
    </row>
    <row r="22" spans="2:9" x14ac:dyDescent="0.35">
      <c r="B22" s="72"/>
      <c r="C22" s="71"/>
      <c r="D22" s="28"/>
      <c r="E22" s="28"/>
      <c r="F22" s="28"/>
      <c r="G22" s="28"/>
      <c r="H22" s="45"/>
      <c r="I22" s="45"/>
    </row>
    <row r="23" spans="2:9" x14ac:dyDescent="0.35">
      <c r="B23" s="24"/>
      <c r="C23" s="25"/>
      <c r="D23" s="19"/>
      <c r="E23" s="19"/>
      <c r="F23" s="19"/>
      <c r="G23" s="19"/>
      <c r="H23" s="43"/>
      <c r="I23" s="43"/>
    </row>
    <row r="24" spans="2:9" x14ac:dyDescent="0.35">
      <c r="B24" s="24"/>
      <c r="C24" s="25"/>
      <c r="D24" s="19"/>
      <c r="E24" s="19"/>
      <c r="F24" s="19"/>
      <c r="G24" s="19"/>
      <c r="H24" s="43"/>
      <c r="I24" s="43"/>
    </row>
  </sheetData>
  <mergeCells count="5">
    <mergeCell ref="B21:I21"/>
    <mergeCell ref="D8:D18"/>
    <mergeCell ref="B8:B18"/>
    <mergeCell ref="D2:E4"/>
    <mergeCell ref="I2:I4"/>
  </mergeCells>
  <pageMargins left="0.7" right="0.7" top="0.75" bottom="0.75" header="0.3" footer="0.3"/>
  <pageSetup paperSize="9" orientation="landscape" horizontalDpi="4294967293" verticalDpi="0" r:id="rId1"/>
  <extLst>
    <ext xmlns:x14="http://schemas.microsoft.com/office/spreadsheetml/2009/9/main" uri="{CCE6A557-97BC-4b89-ADB6-D9C93CAAB3DF}">
      <x14:dataValidations xmlns:xm="http://schemas.microsoft.com/office/excel/2006/main" count="1">
        <x14:dataValidation type="list" allowBlank="1" showInputMessage="1" showErrorMessage="1" xr:uid="{816AD3D4-EAA7-4E97-86F9-EBCA302F0095}">
          <x14:formula1>
            <xm:f>'Drop Down'!$C$2:$C$3</xm:f>
          </x14:formula1>
          <xm:sqref>E8:E18 F9:F18</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87730-B61D-41FA-8A5D-BE60519EFAC5}">
  <sheetPr>
    <tabColor theme="6" tint="0.79998168889431442"/>
  </sheetPr>
  <dimension ref="B2:I23"/>
  <sheetViews>
    <sheetView zoomScale="110" zoomScaleNormal="110" workbookViewId="0">
      <pane ySplit="7" topLeftCell="A8" activePane="bottomLeft" state="frozen"/>
      <selection pane="bottomLeft" activeCell="E11" sqref="E11"/>
    </sheetView>
  </sheetViews>
  <sheetFormatPr defaultColWidth="8.7265625" defaultRowHeight="14.5" x14ac:dyDescent="0.35"/>
  <cols>
    <col min="1" max="1" width="8.7265625" style="1"/>
    <col min="2" max="2" width="30.7265625" style="5" customWidth="1"/>
    <col min="3" max="4" width="30.7265625" style="1" customWidth="1"/>
    <col min="5" max="5" width="15.7265625" style="1" customWidth="1"/>
    <col min="6" max="6" width="16.90625" style="2" customWidth="1"/>
    <col min="7" max="7" width="11.36328125" style="2" customWidth="1"/>
    <col min="8" max="8" width="13.90625" style="1" customWidth="1"/>
    <col min="9" max="9" width="14.81640625" style="1" customWidth="1"/>
    <col min="10" max="16384" width="8.7265625" style="1"/>
  </cols>
  <sheetData>
    <row r="2" spans="2:9" ht="20.149999999999999" customHeight="1" x14ac:dyDescent="0.35">
      <c r="B2" s="11" t="s">
        <v>56</v>
      </c>
      <c r="C2" s="6"/>
      <c r="D2" s="146"/>
      <c r="H2" s="147" t="e" vm="1">
        <v>#VALUE!</v>
      </c>
      <c r="I2" s="147"/>
    </row>
    <row r="3" spans="2:9" ht="20.149999999999999" customHeight="1" x14ac:dyDescent="0.35">
      <c r="B3" s="11" t="s">
        <v>57</v>
      </c>
      <c r="C3" s="6"/>
      <c r="D3" s="146"/>
      <c r="H3" s="147"/>
      <c r="I3" s="147"/>
    </row>
    <row r="4" spans="2:9" ht="20.149999999999999" customHeight="1" x14ac:dyDescent="0.35">
      <c r="B4" s="11" t="s">
        <v>86</v>
      </c>
      <c r="C4" s="6"/>
      <c r="D4" s="146"/>
      <c r="H4" s="147"/>
      <c r="I4" s="147"/>
    </row>
    <row r="5" spans="2:9" x14ac:dyDescent="0.35">
      <c r="B5" s="11" t="s">
        <v>58</v>
      </c>
      <c r="C5" s="6"/>
      <c r="D5" s="9"/>
      <c r="E5" s="9"/>
    </row>
    <row r="6" spans="2:9" ht="15" thickBot="1" x14ac:dyDescent="0.4">
      <c r="B6" s="7"/>
      <c r="C6" s="8"/>
      <c r="D6" s="9"/>
      <c r="E6" s="9"/>
    </row>
    <row r="7" spans="2:9" s="2" customFormat="1" ht="26.5" thickBot="1" x14ac:dyDescent="0.4">
      <c r="B7" s="31" t="s">
        <v>0</v>
      </c>
      <c r="C7" s="32" t="s">
        <v>43</v>
      </c>
      <c r="D7" s="32" t="s">
        <v>1</v>
      </c>
      <c r="E7" s="33" t="s">
        <v>25</v>
      </c>
      <c r="F7" s="34" t="s">
        <v>83</v>
      </c>
      <c r="G7" s="34" t="s">
        <v>90</v>
      </c>
      <c r="H7" s="34" t="s">
        <v>108</v>
      </c>
      <c r="I7" s="34" t="s">
        <v>76</v>
      </c>
    </row>
    <row r="8" spans="2:9" x14ac:dyDescent="0.35">
      <c r="B8" s="180" t="s">
        <v>16</v>
      </c>
      <c r="C8" s="111" t="s">
        <v>22</v>
      </c>
      <c r="D8" s="183" t="s">
        <v>45</v>
      </c>
      <c r="E8" s="114"/>
      <c r="F8" s="110"/>
      <c r="G8" s="110"/>
      <c r="H8" s="101"/>
      <c r="I8" s="54"/>
    </row>
    <row r="9" spans="2:9" x14ac:dyDescent="0.35">
      <c r="B9" s="181"/>
      <c r="C9" s="112" t="s">
        <v>32</v>
      </c>
      <c r="D9" s="184"/>
      <c r="E9" s="115"/>
      <c r="F9" s="43"/>
      <c r="G9" s="43"/>
      <c r="H9" s="43"/>
      <c r="I9" s="49"/>
    </row>
    <row r="10" spans="2:9" x14ac:dyDescent="0.35">
      <c r="B10" s="181"/>
      <c r="C10" s="112" t="s">
        <v>33</v>
      </c>
      <c r="D10" s="184"/>
      <c r="E10" s="115"/>
      <c r="F10" s="43"/>
      <c r="G10" s="43"/>
      <c r="H10" s="43"/>
      <c r="I10" s="49"/>
    </row>
    <row r="11" spans="2:9" ht="28" customHeight="1" x14ac:dyDescent="0.35">
      <c r="B11" s="181"/>
      <c r="C11" s="35" t="s">
        <v>35</v>
      </c>
      <c r="D11" s="184"/>
      <c r="E11" s="115"/>
      <c r="F11" s="43"/>
      <c r="G11" s="43"/>
      <c r="H11" s="43"/>
      <c r="I11" s="49"/>
    </row>
    <row r="12" spans="2:9" x14ac:dyDescent="0.35">
      <c r="B12" s="181"/>
      <c r="C12" s="112" t="s">
        <v>36</v>
      </c>
      <c r="D12" s="184"/>
      <c r="E12" s="115"/>
      <c r="F12" s="43"/>
      <c r="G12" s="43"/>
      <c r="H12" s="43"/>
      <c r="I12" s="49"/>
    </row>
    <row r="13" spans="2:9" x14ac:dyDescent="0.35">
      <c r="B13" s="181"/>
      <c r="C13" s="112" t="s">
        <v>37</v>
      </c>
      <c r="D13" s="184"/>
      <c r="E13" s="115"/>
      <c r="F13" s="43"/>
      <c r="G13" s="43"/>
      <c r="H13" s="43"/>
      <c r="I13" s="49"/>
    </row>
    <row r="14" spans="2:9" x14ac:dyDescent="0.35">
      <c r="B14" s="181"/>
      <c r="C14" s="112" t="s">
        <v>38</v>
      </c>
      <c r="D14" s="184"/>
      <c r="E14" s="115"/>
      <c r="F14" s="43"/>
      <c r="G14" s="43"/>
      <c r="H14" s="43"/>
      <c r="I14" s="49"/>
    </row>
    <row r="15" spans="2:9" ht="15" thickBot="1" x14ac:dyDescent="0.4">
      <c r="B15" s="182"/>
      <c r="C15" s="113" t="s">
        <v>34</v>
      </c>
      <c r="D15" s="185"/>
      <c r="E15" s="116"/>
      <c r="F15" s="51"/>
      <c r="G15" s="51"/>
      <c r="H15" s="51"/>
      <c r="I15" s="52"/>
    </row>
    <row r="16" spans="2:9" x14ac:dyDescent="0.35">
      <c r="B16" s="58"/>
      <c r="C16" s="59"/>
      <c r="D16" s="30"/>
      <c r="E16" s="8"/>
      <c r="F16" s="1"/>
      <c r="G16" s="1"/>
    </row>
    <row r="17" spans="2:9" ht="18" customHeight="1" x14ac:dyDescent="0.35">
      <c r="B17" s="58"/>
      <c r="C17" s="59"/>
      <c r="D17" s="30"/>
      <c r="E17" s="8"/>
      <c r="F17" s="1"/>
      <c r="G17" s="1"/>
      <c r="H17" s="27">
        <f>SUM(H8:H15)</f>
        <v>0</v>
      </c>
    </row>
    <row r="18" spans="2:9" ht="13" customHeight="1" thickBot="1" x14ac:dyDescent="0.4">
      <c r="B18" s="58"/>
      <c r="C18" s="59"/>
      <c r="D18" s="30"/>
      <c r="E18" s="8"/>
      <c r="F18" s="1"/>
      <c r="G18" s="1"/>
      <c r="H18" s="27"/>
    </row>
    <row r="19" spans="2:9" ht="26" customHeight="1" thickBot="1" x14ac:dyDescent="0.4">
      <c r="B19" s="142" t="s">
        <v>39</v>
      </c>
      <c r="C19" s="143"/>
      <c r="D19" s="143"/>
      <c r="E19" s="143"/>
      <c r="F19" s="143"/>
      <c r="G19" s="143"/>
      <c r="H19" s="143"/>
      <c r="I19" s="144"/>
    </row>
    <row r="20" spans="2:9" x14ac:dyDescent="0.35">
      <c r="B20" s="72"/>
      <c r="C20" s="71"/>
      <c r="D20" s="28"/>
      <c r="E20" s="28"/>
      <c r="F20" s="45"/>
      <c r="G20" s="45"/>
      <c r="H20" s="45"/>
      <c r="I20" s="45"/>
    </row>
    <row r="21" spans="2:9" x14ac:dyDescent="0.35">
      <c r="B21" s="24"/>
      <c r="C21" s="25"/>
      <c r="D21" s="19"/>
      <c r="E21" s="19"/>
      <c r="F21" s="43"/>
      <c r="G21" s="43"/>
      <c r="H21" s="43"/>
      <c r="I21" s="43"/>
    </row>
    <row r="22" spans="2:9" x14ac:dyDescent="0.35">
      <c r="B22" s="24"/>
      <c r="C22" s="25"/>
      <c r="D22" s="19"/>
      <c r="E22" s="19"/>
      <c r="F22" s="43"/>
      <c r="G22" s="43"/>
      <c r="H22" s="43"/>
      <c r="I22" s="43"/>
    </row>
    <row r="23" spans="2:9" x14ac:dyDescent="0.35">
      <c r="B23" s="3"/>
      <c r="C23" s="4"/>
      <c r="F23" s="1"/>
      <c r="G23" s="1"/>
    </row>
  </sheetData>
  <mergeCells count="5">
    <mergeCell ref="B8:B15"/>
    <mergeCell ref="D8:D15"/>
    <mergeCell ref="B19:I19"/>
    <mergeCell ref="D2:D4"/>
    <mergeCell ref="H2:I4"/>
  </mergeCells>
  <pageMargins left="0.7" right="0.7" top="0.75" bottom="0.75" header="0.3" footer="0.3"/>
  <pageSetup paperSize="9" orientation="landscape" horizontalDpi="4294967293" verticalDpi="0" r:id="rId1"/>
  <extLst>
    <ext xmlns:x14="http://schemas.microsoft.com/office/spreadsheetml/2009/9/main" uri="{CCE6A557-97BC-4b89-ADB6-D9C93CAAB3DF}">
      <x14:dataValidations xmlns:xm="http://schemas.microsoft.com/office/excel/2006/main" count="1">
        <x14:dataValidation type="list" allowBlank="1" showInputMessage="1" showErrorMessage="1" xr:uid="{65EE4EEF-B1B2-4965-A60D-D70B91369A9F}">
          <x14:formula1>
            <xm:f>'Drop Down'!$B$1:$B$5</xm:f>
          </x14:formula1>
          <xm:sqref>E8:E18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A90D5-B398-42BF-AA9C-8CFD7F50650D}">
  <sheetPr>
    <tabColor theme="6" tint="0.79998168889431442"/>
  </sheetPr>
  <dimension ref="B2:I27"/>
  <sheetViews>
    <sheetView topLeftCell="A8" zoomScale="110" zoomScaleNormal="110" workbookViewId="0">
      <selection activeCell="F19" sqref="F19"/>
    </sheetView>
  </sheetViews>
  <sheetFormatPr defaultColWidth="8.7265625" defaultRowHeight="14.5" x14ac:dyDescent="0.35"/>
  <cols>
    <col min="1" max="1" width="8.7265625" style="1"/>
    <col min="2" max="2" width="30.7265625" style="5" customWidth="1"/>
    <col min="3" max="3" width="54.453125" style="1" customWidth="1"/>
    <col min="4" max="4" width="24.81640625" style="1" bestFit="1" customWidth="1"/>
    <col min="5" max="5" width="15.7265625" style="1" customWidth="1"/>
    <col min="6" max="6" width="23.81640625" style="1" customWidth="1"/>
    <col min="7" max="7" width="11.453125" style="1" bestFit="1" customWidth="1"/>
    <col min="8" max="8" width="9.54296875" style="1" bestFit="1" customWidth="1"/>
    <col min="9" max="9" width="31.6328125" style="1" customWidth="1"/>
    <col min="10" max="16384" width="8.7265625" style="1"/>
  </cols>
  <sheetData>
    <row r="2" spans="2:9" ht="20.149999999999999" customHeight="1" x14ac:dyDescent="0.35">
      <c r="B2" s="11" t="s">
        <v>56</v>
      </c>
      <c r="C2" s="6"/>
      <c r="D2" s="146"/>
      <c r="E2" s="147"/>
      <c r="H2" s="147" t="e" vm="1">
        <v>#VALUE!</v>
      </c>
      <c r="I2" s="147"/>
    </row>
    <row r="3" spans="2:9" ht="20.149999999999999" customHeight="1" x14ac:dyDescent="0.35">
      <c r="B3" s="11" t="s">
        <v>57</v>
      </c>
      <c r="C3" s="6"/>
      <c r="D3" s="146"/>
      <c r="E3" s="147"/>
      <c r="H3" s="147"/>
      <c r="I3" s="147"/>
    </row>
    <row r="4" spans="2:9" ht="20.149999999999999" customHeight="1" x14ac:dyDescent="0.35">
      <c r="B4" s="11" t="s">
        <v>86</v>
      </c>
      <c r="C4" s="6"/>
      <c r="D4" s="146"/>
      <c r="E4" s="147"/>
      <c r="H4" s="147"/>
      <c r="I4" s="147"/>
    </row>
    <row r="5" spans="2:9" x14ac:dyDescent="0.35">
      <c r="B5" s="11" t="s">
        <v>58</v>
      </c>
      <c r="C5" s="6"/>
      <c r="D5" s="9"/>
      <c r="E5" s="9"/>
      <c r="F5" s="9"/>
      <c r="G5" s="9"/>
    </row>
    <row r="6" spans="2:9" ht="15" thickBot="1" x14ac:dyDescent="0.4">
      <c r="B6" s="7"/>
      <c r="C6" s="8"/>
      <c r="D6" s="9"/>
      <c r="E6" s="9"/>
      <c r="F6" s="9"/>
      <c r="G6" s="9"/>
    </row>
    <row r="7" spans="2:9" s="2" customFormat="1" ht="40" customHeight="1" thickBot="1" x14ac:dyDescent="0.4">
      <c r="B7" s="32" t="s">
        <v>43</v>
      </c>
      <c r="C7" s="32" t="s">
        <v>1</v>
      </c>
      <c r="D7" s="33" t="s">
        <v>25</v>
      </c>
      <c r="E7" s="33" t="s">
        <v>25</v>
      </c>
      <c r="F7" s="34" t="s">
        <v>88</v>
      </c>
      <c r="G7" s="34" t="s">
        <v>91</v>
      </c>
      <c r="H7" s="34" t="s">
        <v>108</v>
      </c>
      <c r="I7" s="34" t="s">
        <v>76</v>
      </c>
    </row>
    <row r="8" spans="2:9" s="2" customFormat="1" ht="214.5" customHeight="1" thickBot="1" x14ac:dyDescent="0.4">
      <c r="B8" s="29" t="s">
        <v>67</v>
      </c>
      <c r="C8" s="201" t="s">
        <v>118</v>
      </c>
      <c r="D8" s="114"/>
      <c r="E8" s="36"/>
      <c r="F8" s="35"/>
      <c r="G8" s="194"/>
      <c r="H8" s="62"/>
      <c r="I8" s="40"/>
    </row>
    <row r="9" spans="2:9" x14ac:dyDescent="0.35">
      <c r="F9" s="10"/>
    </row>
    <row r="10" spans="2:9" ht="15" thickBot="1" x14ac:dyDescent="0.4"/>
    <row r="11" spans="2:9" ht="26.5" thickBot="1" x14ac:dyDescent="0.4">
      <c r="B11" s="32" t="s">
        <v>43</v>
      </c>
      <c r="C11" s="32" t="s">
        <v>1</v>
      </c>
      <c r="D11" s="33" t="s">
        <v>25</v>
      </c>
      <c r="E11" s="33" t="s">
        <v>25</v>
      </c>
      <c r="F11" s="34" t="s">
        <v>88</v>
      </c>
      <c r="G11" s="34" t="s">
        <v>106</v>
      </c>
      <c r="H11" s="34" t="s">
        <v>77</v>
      </c>
      <c r="I11" s="34" t="s">
        <v>76</v>
      </c>
    </row>
    <row r="12" spans="2:9" ht="34" customHeight="1" x14ac:dyDescent="0.35">
      <c r="B12" s="29" t="s">
        <v>92</v>
      </c>
      <c r="C12" s="43" t="s">
        <v>109</v>
      </c>
      <c r="D12" s="114"/>
      <c r="E12" s="36"/>
      <c r="F12" s="35"/>
      <c r="G12" s="37"/>
      <c r="H12" s="62"/>
      <c r="I12" s="41"/>
    </row>
    <row r="15" spans="2:9" ht="15" thickBot="1" x14ac:dyDescent="0.4"/>
    <row r="16" spans="2:9" ht="26.5" thickBot="1" x14ac:dyDescent="0.4">
      <c r="B16" s="32" t="s">
        <v>43</v>
      </c>
      <c r="C16" s="32" t="s">
        <v>1</v>
      </c>
      <c r="D16" s="33" t="s">
        <v>25</v>
      </c>
      <c r="E16" s="33" t="s">
        <v>25</v>
      </c>
      <c r="F16" s="34" t="s">
        <v>88</v>
      </c>
      <c r="G16" s="34" t="s">
        <v>106</v>
      </c>
      <c r="H16" s="34" t="s">
        <v>77</v>
      </c>
      <c r="I16" s="34" t="s">
        <v>76</v>
      </c>
    </row>
    <row r="17" spans="2:9" ht="71" customHeight="1" x14ac:dyDescent="0.35">
      <c r="B17" s="29" t="s">
        <v>93</v>
      </c>
      <c r="C17" s="80" t="s">
        <v>110</v>
      </c>
      <c r="D17" s="114"/>
      <c r="E17" s="43"/>
      <c r="F17" s="43"/>
      <c r="G17" s="40"/>
      <c r="H17" s="44"/>
      <c r="I17" s="77"/>
    </row>
    <row r="18" spans="2:9" ht="15" thickBot="1" x14ac:dyDescent="0.4"/>
    <row r="19" spans="2:9" ht="26.5" thickBot="1" x14ac:dyDescent="0.4">
      <c r="B19" s="99" t="s">
        <v>43</v>
      </c>
      <c r="C19" s="100" t="s">
        <v>1</v>
      </c>
      <c r="D19" s="33" t="s">
        <v>25</v>
      </c>
      <c r="E19" s="100" t="s">
        <v>25</v>
      </c>
      <c r="F19" s="73" t="s">
        <v>88</v>
      </c>
      <c r="G19" s="73" t="s">
        <v>91</v>
      </c>
      <c r="H19" s="73" t="s">
        <v>77</v>
      </c>
      <c r="I19" s="74" t="s">
        <v>76</v>
      </c>
    </row>
    <row r="20" spans="2:9" x14ac:dyDescent="0.35">
      <c r="B20" s="98" t="s">
        <v>9</v>
      </c>
      <c r="C20" s="221"/>
      <c r="D20" s="45"/>
      <c r="E20" s="45"/>
      <c r="F20" s="45"/>
      <c r="G20" s="45"/>
      <c r="H20" s="75"/>
      <c r="I20" s="45"/>
    </row>
    <row r="22" spans="2:9" ht="15" thickBot="1" x14ac:dyDescent="0.4"/>
    <row r="23" spans="2:9" ht="23.5" customHeight="1" thickBot="1" x14ac:dyDescent="0.4">
      <c r="B23" s="142" t="s">
        <v>39</v>
      </c>
      <c r="C23" s="143"/>
      <c r="D23" s="143"/>
      <c r="E23" s="143"/>
      <c r="F23" s="143"/>
      <c r="G23" s="143"/>
      <c r="H23" s="143"/>
      <c r="I23" s="144"/>
    </row>
    <row r="24" spans="2:9" x14ac:dyDescent="0.35">
      <c r="B24" s="72"/>
      <c r="C24" s="71"/>
      <c r="D24" s="28"/>
      <c r="E24" s="28"/>
      <c r="F24" s="28"/>
      <c r="G24" s="28"/>
      <c r="H24" s="28"/>
      <c r="I24" s="45"/>
    </row>
    <row r="25" spans="2:9" x14ac:dyDescent="0.35">
      <c r="B25" s="24"/>
      <c r="C25" s="25"/>
      <c r="D25" s="19"/>
      <c r="E25" s="19"/>
      <c r="F25" s="19"/>
      <c r="G25" s="19"/>
      <c r="H25" s="19"/>
      <c r="I25" s="43"/>
    </row>
    <row r="26" spans="2:9" x14ac:dyDescent="0.35">
      <c r="B26" s="24"/>
      <c r="C26" s="25"/>
      <c r="D26" s="19"/>
      <c r="E26" s="19"/>
      <c r="F26" s="19"/>
      <c r="G26" s="19"/>
      <c r="H26" s="19"/>
      <c r="I26" s="43"/>
    </row>
    <row r="27" spans="2:9" x14ac:dyDescent="0.35">
      <c r="B27" s="3"/>
      <c r="C27" s="4"/>
      <c r="F27" s="2"/>
    </row>
  </sheetData>
  <mergeCells count="3">
    <mergeCell ref="B23:I23"/>
    <mergeCell ref="D2:E4"/>
    <mergeCell ref="H2:I4"/>
  </mergeCells>
  <pageMargins left="0.7" right="0.7" top="0.75" bottom="0.75" header="0.3" footer="0.3"/>
  <pageSetup paperSize="9" orientation="landscape" horizontalDpi="4294967293" verticalDpi="0" r:id="rId1"/>
  <extLst>
    <ext xmlns:x14="http://schemas.microsoft.com/office/spreadsheetml/2009/9/main" uri="{CCE6A557-97BC-4b89-ADB6-D9C93CAAB3DF}">
      <x14:dataValidations xmlns:xm="http://schemas.microsoft.com/office/excel/2006/main" count="1">
        <x14:dataValidation type="list" allowBlank="1" showInputMessage="1" showErrorMessage="1" xr:uid="{F2986D09-C855-4C5F-B82D-11990C45A6D0}">
          <x14:formula1>
            <xm:f>'Drop Down'!$B$1:$B$5</xm:f>
          </x14:formula1>
          <xm:sqref>D8 D12 D17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1287F-9CD4-4B61-B17E-FE37832A1FF8}">
  <dimension ref="A1:D5"/>
  <sheetViews>
    <sheetView workbookViewId="0">
      <selection activeCell="D4" sqref="D4"/>
    </sheetView>
  </sheetViews>
  <sheetFormatPr defaultRowHeight="14.5" x14ac:dyDescent="0.35"/>
  <cols>
    <col min="1" max="1" width="27" bestFit="1" customWidth="1"/>
    <col min="2" max="2" width="21.1796875" bestFit="1" customWidth="1"/>
  </cols>
  <sheetData>
    <row r="1" spans="1:4" x14ac:dyDescent="0.35">
      <c r="A1" t="s">
        <v>55</v>
      </c>
      <c r="B1" t="s">
        <v>55</v>
      </c>
      <c r="D1" t="s">
        <v>63</v>
      </c>
    </row>
    <row r="2" spans="1:4" x14ac:dyDescent="0.35">
      <c r="A2" t="s">
        <v>52</v>
      </c>
      <c r="B2" t="s">
        <v>49</v>
      </c>
      <c r="C2" t="s">
        <v>3</v>
      </c>
      <c r="D2" t="s">
        <v>64</v>
      </c>
    </row>
    <row r="3" spans="1:4" x14ac:dyDescent="0.35">
      <c r="A3" t="s">
        <v>53</v>
      </c>
      <c r="B3" t="s">
        <v>50</v>
      </c>
      <c r="C3" t="s">
        <v>47</v>
      </c>
      <c r="D3" t="s">
        <v>65</v>
      </c>
    </row>
    <row r="4" spans="1:4" x14ac:dyDescent="0.35">
      <c r="A4" t="s">
        <v>54</v>
      </c>
      <c r="B4" t="s">
        <v>51</v>
      </c>
      <c r="D4" t="s">
        <v>66</v>
      </c>
    </row>
    <row r="5" spans="1:4" x14ac:dyDescent="0.35">
      <c r="A5" t="s">
        <v>48</v>
      </c>
      <c r="B5"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 IMPLEMENTATION | PAYROLL MNGT</vt:lpstr>
      <vt:lpstr>HR CONSULTING SERVICES </vt:lpstr>
      <vt:lpstr>ER MNGT SERVICES </vt:lpstr>
      <vt:lpstr>RECRUIT MNGT SERVICES </vt:lpstr>
      <vt:lpstr>CHRO ADVISORY SERVICES </vt:lpstr>
      <vt:lpstr>FRACTIONAL HR 360 DELIVERY </vt:lpstr>
      <vt:lpstr>Drop Down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Siraaj Adonis</dc:creator>
  <cp:lastModifiedBy>Siraaj Adonis</cp:lastModifiedBy>
  <cp:lastPrinted>2025-09-20T20:26:49Z</cp:lastPrinted>
  <dcterms:created xsi:type="dcterms:W3CDTF">2025-09-20T20:25:09Z</dcterms:created>
  <dcterms:modified xsi:type="dcterms:W3CDTF">2026-02-26T08:28:13Z</dcterms:modified>
</cp:coreProperties>
</file>