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optiworx-my.sharepoint.com/personal/siraaj_optiworx_co_za/Documents/Desktop/Personal/OptiWorx360/OptiWorx360/Sanctuary Dr rooms/2026/"/>
    </mc:Choice>
  </mc:AlternateContent>
  <xr:revisionPtr revIDLastSave="3" documentId="8_{68AD6797-C2DC-4AC3-9FC1-CC2309C0C2A3}" xr6:coauthVersionLast="47" xr6:coauthVersionMax="47" xr10:uidLastSave="{323E5851-684E-4778-AFE2-D73C189837D7}"/>
  <bookViews>
    <workbookView xWindow="-28920" yWindow="-120" windowWidth="29040" windowHeight="15720" xr2:uid="{8D920CEC-CA99-4124-875B-ED0C355ED5D1}"/>
  </bookViews>
  <sheets>
    <sheet name="St Raphael Comparitive optio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4" i="1" l="1"/>
  <c r="L93" i="1"/>
  <c r="L96" i="1" s="1"/>
  <c r="L92" i="1"/>
  <c r="L80" i="1"/>
  <c r="L79" i="1"/>
  <c r="L78" i="1"/>
  <c r="L81" i="1" s="1"/>
  <c r="L74" i="1"/>
  <c r="L75" i="1" s="1"/>
  <c r="L70" i="1"/>
  <c r="L71" i="1" s="1"/>
  <c r="L83" i="1" s="1"/>
  <c r="F62" i="1"/>
  <c r="L61" i="1"/>
  <c r="L65" i="1" s="1"/>
  <c r="L84" i="1" s="1"/>
  <c r="F60" i="1"/>
  <c r="F59" i="1"/>
  <c r="F61" i="1" l="1"/>
  <c r="F67" i="1"/>
  <c r="F63" i="1"/>
  <c r="F65" i="1" l="1"/>
  <c r="L85" i="1" s="1"/>
  <c r="L86" i="1" s="1"/>
  <c r="F64" i="1"/>
</calcChain>
</file>

<file path=xl/sharedStrings.xml><?xml version="1.0" encoding="utf-8"?>
<sst xmlns="http://schemas.openxmlformats.org/spreadsheetml/2006/main" count="133" uniqueCount="129">
  <si>
    <t>CURRENT ARRANGEMENT - OCT25 - SEPT 26</t>
  </si>
  <si>
    <t>DELIVERY</t>
  </si>
  <si>
    <t>HR DELIVERABLES</t>
  </si>
  <si>
    <t>DESCRIPTION | OUTCOME</t>
  </si>
  <si>
    <t>ESTIMATED HOURS</t>
  </si>
  <si>
    <t>NUMBER OF SESSIONS</t>
  </si>
  <si>
    <t>TOTAL ESTIMATED HOURS</t>
  </si>
  <si>
    <t>UPDATED SCOPE</t>
  </si>
  <si>
    <t>WORK TO BE COMPLETED</t>
  </si>
  <si>
    <t>DESCRIPTION</t>
  </si>
  <si>
    <t>Org Review and Design</t>
  </si>
  <si>
    <t>Review current | go to (scaling) | Gap structure</t>
  </si>
  <si>
    <t>Identify gaps and business risks. Ensure the current structure supports current and future growth ambitions</t>
  </si>
  <si>
    <t>Update structure with findings &amp; recommendations</t>
  </si>
  <si>
    <t>Ensure the org design is set up accordingly &amp; risks identified</t>
  </si>
  <si>
    <t>Business Org Design sign off</t>
  </si>
  <si>
    <t xml:space="preserve">Approval of findings, recommendations &amp; monitoring. </t>
  </si>
  <si>
    <t>Compliance | Statutory | Employment Contracts | Payroll | Business Practice review</t>
  </si>
  <si>
    <t>Contract design (FTC, PFTC, PPC, FPC)</t>
  </si>
  <si>
    <t>Review for any statutory, contractual, and business risks, as well as identify inconsistencies. Has an overall impact on current &amp; future business delivery. (Attraction, retention, disciplinary, exits, employee structures, remuneration &amp; benefits.</t>
  </si>
  <si>
    <t>Policy/ ies review (Employee Handbook, Disciplinary, other)</t>
  </si>
  <si>
    <t>Template/s design, SOP workflow review</t>
  </si>
  <si>
    <t>Supports policy implementation, creating efficiencies &amp; simplified, clear processes/ Supports any workflow challenges</t>
  </si>
  <si>
    <t>Approvals</t>
  </si>
  <si>
    <t xml:space="preserve">Sign off and approval </t>
  </si>
  <si>
    <t>Ensure all findings and recommendations are approved by the client</t>
  </si>
  <si>
    <t>Recruitment</t>
  </si>
  <si>
    <t>Role job profiling</t>
  </si>
  <si>
    <t>360 candidate journey process to ensure we have identified, reviewed &amp; checked profile &amp; culture fit.</t>
  </si>
  <si>
    <t>Current role grade &amp; benchmark</t>
  </si>
  <si>
    <t>Advertising</t>
  </si>
  <si>
    <t>Brief RoadMap</t>
  </si>
  <si>
    <t>Screen</t>
  </si>
  <si>
    <t>Shortlist</t>
  </si>
  <si>
    <t>Interview1</t>
  </si>
  <si>
    <t>Reference and checks</t>
  </si>
  <si>
    <t>Offer</t>
  </si>
  <si>
    <t>Employee Onboarding</t>
  </si>
  <si>
    <t>Onboarding design and implementation</t>
  </si>
  <si>
    <t>Ensure the onboarding &amp; the induction experience have clear expectations, ensuring accelerated learning &amp; training, and manage any concerns timeously.</t>
  </si>
  <si>
    <t>90-day Induction</t>
  </si>
  <si>
    <t>Probation review template</t>
  </si>
  <si>
    <t>Business partnering</t>
  </si>
  <si>
    <t>Performance Management</t>
  </si>
  <si>
    <t>Set/ review Company Strategic objectives</t>
  </si>
  <si>
    <t>Any performance management or variable pay will be driven by clear Company Strategic objectives.</t>
  </si>
  <si>
    <t>Design Management and employee performance reviews</t>
  </si>
  <si>
    <t>Sets the guidance for base pay, salary vs variable pay</t>
  </si>
  <si>
    <t>Design variable pay incentives</t>
  </si>
  <si>
    <t>Pay for role-specific requirements, reward for performance-driven outcomes</t>
  </si>
  <si>
    <t>Link performance management goals to incentives and variable pay</t>
  </si>
  <si>
    <t>Rem and Ben</t>
  </si>
  <si>
    <t xml:space="preserve">Review remuneration &amp; Benefits </t>
  </si>
  <si>
    <t>Assists with efficiencies and to attract, retain &amp; reward</t>
  </si>
  <si>
    <t>Streamline</t>
  </si>
  <si>
    <t>Compensation structure</t>
  </si>
  <si>
    <t>Payroll Management</t>
  </si>
  <si>
    <t>Audit payroll data &amp; information</t>
  </si>
  <si>
    <t>Reduces compliance and potential conflicting employment contracting challenges</t>
  </si>
  <si>
    <t>Full payroll and Leave intergration implementation (Once off)</t>
  </si>
  <si>
    <t>Ensure all rules and processes are aligned with employee data</t>
  </si>
  <si>
    <t>Process flow efficiencies</t>
  </si>
  <si>
    <t>Automation results in streamlined and accurate business reporting and reduces the administration burden and potential human errors</t>
  </si>
  <si>
    <t>Integration with finance departments</t>
  </si>
  <si>
    <t>Optimise Pay Space (Payroll platform) to automate reporting</t>
  </si>
  <si>
    <t>W|M|Q|A|A reporting templates</t>
  </si>
  <si>
    <t>Management access to live reports</t>
  </si>
  <si>
    <t>Reporting &amp; analysis</t>
  </si>
  <si>
    <t>Analyse trends and people forecasting linked to attraction, retention, engagement, wellbeing &amp; turnover</t>
  </si>
  <si>
    <t>Automation results in streamlined and accurate business reporting, providing insights to mitigate staff turnover, engagement, and attraction trends</t>
  </si>
  <si>
    <t>Design various insightful objective people reports for business</t>
  </si>
  <si>
    <t>Automate &amp; link reporting for Business review</t>
  </si>
  <si>
    <t>Automation</t>
  </si>
  <si>
    <t>ATS</t>
  </si>
  <si>
    <t>Generally required where business reporting is critical for Boards and Management reports. A less siloed approach for people manages as all people movements are integrated for efficient people management</t>
  </si>
  <si>
    <t xml:space="preserve">Onboarding  </t>
  </si>
  <si>
    <t>Payroll</t>
  </si>
  <si>
    <t>Performance</t>
  </si>
  <si>
    <t xml:space="preserve">Compensation  </t>
  </si>
  <si>
    <t>E-Learning</t>
  </si>
  <si>
    <t>Employee Wellness</t>
  </si>
  <si>
    <t>Rewards and Recognition</t>
  </si>
  <si>
    <t>Change Management |Training and Development</t>
  </si>
  <si>
    <t>Focused People (employees and Leadership) training linked to any implementation requirement or identified business need.</t>
  </si>
  <si>
    <t>Upskills all levels of management and people on various HR systems, transformational, and training needs implementation. Critical for change management and shifting towards a leader-led culture.</t>
  </si>
  <si>
    <t>Meeting Management</t>
  </si>
  <si>
    <t>General meeting facilitation</t>
  </si>
  <si>
    <t>Strategic Business Advisory Support. Proven experience on various committees and boards, locally and globally.</t>
  </si>
  <si>
    <t>Compensation committees</t>
  </si>
  <si>
    <t>Leadership Meetings</t>
  </si>
  <si>
    <t>Monthly | Quarterly &amp; Annual meetings</t>
  </si>
  <si>
    <t>Retirement fund committee meetings</t>
  </si>
  <si>
    <t>Medical Aid committee meetings</t>
  </si>
  <si>
    <t>EE &amp; WSP meeting facilitation</t>
  </si>
  <si>
    <t>Board Meetings</t>
  </si>
  <si>
    <t>FRACTIONAL HR SERVICES + ER TOTAL HOURS (12 MONTH PERIOD)</t>
  </si>
  <si>
    <t>TOTAL HOURS USED TO AUG  2025 - FEB 2026</t>
  </si>
  <si>
    <t>REMAINING HOURS MARCH - SEPT 2026</t>
  </si>
  <si>
    <t>NEW SCOPE HOURS REQUIRED</t>
  </si>
  <si>
    <t>TOTAL COST FOR 12 MONTH FRACTIONAL HR (10,803) + ER (2,600) EX VAT</t>
  </si>
  <si>
    <t>HOURLY RATE</t>
  </si>
  <si>
    <t>NEW HOURLY RATE FRACTIONAL HR</t>
  </si>
  <si>
    <t>TOTAL COST USED OCT 25- SEPT 26</t>
  </si>
  <si>
    <t>TOTAL AMOUNT AVAILABLE MAR 26- SEPT 26</t>
  </si>
  <si>
    <t>NEW SCOPE HOURS COSTED REQUIRED</t>
  </si>
  <si>
    <t>NEW/ ADDITIONAL SERVICES - PAYROLL   (APRIL - SEP 26)</t>
  </si>
  <si>
    <t>Payroll Implementation</t>
  </si>
  <si>
    <t>Payroll monthly cost  (April - Sept)</t>
  </si>
  <si>
    <t>PAYROLL TOTAL</t>
  </si>
  <si>
    <t>EMPLOYEE RELATIONS  (APRIL - SEP 26)</t>
  </si>
  <si>
    <t xml:space="preserve">ER COST AVAILABLE (35HOURS) </t>
  </si>
  <si>
    <t>ER TOTAL</t>
  </si>
  <si>
    <t>EMPLOYEE CONTRACT MANAGEMENT (APRIL - SEP 26</t>
  </si>
  <si>
    <t>Transfer &amp; populate all current employees to new employment contracts</t>
  </si>
  <si>
    <t>Facilitate group session</t>
  </si>
  <si>
    <t>Facilitate individual session</t>
  </si>
  <si>
    <t>CONTRACT MANAGEMENT</t>
  </si>
  <si>
    <t>NEW/ ADDITIONAL SERVICES COST (APRIL - SEP 26)</t>
  </si>
  <si>
    <t>TCV  REMAINING 5 MONTH PERIOD</t>
  </si>
  <si>
    <t>DIFFERENCE IN COST FOR REMAINING 6 MONTH CONTRACT PERIOD</t>
  </si>
  <si>
    <t>MONTHLY DIFFERENCE MONTHLY</t>
  </si>
  <si>
    <t>ALL AMOUNTS REFLECTED EXCLUDE VAT.</t>
  </si>
  <si>
    <t>KM R4,76 PER KM</t>
  </si>
  <si>
    <t>MASTER, PERFORMANCE MANAGEMENT</t>
  </si>
  <si>
    <t>Automate performance management processes to PaySpace (monthly cost)</t>
  </si>
  <si>
    <t>Monthly estimated cost for maintenance and adhoc support</t>
  </si>
  <si>
    <t>Monthly recurring Cost (Estimated)</t>
  </si>
  <si>
    <t>NEW RECOMMENDED APPROVED</t>
  </si>
  <si>
    <r>
      <t xml:space="preserve">Consultant Implementation (Estimated </t>
    </r>
    <r>
      <rPr>
        <b/>
        <u/>
        <sz val="10"/>
        <color theme="1"/>
        <rFont val="Aptos Display"/>
        <family val="2"/>
        <scheme val="major"/>
      </rPr>
      <t>Once off)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</si>
</sst>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R-1C09]* #,##0_-;\-[$R-1C09]* #,##0_-;_-[$R-1C09]* &quot;-&quot;??_-;_-@_-"/>
    <numFmt numFmtId="165" formatCode="_-[$R-1C09]* #,##0.00_-;\-[$R-1C09]* #,##0.00_-;_-[$R-1C09]* &quot;-&quot;??_-;_-@_-"/>
    <numFmt numFmtId="166" formatCode="_-* #,##0_-;\-* #,##0_-;_-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Aptos"/>
      <family val="2"/>
    </font>
    <font>
      <b/>
      <sz val="10"/>
      <color theme="0"/>
      <name val="Aptos"/>
      <family val="2"/>
    </font>
    <font>
      <sz val="10"/>
      <color theme="0"/>
      <name val="Aptos Narrow"/>
      <family val="2"/>
      <scheme val="minor"/>
    </font>
    <font>
      <b/>
      <sz val="10"/>
      <color rgb="FF000000"/>
      <name val="Aptos Light"/>
      <family val="2"/>
    </font>
    <font>
      <sz val="10"/>
      <color rgb="FF000000"/>
      <name val="Aptos Light"/>
      <family val="2"/>
    </font>
    <font>
      <sz val="8"/>
      <color rgb="FF000000"/>
      <name val="Aptos"/>
      <family val="2"/>
    </font>
    <font>
      <sz val="10"/>
      <color theme="0"/>
      <name val="Aptos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FF0000"/>
      <name val="Aptos"/>
      <family val="2"/>
    </font>
    <font>
      <sz val="12"/>
      <color rgb="FF00B050"/>
      <name val="Aptos"/>
      <family val="2"/>
    </font>
    <font>
      <b/>
      <sz val="12"/>
      <color rgb="FF00B050"/>
      <name val="Aptos Narrow"/>
      <family val="2"/>
      <scheme val="minor"/>
    </font>
    <font>
      <sz val="10"/>
      <color rgb="FF000000"/>
      <name val="Aptos"/>
      <family val="2"/>
    </font>
    <font>
      <b/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u/>
      <sz val="10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sz val="10"/>
      <color theme="0"/>
      <name val="Aptos Display"/>
      <family val="2"/>
      <scheme val="major"/>
    </font>
    <font>
      <sz val="10"/>
      <color rgb="FFFF0000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 wrapText="1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0" fillId="0" borderId="13" xfId="0" applyBorder="1"/>
    <xf numFmtId="0" fontId="8" fillId="0" borderId="15" xfId="0" applyFont="1" applyBorder="1" applyAlignment="1">
      <alignment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0" fillId="0" borderId="15" xfId="0" applyBorder="1"/>
    <xf numFmtId="0" fontId="8" fillId="0" borderId="18" xfId="0" applyFont="1" applyBorder="1" applyAlignment="1">
      <alignment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0" fillId="6" borderId="15" xfId="0" applyFill="1" applyBorder="1"/>
    <xf numFmtId="0" fontId="9" fillId="6" borderId="15" xfId="0" applyFont="1" applyFill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6" borderId="15" xfId="0" applyFill="1" applyBorder="1" applyAlignment="1">
      <alignment vertical="center"/>
    </xf>
    <xf numFmtId="0" fontId="7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8" fillId="0" borderId="24" xfId="0" applyFont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5" fillId="3" borderId="3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1" fillId="0" borderId="15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9" fillId="5" borderId="24" xfId="0" applyFont="1" applyFill="1" applyBorder="1" applyAlignment="1">
      <alignment vertical="center"/>
    </xf>
    <xf numFmtId="0" fontId="13" fillId="5" borderId="25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12" fillId="7" borderId="20" xfId="0" applyFont="1" applyFill="1" applyBorder="1" applyAlignment="1">
      <alignment vertical="center"/>
    </xf>
    <xf numFmtId="0" fontId="11" fillId="7" borderId="6" xfId="0" applyFont="1" applyFill="1" applyBorder="1" applyAlignment="1">
      <alignment vertical="center"/>
    </xf>
    <xf numFmtId="0" fontId="9" fillId="7" borderId="6" xfId="0" applyFont="1" applyFill="1" applyBorder="1" applyAlignment="1">
      <alignment vertical="center"/>
    </xf>
    <xf numFmtId="0" fontId="14" fillId="7" borderId="9" xfId="0" applyFont="1" applyFill="1" applyBorder="1" applyAlignment="1">
      <alignment horizontal="center" vertical="center"/>
    </xf>
    <xf numFmtId="0" fontId="0" fillId="2" borderId="2" xfId="0" applyFill="1" applyBorder="1"/>
    <xf numFmtId="0" fontId="3" fillId="7" borderId="20" xfId="0" applyFont="1" applyFill="1" applyBorder="1" applyAlignment="1">
      <alignment wrapText="1"/>
    </xf>
    <xf numFmtId="0" fontId="0" fillId="7" borderId="6" xfId="0" applyFill="1" applyBorder="1"/>
    <xf numFmtId="0" fontId="15" fillId="7" borderId="9" xfId="0" applyFont="1" applyFill="1" applyBorder="1" applyAlignment="1">
      <alignment horizontal="center"/>
    </xf>
    <xf numFmtId="43" fontId="11" fillId="0" borderId="15" xfId="1" applyFont="1" applyBorder="1" applyAlignment="1">
      <alignment vertical="center"/>
    </xf>
    <xf numFmtId="43" fontId="11" fillId="0" borderId="31" xfId="1" applyFont="1" applyBorder="1" applyAlignment="1">
      <alignment vertical="center"/>
    </xf>
    <xf numFmtId="43" fontId="12" fillId="0" borderId="32" xfId="1" applyFont="1" applyBorder="1" applyAlignment="1">
      <alignment vertical="center"/>
    </xf>
    <xf numFmtId="43" fontId="11" fillId="0" borderId="33" xfId="1" applyFont="1" applyBorder="1" applyAlignment="1">
      <alignment vertical="center"/>
    </xf>
    <xf numFmtId="164" fontId="16" fillId="5" borderId="34" xfId="1" applyNumberFormat="1" applyFont="1" applyFill="1" applyBorder="1" applyAlignment="1">
      <alignment horizontal="left" vertical="center"/>
    </xf>
    <xf numFmtId="0" fontId="0" fillId="0" borderId="33" xfId="0" applyBorder="1"/>
    <xf numFmtId="0" fontId="0" fillId="0" borderId="33" xfId="0" applyBorder="1" applyAlignment="1">
      <alignment horizontal="center"/>
    </xf>
    <xf numFmtId="0" fontId="0" fillId="0" borderId="31" xfId="0" applyBorder="1"/>
    <xf numFmtId="43" fontId="12" fillId="8" borderId="20" xfId="1" applyFont="1" applyFill="1" applyBorder="1" applyAlignment="1">
      <alignment vertical="center"/>
    </xf>
    <xf numFmtId="43" fontId="11" fillId="8" borderId="7" xfId="1" applyFont="1" applyFill="1" applyBorder="1" applyAlignment="1">
      <alignment vertical="center"/>
    </xf>
    <xf numFmtId="43" fontId="9" fillId="8" borderId="6" xfId="1" applyFont="1" applyFill="1" applyBorder="1" applyAlignment="1">
      <alignment horizontal="left" vertical="center"/>
    </xf>
    <xf numFmtId="164" fontId="17" fillId="8" borderId="9" xfId="1" applyNumberFormat="1" applyFont="1" applyFill="1" applyBorder="1" applyAlignment="1">
      <alignment horizontal="left" vertical="center"/>
    </xf>
    <xf numFmtId="0" fontId="3" fillId="8" borderId="20" xfId="0" applyFont="1" applyFill="1" applyBorder="1" applyAlignment="1">
      <alignment wrapText="1"/>
    </xf>
    <xf numFmtId="0" fontId="0" fillId="8" borderId="6" xfId="0" applyFill="1" applyBorder="1"/>
    <xf numFmtId="164" fontId="18" fillId="8" borderId="9" xfId="0" applyNumberFormat="1" applyFont="1" applyFill="1" applyBorder="1" applyAlignment="1">
      <alignment horizontal="center"/>
    </xf>
    <xf numFmtId="43" fontId="12" fillId="0" borderId="35" xfId="1" applyFont="1" applyBorder="1" applyAlignment="1">
      <alignment vertical="center"/>
    </xf>
    <xf numFmtId="43" fontId="11" fillId="0" borderId="36" xfId="1" applyFont="1" applyBorder="1" applyAlignment="1">
      <alignment vertical="center"/>
    </xf>
    <xf numFmtId="43" fontId="9" fillId="5" borderId="37" xfId="1" applyFont="1" applyFill="1" applyBorder="1" applyAlignment="1">
      <alignment horizontal="left" vertical="center"/>
    </xf>
    <xf numFmtId="164" fontId="16" fillId="5" borderId="38" xfId="1" applyNumberFormat="1" applyFont="1" applyFill="1" applyBorder="1" applyAlignment="1">
      <alignment horizontal="left" vertical="center"/>
    </xf>
    <xf numFmtId="0" fontId="0" fillId="0" borderId="33" xfId="0" applyBorder="1" applyAlignment="1">
      <alignment wrapText="1"/>
    </xf>
    <xf numFmtId="43" fontId="12" fillId="0" borderId="20" xfId="1" applyFont="1" applyBorder="1" applyAlignment="1">
      <alignment vertical="center"/>
    </xf>
    <xf numFmtId="43" fontId="11" fillId="0" borderId="7" xfId="1" applyFont="1" applyBorder="1" applyAlignment="1">
      <alignment vertical="center"/>
    </xf>
    <xf numFmtId="43" fontId="9" fillId="5" borderId="6" xfId="1" applyFont="1" applyFill="1" applyBorder="1" applyAlignment="1">
      <alignment horizontal="left" vertical="center"/>
    </xf>
    <xf numFmtId="164" fontId="16" fillId="5" borderId="9" xfId="1" applyNumberFormat="1" applyFont="1" applyFill="1" applyBorder="1" applyAlignment="1">
      <alignment horizontal="left" vertical="center"/>
    </xf>
    <xf numFmtId="0" fontId="3" fillId="0" borderId="20" xfId="0" applyFont="1" applyBorder="1" applyAlignment="1">
      <alignment wrapText="1"/>
    </xf>
    <xf numFmtId="0" fontId="0" fillId="0" borderId="6" xfId="0" applyBorder="1"/>
    <xf numFmtId="165" fontId="0" fillId="0" borderId="9" xfId="0" applyNumberFormat="1" applyBorder="1"/>
    <xf numFmtId="0" fontId="0" fillId="0" borderId="39" xfId="0" applyBorder="1"/>
    <xf numFmtId="0" fontId="0" fillId="0" borderId="40" xfId="0" applyBorder="1"/>
    <xf numFmtId="43" fontId="9" fillId="5" borderId="22" xfId="1" applyFont="1" applyFill="1" applyBorder="1" applyAlignment="1">
      <alignment horizontal="left" vertical="center"/>
    </xf>
    <xf numFmtId="43" fontId="0" fillId="2" borderId="0" xfId="0" applyNumberFormat="1" applyFill="1"/>
    <xf numFmtId="0" fontId="9" fillId="5" borderId="41" xfId="0" applyFont="1" applyFill="1" applyBorder="1" applyAlignment="1">
      <alignment vertical="center"/>
    </xf>
    <xf numFmtId="0" fontId="9" fillId="5" borderId="15" xfId="0" applyFont="1" applyFill="1" applyBorder="1" applyAlignment="1">
      <alignment vertical="center"/>
    </xf>
    <xf numFmtId="43" fontId="0" fillId="0" borderId="16" xfId="0" applyNumberFormat="1" applyBorder="1"/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164" fontId="0" fillId="0" borderId="15" xfId="1" applyNumberFormat="1" applyFont="1" applyBorder="1"/>
    <xf numFmtId="0" fontId="3" fillId="2" borderId="0" xfId="0" applyFont="1" applyFill="1"/>
    <xf numFmtId="164" fontId="3" fillId="2" borderId="0" xfId="0" applyNumberFormat="1" applyFont="1" applyFill="1"/>
    <xf numFmtId="0" fontId="0" fillId="0" borderId="15" xfId="0" applyBorder="1" applyAlignment="1">
      <alignment horizontal="left" wrapText="1"/>
    </xf>
    <xf numFmtId="0" fontId="0" fillId="0" borderId="15" xfId="0" applyBorder="1" applyAlignment="1">
      <alignment horizontal="left"/>
    </xf>
    <xf numFmtId="164" fontId="0" fillId="0" borderId="15" xfId="0" applyNumberFormat="1" applyBorder="1"/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3" fontId="11" fillId="2" borderId="0" xfId="1" applyFont="1" applyFill="1" applyBorder="1" applyAlignment="1">
      <alignment horizontal="center" vertical="center"/>
    </xf>
    <xf numFmtId="166" fontId="0" fillId="2" borderId="0" xfId="1" applyNumberFormat="1" applyFont="1" applyFill="1" applyBorder="1"/>
    <xf numFmtId="0" fontId="3" fillId="2" borderId="0" xfId="0" applyFont="1" applyFill="1" applyAlignment="1">
      <alignment horizontal="center" vertical="center" wrapText="1"/>
    </xf>
    <xf numFmtId="0" fontId="0" fillId="2" borderId="15" xfId="0" applyFill="1" applyBorder="1" applyAlignment="1">
      <alignment wrapText="1"/>
    </xf>
    <xf numFmtId="0" fontId="0" fillId="2" borderId="15" xfId="0" applyFill="1" applyBorder="1"/>
    <xf numFmtId="164" fontId="0" fillId="2" borderId="15" xfId="1" applyNumberFormat="1" applyFont="1" applyFill="1" applyBorder="1"/>
    <xf numFmtId="166" fontId="3" fillId="2" borderId="0" xfId="1" applyNumberFormat="1" applyFont="1" applyFill="1" applyBorder="1"/>
    <xf numFmtId="0" fontId="21" fillId="2" borderId="0" xfId="0" applyFont="1" applyFill="1"/>
    <xf numFmtId="0" fontId="20" fillId="2" borderId="0" xfId="0" applyFont="1" applyFill="1"/>
    <xf numFmtId="164" fontId="20" fillId="2" borderId="0" xfId="0" applyNumberFormat="1" applyFont="1" applyFill="1"/>
    <xf numFmtId="164" fontId="24" fillId="3" borderId="15" xfId="0" applyNumberFormat="1" applyFont="1" applyFill="1" applyBorder="1"/>
    <xf numFmtId="0" fontId="23" fillId="3" borderId="15" xfId="0" applyFont="1" applyFill="1" applyBorder="1"/>
    <xf numFmtId="0" fontId="24" fillId="3" borderId="15" xfId="0" applyFont="1" applyFill="1" applyBorder="1"/>
    <xf numFmtId="0" fontId="20" fillId="2" borderId="15" xfId="0" applyFont="1" applyFill="1" applyBorder="1" applyAlignment="1">
      <alignment wrapText="1"/>
    </xf>
    <xf numFmtId="0" fontId="21" fillId="2" borderId="15" xfId="0" applyFont="1" applyFill="1" applyBorder="1"/>
    <xf numFmtId="164" fontId="25" fillId="2" borderId="15" xfId="0" applyNumberFormat="1" applyFont="1" applyFill="1" applyBorder="1"/>
    <xf numFmtId="0" fontId="20" fillId="2" borderId="15" xfId="0" applyFont="1" applyFill="1" applyBorder="1"/>
    <xf numFmtId="0" fontId="21" fillId="10" borderId="15" xfId="0" applyFont="1" applyFill="1" applyBorder="1" applyAlignment="1">
      <alignment wrapText="1"/>
    </xf>
    <xf numFmtId="0" fontId="21" fillId="10" borderId="15" xfId="0" applyFont="1" applyFill="1" applyBorder="1"/>
    <xf numFmtId="164" fontId="21" fillId="10" borderId="15" xfId="1" applyNumberFormat="1" applyFont="1" applyFill="1" applyBorder="1"/>
    <xf numFmtId="0" fontId="21" fillId="0" borderId="15" xfId="0" applyFont="1" applyBorder="1" applyAlignment="1">
      <alignment wrapText="1"/>
    </xf>
    <xf numFmtId="0" fontId="21" fillId="0" borderId="15" xfId="0" applyFont="1" applyBorder="1"/>
    <xf numFmtId="164" fontId="21" fillId="0" borderId="15" xfId="0" applyNumberFormat="1" applyFont="1" applyBorder="1"/>
    <xf numFmtId="164" fontId="21" fillId="0" borderId="15" xfId="1" applyNumberFormat="1" applyFont="1" applyBorder="1"/>
    <xf numFmtId="164" fontId="9" fillId="2" borderId="0" xfId="0" applyNumberFormat="1" applyFont="1" applyFill="1" applyAlignment="1">
      <alignment vertical="center"/>
    </xf>
    <xf numFmtId="0" fontId="3" fillId="0" borderId="0" xfId="0" applyFont="1" applyAlignment="1">
      <alignment wrapText="1"/>
    </xf>
    <xf numFmtId="165" fontId="0" fillId="0" borderId="0" xfId="0" applyNumberFormat="1"/>
    <xf numFmtId="0" fontId="20" fillId="9" borderId="15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 readingOrder="1"/>
    </xf>
    <xf numFmtId="0" fontId="2" fillId="3" borderId="15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43" fontId="11" fillId="2" borderId="0" xfId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23" fillId="3" borderId="31" xfId="0" applyFont="1" applyFill="1" applyBorder="1" applyAlignment="1">
      <alignment horizontal="center" wrapText="1"/>
    </xf>
    <xf numFmtId="0" fontId="23" fillId="3" borderId="43" xfId="0" applyFont="1" applyFill="1" applyBorder="1" applyAlignment="1">
      <alignment horizontal="center" wrapText="1"/>
    </xf>
    <xf numFmtId="0" fontId="23" fillId="3" borderId="41" xfId="0" applyFont="1" applyFill="1" applyBorder="1" applyAlignment="1">
      <alignment horizont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3" borderId="2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0" fillId="6" borderId="15" xfId="0" applyFill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19" fillId="11" borderId="1" xfId="0" applyFont="1" applyFill="1" applyBorder="1" applyAlignment="1">
      <alignment horizontal="center"/>
    </xf>
    <xf numFmtId="0" fontId="19" fillId="11" borderId="2" xfId="0" applyFont="1" applyFill="1" applyBorder="1" applyAlignment="1">
      <alignment horizontal="center"/>
    </xf>
    <xf numFmtId="0" fontId="19" fillId="11" borderId="3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ptiworx.sharepoint.com/sites/Optiworx/Shared%20Documents/General/Tracker%20-%20LOE/Siraaj/Client%20Timesheet%20Description%20Template.xlsx" TargetMode="External"/><Relationship Id="rId1" Type="http://schemas.openxmlformats.org/officeDocument/2006/relationships/externalLinkPath" Target="https://optiworx.sharepoint.com/sites/Optiworx/Shared%20Documents/General/Tracker%20-%20LOE/Siraaj/Client%20Timesheet%20Description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 2026"/>
      <sheetName val="Sheet1"/>
      <sheetName val="February 2026"/>
      <sheetName val="St Raphael"/>
      <sheetName val="St Raphael Comparitive option"/>
      <sheetName val="March 2026"/>
      <sheetName val="April 2026"/>
      <sheetName val="May 2026"/>
      <sheetName val="June 2026 "/>
    </sheetNames>
    <sheetDataSet>
      <sheetData sheetId="0"/>
      <sheetData sheetId="1"/>
      <sheetData sheetId="2"/>
      <sheetData sheetId="3">
        <row r="34">
          <cell r="G34">
            <v>60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BEBD-375D-4E8F-816E-9188E5083789}">
  <sheetPr>
    <tabColor theme="7" tint="0.79998168889431442"/>
  </sheetPr>
  <dimension ref="A1:L98"/>
  <sheetViews>
    <sheetView tabSelected="1" topLeftCell="C78" zoomScale="130" zoomScaleNormal="130" workbookViewId="0">
      <selection activeCell="D84" sqref="D84"/>
    </sheetView>
  </sheetViews>
  <sheetFormatPr defaultRowHeight="14.5" x14ac:dyDescent="0.35"/>
  <cols>
    <col min="1" max="1" width="22.08984375" style="1" customWidth="1"/>
    <col min="2" max="2" width="40.453125" style="1" bestFit="1" customWidth="1"/>
    <col min="3" max="3" width="79.36328125" style="1" bestFit="1" customWidth="1"/>
    <col min="4" max="4" width="9" style="1" bestFit="1" customWidth="1"/>
    <col min="5" max="5" width="8.90625" style="1" customWidth="1"/>
    <col min="6" max="6" width="14.453125" style="1" bestFit="1" customWidth="1"/>
    <col min="7" max="7" width="2.453125" style="1" customWidth="1"/>
    <col min="8" max="8" width="35.1796875" style="1" customWidth="1"/>
    <col min="9" max="9" width="1.54296875" style="1" customWidth="1"/>
    <col min="10" max="10" width="13.54296875" style="1" customWidth="1"/>
    <col min="11" max="11" width="20.26953125" style="1" customWidth="1"/>
    <col min="12" max="12" width="19" style="1" customWidth="1"/>
    <col min="13" max="16384" width="8.7265625" style="1"/>
  </cols>
  <sheetData>
    <row r="1" spans="1:12" ht="15" thickBot="1" x14ac:dyDescent="0.4">
      <c r="F1" s="2"/>
    </row>
    <row r="2" spans="1:12" ht="16.5" thickBot="1" x14ac:dyDescent="0.45">
      <c r="A2" s="164" t="s">
        <v>0</v>
      </c>
      <c r="B2" s="165"/>
      <c r="C2" s="165"/>
      <c r="D2" s="165"/>
      <c r="E2" s="165"/>
      <c r="F2" s="166"/>
      <c r="H2" s="164" t="s">
        <v>127</v>
      </c>
      <c r="I2" s="165"/>
      <c r="J2" s="165"/>
      <c r="K2" s="165"/>
      <c r="L2" s="166"/>
    </row>
    <row r="3" spans="1:12" ht="21.5" customHeight="1" thickBot="1" x14ac:dyDescent="0.4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H3" s="6" t="s">
        <v>7</v>
      </c>
      <c r="I3" s="6"/>
      <c r="J3" s="167" t="s">
        <v>8</v>
      </c>
      <c r="K3" s="168"/>
      <c r="L3" s="169"/>
    </row>
    <row r="4" spans="1:12" ht="26.5" thickBot="1" x14ac:dyDescent="0.4">
      <c r="A4" s="170"/>
      <c r="B4" s="171"/>
      <c r="C4" s="171"/>
      <c r="D4" s="171"/>
      <c r="E4" s="171"/>
      <c r="F4" s="172"/>
      <c r="H4" s="6" t="s">
        <v>9</v>
      </c>
      <c r="I4" s="7"/>
      <c r="J4" s="6" t="s">
        <v>4</v>
      </c>
      <c r="K4" s="6" t="s">
        <v>5</v>
      </c>
      <c r="L4" s="8" t="s">
        <v>6</v>
      </c>
    </row>
    <row r="5" spans="1:12" ht="26" x14ac:dyDescent="0.35">
      <c r="A5" s="142" t="s">
        <v>10</v>
      </c>
      <c r="B5" s="9" t="s">
        <v>11</v>
      </c>
      <c r="C5" s="10" t="s">
        <v>12</v>
      </c>
      <c r="D5" s="11"/>
      <c r="E5" s="11"/>
      <c r="F5" s="12"/>
      <c r="H5" s="13"/>
      <c r="I5" s="13"/>
      <c r="J5" s="13"/>
      <c r="K5" s="13"/>
      <c r="L5" s="13"/>
    </row>
    <row r="6" spans="1:12" x14ac:dyDescent="0.35">
      <c r="A6" s="143"/>
      <c r="B6" s="14" t="s">
        <v>13</v>
      </c>
      <c r="C6" s="14" t="s">
        <v>14</v>
      </c>
      <c r="D6" s="15"/>
      <c r="E6" s="15"/>
      <c r="F6" s="16"/>
      <c r="H6" s="17"/>
      <c r="I6" s="17"/>
      <c r="J6" s="17"/>
      <c r="K6" s="17"/>
      <c r="L6" s="17"/>
    </row>
    <row r="7" spans="1:12" ht="15" thickBot="1" x14ac:dyDescent="0.4">
      <c r="A7" s="144"/>
      <c r="B7" s="18" t="s">
        <v>15</v>
      </c>
      <c r="C7" s="18" t="s">
        <v>16</v>
      </c>
      <c r="D7" s="19"/>
      <c r="E7" s="19"/>
      <c r="F7" s="20"/>
      <c r="H7" s="17"/>
      <c r="I7" s="17"/>
      <c r="J7" s="17"/>
      <c r="K7" s="17"/>
      <c r="L7" s="17"/>
    </row>
    <row r="8" spans="1:12" x14ac:dyDescent="0.35">
      <c r="A8" s="142" t="s">
        <v>17</v>
      </c>
      <c r="B8" s="10" t="s">
        <v>18</v>
      </c>
      <c r="C8" s="161" t="s">
        <v>19</v>
      </c>
      <c r="D8" s="11">
        <v>4</v>
      </c>
      <c r="E8" s="11">
        <v>2</v>
      </c>
      <c r="F8" s="12">
        <v>8</v>
      </c>
      <c r="H8" s="17"/>
      <c r="I8" s="17"/>
      <c r="J8" s="15">
        <v>4</v>
      </c>
      <c r="K8" s="15">
        <v>2</v>
      </c>
      <c r="L8" s="15">
        <v>8</v>
      </c>
    </row>
    <row r="9" spans="1:12" ht="26" x14ac:dyDescent="0.35">
      <c r="A9" s="143"/>
      <c r="B9" s="21" t="s">
        <v>20</v>
      </c>
      <c r="C9" s="159"/>
      <c r="D9" s="15">
        <v>8</v>
      </c>
      <c r="E9" s="15">
        <v>2</v>
      </c>
      <c r="F9" s="16">
        <v>16</v>
      </c>
      <c r="H9" s="17"/>
      <c r="I9" s="17"/>
      <c r="J9" s="15">
        <v>8</v>
      </c>
      <c r="K9" s="15">
        <v>2</v>
      </c>
      <c r="L9" s="15">
        <v>16</v>
      </c>
    </row>
    <row r="10" spans="1:12" ht="26.5" thickBot="1" x14ac:dyDescent="0.4">
      <c r="A10" s="144"/>
      <c r="B10" s="22" t="s">
        <v>21</v>
      </c>
      <c r="C10" s="22" t="s">
        <v>22</v>
      </c>
      <c r="D10" s="19">
        <v>4</v>
      </c>
      <c r="E10" s="19">
        <v>2</v>
      </c>
      <c r="F10" s="20">
        <v>8</v>
      </c>
      <c r="H10" s="17"/>
      <c r="I10" s="17"/>
      <c r="J10" s="15">
        <v>4</v>
      </c>
      <c r="K10" s="15">
        <v>2</v>
      </c>
      <c r="L10" s="15">
        <v>8</v>
      </c>
    </row>
    <row r="11" spans="1:12" ht="15" thickBot="1" x14ac:dyDescent="0.4">
      <c r="A11" s="23" t="s">
        <v>23</v>
      </c>
      <c r="B11" s="24" t="s">
        <v>24</v>
      </c>
      <c r="C11" s="24" t="s">
        <v>25</v>
      </c>
      <c r="D11" s="25">
        <v>2</v>
      </c>
      <c r="E11" s="25">
        <v>2</v>
      </c>
      <c r="F11" s="26">
        <v>4</v>
      </c>
      <c r="H11" s="17"/>
      <c r="I11" s="17"/>
      <c r="J11" s="15">
        <v>2</v>
      </c>
      <c r="K11" s="15">
        <v>2</v>
      </c>
      <c r="L11" s="15">
        <v>4</v>
      </c>
    </row>
    <row r="12" spans="1:12" x14ac:dyDescent="0.35">
      <c r="A12" s="162" t="s">
        <v>26</v>
      </c>
      <c r="B12" s="27" t="s">
        <v>27</v>
      </c>
      <c r="C12" s="163" t="s">
        <v>28</v>
      </c>
      <c r="D12" s="28">
        <v>1.5</v>
      </c>
      <c r="E12" s="28">
        <v>3</v>
      </c>
      <c r="F12" s="29">
        <v>4.5</v>
      </c>
      <c r="H12" s="30"/>
      <c r="I12" s="30"/>
      <c r="J12" s="31"/>
      <c r="K12" s="31"/>
      <c r="L12" s="31"/>
    </row>
    <row r="13" spans="1:12" x14ac:dyDescent="0.35">
      <c r="A13" s="143"/>
      <c r="B13" s="14" t="s">
        <v>29</v>
      </c>
      <c r="C13" s="159"/>
      <c r="D13" s="15">
        <v>1.5</v>
      </c>
      <c r="E13" s="15">
        <v>3</v>
      </c>
      <c r="F13" s="16">
        <v>4.5</v>
      </c>
      <c r="H13" s="30"/>
      <c r="I13" s="30"/>
      <c r="J13" s="31"/>
      <c r="K13" s="31"/>
      <c r="L13" s="31"/>
    </row>
    <row r="14" spans="1:12" x14ac:dyDescent="0.35">
      <c r="A14" s="143"/>
      <c r="B14" s="14" t="s">
        <v>30</v>
      </c>
      <c r="C14" s="159"/>
      <c r="D14" s="15">
        <v>1</v>
      </c>
      <c r="E14" s="15">
        <v>3</v>
      </c>
      <c r="F14" s="16">
        <v>3</v>
      </c>
      <c r="H14" s="30"/>
      <c r="I14" s="30"/>
      <c r="J14" s="31"/>
      <c r="K14" s="31"/>
      <c r="L14" s="31"/>
    </row>
    <row r="15" spans="1:12" x14ac:dyDescent="0.35">
      <c r="A15" s="143"/>
      <c r="B15" s="14" t="s">
        <v>31</v>
      </c>
      <c r="C15" s="159"/>
      <c r="D15" s="15">
        <v>1</v>
      </c>
      <c r="E15" s="15">
        <v>3</v>
      </c>
      <c r="F15" s="16">
        <v>3</v>
      </c>
      <c r="H15" s="30"/>
      <c r="I15" s="30"/>
      <c r="J15" s="31"/>
      <c r="K15" s="31"/>
      <c r="L15" s="31"/>
    </row>
    <row r="16" spans="1:12" x14ac:dyDescent="0.35">
      <c r="A16" s="143"/>
      <c r="B16" s="14" t="s">
        <v>32</v>
      </c>
      <c r="C16" s="159"/>
      <c r="D16" s="15">
        <v>3</v>
      </c>
      <c r="E16" s="15">
        <v>3</v>
      </c>
      <c r="F16" s="16">
        <v>9</v>
      </c>
      <c r="H16" s="30"/>
      <c r="I16" s="30"/>
      <c r="J16" s="31"/>
      <c r="K16" s="31"/>
      <c r="L16" s="31"/>
    </row>
    <row r="17" spans="1:12" x14ac:dyDescent="0.35">
      <c r="A17" s="143"/>
      <c r="B17" s="14" t="s">
        <v>33</v>
      </c>
      <c r="C17" s="159"/>
      <c r="D17" s="15">
        <v>3</v>
      </c>
      <c r="E17" s="15">
        <v>3</v>
      </c>
      <c r="F17" s="16">
        <v>9</v>
      </c>
      <c r="H17" s="30"/>
      <c r="I17" s="30"/>
      <c r="J17" s="31"/>
      <c r="K17" s="31"/>
      <c r="L17" s="31"/>
    </row>
    <row r="18" spans="1:12" x14ac:dyDescent="0.35">
      <c r="A18" s="143"/>
      <c r="B18" s="14" t="s">
        <v>34</v>
      </c>
      <c r="C18" s="159"/>
      <c r="D18" s="15">
        <v>3</v>
      </c>
      <c r="E18" s="15">
        <v>3</v>
      </c>
      <c r="F18" s="16">
        <v>9</v>
      </c>
      <c r="H18" s="30"/>
      <c r="I18" s="30"/>
      <c r="J18" s="31"/>
      <c r="K18" s="31"/>
      <c r="L18" s="31"/>
    </row>
    <row r="19" spans="1:12" x14ac:dyDescent="0.35">
      <c r="A19" s="143"/>
      <c r="B19" s="14" t="s">
        <v>35</v>
      </c>
      <c r="C19" s="159"/>
      <c r="D19" s="15">
        <v>1</v>
      </c>
      <c r="E19" s="15">
        <v>3</v>
      </c>
      <c r="F19" s="16">
        <v>3</v>
      </c>
      <c r="H19" s="30"/>
      <c r="I19" s="30"/>
      <c r="J19" s="31"/>
      <c r="K19" s="31"/>
      <c r="L19" s="31"/>
    </row>
    <row r="20" spans="1:12" ht="15" thickBot="1" x14ac:dyDescent="0.4">
      <c r="A20" s="144"/>
      <c r="B20" s="18" t="s">
        <v>36</v>
      </c>
      <c r="C20" s="160"/>
      <c r="D20" s="19">
        <v>1</v>
      </c>
      <c r="E20" s="19">
        <v>3</v>
      </c>
      <c r="F20" s="20">
        <v>3</v>
      </c>
      <c r="H20" s="30"/>
      <c r="I20" s="30"/>
      <c r="J20" s="31"/>
      <c r="K20" s="31"/>
      <c r="L20" s="31"/>
    </row>
    <row r="21" spans="1:12" x14ac:dyDescent="0.35">
      <c r="A21" s="142" t="s">
        <v>37</v>
      </c>
      <c r="B21" s="9" t="s">
        <v>38</v>
      </c>
      <c r="C21" s="161" t="s">
        <v>39</v>
      </c>
      <c r="D21" s="11"/>
      <c r="E21" s="11"/>
      <c r="F21" s="12"/>
      <c r="H21" s="17"/>
      <c r="I21" s="17"/>
      <c r="J21" s="17"/>
      <c r="K21" s="17"/>
      <c r="L21" s="17"/>
    </row>
    <row r="22" spans="1:12" x14ac:dyDescent="0.35">
      <c r="A22" s="143"/>
      <c r="B22" s="14" t="s">
        <v>40</v>
      </c>
      <c r="C22" s="159"/>
      <c r="D22" s="15"/>
      <c r="E22" s="15"/>
      <c r="F22" s="16"/>
      <c r="H22" s="17"/>
      <c r="I22" s="17"/>
      <c r="J22" s="17"/>
      <c r="K22" s="17"/>
      <c r="L22" s="17"/>
    </row>
    <row r="23" spans="1:12" x14ac:dyDescent="0.35">
      <c r="A23" s="143"/>
      <c r="B23" s="14" t="s">
        <v>41</v>
      </c>
      <c r="C23" s="159"/>
      <c r="D23" s="15"/>
      <c r="E23" s="15"/>
      <c r="F23" s="16"/>
      <c r="H23" s="17"/>
      <c r="I23" s="17"/>
      <c r="J23" s="17"/>
      <c r="K23" s="17"/>
      <c r="L23" s="17"/>
    </row>
    <row r="24" spans="1:12" ht="15" thickBot="1" x14ac:dyDescent="0.4">
      <c r="A24" s="144"/>
      <c r="B24" s="18" t="s">
        <v>42</v>
      </c>
      <c r="C24" s="160"/>
      <c r="D24" s="19"/>
      <c r="E24" s="19"/>
      <c r="F24" s="20"/>
      <c r="H24" s="17"/>
      <c r="I24" s="17"/>
      <c r="J24" s="17"/>
      <c r="K24" s="17"/>
      <c r="L24" s="17"/>
    </row>
    <row r="25" spans="1:12" x14ac:dyDescent="0.35">
      <c r="A25" s="142" t="s">
        <v>43</v>
      </c>
      <c r="B25" s="10" t="s">
        <v>44</v>
      </c>
      <c r="C25" s="10" t="s">
        <v>45</v>
      </c>
      <c r="D25" s="11"/>
      <c r="E25" s="11"/>
      <c r="F25" s="12"/>
      <c r="H25" s="17"/>
      <c r="I25" s="17"/>
      <c r="J25" s="17"/>
      <c r="K25" s="17"/>
      <c r="L25" s="17"/>
    </row>
    <row r="26" spans="1:12" ht="47" customHeight="1" x14ac:dyDescent="0.35">
      <c r="A26" s="143"/>
      <c r="B26" s="21" t="s">
        <v>46</v>
      </c>
      <c r="C26" s="21" t="s">
        <v>47</v>
      </c>
      <c r="D26" s="15"/>
      <c r="E26" s="15"/>
      <c r="F26" s="16"/>
      <c r="H26" s="32"/>
      <c r="I26" s="17"/>
      <c r="J26" s="17"/>
      <c r="K26" s="17"/>
      <c r="L26" s="17"/>
    </row>
    <row r="27" spans="1:12" x14ac:dyDescent="0.35">
      <c r="A27" s="143"/>
      <c r="B27" s="21" t="s">
        <v>48</v>
      </c>
      <c r="C27" s="159" t="s">
        <v>49</v>
      </c>
      <c r="D27" s="15"/>
      <c r="E27" s="15"/>
      <c r="F27" s="16"/>
      <c r="H27" s="17"/>
      <c r="I27" s="17"/>
      <c r="J27" s="17"/>
      <c r="K27" s="17"/>
      <c r="L27" s="17"/>
    </row>
    <row r="28" spans="1:12" ht="26.5" thickBot="1" x14ac:dyDescent="0.4">
      <c r="A28" s="144"/>
      <c r="B28" s="22" t="s">
        <v>50</v>
      </c>
      <c r="C28" s="160"/>
      <c r="D28" s="19"/>
      <c r="E28" s="19"/>
      <c r="F28" s="20"/>
      <c r="H28" s="17"/>
      <c r="I28" s="17"/>
      <c r="J28" s="17"/>
      <c r="K28" s="17"/>
      <c r="L28" s="17"/>
    </row>
    <row r="29" spans="1:12" x14ac:dyDescent="0.35">
      <c r="A29" s="142" t="s">
        <v>51</v>
      </c>
      <c r="B29" s="10" t="s">
        <v>52</v>
      </c>
      <c r="C29" s="155" t="s">
        <v>53</v>
      </c>
      <c r="D29" s="11"/>
      <c r="E29" s="11"/>
      <c r="F29" s="12"/>
      <c r="H29" s="17"/>
      <c r="I29" s="17"/>
      <c r="J29" s="17"/>
      <c r="K29" s="17"/>
      <c r="L29" s="17"/>
    </row>
    <row r="30" spans="1:12" x14ac:dyDescent="0.35">
      <c r="A30" s="143"/>
      <c r="B30" s="21" t="s">
        <v>54</v>
      </c>
      <c r="C30" s="156"/>
      <c r="D30" s="15"/>
      <c r="E30" s="15"/>
      <c r="F30" s="16"/>
      <c r="H30" s="17"/>
      <c r="I30" s="17"/>
      <c r="J30" s="17"/>
      <c r="K30" s="17"/>
      <c r="L30" s="17"/>
    </row>
    <row r="31" spans="1:12" ht="15" thickBot="1" x14ac:dyDescent="0.4">
      <c r="A31" s="144"/>
      <c r="B31" s="22" t="s">
        <v>55</v>
      </c>
      <c r="C31" s="157"/>
      <c r="D31" s="19"/>
      <c r="E31" s="19"/>
      <c r="F31" s="20"/>
      <c r="H31" s="17"/>
      <c r="I31" s="17"/>
      <c r="J31" s="17"/>
      <c r="K31" s="17"/>
      <c r="L31" s="17"/>
    </row>
    <row r="32" spans="1:12" ht="29" customHeight="1" x14ac:dyDescent="0.35">
      <c r="A32" s="142" t="s">
        <v>56</v>
      </c>
      <c r="B32" s="10" t="s">
        <v>57</v>
      </c>
      <c r="C32" s="10" t="s">
        <v>58</v>
      </c>
      <c r="D32" s="11">
        <v>6</v>
      </c>
      <c r="E32" s="11">
        <v>2</v>
      </c>
      <c r="F32" s="12">
        <v>12</v>
      </c>
      <c r="H32" s="158" t="s">
        <v>59</v>
      </c>
      <c r="I32" s="33"/>
      <c r="J32" s="31"/>
      <c r="K32" s="31"/>
      <c r="L32" s="31"/>
    </row>
    <row r="33" spans="1:12" ht="26" x14ac:dyDescent="0.35">
      <c r="A33" s="143"/>
      <c r="B33" s="21" t="s">
        <v>60</v>
      </c>
      <c r="C33" s="21" t="s">
        <v>58</v>
      </c>
      <c r="D33" s="15">
        <v>4</v>
      </c>
      <c r="E33" s="15">
        <v>2</v>
      </c>
      <c r="F33" s="16">
        <v>8</v>
      </c>
      <c r="H33" s="158"/>
      <c r="I33" s="33"/>
      <c r="J33" s="31"/>
      <c r="K33" s="31"/>
      <c r="L33" s="31"/>
    </row>
    <row r="34" spans="1:12" x14ac:dyDescent="0.35">
      <c r="A34" s="143"/>
      <c r="B34" s="21" t="s">
        <v>61</v>
      </c>
      <c r="C34" s="159" t="s">
        <v>62</v>
      </c>
      <c r="D34" s="15"/>
      <c r="E34" s="15"/>
      <c r="F34" s="16"/>
      <c r="H34" s="17"/>
      <c r="I34" s="17"/>
      <c r="J34" s="17"/>
      <c r="K34" s="17"/>
      <c r="L34" s="17"/>
    </row>
    <row r="35" spans="1:12" x14ac:dyDescent="0.35">
      <c r="A35" s="143"/>
      <c r="B35" s="21" t="s">
        <v>63</v>
      </c>
      <c r="C35" s="159"/>
      <c r="D35" s="15"/>
      <c r="E35" s="15"/>
      <c r="F35" s="16"/>
      <c r="H35" s="17"/>
      <c r="I35" s="17"/>
      <c r="J35" s="17"/>
      <c r="K35" s="17"/>
      <c r="L35" s="17"/>
    </row>
    <row r="36" spans="1:12" ht="26" x14ac:dyDescent="0.35">
      <c r="A36" s="143"/>
      <c r="B36" s="21" t="s">
        <v>64</v>
      </c>
      <c r="C36" s="159"/>
      <c r="D36" s="15"/>
      <c r="E36" s="15"/>
      <c r="F36" s="16"/>
      <c r="H36" s="17"/>
      <c r="I36" s="17"/>
      <c r="J36" s="17"/>
      <c r="K36" s="17"/>
      <c r="L36" s="17"/>
    </row>
    <row r="37" spans="1:12" x14ac:dyDescent="0.35">
      <c r="A37" s="143"/>
      <c r="B37" s="21" t="s">
        <v>65</v>
      </c>
      <c r="C37" s="159"/>
      <c r="D37" s="15"/>
      <c r="E37" s="15"/>
      <c r="F37" s="16"/>
      <c r="H37" s="17"/>
      <c r="I37" s="17"/>
      <c r="J37" s="17"/>
      <c r="K37" s="17"/>
      <c r="L37" s="17"/>
    </row>
    <row r="38" spans="1:12" ht="15" thickBot="1" x14ac:dyDescent="0.4">
      <c r="A38" s="144"/>
      <c r="B38" s="22" t="s">
        <v>66</v>
      </c>
      <c r="C38" s="160"/>
      <c r="D38" s="19"/>
      <c r="E38" s="19"/>
      <c r="F38" s="20"/>
      <c r="H38" s="17"/>
      <c r="I38" s="17"/>
      <c r="J38" s="17"/>
      <c r="K38" s="17"/>
      <c r="L38" s="17"/>
    </row>
    <row r="39" spans="1:12" ht="39" x14ac:dyDescent="0.35">
      <c r="A39" s="142" t="s">
        <v>67</v>
      </c>
      <c r="B39" s="10" t="s">
        <v>68</v>
      </c>
      <c r="C39" s="161" t="s">
        <v>69</v>
      </c>
      <c r="D39" s="11"/>
      <c r="E39" s="11"/>
      <c r="F39" s="12"/>
      <c r="H39" s="17"/>
      <c r="I39" s="17"/>
      <c r="J39" s="17"/>
      <c r="K39" s="17"/>
      <c r="L39" s="17"/>
    </row>
    <row r="40" spans="1:12" ht="26" x14ac:dyDescent="0.35">
      <c r="A40" s="143"/>
      <c r="B40" s="21" t="s">
        <v>70</v>
      </c>
      <c r="C40" s="159"/>
      <c r="D40" s="15"/>
      <c r="E40" s="15"/>
      <c r="F40" s="16"/>
      <c r="H40" s="17"/>
      <c r="I40" s="17"/>
      <c r="J40" s="17"/>
      <c r="K40" s="17"/>
      <c r="L40" s="17"/>
    </row>
    <row r="41" spans="1:12" ht="15" thickBot="1" x14ac:dyDescent="0.4">
      <c r="A41" s="144"/>
      <c r="B41" s="22" t="s">
        <v>71</v>
      </c>
      <c r="C41" s="160"/>
      <c r="D41" s="19"/>
      <c r="E41" s="19"/>
      <c r="F41" s="20"/>
      <c r="H41" s="17"/>
      <c r="I41" s="17"/>
      <c r="J41" s="17"/>
      <c r="K41" s="17"/>
      <c r="L41" s="17"/>
    </row>
    <row r="42" spans="1:12" x14ac:dyDescent="0.35">
      <c r="A42" s="142" t="s">
        <v>72</v>
      </c>
      <c r="B42" s="10" t="s">
        <v>73</v>
      </c>
      <c r="C42" s="145" t="s">
        <v>74</v>
      </c>
      <c r="D42" s="11"/>
      <c r="E42" s="11"/>
      <c r="F42" s="12"/>
      <c r="H42" s="17"/>
      <c r="I42" s="17"/>
      <c r="J42" s="17"/>
      <c r="K42" s="17"/>
      <c r="L42" s="17"/>
    </row>
    <row r="43" spans="1:12" x14ac:dyDescent="0.35">
      <c r="A43" s="143"/>
      <c r="B43" s="21" t="s">
        <v>75</v>
      </c>
      <c r="C43" s="146"/>
      <c r="D43" s="15"/>
      <c r="E43" s="15"/>
      <c r="F43" s="16"/>
      <c r="H43" s="17"/>
      <c r="I43" s="17"/>
      <c r="J43" s="17"/>
      <c r="K43" s="17"/>
      <c r="L43" s="17"/>
    </row>
    <row r="44" spans="1:12" x14ac:dyDescent="0.35">
      <c r="A44" s="143"/>
      <c r="B44" s="21" t="s">
        <v>76</v>
      </c>
      <c r="C44" s="146"/>
      <c r="D44" s="15"/>
      <c r="E44" s="15"/>
      <c r="F44" s="16"/>
      <c r="H44" s="17"/>
      <c r="I44" s="17"/>
      <c r="J44" s="17"/>
      <c r="K44" s="17"/>
      <c r="L44" s="17"/>
    </row>
    <row r="45" spans="1:12" x14ac:dyDescent="0.35">
      <c r="A45" s="143"/>
      <c r="B45" s="21" t="s">
        <v>77</v>
      </c>
      <c r="C45" s="146"/>
      <c r="D45" s="15"/>
      <c r="E45" s="15"/>
      <c r="F45" s="16"/>
      <c r="H45" s="17"/>
      <c r="I45" s="17"/>
      <c r="J45" s="17"/>
      <c r="K45" s="17"/>
      <c r="L45" s="17"/>
    </row>
    <row r="46" spans="1:12" x14ac:dyDescent="0.35">
      <c r="A46" s="143"/>
      <c r="B46" s="14" t="s">
        <v>78</v>
      </c>
      <c r="C46" s="146"/>
      <c r="D46" s="15"/>
      <c r="E46" s="15"/>
      <c r="F46" s="16"/>
      <c r="H46" s="17"/>
      <c r="I46" s="17"/>
      <c r="J46" s="17"/>
      <c r="K46" s="17"/>
      <c r="L46" s="17"/>
    </row>
    <row r="47" spans="1:12" x14ac:dyDescent="0.35">
      <c r="A47" s="143"/>
      <c r="B47" s="14" t="s">
        <v>79</v>
      </c>
      <c r="C47" s="146"/>
      <c r="D47" s="15"/>
      <c r="E47" s="15"/>
      <c r="F47" s="16"/>
      <c r="H47" s="17"/>
      <c r="I47" s="17"/>
      <c r="J47" s="17"/>
      <c r="K47" s="17"/>
      <c r="L47" s="17"/>
    </row>
    <row r="48" spans="1:12" x14ac:dyDescent="0.35">
      <c r="A48" s="143"/>
      <c r="B48" s="14" t="s">
        <v>80</v>
      </c>
      <c r="C48" s="146"/>
      <c r="D48" s="15"/>
      <c r="E48" s="15"/>
      <c r="F48" s="16"/>
      <c r="H48" s="17"/>
      <c r="I48" s="17"/>
      <c r="J48" s="17"/>
      <c r="K48" s="17"/>
      <c r="L48" s="17"/>
    </row>
    <row r="49" spans="1:12" ht="15" thickBot="1" x14ac:dyDescent="0.4">
      <c r="A49" s="144"/>
      <c r="B49" s="18" t="s">
        <v>81</v>
      </c>
      <c r="C49" s="147"/>
      <c r="D49" s="19"/>
      <c r="E49" s="19"/>
      <c r="F49" s="20"/>
      <c r="H49" s="17"/>
      <c r="I49" s="17"/>
      <c r="J49" s="17"/>
      <c r="K49" s="17"/>
      <c r="L49" s="17"/>
    </row>
    <row r="50" spans="1:12" ht="39.5" thickBot="1" x14ac:dyDescent="0.4">
      <c r="A50" s="34" t="s">
        <v>82</v>
      </c>
      <c r="B50" s="35" t="s">
        <v>83</v>
      </c>
      <c r="C50" s="36" t="s">
        <v>84</v>
      </c>
      <c r="D50" s="37"/>
      <c r="E50" s="37"/>
      <c r="F50" s="38"/>
      <c r="H50" s="17"/>
      <c r="I50" s="17"/>
      <c r="J50" s="17"/>
      <c r="K50" s="17"/>
      <c r="L50" s="17"/>
    </row>
    <row r="51" spans="1:12" x14ac:dyDescent="0.35">
      <c r="A51" s="142" t="s">
        <v>85</v>
      </c>
      <c r="B51" s="9" t="s">
        <v>86</v>
      </c>
      <c r="C51" s="145" t="s">
        <v>87</v>
      </c>
      <c r="D51" s="11">
        <v>1</v>
      </c>
      <c r="E51" s="11">
        <v>12</v>
      </c>
      <c r="F51" s="12">
        <v>12</v>
      </c>
      <c r="H51" s="17"/>
      <c r="I51" s="17"/>
      <c r="J51" s="15">
        <v>1</v>
      </c>
      <c r="K51" s="15">
        <v>12</v>
      </c>
      <c r="L51" s="15">
        <v>12</v>
      </c>
    </row>
    <row r="52" spans="1:12" x14ac:dyDescent="0.35">
      <c r="A52" s="143"/>
      <c r="B52" s="14" t="s">
        <v>88</v>
      </c>
      <c r="C52" s="146"/>
      <c r="D52" s="15"/>
      <c r="E52" s="15"/>
      <c r="F52" s="16"/>
      <c r="H52" s="17"/>
      <c r="I52" s="17"/>
      <c r="J52" s="17"/>
      <c r="K52" s="17"/>
      <c r="L52" s="17"/>
    </row>
    <row r="53" spans="1:12" x14ac:dyDescent="0.35">
      <c r="A53" s="143"/>
      <c r="B53" s="14" t="s">
        <v>89</v>
      </c>
      <c r="C53" s="146"/>
      <c r="D53" s="15"/>
      <c r="E53" s="15"/>
      <c r="F53" s="16"/>
      <c r="H53" s="17"/>
      <c r="I53" s="17"/>
      <c r="J53" s="17"/>
      <c r="K53" s="17"/>
      <c r="L53" s="17"/>
    </row>
    <row r="54" spans="1:12" x14ac:dyDescent="0.35">
      <c r="A54" s="143"/>
      <c r="B54" s="14" t="s">
        <v>90</v>
      </c>
      <c r="C54" s="146"/>
      <c r="D54" s="15"/>
      <c r="E54" s="15"/>
      <c r="F54" s="16"/>
      <c r="H54" s="17"/>
      <c r="I54" s="17"/>
      <c r="J54" s="17"/>
      <c r="K54" s="17"/>
      <c r="L54" s="17"/>
    </row>
    <row r="55" spans="1:12" x14ac:dyDescent="0.35">
      <c r="A55" s="143"/>
      <c r="B55" s="14" t="s">
        <v>91</v>
      </c>
      <c r="C55" s="146"/>
      <c r="D55" s="15"/>
      <c r="E55" s="15"/>
      <c r="F55" s="16"/>
      <c r="H55" s="17"/>
      <c r="I55" s="17"/>
      <c r="J55" s="17"/>
      <c r="K55" s="17"/>
      <c r="L55" s="17"/>
    </row>
    <row r="56" spans="1:12" x14ac:dyDescent="0.35">
      <c r="A56" s="143"/>
      <c r="B56" s="14" t="s">
        <v>92</v>
      </c>
      <c r="C56" s="146"/>
      <c r="D56" s="15"/>
      <c r="E56" s="15"/>
      <c r="F56" s="16"/>
      <c r="H56" s="17"/>
      <c r="I56" s="17"/>
      <c r="J56" s="17"/>
      <c r="K56" s="17"/>
      <c r="L56" s="17"/>
    </row>
    <row r="57" spans="1:12" x14ac:dyDescent="0.35">
      <c r="A57" s="143"/>
      <c r="B57" s="14" t="s">
        <v>93</v>
      </c>
      <c r="C57" s="146"/>
      <c r="D57" s="15"/>
      <c r="E57" s="15"/>
      <c r="F57" s="16"/>
      <c r="H57" s="17"/>
      <c r="I57" s="17"/>
      <c r="J57" s="17"/>
      <c r="K57" s="17"/>
      <c r="L57" s="17"/>
    </row>
    <row r="58" spans="1:12" ht="15" thickBot="1" x14ac:dyDescent="0.4">
      <c r="A58" s="148"/>
      <c r="B58" s="39" t="s">
        <v>94</v>
      </c>
      <c r="C58" s="149"/>
      <c r="D58" s="40"/>
      <c r="E58" s="40"/>
      <c r="F58" s="41"/>
      <c r="H58" s="17"/>
      <c r="I58" s="17"/>
      <c r="J58" s="17"/>
      <c r="K58" s="17"/>
      <c r="L58" s="17"/>
    </row>
    <row r="59" spans="1:12" ht="15" thickBot="1" x14ac:dyDescent="0.4">
      <c r="A59" s="150" t="s">
        <v>95</v>
      </c>
      <c r="B59" s="151"/>
      <c r="C59" s="151"/>
      <c r="D59" s="42"/>
      <c r="E59" s="42"/>
      <c r="F59" s="43">
        <f>SUM(F5:F58)+28</f>
        <v>144</v>
      </c>
      <c r="H59" s="32"/>
      <c r="I59" s="17"/>
      <c r="J59" s="17"/>
      <c r="K59" s="17"/>
      <c r="L59" s="44"/>
    </row>
    <row r="60" spans="1:12" ht="15" thickBot="1" x14ac:dyDescent="0.4">
      <c r="A60" s="45"/>
      <c r="B60" s="46"/>
      <c r="C60" s="47" t="s">
        <v>96</v>
      </c>
      <c r="D60" s="48"/>
      <c r="E60" s="49"/>
      <c r="F60" s="50">
        <f>'[1]St Raphael'!G34</f>
        <v>60</v>
      </c>
      <c r="H60" s="51"/>
      <c r="I60" s="51"/>
      <c r="J60" s="51"/>
      <c r="K60" s="51"/>
      <c r="L60" s="52"/>
    </row>
    <row r="61" spans="1:12" ht="16.5" thickBot="1" x14ac:dyDescent="0.45">
      <c r="A61" s="45"/>
      <c r="B61" s="46"/>
      <c r="C61" s="53" t="s">
        <v>97</v>
      </c>
      <c r="D61" s="54"/>
      <c r="E61" s="55"/>
      <c r="F61" s="56">
        <f>F59-F60</f>
        <v>84</v>
      </c>
      <c r="G61" s="57"/>
      <c r="H61" s="58" t="s">
        <v>98</v>
      </c>
      <c r="I61" s="59"/>
      <c r="J61" s="59"/>
      <c r="K61" s="59"/>
      <c r="L61" s="60">
        <f>SUM(L7:L60)</f>
        <v>48</v>
      </c>
    </row>
    <row r="62" spans="1:12" ht="15" thickBot="1" x14ac:dyDescent="0.4">
      <c r="A62" s="61"/>
      <c r="B62" s="62"/>
      <c r="C62" s="63" t="s">
        <v>99</v>
      </c>
      <c r="D62" s="64"/>
      <c r="E62"/>
      <c r="F62" s="65">
        <f>(10803+2600)*12</f>
        <v>160836</v>
      </c>
      <c r="H62" s="66"/>
      <c r="I62" s="66"/>
      <c r="J62" s="66"/>
      <c r="K62" s="66"/>
      <c r="L62" s="67"/>
    </row>
    <row r="63" spans="1:12" ht="16.5" thickBot="1" x14ac:dyDescent="0.45">
      <c r="A63" s="17"/>
      <c r="B63" s="68"/>
      <c r="C63" s="69" t="s">
        <v>100</v>
      </c>
      <c r="D63" s="70"/>
      <c r="E63" s="71"/>
      <c r="F63" s="72">
        <f>F62/F59</f>
        <v>1116.9166666666667</v>
      </c>
      <c r="G63" s="57"/>
      <c r="H63" s="73" t="s">
        <v>101</v>
      </c>
      <c r="I63" s="74"/>
      <c r="J63" s="74"/>
      <c r="K63" s="74"/>
      <c r="L63" s="75">
        <v>850</v>
      </c>
    </row>
    <row r="64" spans="1:12" ht="15" thickBot="1" x14ac:dyDescent="0.4">
      <c r="A64" s="17"/>
      <c r="B64" s="68"/>
      <c r="C64" s="76" t="s">
        <v>102</v>
      </c>
      <c r="D64" s="77"/>
      <c r="E64" s="78"/>
      <c r="F64" s="79">
        <f>F60*F63</f>
        <v>67015</v>
      </c>
      <c r="H64" s="80"/>
      <c r="I64" s="66"/>
      <c r="J64" s="66"/>
      <c r="K64" s="66"/>
      <c r="L64" s="67"/>
    </row>
    <row r="65" spans="1:12" ht="15" thickBot="1" x14ac:dyDescent="0.4">
      <c r="A65" s="17"/>
      <c r="B65" s="68"/>
      <c r="C65" s="81" t="s">
        <v>103</v>
      </c>
      <c r="D65" s="82"/>
      <c r="E65" s="83"/>
      <c r="F65" s="84">
        <f>F61*F63</f>
        <v>93821</v>
      </c>
      <c r="H65" s="85" t="s">
        <v>104</v>
      </c>
      <c r="I65" s="86"/>
      <c r="J65" s="86"/>
      <c r="K65" s="86"/>
      <c r="L65" s="87">
        <f>L61*L63</f>
        <v>40800</v>
      </c>
    </row>
    <row r="66" spans="1:12" x14ac:dyDescent="0.35">
      <c r="A66" s="45"/>
      <c r="B66" s="45"/>
      <c r="C66" s="88"/>
      <c r="D66" s="89"/>
      <c r="E66" s="13"/>
      <c r="F66" s="90"/>
      <c r="H66" s="130"/>
      <c r="I66"/>
      <c r="J66"/>
      <c r="K66"/>
      <c r="L66" s="131"/>
    </row>
    <row r="67" spans="1:12" x14ac:dyDescent="0.35">
      <c r="A67" s="45"/>
      <c r="B67" s="45"/>
      <c r="C67" s="92"/>
      <c r="D67" s="93"/>
      <c r="E67" s="93"/>
      <c r="F67" s="94">
        <f>F66*F62</f>
        <v>0</v>
      </c>
      <c r="L67" s="91"/>
    </row>
    <row r="68" spans="1:12" x14ac:dyDescent="0.35">
      <c r="A68" s="95"/>
      <c r="B68" s="95"/>
      <c r="C68" s="96"/>
      <c r="D68" s="96"/>
      <c r="E68" s="96"/>
      <c r="F68" s="129"/>
      <c r="H68" s="152" t="s">
        <v>105</v>
      </c>
      <c r="I68" s="153"/>
      <c r="J68" s="153"/>
      <c r="K68" s="153"/>
      <c r="L68" s="154"/>
    </row>
    <row r="69" spans="1:12" x14ac:dyDescent="0.35">
      <c r="A69" s="95"/>
      <c r="B69" s="95"/>
      <c r="C69" s="96"/>
      <c r="D69" s="96"/>
      <c r="E69" s="96"/>
      <c r="F69" s="129"/>
      <c r="H69" s="17" t="s">
        <v>106</v>
      </c>
      <c r="I69" s="17"/>
      <c r="J69" s="17"/>
      <c r="K69" s="17"/>
      <c r="L69" s="97">
        <v>7875</v>
      </c>
    </row>
    <row r="70" spans="1:12" x14ac:dyDescent="0.35">
      <c r="A70" s="95"/>
      <c r="B70" s="95"/>
      <c r="C70" s="96"/>
      <c r="D70" s="96"/>
      <c r="E70" s="96"/>
      <c r="F70" s="96"/>
      <c r="H70" s="32" t="s">
        <v>107</v>
      </c>
      <c r="I70" s="17"/>
      <c r="J70" s="17"/>
      <c r="K70" s="17"/>
      <c r="L70" s="97">
        <f>(2625*14/12)*7</f>
        <v>21437.5</v>
      </c>
    </row>
    <row r="71" spans="1:12" x14ac:dyDescent="0.35">
      <c r="A71" s="95"/>
      <c r="B71" s="95"/>
      <c r="C71" s="96"/>
      <c r="D71" s="96"/>
      <c r="E71" s="96"/>
      <c r="F71" s="96"/>
      <c r="H71" s="98" t="s">
        <v>108</v>
      </c>
      <c r="L71" s="99">
        <f>L69+L70</f>
        <v>29312.5</v>
      </c>
    </row>
    <row r="72" spans="1:12" x14ac:dyDescent="0.35">
      <c r="A72" s="95"/>
      <c r="B72" s="95"/>
      <c r="C72" s="96"/>
      <c r="D72" s="96"/>
      <c r="E72" s="96"/>
      <c r="F72" s="96"/>
    </row>
    <row r="73" spans="1:12" x14ac:dyDescent="0.35">
      <c r="A73" s="95"/>
      <c r="B73" s="95"/>
      <c r="C73" s="96"/>
      <c r="D73" s="96"/>
      <c r="E73" s="96"/>
      <c r="F73" s="96"/>
      <c r="H73" s="134" t="s">
        <v>109</v>
      </c>
      <c r="I73" s="134"/>
      <c r="J73" s="134"/>
      <c r="K73" s="134"/>
      <c r="L73" s="134"/>
    </row>
    <row r="74" spans="1:12" x14ac:dyDescent="0.35">
      <c r="A74" s="135"/>
      <c r="B74" s="135"/>
      <c r="C74" s="104"/>
      <c r="D74" s="96"/>
      <c r="E74" s="96"/>
      <c r="F74" s="103"/>
      <c r="H74" s="100" t="s">
        <v>110</v>
      </c>
      <c r="I74" s="101"/>
      <c r="J74" s="17"/>
      <c r="K74" s="17"/>
      <c r="L74" s="102">
        <f>2500*7</f>
        <v>17500</v>
      </c>
    </row>
    <row r="75" spans="1:12" x14ac:dyDescent="0.35">
      <c r="A75" s="136"/>
      <c r="B75" s="136"/>
      <c r="F75" s="106"/>
      <c r="G75" s="107"/>
      <c r="H75" s="98" t="s">
        <v>111</v>
      </c>
      <c r="L75" s="99">
        <f>SUM(L72:L74)</f>
        <v>17500</v>
      </c>
    </row>
    <row r="76" spans="1:12" x14ac:dyDescent="0.35">
      <c r="A76" s="105"/>
      <c r="B76" s="105"/>
      <c r="F76" s="106"/>
      <c r="G76" s="107"/>
      <c r="L76" s="106"/>
    </row>
    <row r="77" spans="1:12" ht="30.5" customHeight="1" x14ac:dyDescent="0.35">
      <c r="A77" s="105"/>
      <c r="B77" s="105"/>
      <c r="F77" s="106"/>
      <c r="G77" s="107"/>
      <c r="H77" s="137" t="s">
        <v>112</v>
      </c>
      <c r="I77" s="137"/>
      <c r="J77" s="137"/>
      <c r="K77" s="137"/>
      <c r="L77" s="137"/>
    </row>
    <row r="78" spans="1:12" ht="29" x14ac:dyDescent="0.35">
      <c r="A78" s="105"/>
      <c r="B78" s="105"/>
      <c r="F78" s="106"/>
      <c r="G78" s="107"/>
      <c r="H78" s="108" t="s">
        <v>113</v>
      </c>
      <c r="I78" s="109"/>
      <c r="J78" s="109">
        <v>15</v>
      </c>
      <c r="K78" s="109">
        <v>1</v>
      </c>
      <c r="L78" s="110">
        <f>J78*K78*$L$63</f>
        <v>12750</v>
      </c>
    </row>
    <row r="79" spans="1:12" x14ac:dyDescent="0.35">
      <c r="A79" s="105"/>
      <c r="B79" s="105"/>
      <c r="F79" s="106"/>
      <c r="G79" s="107"/>
      <c r="H79" s="109" t="s">
        <v>114</v>
      </c>
      <c r="I79" s="109"/>
      <c r="J79" s="109">
        <v>2</v>
      </c>
      <c r="K79" s="109">
        <v>1</v>
      </c>
      <c r="L79" s="110">
        <f>J79*K79*$L$63</f>
        <v>1700</v>
      </c>
    </row>
    <row r="80" spans="1:12" x14ac:dyDescent="0.35">
      <c r="A80" s="105"/>
      <c r="B80" s="105"/>
      <c r="F80" s="106"/>
      <c r="G80" s="107"/>
      <c r="H80" s="109" t="s">
        <v>115</v>
      </c>
      <c r="I80" s="109"/>
      <c r="J80" s="109">
        <v>15</v>
      </c>
      <c r="K80" s="109">
        <v>0.5</v>
      </c>
      <c r="L80" s="110">
        <f>J80*K80*$L$63</f>
        <v>6375</v>
      </c>
    </row>
    <row r="81" spans="1:12" x14ac:dyDescent="0.35">
      <c r="A81" s="105"/>
      <c r="B81" s="105"/>
      <c r="F81" s="106"/>
      <c r="G81" s="107"/>
      <c r="H81" s="98" t="s">
        <v>116</v>
      </c>
      <c r="L81" s="111">
        <f>SUM(L78:L79)</f>
        <v>14450</v>
      </c>
    </row>
    <row r="82" spans="1:12" x14ac:dyDescent="0.35">
      <c r="A82" s="138"/>
      <c r="B82" s="138"/>
      <c r="F82" s="106"/>
      <c r="L82" s="106"/>
    </row>
    <row r="83" spans="1:12" x14ac:dyDescent="0.35">
      <c r="H83" s="139" t="s">
        <v>117</v>
      </c>
      <c r="I83" s="140"/>
      <c r="J83" s="140"/>
      <c r="K83" s="141"/>
      <c r="L83" s="115">
        <f>L71+L75+L81</f>
        <v>61262.5</v>
      </c>
    </row>
    <row r="84" spans="1:12" ht="45" customHeight="1" x14ac:dyDescent="0.35">
      <c r="H84" s="116" t="s">
        <v>118</v>
      </c>
      <c r="I84" s="117"/>
      <c r="J84" s="117"/>
      <c r="K84" s="117"/>
      <c r="L84" s="115">
        <f>L65+L83</f>
        <v>102062.5</v>
      </c>
    </row>
    <row r="85" spans="1:12" ht="26.5" x14ac:dyDescent="0.35">
      <c r="H85" s="118" t="s">
        <v>119</v>
      </c>
      <c r="I85" s="119"/>
      <c r="J85" s="119"/>
      <c r="K85" s="119"/>
      <c r="L85" s="120">
        <f>F65-L84</f>
        <v>-8241.5</v>
      </c>
    </row>
    <row r="86" spans="1:12" ht="15" customHeight="1" x14ac:dyDescent="0.35">
      <c r="H86" s="121" t="s">
        <v>120</v>
      </c>
      <c r="I86" s="119"/>
      <c r="J86" s="119"/>
      <c r="K86" s="119"/>
      <c r="L86" s="120">
        <f>L85/6</f>
        <v>-1373.5833333333333</v>
      </c>
    </row>
    <row r="87" spans="1:12" ht="14.5" customHeight="1" x14ac:dyDescent="0.35">
      <c r="H87" s="112"/>
      <c r="I87" s="112"/>
      <c r="J87" s="112"/>
      <c r="K87" s="112"/>
      <c r="L87" s="112"/>
    </row>
    <row r="88" spans="1:12" ht="12.5" customHeight="1" x14ac:dyDescent="0.35">
      <c r="H88" s="112" t="s">
        <v>121</v>
      </c>
      <c r="I88" s="112"/>
      <c r="J88" s="112"/>
      <c r="K88" s="112"/>
      <c r="L88" s="112"/>
    </row>
    <row r="89" spans="1:12" x14ac:dyDescent="0.35">
      <c r="H89" s="1" t="s">
        <v>122</v>
      </c>
    </row>
    <row r="91" spans="1:12" x14ac:dyDescent="0.35">
      <c r="H91" s="132" t="s">
        <v>123</v>
      </c>
      <c r="I91" s="132"/>
      <c r="J91" s="132"/>
      <c r="K91" s="132"/>
      <c r="L91" s="132"/>
    </row>
    <row r="92" spans="1:12" ht="26.5" x14ac:dyDescent="0.35">
      <c r="F92" s="91"/>
      <c r="G92" s="133"/>
      <c r="H92" s="122" t="s">
        <v>128</v>
      </c>
      <c r="I92" s="123"/>
      <c r="J92" s="123">
        <v>10</v>
      </c>
      <c r="K92" s="123">
        <v>1</v>
      </c>
      <c r="L92" s="124">
        <f>J92*K92*1000</f>
        <v>10000</v>
      </c>
    </row>
    <row r="93" spans="1:12" ht="26.5" x14ac:dyDescent="0.35">
      <c r="G93" s="133"/>
      <c r="H93" s="125" t="s">
        <v>124</v>
      </c>
      <c r="I93" s="126"/>
      <c r="J93" s="126">
        <v>15</v>
      </c>
      <c r="K93" s="126">
        <v>1</v>
      </c>
      <c r="L93" s="127">
        <f>J93*K93*18</f>
        <v>270</v>
      </c>
    </row>
    <row r="94" spans="1:12" ht="26.5" x14ac:dyDescent="0.35">
      <c r="H94" s="125" t="s">
        <v>125</v>
      </c>
      <c r="I94" s="126"/>
      <c r="J94" s="126">
        <v>1</v>
      </c>
      <c r="K94" s="126">
        <v>2</v>
      </c>
      <c r="L94" s="128">
        <f>J94*K94*L63</f>
        <v>1700</v>
      </c>
    </row>
    <row r="95" spans="1:12" x14ac:dyDescent="0.35">
      <c r="H95" s="112"/>
      <c r="I95" s="112"/>
      <c r="J95" s="112"/>
      <c r="K95" s="112"/>
      <c r="L95" s="112"/>
    </row>
    <row r="96" spans="1:12" x14ac:dyDescent="0.35">
      <c r="H96" s="113" t="s">
        <v>126</v>
      </c>
      <c r="I96" s="112"/>
      <c r="J96" s="112"/>
      <c r="K96" s="112"/>
      <c r="L96" s="114">
        <f>SUM(L93:L95)</f>
        <v>1970</v>
      </c>
    </row>
    <row r="98" spans="12:12" x14ac:dyDescent="0.35">
      <c r="L98" s="91"/>
    </row>
  </sheetData>
  <mergeCells count="34">
    <mergeCell ref="A2:F2"/>
    <mergeCell ref="J3:L3"/>
    <mergeCell ref="A4:F4"/>
    <mergeCell ref="A5:A7"/>
    <mergeCell ref="A8:A10"/>
    <mergeCell ref="C8:C9"/>
    <mergeCell ref="A12:A20"/>
    <mergeCell ref="C12:C20"/>
    <mergeCell ref="A21:A24"/>
    <mergeCell ref="C21:C24"/>
    <mergeCell ref="A25:A28"/>
    <mergeCell ref="C27:C28"/>
    <mergeCell ref="C29:C31"/>
    <mergeCell ref="A32:A38"/>
    <mergeCell ref="H32:H33"/>
    <mergeCell ref="C34:C38"/>
    <mergeCell ref="A39:A41"/>
    <mergeCell ref="C39:C41"/>
    <mergeCell ref="H91:L91"/>
    <mergeCell ref="G92:G93"/>
    <mergeCell ref="H2:L2"/>
    <mergeCell ref="H73:L73"/>
    <mergeCell ref="A74:B74"/>
    <mergeCell ref="A75:B75"/>
    <mergeCell ref="H77:L77"/>
    <mergeCell ref="A82:B82"/>
    <mergeCell ref="H83:K83"/>
    <mergeCell ref="A42:A49"/>
    <mergeCell ref="C42:C49"/>
    <mergeCell ref="A51:A58"/>
    <mergeCell ref="C51:C58"/>
    <mergeCell ref="A59:C59"/>
    <mergeCell ref="H68:L68"/>
    <mergeCell ref="A29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 Raphael Comparitive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Siraaj Adonis</dc:creator>
  <cp:lastModifiedBy>Siraaj Adonis</cp:lastModifiedBy>
  <dcterms:created xsi:type="dcterms:W3CDTF">2026-02-27T14:56:27Z</dcterms:created>
  <dcterms:modified xsi:type="dcterms:W3CDTF">2026-02-27T15:04:30Z</dcterms:modified>
</cp:coreProperties>
</file>